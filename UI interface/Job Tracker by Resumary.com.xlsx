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raphs" sheetId="1" r:id="rId5"/>
    <sheet state="visible" name="Saved Jobs" sheetId="2" r:id="rId6"/>
    <sheet state="visible" name="Pending Work 23th Feb" sheetId="3" r:id="rId7"/>
    <sheet state="visible" name="YCDI" sheetId="4" r:id="rId8"/>
    <sheet state="visible" name="Archive Referral List" sheetId="5" r:id="rId9"/>
    <sheet state="hidden" name="Daily Rating" sheetId="6" r:id="rId10"/>
    <sheet state="hidden" name="Daily Notes" sheetId="7" r:id="rId11"/>
    <sheet state="visible" name="Enhanced Jobs Data" sheetId="8" r:id="rId12"/>
    <sheet state="hidden" name="Referral Request Count " sheetId="9" r:id="rId13"/>
    <sheet state="hidden" name="Top H1b List" sheetId="10" r:id="rId14"/>
    <sheet state="visible" name="Summary Dashboard" sheetId="11" r:id="rId15"/>
    <sheet state="hidden" name="Printout Sheet" sheetId="12" r:id="rId16"/>
    <sheet state="hidden" name="Template" sheetId="13" r:id="rId17"/>
    <sheet state="hidden" name="Weekly Count Chart" sheetId="14" r:id="rId18"/>
    <sheet state="hidden" name="Weekly pivot table count" sheetId="15" r:id="rId19"/>
  </sheets>
  <definedNames/>
  <calcPr/>
</workbook>
</file>

<file path=xl/sharedStrings.xml><?xml version="1.0" encoding="utf-8"?>
<sst xmlns="http://schemas.openxmlformats.org/spreadsheetml/2006/main" count="13039" uniqueCount="4450">
  <si>
    <t xml:space="preserve"> </t>
  </si>
  <si>
    <t>Count</t>
  </si>
  <si>
    <t>Company Name</t>
  </si>
  <si>
    <t>Request Log</t>
  </si>
  <si>
    <t>Request Date</t>
  </si>
  <si>
    <t>Request Link</t>
  </si>
  <si>
    <t>Referral Received</t>
  </si>
  <si>
    <t>Comment</t>
  </si>
  <si>
    <t>Message Ready</t>
  </si>
  <si>
    <t>Resume Ready</t>
  </si>
  <si>
    <t>Important Links for Applications</t>
  </si>
  <si>
    <t>1. Networking Message</t>
  </si>
  <si>
    <t>Link</t>
  </si>
  <si>
    <t>2. Resume</t>
  </si>
  <si>
    <t>3. Cover Letter</t>
  </si>
  <si>
    <t>4. Extra Documents</t>
  </si>
  <si>
    <t>5. Screenshots</t>
  </si>
  <si>
    <t>6. Cover Letter Template</t>
  </si>
  <si>
    <t>I hope you're doing well! I previously worked as an SDE2 at Bounteous and am pursuing my Master’s in Data Science from Stony Brook University. I came across the Software Developer 2026 ELH position with Job ID: 91689, and wanted to check if you’d be open to reviewing my resume or referring me. Thank you!</t>
  </si>
  <si>
    <t>Date Saved</t>
  </si>
  <si>
    <t>Role</t>
  </si>
  <si>
    <t>Company</t>
  </si>
  <si>
    <t>Location</t>
  </si>
  <si>
    <t>Job Link</t>
  </si>
  <si>
    <t>Computational Imaging Research Scientist
Manage My Job
Request a Coach</t>
  </si>
  <si>
    <t>GLASS Imaging</t>
  </si>
  <si>
    <t>San Francisco Bay Area · 10 minutes ago · 0 applicants
Promoted by hirer · No response insights available yet</t>
  </si>
  <si>
    <t>https://www.linkedin.com/jobs/view/4320212741/</t>
  </si>
  <si>
    <t>Embedded Software Engineer
Manage My Job
Request a Coach</t>
  </si>
  <si>
    <t>Vastika Inc</t>
  </si>
  <si>
    <t>Carrollton, TX · 15 minutes ago · 5 applicants
Promoted by hirer · No response insights available yet</t>
  </si>
  <si>
    <t>https://www.linkedin.com/jobs/view/4320312705/</t>
  </si>
  <si>
    <t>AI Engineer</t>
  </si>
  <si>
    <t>New Resources Consulting</t>
  </si>
  <si>
    <t>Milwaukee, WI · Reposted 51 minutes ago · Over 100 applicants
Promoted by hirer · Actively reviewing applicants</t>
  </si>
  <si>
    <t>https://www.linkedin.com/jobs/view/4314022965/</t>
  </si>
  <si>
    <t>Quantitative Strategy Developer - New Grad 
Manage My Job
Request a Coach</t>
  </si>
  <si>
    <t>Susquehanna International Group</t>
  </si>
  <si>
    <t>Greater Philadelphia · 38 minutes ago · 17 people clicked apply
Promoted by hirer · Responses managed off LinkedIn</t>
  </si>
  <si>
    <t>https://www.linkedin.com/jobs/view/4320152787/</t>
  </si>
  <si>
    <t>Devops Engineer</t>
  </si>
  <si>
    <t>Wipro</t>
  </si>
  <si>
    <t>Minneapolis, NC · 3 hours ago · 25 people clicked apply
Promoted by hirer · Responses managed off LinkedIn</t>
  </si>
  <si>
    <t>https://www.linkedin.com/jobs/view/4320212736/</t>
  </si>
  <si>
    <t>Software Engineer – Microsoft AI 
Manage My Job
Request a Coach</t>
  </si>
  <si>
    <t>Microsoft</t>
  </si>
  <si>
    <t>Redmond, WA · 3 hours ago · 48 people clicked apply
Promoted by hirer · Responses managed off LinkedIn</t>
  </si>
  <si>
    <t>https://www.linkedin.com/jobs/view/4333328595/</t>
  </si>
  <si>
    <t>Real-Time /Embedded Firmware Engineer</t>
  </si>
  <si>
    <t>Nuvoton Technology Corporation America</t>
  </si>
  <si>
    <t>Austin, TX · 49 minutes ago · 6 applicants
Promoted by hirer · Company review time is typically 1 week</t>
  </si>
  <si>
    <t>https://www.linkedin.com/jobs/view/4333369385/</t>
  </si>
  <si>
    <t>Front End Engineer- React &amp; Map API 
Manage My Job
Request a Coach</t>
  </si>
  <si>
    <t>Ascendion</t>
  </si>
  <si>
    <t>Seattle, WA · Reposted 54 minutes ago · Over 100 applicants
Promoted by hirer · Actively reviewing applicants</t>
  </si>
  <si>
    <t>https://www.linkedin.com/jobs/view/4315044235/</t>
  </si>
  <si>
    <t>Applications Analyst 
Manage My Job
Request a Coach</t>
  </si>
  <si>
    <t>Zekelman Industries</t>
  </si>
  <si>
    <t>Wheatland, PA · Reposted 42 minutes ago · 27 people clicked apply
Promoted by hirer · Responses managed off LinkedIn</t>
  </si>
  <si>
    <t>https://www.linkedin.com/jobs/view/4313443958/</t>
  </si>
  <si>
    <t>AI Engineer
Manage My Job
Request a Coach</t>
  </si>
  <si>
    <t>Avesta Computer Services</t>
  </si>
  <si>
    <t>Fremont, CA · 42 minutes ago · 3 applicants
Promoted by hirer · No response insights available yet</t>
  </si>
  <si>
    <t>https://www.linkedin.com/jobs/view/4332188017/</t>
  </si>
  <si>
    <t>Senior Web Developer 
Manage My Job
Request a Coach</t>
  </si>
  <si>
    <t>SCIENTIFIC GAMES</t>
  </si>
  <si>
    <t>Alpharetta, GA · Reposted 10 minutes ago · 99 people clicked apply
Promoted by hirer · Responses managed off LinkedIn</t>
  </si>
  <si>
    <t>https://www.linkedin.com/jobs/view/4309207109/</t>
  </si>
  <si>
    <t>Software Development Engineer III</t>
  </si>
  <si>
    <t>Optimum</t>
  </si>
  <si>
    <t>Bethpage, NY · Reposted 1 hour ago · Over 100 people clicked apply
Responses managed off LinkedIn</t>
  </si>
  <si>
    <t>https://www.linkedin.com/jobs/view/4177889291/</t>
  </si>
  <si>
    <t>Principal Software Engineer (.NET) 
Manage My Job
Request a Coach</t>
  </si>
  <si>
    <t>Qualitest</t>
  </si>
  <si>
    <t>California, United States · Reposted 28 minutes ago · 36 people clicked apply
Promoted by hirer · Responses managed off LinkedIn</t>
  </si>
  <si>
    <t>https://www.linkedin.com/jobs/view/4319099936/</t>
  </si>
  <si>
    <t>REMOTE - Lead AI Engineer</t>
  </si>
  <si>
    <t>CyberCoders</t>
  </si>
  <si>
    <t>San Francisco, CA · Reposted 1 hour ago · 93 applicants
Promoted by hirer · No response insights available yet</t>
  </si>
  <si>
    <t>https://www.linkedin.com/jobs/view/4292870840/</t>
  </si>
  <si>
    <t>Big Data Engineer 
Manage My Job
Request a Coach</t>
  </si>
  <si>
    <t>Modis</t>
  </si>
  <si>
    <t>Plano, TX · Reposted 2 hours ago · Over 100 people clicked apply
Promoted by hirer · Responses managed off LinkedIn</t>
  </si>
  <si>
    <t>https://www.linkedin.com/jobs/view/4242967875/</t>
  </si>
  <si>
    <t>(USA) Staff, Software Engineer 
Manage My Job
Request a Coach</t>
  </si>
  <si>
    <t>Walmart</t>
  </si>
  <si>
    <t>Bentonville, AR · Reposted 2 hours ago · 44 people clicked apply
Promoted by hirer · Responses managed off LinkedIn</t>
  </si>
  <si>
    <t>https://www.linkedin.com/jobs/view/4255482699/</t>
  </si>
  <si>
    <t>Software Engineer</t>
  </si>
  <si>
    <t>Like a Son</t>
  </si>
  <si>
    <t>Charleston, SC · 49 minutes ago · 29 applicants
Promoted by hirer · No response insights available yet</t>
  </si>
  <si>
    <t>https://www.linkedin.com/jobs/view/4333891398/</t>
  </si>
  <si>
    <t>GIS Developer</t>
  </si>
  <si>
    <t>Satwic Inc</t>
  </si>
  <si>
    <t>Los Angeles, CA · 12 minutes ago · 0 applicants
Promoted by hirer · Company review time is typically 1 week</t>
  </si>
  <si>
    <t>https://www.linkedin.com/jobs/view/4333847443/</t>
  </si>
  <si>
    <t>Python and Node Full Stack Developer
Manage My Job
Request a Coach</t>
  </si>
  <si>
    <t>BeaconFire Solution Inc.</t>
  </si>
  <si>
    <t>East Windsor, NJ · Reposted 7 minutes ago · Over 100 applicants
Promoted by hirer · Actively reviewing applicants</t>
  </si>
  <si>
    <t>https://www.linkedin.com/jobs/view/4309215421/</t>
  </si>
  <si>
    <t>MERN/MEAN Stack Developer
Manage My Job
Request a Coach</t>
  </si>
  <si>
    <t>BeaconFire Inc.</t>
  </si>
  <si>
    <t>East Windsor, NJ · Reposted 8 minutes ago · Over 100 applicants
Promoted by hirer · Actively reviewing applicants</t>
  </si>
  <si>
    <t>https://www.linkedin.com/jobs/view/4301098096/</t>
  </si>
  <si>
    <t>Java Software Engineer
Manage My Job
Request a Coach</t>
  </si>
  <si>
    <t>https://www.linkedin.com/jobs/view/4303401301/</t>
  </si>
  <si>
    <t>New York, United States · Reposted 11 minutes ago · Over 100 applicants
Promoted by hirer · Actively reviewing applicants</t>
  </si>
  <si>
    <t>https://www.linkedin.com/jobs/view/4315410648/</t>
  </si>
  <si>
    <t>Java Software Engineer</t>
  </si>
  <si>
    <t>East Windsor, NJ · Reposted 9 minutes ago · Over 100 applicants
Promoted by hirer · Actively reviewing applicants</t>
  </si>
  <si>
    <t>https://www.linkedin.com/jobs/view/4266998367/</t>
  </si>
  <si>
    <t>Full Stack Web Developer
Manage My Job
Request a Coach</t>
  </si>
  <si>
    <t>https://www.linkedin.com/jobs/view/4309572283/</t>
  </si>
  <si>
    <t>Jr. Software Simulation Engineer 
Manage My Job
Request a Coach</t>
  </si>
  <si>
    <t>Kavaliro</t>
  </si>
  <si>
    <t>Jacksonville, FL · Reposted 35 minutes ago · Over 100 people clicked apply
Promoted by hirer · Responses managed off LinkedIn</t>
  </si>
  <si>
    <t>https://www.linkedin.com/jobs/view/4307842196/</t>
  </si>
  <si>
    <t>Software Engineer II 
Manage My Job
Request a Coach</t>
  </si>
  <si>
    <t>Cadence</t>
  </si>
  <si>
    <t>San Jose, CA · Reposted 51 minutes ago · Over 100 people clicked apply
Promoted by hirer · Responses managed off LinkedIn</t>
  </si>
  <si>
    <t>https://www.linkedin.com/jobs/view/4269082937/</t>
  </si>
  <si>
    <t>C# Developer 
Manage My Job
Request a Coach</t>
  </si>
  <si>
    <t>Insight Global</t>
  </si>
  <si>
    <t>Irving, TX · 1 hour ago · 56 applicants
Promoted by hirer · Company review time is typically 1 week</t>
  </si>
  <si>
    <t>https://www.linkedin.com/jobs/view/4320344393/</t>
  </si>
  <si>
    <t>Unity Developer 
Manage My Job
Request a Coach</t>
  </si>
  <si>
    <t>Redmond, WA · Reposted 19 minutes ago · Over 100 people clicked apply
Responses managed off LinkedIn</t>
  </si>
  <si>
    <t>https://www.linkedin.com/jobs/view/4333532799/</t>
  </si>
  <si>
    <t>Remote AI Digitalization Expert 
Manage My Job
Request a Coach</t>
  </si>
  <si>
    <t>MSX International</t>
  </si>
  <si>
    <t>Southfield, MI · Reposted 36 minutes ago · 64 people clicked apply
Promoted by hirer · Responses managed off LinkedIn</t>
  </si>
  <si>
    <t>https://www.linkedin.com/jobs/view/4314145584/</t>
  </si>
  <si>
    <t>Data Scientist 
Manage My Job
Request a Coach</t>
  </si>
  <si>
    <t>Advance Auto Parts</t>
  </si>
  <si>
    <t>Raleigh, NC · 7 minutes ago · 6 applicants
Promoted by hirer · No response insights available yet</t>
  </si>
  <si>
    <t>https://www.linkedin.com/jobs/view/4320528197/</t>
  </si>
  <si>
    <t>Software Development Engineer I 
Manage My Job
Request a Coach</t>
  </si>
  <si>
    <t>Yardi</t>
  </si>
  <si>
    <t>Santa Barbara, CA · 2 minutes ago · 14 people clicked apply
Promoted by hirer · Responses managed off LinkedIn</t>
  </si>
  <si>
    <t>https://www.linkedin.com/jobs/view/4320479332/</t>
  </si>
  <si>
    <t>AI Mathematics Specialist
Manage My Job
Request a Coach</t>
  </si>
  <si>
    <t>Emma of Torre.ai</t>
  </si>
  <si>
    <t>United States · 32 minutes ago · 6 people clicked apply
Promoted by hirer · Responses managed off LinkedIn</t>
  </si>
  <si>
    <t>https://www.linkedin.com/jobs/view/4337427172/</t>
  </si>
  <si>
    <t>Data Engineer, E-Commerce
Manage My Job
Request a Coach</t>
  </si>
  <si>
    <t>ExecutivePlacements.com</t>
  </si>
  <si>
    <t>San Jose, CA · 12 minutes ago · 1 person clicked apply
Promoted by hirer · Responses managed off LinkedIn</t>
  </si>
  <si>
    <t>https://www.linkedin.com/jobs/view/4334035367/</t>
  </si>
  <si>
    <t>Computer Vision Engineer
Manage My Job
Request a Coach</t>
  </si>
  <si>
    <t>Sibitalent Corp</t>
  </si>
  <si>
    <t>Orlando, FL · 12 minutes ago · 6 applicants
Promoted by hirer · Company review time is typically 1 week</t>
  </si>
  <si>
    <t>https://www.linkedin.com/jobs/view/4320782797/</t>
  </si>
  <si>
    <t>Machine Learning Intern</t>
  </si>
  <si>
    <t>Emonics LLC</t>
  </si>
  <si>
    <t>Los Angeles, CA · 29 minutes ago · 11 applicants
Promoted by hirer · No response insights available yet</t>
  </si>
  <si>
    <t>https://www.linkedin.com/jobs/view/4320782742/</t>
  </si>
  <si>
    <t>Machine Learning Engineer
Manage My Job
Request a Coach</t>
  </si>
  <si>
    <t>Harvey Nash</t>
  </si>
  <si>
    <t>Cupertino, CA · 57 minutes ago · Over 100 applicants
Promoted by hirer · Company review time is typically 1 week</t>
  </si>
  <si>
    <t>https://www.linkedin.com/jobs/view/4320663000/</t>
  </si>
  <si>
    <t>Software Engineer 1 
Manage My Job
Request a Coach</t>
  </si>
  <si>
    <t>Intuit</t>
  </si>
  <si>
    <t>Mountain View, CA · 16 minutes ago · 77 people clicked apply
Responses managed off LinkedIn</t>
  </si>
  <si>
    <t>https://www.linkedin.com/jobs/view/4333948404/</t>
  </si>
  <si>
    <t>Machine Learning Engineer, Computer Vision</t>
  </si>
  <si>
    <t>Metropolis Technologies</t>
  </si>
  <si>
    <t>Los Angeles, CA · 5 hours ago · Over 100 applicants
Promoted by hirer · No response insights available yet</t>
  </si>
  <si>
    <t>https://www.linkedin.com/jobs/view/4333928645/</t>
  </si>
  <si>
    <t>Software Engineer, Core Platform 
Manage My Job
Request a Coach</t>
  </si>
  <si>
    <t>Moveworks</t>
  </si>
  <si>
    <t>Mountain View, CA · Reposted 6 minutes ago · Over 100 people clicked apply
Promoted by hirer · Responses managed off LinkedIn</t>
  </si>
  <si>
    <t>https://www.linkedin.com/jobs/view/4298782129/</t>
  </si>
  <si>
    <t>Data Specialist 
Manage My Job
Request a Coach</t>
  </si>
  <si>
    <t>Russell Tobin</t>
  </si>
  <si>
    <t>Boston, MA · 21 minutes ago · 0 applicants
Promoted by hirer · Company review time is typically 1 week</t>
  </si>
  <si>
    <t>https://www.linkedin.com/jobs/view/4337718627/</t>
  </si>
  <si>
    <t>AI/Machine Learning Engineer
Manage My Job
Request a Coach</t>
  </si>
  <si>
    <t>Citizen Health</t>
  </si>
  <si>
    <t>San Mateo, CA · 20 minutes ago · 4 people clicked apply
Promoted by hirer · Responses managed off LinkedIn</t>
  </si>
  <si>
    <t>https://www.linkedin.com/jobs/view/4334173239/</t>
  </si>
  <si>
    <t>Product Analyst 
Manage My Job
Request a Coach</t>
  </si>
  <si>
    <t>EVgo</t>
  </si>
  <si>
    <t>Los Angeles, CA · Reposted 15 minutes ago · Over 100 people clicked apply
Promoted by hirer · Responses managed off LinkedIn</t>
  </si>
  <si>
    <t>https://www.linkedin.com/jobs/view/4311153416/</t>
  </si>
  <si>
    <t>Full Stack developer 
Manage My Job
Request a Coach</t>
  </si>
  <si>
    <t>Vertisystem (A MOURI Tech Company)</t>
  </si>
  <si>
    <t>Downey, CA · 29 minutes ago · 6 applicants
Promoted by hirer · Company review time is typically 1 week</t>
  </si>
  <si>
    <t>https://www.linkedin.com/jobs/view/4334272664/</t>
  </si>
  <si>
    <t>Python Software Engineer
Manage My Job
Request a Coach</t>
  </si>
  <si>
    <t>ADPMN Inc</t>
  </si>
  <si>
    <t>Seattle, WA · 42 minutes ago · 7 people clicked apply
Responses managed off LinkedIn</t>
  </si>
  <si>
    <t>https://www.linkedin.com/jobs/view/4334173362/</t>
  </si>
  <si>
    <t>Reducto</t>
  </si>
  <si>
    <t>San Francisco, CA · 27 minutes ago · 19 people clicked apply
Promoted by hirer · Responses managed off LinkedIn</t>
  </si>
  <si>
    <t>https://www.linkedin.com/jobs/view/4334352218/</t>
  </si>
  <si>
    <t>Data Analyst - Strategy &amp; Insights Operations 
Manage My Job
Request a Coach</t>
  </si>
  <si>
    <t>Realty Income Corporation</t>
  </si>
  <si>
    <t>Del Mar, CA · Reposted 1 hour ago · Over 100 people clicked apply
Promoted by hirer · Responses managed off LinkedIn</t>
  </si>
  <si>
    <t>https://www.linkedin.com/jobs/view/4331308619/</t>
  </si>
  <si>
    <t>Technical Data Analyst 
Manage My Job
Request a Coach</t>
  </si>
  <si>
    <t>GreenPath Financial Wellness</t>
  </si>
  <si>
    <t>Farmington Hills, MI · 1 hour ago · 13 people clicked apply
Promoted by hirer · Responses managed off LinkedIn</t>
  </si>
  <si>
    <t>https://www.linkedin.com/jobs/view/4334322099/</t>
  </si>
  <si>
    <t>Senior Data Analyst 
Manage My Job
Request a Coach</t>
  </si>
  <si>
    <t>IDEXX</t>
  </si>
  <si>
    <t>Portland, ME · 57 minutes ago · 10 people clicked apply
Promoted by hirer · Responses managed off LinkedIn</t>
  </si>
  <si>
    <t>https://www.linkedin.com/jobs/view/4334302426/</t>
  </si>
  <si>
    <t>Sr Data Engineer 
Manage My Job
Request a Coach</t>
  </si>
  <si>
    <t>Aquent</t>
  </si>
  <si>
    <t>Salem, OR · Reposted 1 hour ago · 4 people clicked apply
Promoted by hirer · Responses managed off LinkedIn</t>
  </si>
  <si>
    <t>https://www.linkedin.com/jobs/view/4334272463/</t>
  </si>
  <si>
    <t>Data Engineer 
Manage My Job
Request a Coach</t>
  </si>
  <si>
    <t>Vivanti Consulting</t>
  </si>
  <si>
    <t>New York, United States · 1 hour ago · 24 people clicked apply
Promoted by hirer · Responses managed off LinkedIn</t>
  </si>
  <si>
    <t>https://www.linkedin.com/jobs/view/4320830587/</t>
  </si>
  <si>
    <t>Senior Software Engineer</t>
  </si>
  <si>
    <t>TBD</t>
  </si>
  <si>
    <t>New York, NY · 9 minutes ago · 1 applicant
Promoted by hirer · No response insights available yet</t>
  </si>
  <si>
    <t>https://www.linkedin.com/jobs/view/4337874133/</t>
  </si>
  <si>
    <t>Software Development Engineer 
Manage My Job
Request a Coach</t>
  </si>
  <si>
    <t>Adobe</t>
  </si>
  <si>
    <t>San Jose, CA · 1 hour ago · 35 people clicked apply
Promoted by hirer · Responses managed off LinkedIn</t>
  </si>
  <si>
    <t>https://www.linkedin.com/jobs/view/4337954703/</t>
  </si>
  <si>
    <t>San Jose, CA · 1 hour ago · 36 people clicked apply
Promoted by hirer · Responses managed off LinkedIn</t>
  </si>
  <si>
    <t>https://www.linkedin.com/jobs/view/4337875028/</t>
  </si>
  <si>
    <t>ML Engineer 
Manage My Job
Request a Coach</t>
  </si>
  <si>
    <t>Tata Consultancy Services</t>
  </si>
  <si>
    <t>Cupertino, CA · 1 hour ago · 14 people clicked apply
Promoted by hirer · Responses managed off LinkedIn</t>
  </si>
  <si>
    <t>https://www.linkedin.com/jobs/view/4337885105/</t>
  </si>
  <si>
    <t>Jr. Java Engineer (remote)</t>
  </si>
  <si>
    <t>Claritev</t>
  </si>
  <si>
    <t>Naperville, IL</t>
  </si>
  <si>
    <t>https://www.linkedin.com/jobs/view/4337965058/</t>
  </si>
  <si>
    <t>Jr. Java Engineer (remote) 
Manage My Job
Request a Coach</t>
  </si>
  <si>
    <t>Bedford, MA · 1 hour ago · 28 people clicked apply
Promoted by hirer · Responses managed off LinkedIn</t>
  </si>
  <si>
    <t>https://www.linkedin.com/jobs/view/4337885244/</t>
  </si>
  <si>
    <t>Entry Level Frontend Developer
Manage My Job
Request a Coach</t>
  </si>
  <si>
    <t>Revature</t>
  </si>
  <si>
    <t>New Jersey, United States · 55 minutes ago · 7 people clicked apply
Promoted by hirer · Responses managed off LinkedIn</t>
  </si>
  <si>
    <t>https://www.linkedin.com/jobs/view/4337935174/</t>
  </si>
  <si>
    <t>Entry Level .NET Developer
Manage My Job
Request a Coach</t>
  </si>
  <si>
    <t>Plano, TX · 1 hour ago · 3 people clicked apply
Promoted by hirer · Responses managed off LinkedIn</t>
  </si>
  <si>
    <t>https://www.linkedin.com/jobs/view/4337925163/</t>
  </si>
  <si>
    <t>Entry level Data Engineers
Manage My Job
Request a Coach</t>
  </si>
  <si>
    <t>Dallas, TX · 58 minutes ago · 9 people clicked apply
Promoted by hirer · Responses managed off LinkedIn</t>
  </si>
  <si>
    <t>https://www.linkedin.com/jobs/view/4337955185/</t>
  </si>
  <si>
    <t>Front End Developer 
Manage My Job
Request a Coach</t>
  </si>
  <si>
    <t>Wright Manufacturing Inc</t>
  </si>
  <si>
    <t>Frederick, MD · 9 minutes ago · 2 applicants
Promoted by hirer · No response insights available yet</t>
  </si>
  <si>
    <t>https://www.linkedin.com/jobs/view/4337866056/</t>
  </si>
  <si>
    <t>Mountain View, CA · 10 minutes ago · 98 people clicked apply
Promoted by hirer · Responses managed off LinkedIn</t>
  </si>
  <si>
    <t>https://www.linkedin.com/jobs/view/4334568052/</t>
  </si>
  <si>
    <t>Database Programmer – NCCT CTMC Informatics</t>
  </si>
  <si>
    <t>Atrium Health</t>
  </si>
  <si>
    <t>North Carolina</t>
  </si>
  <si>
    <t>https://aah.wd5.myworkdayjobs.com/en-US/External/job/Database-Programmer---NCCT-CTMC-Informatics_R190441</t>
  </si>
  <si>
    <t>Software Engineer, Backend 
Manage My Job
Request a Coach</t>
  </si>
  <si>
    <t>Rivian</t>
  </si>
  <si>
    <t>Palo Alto, CA · 42 minutes ago · 39 people clicked apply
Promoted by hirer · Responses managed off LinkedIn</t>
  </si>
  <si>
    <t>https://www.linkedin.com/jobs/view/4334713570/</t>
  </si>
  <si>
    <t>AI Engineer (Mid-Senior Level)
Manage My Job
Request a Coach</t>
  </si>
  <si>
    <t>Banyan Infrastructure</t>
  </si>
  <si>
    <t>San Francisco, CA · 21 minutes ago · 2 people clicked apply
Responses managed off LinkedIn</t>
  </si>
  <si>
    <t>https://www.linkedin.com/jobs/view/4337992338/</t>
  </si>
  <si>
    <t>Electrical Estimator</t>
  </si>
  <si>
    <t>Hatzel &amp; Buehler, Inc</t>
  </si>
  <si>
    <t>Hauppauge, NY</t>
  </si>
  <si>
    <t>https://www.linkedin.com/jobs/view/4333908596/</t>
  </si>
  <si>
    <t>Software Engineer
Manage My Job
Request a Coach</t>
  </si>
  <si>
    <t>Benchmark</t>
  </si>
  <si>
    <t>New York, NY · 1 month ago · Over 100 applicants
Promoted by hirer · Actively reviewing applicants</t>
  </si>
  <si>
    <t>https://www.linkedin.com/jobs/view/4310415694/</t>
  </si>
  <si>
    <t>11/13/2025, 12:00:00 AM</t>
  </si>
  <si>
    <t>Miller Cooper</t>
  </si>
  <si>
    <t>Remote</t>
  </si>
  <si>
    <t>https://millercooper.atsondemand.com/#/jobDescription/904556</t>
  </si>
  <si>
    <t>Data Scientist - New Grad (2026 Start) 
Manage My Job
Request a Coach</t>
  </si>
  <si>
    <t>Databricks</t>
  </si>
  <si>
    <t>Mountain View, CA · Reposted 7 hours ago · Over 100 people clicked apply
Promoted by hirer · Responses managed off LinkedIn</t>
  </si>
  <si>
    <t>https://www.linkedin.com/jobs/view/4297746037/</t>
  </si>
  <si>
    <t>Quality Engineer 
Manage My Job
Request a Coach</t>
  </si>
  <si>
    <t>Oerlikon</t>
  </si>
  <si>
    <t>Westbury, NY · Reposted 7 hours ago · 46 people clicked apply
Promoted by hirer · Responses managed off LinkedIn</t>
  </si>
  <si>
    <t>https://www.linkedin.com/jobs/view/4306806143/</t>
  </si>
  <si>
    <t>Software Engineer 
Manage My Job
Request a Coach</t>
  </si>
  <si>
    <t>Akamai Technologies</t>
  </si>
  <si>
    <t>United States · 1 minute ago · 0 people clicked apply
Promoted by hirer · Responses managed off LinkedIn</t>
  </si>
  <si>
    <t>https://www.linkedin.com/jobs/view/4336231580/</t>
  </si>
  <si>
    <t>Software Engineer Backend/Platform Systems I (Full Time) – United States 
Manage My Job
Request a Coach</t>
  </si>
  <si>
    <t>Cisco</t>
  </si>
  <si>
    <t>Fulton, MD · 19 minutes ago · 6 people clicked apply
Promoted by hirer · Responses managed off LinkedIn</t>
  </si>
  <si>
    <t>https://www.linkedin.com/jobs/view/4336294749/</t>
  </si>
  <si>
    <t>Machine Learning Engineer, Strategy &amp; Supply Optimization</t>
  </si>
  <si>
    <t>DoorDash</t>
  </si>
  <si>
    <t>San Francisco, CA · 46 minutes ago · 0 people clicked apply
Promoted by hirer · Responses managed off LinkedIn</t>
  </si>
  <si>
    <t>https://www.linkedin.com/jobs/view/4340833443/</t>
  </si>
  <si>
    <t>Lowe's Companies, Inc.</t>
  </si>
  <si>
    <t>Charlotte, NC · 47 minutes ago · 5 people clicked apply
Responses managed off LinkedIn</t>
  </si>
  <si>
    <t>https://www.linkedin.com/jobs/view/4322675546/</t>
  </si>
  <si>
    <t>(USA) Senior, Data Engineer 
Manage My Job
Request a Coach</t>
  </si>
  <si>
    <t>Sunnyvale, CA · 20 minutes ago · 4 people clicked apply
Promoted by hirer · Responses managed off LinkedIn</t>
  </si>
  <si>
    <t>https://www.linkedin.com/jobs/view/4340554040/</t>
  </si>
  <si>
    <t>Austin, TX · Reposted 1 hour ago · 3 people clicked apply
Promoted by hirer · Responses managed off LinkedIn</t>
  </si>
  <si>
    <t>https://www.linkedin.com/jobs/view/4336284362/</t>
  </si>
  <si>
    <t>Data Engineer
Manage My Job
Request a Coach</t>
  </si>
  <si>
    <t>Tupl Inc.</t>
  </si>
  <si>
    <t>Dallas, TX · 1 day ago · Over 100 people clicked apply
Promoted by hirer · Responses managed off LinkedIn</t>
  </si>
  <si>
    <t>https://www.linkedin.com/jobs/view/4335949863/</t>
  </si>
  <si>
    <t>Backend Engineer
Manage My Job
Request a Coach</t>
  </si>
  <si>
    <t>Bevel</t>
  </si>
  <si>
    <t>New York, NY · 1 week ago · Over 100 people clicked apply
Responses managed off LinkedIn</t>
  </si>
  <si>
    <t>https://www.linkedin.com/jobs/view/4334860779/</t>
  </si>
  <si>
    <t>Software Engineer (Networking)
Manage My Job
Request a Coach</t>
  </si>
  <si>
    <t>ORDR</t>
  </si>
  <si>
    <t>Santa Clara, CA · 9 hours ago · 86 applicants
Promoted by hirer · No response insights available yet</t>
  </si>
  <si>
    <t>https://www.linkedin.com/jobs/view/4322941297/</t>
  </si>
  <si>
    <t>New Grad</t>
  </si>
  <si>
    <t>Optiver</t>
  </si>
  <si>
    <t>Chicago</t>
  </si>
  <si>
    <t>https://optiver.com/working-at-optiver/career-opportunities/7986419002/?gh_jid=7986419002&amp;gh_src=hk2so9u22us</t>
  </si>
  <si>
    <t>Product Engineer</t>
  </si>
  <si>
    <t>Fusion Life Sciences Technologies LLC</t>
  </si>
  <si>
    <t>Illinois, United States · 10 minutes ago · 1 applicant
Promoted by hirer · Company review time is typically 1 week</t>
  </si>
  <si>
    <t>https://www.linkedin.com/jobs/view/4336780888/</t>
  </si>
  <si>
    <t>Fremont, CA · 22 minutes ago · 33 applicants
Promoted by hirer · No response insights available yet</t>
  </si>
  <si>
    <t>https://www.linkedin.com/jobs/view/4340943315/</t>
  </si>
  <si>
    <t>Senior Engineer/Architect - Software Engineering</t>
  </si>
  <si>
    <t>Slalom</t>
  </si>
  <si>
    <t>Massachusetts, United States</t>
  </si>
  <si>
    <t>https://www.linkedin.com/jobs/view/4317102285/</t>
  </si>
  <si>
    <t>Epic</t>
  </si>
  <si>
    <t>State College, PA · Reposted 21 minutes ago · 94 people clicked apply
Promoted by hirer · Responses managed off LinkedIn</t>
  </si>
  <si>
    <t>https://www.linkedin.com/jobs/view/3986116449/</t>
  </si>
  <si>
    <t>Mastech Digital</t>
  </si>
  <si>
    <t>Jersey City, NJ · 33 minutes ago · 57 applicants
Promoted by hirer · No response insights available yet</t>
  </si>
  <si>
    <t>https://www.linkedin.com/jobs/view/4341123256/</t>
  </si>
  <si>
    <t>Solutions Architect 
Manage My Job
Request a Coach</t>
  </si>
  <si>
    <t>ACL Digital</t>
  </si>
  <si>
    <t>Atlanta, GA · Reposted 36 minutes ago · 61 applicants
Promoted by hirer · Actively reviewing applicants</t>
  </si>
  <si>
    <t>https://www.linkedin.com/jobs/view/4320743044/</t>
  </si>
  <si>
    <t>Software Engineer, Frontend - Canada POD 
Manage My Job
Request a Coach</t>
  </si>
  <si>
    <t>Coinbase</t>
  </si>
  <si>
    <t>Canada · Reposted 6 hours ago · Over 100 applicants
Promoted by hirer · Actively reviewing applicants</t>
  </si>
  <si>
    <t>https://www.linkedin.com/jobs/view/4310860245/</t>
  </si>
  <si>
    <t>Software Engineer, Backend - Financial Hub 
Manage My Job
Request a Coach</t>
  </si>
  <si>
    <t>United States · 55 minutes ago · Over 100 people clicked apply
Promoted by hirer · Responses managed off LinkedIn</t>
  </si>
  <si>
    <t>https://www.linkedin.com/jobs/view/4336602991/</t>
  </si>
  <si>
    <t>Conversational AI Engineer 
Manage My Job
Request a Coach</t>
  </si>
  <si>
    <t>Automated Health Systems</t>
  </si>
  <si>
    <t>Pittsburgh, PA · 25 minutes ago · 28 applicants
Promoted by hirer · No response insights available yet</t>
  </si>
  <si>
    <t>https://www.linkedin.com/jobs/view/4336713425/</t>
  </si>
  <si>
    <t>Quartz/Python Trading Developer 
Manage My Job
Request a Coach</t>
  </si>
  <si>
    <t>Matlen Silver</t>
  </si>
  <si>
    <t>Jersey City, NJ · 4 minutes ago · 0 applicants
Promoted by hirer · No response insights available yet</t>
  </si>
  <si>
    <t>https://www.linkedin.com/jobs/view/4341324918/</t>
  </si>
  <si>
    <t>AI Compute System Engineer 
Manage My Job
Request a Coach</t>
  </si>
  <si>
    <t>Analog Devices</t>
  </si>
  <si>
    <t>Boston, MA · 40 minutes ago · 3 people clicked apply
Promoted by hirer · Responses managed off LinkedIn</t>
  </si>
  <si>
    <t>https://www.linkedin.com/jobs/view/4341364391/</t>
  </si>
  <si>
    <t>Doppel</t>
  </si>
  <si>
    <t>New York, United States · 1 hour ago · Over 100 applicants
Promoted by hirer · No response insights available yet</t>
  </si>
  <si>
    <t>https://www.linkedin.com/jobs/view/4336673196/</t>
  </si>
  <si>
    <t>Applied AI Engineer</t>
  </si>
  <si>
    <t>San Francisco’s Emerging Technologies</t>
  </si>
  <si>
    <t>San Francisco</t>
  </si>
  <si>
    <t>https://lnkd.in/gk6VDneS</t>
  </si>
  <si>
    <t>Data Scientist, United States - BCG X 
Manage My Job
Request a Coach</t>
  </si>
  <si>
    <t>Boston Consulting Group (BCG)</t>
  </si>
  <si>
    <t>Boston, MA · 1 hour ago · 41 people clicked apply
Promoted by hirer · Responses managed off LinkedIn</t>
  </si>
  <si>
    <t>https://www.linkedin.com/jobs/view/4323131657/</t>
  </si>
  <si>
    <t>Machine Learning Engineer - Rider Pricing
Manage My Job
Request a Coach</t>
  </si>
  <si>
    <t>Uber</t>
  </si>
  <si>
    <t>San Francisco, CA · 2 hours ago · 47 people clicked apply
Responses managed off LinkedIn</t>
  </si>
  <si>
    <t>https://www.linkedin.com/jobs/view/4341185605/</t>
  </si>
  <si>
    <t>Developer - AI Assisted 
Manage My Job
Request a Coach</t>
  </si>
  <si>
    <t>Frontier Airlines</t>
  </si>
  <si>
    <t>Denver, CO · 3 hours ago · 71 people clicked apply
Responses managed off LinkedIn</t>
  </si>
  <si>
    <t>https://www.linkedin.com/jobs/view/4336645524/</t>
  </si>
  <si>
    <t>Software Engineer Data/AI/Intelligent Systems I (Full Time) – United States</t>
  </si>
  <si>
    <t>Boston, MA</t>
  </si>
  <si>
    <t>https://www.linkedin.com/jobs/view/4336575505/</t>
  </si>
  <si>
    <t>Data Engineer</t>
  </si>
  <si>
    <t>Protingent</t>
  </si>
  <si>
    <t>Santa Clara, CA · Reposted 5 hours ago · 67 applicants
Promoted by hirer · No response insights available yet</t>
  </si>
  <si>
    <t>https://www.linkedin.com/jobs/view/4323130696/</t>
  </si>
  <si>
    <t>Analyst, Fidelity Consulting 
Manage My Job
Request a Coach</t>
  </si>
  <si>
    <t>Fidelity Investments</t>
  </si>
  <si>
    <t>Boston, MA · 5 hours ago · 93 people clicked apply
Promoted by hirer · Responses managed off LinkedIn</t>
  </si>
  <si>
    <t>https://www.linkedin.com/jobs/view/4336744137/</t>
  </si>
  <si>
    <t>Data Analyst 
Manage My Job
Request a Coach</t>
  </si>
  <si>
    <t>Parsons Corporation</t>
  </si>
  <si>
    <t>Meyer Camp, HI · 3 hours ago · 36 people clicked apply
Promoted by hirer · Responses managed off LinkedIn</t>
  </si>
  <si>
    <t>https://www.linkedin.com/jobs/view/4336605759/</t>
  </si>
  <si>
    <t>AI Engineer 
Manage My Job
Request a Coach</t>
  </si>
  <si>
    <t>You.com</t>
  </si>
  <si>
    <t>San Francisco, CA · Reposted 2 hours ago · Over 100 people clicked apply
Promoted by hirer · Responses managed off LinkedIn</t>
  </si>
  <si>
    <t>https://www.linkedin.com/jobs/view/4281683678/</t>
  </si>
  <si>
    <t>Associate Software Engineer</t>
  </si>
  <si>
    <t>OpenText</t>
  </si>
  <si>
    <t>Lexington, KY · Reposted 4 hours ago · Over 100 people clicked apply
Promoted by hirer · Responses managed off LinkedIn</t>
  </si>
  <si>
    <t>https://www.linkedin.com/jobs/view/4286726808/</t>
  </si>
  <si>
    <t>OneMagnify</t>
  </si>
  <si>
    <t>Detroit, MI · Reposted 2 hours ago · Over 100 people clicked apply
Promoted by hirer · Responses managed off LinkedIn</t>
  </si>
  <si>
    <t>https://www.linkedin.com/jobs/view/4299273021/</t>
  </si>
  <si>
    <t>Data Scientist - Machine Learning &amp; Deep Learning 
Manage My Job
Request a Coach</t>
  </si>
  <si>
    <t>CVS Health</t>
  </si>
  <si>
    <t>New York, NY · 1 hour ago · 87 people clicked apply
Responses managed off LinkedIn</t>
  </si>
  <si>
    <t>https://www.linkedin.com/jobs/view/4336945888/</t>
  </si>
  <si>
    <t>UAV Planning Algorithm Engineer
Manage My Job
Request a Coach</t>
  </si>
  <si>
    <t>EAVision Corporation</t>
  </si>
  <si>
    <t>Pleasanton, CA · 3 hours ago · 7 applicants
Promoted by hirer · No response insights available yet</t>
  </si>
  <si>
    <t>https://www.linkedin.com/jobs/view/4323272964/</t>
  </si>
  <si>
    <t>Data Analyst I - Hybrid (57248) 
Manage My Job
Request a Coach</t>
  </si>
  <si>
    <t>AAA Northeast</t>
  </si>
  <si>
    <t>Providence, RI · 3 hours ago · Over 100 people clicked apply
Promoted by hirer · Responses managed off LinkedIn</t>
  </si>
  <si>
    <t>https://www.linkedin.com/jobs/view/4341690026/</t>
  </si>
  <si>
    <t>Abbott</t>
  </si>
  <si>
    <t>San Diego, CA · 2 hours ago · Over 100 people clicked apply
Promoted by hirer · Responses managed off LinkedIn</t>
  </si>
  <si>
    <t>https://www.linkedin.com/jobs/view/4336846348/</t>
  </si>
  <si>
    <t>Product Artificial Intelligence – Engineer</t>
  </si>
  <si>
    <t>Oshkosh Corporation</t>
  </si>
  <si>
    <t>Pittsburgh, PA · Reposted 1 hour ago · Over 100 people clicked apply
Responses managed off LinkedIn</t>
  </si>
  <si>
    <t>https://www.linkedin.com/jobs/view/4315767474/</t>
  </si>
  <si>
    <t>Software Engineer, Frontend, AI Tooling 
Manage My Job
Request a Coach</t>
  </si>
  <si>
    <t>Tesla</t>
  </si>
  <si>
    <t>Palo Alto, CA · 2 hours ago · 80 people clicked apply
Responses managed off LinkedIn</t>
  </si>
  <si>
    <t>https://www.linkedin.com/jobs/view/4336886142/</t>
  </si>
  <si>
    <t>Software Engineer I - Innovation 
Manage My Job
Request a Coach</t>
  </si>
  <si>
    <t>Nike</t>
  </si>
  <si>
    <t>Beaverton, OR · 3 hours ago · Over 100 people clicked apply
Promoted by hirer · Responses managed off LinkedIn</t>
  </si>
  <si>
    <t>https://www.linkedin.com/jobs/view/4336596754/</t>
  </si>
  <si>
    <t>Data Analyst - IC 2</t>
  </si>
  <si>
    <t>Bed Bath &amp; Beyond, Inc.</t>
  </si>
  <si>
    <t>Utah, United States</t>
  </si>
  <si>
    <t>https://www.linkedin.com/jobs/view/4323363482/</t>
  </si>
  <si>
    <t>Decision Scientist - Tableau Visualization Engineer 
Manage My Job
Request a Coach</t>
  </si>
  <si>
    <t>Fractal</t>
  </si>
  <si>
    <t>New York, United States · 4 hours ago · 33 people clicked apply
Promoted by hirer · Responses managed off LinkedIn</t>
  </si>
  <si>
    <t>https://www.linkedin.com/jobs/view/4323442788/</t>
  </si>
  <si>
    <t>Associate Software Test Engineer 
Manage My Job
Request a Coach</t>
  </si>
  <si>
    <t>Insulet Corporation</t>
  </si>
  <si>
    <t>Acton, MA · 2 hours ago · 36 people clicked apply
Promoted by hirer · Responses managed off LinkedIn</t>
  </si>
  <si>
    <t>https://www.linkedin.com/jobs/view/4323383144/</t>
  </si>
  <si>
    <t>Data Engineer II 
Manage My Job
Request a Coach</t>
  </si>
  <si>
    <t>SimpliSafe</t>
  </si>
  <si>
    <t>Boston, MA · 4 hours ago · Over 100 people clicked apply
Promoted by hirer · Responses managed off LinkedIn</t>
  </si>
  <si>
    <t>https://www.linkedin.com/jobs/view/4323458468/</t>
  </si>
  <si>
    <t>Data Scientist II- Machine Learning (Ultrasonic/NDT)
Quick Apply</t>
  </si>
  <si>
    <t>Predictant</t>
  </si>
  <si>
    <t>Raleigh, NC · 12 minutes ago · 14 applicants
Promoted by hirer · Company review time is typically 1 week</t>
  </si>
  <si>
    <t>https://www.linkedin.com/jobs/view/4337098265/</t>
  </si>
  <si>
    <t>AI Engineer 
Quick Apply</t>
  </si>
  <si>
    <t>CGI</t>
  </si>
  <si>
    <t>United States · Reposted 12 minutes ago · Over 100 people clicked apply
Promoted by hirer · Responses managed off LinkedIn</t>
  </si>
  <si>
    <t>https://www.linkedin.com/jobs/view/4301592927/</t>
  </si>
  <si>
    <t>Research Analyst 
Quick Apply</t>
  </si>
  <si>
    <t>Savills North America</t>
  </si>
  <si>
    <t>Minneapolis, MN · 45 minutes ago · 45 applicants
Promoted by hirer · No response insights available yet</t>
  </si>
  <si>
    <t>https://www.linkedin.com/jobs/view/4337197786/</t>
  </si>
  <si>
    <t>Business Analyst 
Quick Apply</t>
  </si>
  <si>
    <t>CHAMP</t>
  </si>
  <si>
    <t>Cleveland, OH · Reposted 12 minutes ago · Over 100 applicants
Promoted by hirer · Actively reviewing applicants</t>
  </si>
  <si>
    <t>https://www.linkedin.com/jobs/view/4323903448/</t>
  </si>
  <si>
    <t>Systems Engineer 
Quick Apply</t>
  </si>
  <si>
    <t>Rogers Corporation</t>
  </si>
  <si>
    <t>Woodstock, CT · Reposted 7 minutes ago · 38 people clicked apply
Promoted by hirer · Responses managed off LinkedIn</t>
  </si>
  <si>
    <t>https://www.linkedin.com/jobs/view/4332952161/</t>
  </si>
  <si>
    <t>Junior Data Engineer (L2S, H4 EAD, EAD GC, GC and US Citizens)- Career Break Acceptable
Quick Apply</t>
  </si>
  <si>
    <t>Precision Technologies</t>
  </si>
  <si>
    <t>United States · 53 minutes ago · 32 applicants
Promoted by hirer · Company review time is typically 1 week</t>
  </si>
  <si>
    <t>https://www.linkedin.com/jobs/view/4323613210/</t>
  </si>
  <si>
    <t>Engineer, Java - Supply Chain Technology (Remote) 
Quick Apply</t>
  </si>
  <si>
    <t>Abercrombie &amp; Fitch Co.</t>
  </si>
  <si>
    <t>Columbus, OH · Reposted 53 minutes ago · Over 100 people clicked apply
Promoted by hirer · Responses managed off LinkedIn</t>
  </si>
  <si>
    <t>https://www.linkedin.com/jobs/view/4301571627/</t>
  </si>
  <si>
    <t>Jr. Software Engineer 
Quick Apply</t>
  </si>
  <si>
    <t>NTT DATA, Inc.</t>
  </si>
  <si>
    <t>Texas, United States · 20 minutes ago · 40 people clicked apply
Promoted by hirer · Responses managed off LinkedIn</t>
  </si>
  <si>
    <t>https://www.linkedin.com/jobs/view/4341927377/</t>
  </si>
  <si>
    <t>Graduate Physical Implementation Applications Engineer 
Quick Apply</t>
  </si>
  <si>
    <t>Arm</t>
  </si>
  <si>
    <t>Austin, TX · 1 hour ago · 10 people clicked apply
Promoted by hirer · Responses managed off LinkedIn</t>
  </si>
  <si>
    <t>https://www.linkedin.com/jobs/view/4323587069/</t>
  </si>
  <si>
    <t>Entry Level Engineer 
Quick Apply</t>
  </si>
  <si>
    <t>Actalent</t>
  </si>
  <si>
    <t>Houston, TX · Reposted 6 minutes ago · 0 people clicked apply
Promoted by hirer · Responses managed off LinkedIn</t>
  </si>
  <si>
    <t>https://www.linkedin.com/jobs/view/4338332791/</t>
  </si>
  <si>
    <t>Data Reporting Analyst 
Quick Apply</t>
  </si>
  <si>
    <t>Robert Half</t>
  </si>
  <si>
    <t>Hartford, CT · Reposted 26 minutes ago · Over 100 applicants
Promoted by hirer · Actively reviewing applicants</t>
  </si>
  <si>
    <t>https://www.linkedin.com/jobs/view/4316592772/</t>
  </si>
  <si>
    <t>Data Engineer
Quick Apply</t>
  </si>
  <si>
    <t>Chicago White Sox</t>
  </si>
  <si>
    <t>Chicago, IL · 36 minutes ago · 12 people clicked apply
Responses managed off LinkedIn</t>
  </si>
  <si>
    <t>https://www.linkedin.com/jobs/view/4323627210/</t>
  </si>
  <si>
    <t>Business Operations Field Analyst 
Quick Apply</t>
  </si>
  <si>
    <t>Intermountain Health</t>
  </si>
  <si>
    <t>Billings, MT · 15 minutes ago · 1 person clicked apply
Promoted by hirer · Responses managed off LinkedIn</t>
  </si>
  <si>
    <t>https://www.linkedin.com/jobs/view/4341967408/</t>
  </si>
  <si>
    <t>Data Entry Specialist 
Quick Apply</t>
  </si>
  <si>
    <t>Aston Carter</t>
  </si>
  <si>
    <t>Dover, PA · Reposted 27 minutes ago · 0 people clicked apply
Promoted by hirer · Responses managed off LinkedIn</t>
  </si>
  <si>
    <t>https://www.linkedin.com/jobs/view/4338283179/</t>
  </si>
  <si>
    <t>Biologist- Controlled Environment 
Quick Apply</t>
  </si>
  <si>
    <t>St Louis, MO · Reposted 28 minutes ago · 0 people clicked apply
Promoted by hirer · Responses managed off LinkedIn</t>
  </si>
  <si>
    <t>https://www.linkedin.com/jobs/view/4338392771/</t>
  </si>
  <si>
    <t>Software Engineer 
Quick Apply</t>
  </si>
  <si>
    <t>San Jose, CA · 16 minutes ago · 6 people clicked apply
Promoted by hirer · Responses managed off LinkedIn</t>
  </si>
  <si>
    <t>https://www.linkedin.com/jobs/view/4338362950/</t>
  </si>
  <si>
    <t>Data Scientist 
Quick Apply</t>
  </si>
  <si>
    <t>Harrisburg, PA · 4 hours ago · 95 people clicked apply
Responses managed off LinkedIn</t>
  </si>
  <si>
    <t>https://www.linkedin.com/jobs/view/4338362301/</t>
  </si>
  <si>
    <t>Data Engineer 
Quick Apply</t>
  </si>
  <si>
    <t>JANUS Research Group</t>
  </si>
  <si>
    <t>United States · 6 hours ago · 38 people clicked apply
Promoted by hirer · Responses managed off LinkedIn</t>
  </si>
  <si>
    <t>https://www.linkedin.com/jobs/view/4323606053/</t>
  </si>
  <si>
    <t>Belcan</t>
  </si>
  <si>
    <t>Hillsboro, OR · 5 hours ago · 14 people clicked apply
Responses managed off LinkedIn</t>
  </si>
  <si>
    <t>https://www.linkedin.com/jobs/view/4338381932/</t>
  </si>
  <si>
    <t>Randstad Digital Americas</t>
  </si>
  <si>
    <t>Charlotte, NC · 11 hours ago · 68 people clicked apply
Promoted by hirer · Responses managed off LinkedIn</t>
  </si>
  <si>
    <t>https://www.linkedin.com/jobs/view/4323554397/</t>
  </si>
  <si>
    <t>Allstate</t>
  </si>
  <si>
    <t>United States · 9 hours ago · Over 100 people clicked apply
Promoted by hirer · Responses managed off LinkedIn</t>
  </si>
  <si>
    <t>https://www.linkedin.com/jobs/view/4323485088/</t>
  </si>
  <si>
    <t>Systems Software Engineer 
Quick Apply</t>
  </si>
  <si>
    <t>Hewlett Packard Enterprise</t>
  </si>
  <si>
    <t>Roseville, CA · 10 hours ago · 50 people clicked apply
Promoted by hirer · Responses managed off LinkedIn</t>
  </si>
  <si>
    <t>https://www.linkedin.com/jobs/view/4338410213/</t>
  </si>
  <si>
    <t>Software Engineer 1 
Quick Apply</t>
  </si>
  <si>
    <t>New York, NY · 4 hours ago · Over 100 people clicked apply
Promoted by hirer · Responses managed off LinkedIn</t>
  </si>
  <si>
    <t>https://www.linkedin.com/jobs/view/4338442217/</t>
  </si>
  <si>
    <t>Rokt</t>
  </si>
  <si>
    <t>San Francisco, CA · 13 hours ago · Over 100 applicants
Promoted by hirer · No response insights available yet</t>
  </si>
  <si>
    <t>https://www.linkedin.com/jobs/view/4337069474/</t>
  </si>
  <si>
    <t>Virtusa</t>
  </si>
  <si>
    <t>New York, NY · 12 hours ago · Over 100 people clicked apply
Promoted by hirer · Responses managed off LinkedIn</t>
  </si>
  <si>
    <t>https://www.linkedin.com/jobs/view/4341974796/</t>
  </si>
  <si>
    <t>Matrix Design Group, Inc.</t>
  </si>
  <si>
    <t>Denver, CO · 6 hours ago · 41 people clicked apply
Promoted by hirer · Responses managed off LinkedIn</t>
  </si>
  <si>
    <t>https://www.linkedin.com/jobs/view/4338401458/</t>
  </si>
  <si>
    <t>Data and Analytics Manager 
Quick Apply</t>
  </si>
  <si>
    <t>KellyMitchell Group</t>
  </si>
  <si>
    <t>Lake Mary, FL · Reposted 2 hours ago · 5 applicants
Promoted by hirer · No response insights available yet</t>
  </si>
  <si>
    <t>https://www.linkedin.com/jobs/view/4319854030/</t>
  </si>
  <si>
    <t>Health Data Scientist
Quick Apply</t>
  </si>
  <si>
    <t>Voloridge Health</t>
  </si>
  <si>
    <t>Jupiter, FL · Reposted 36 minutes ago · Over 100 people clicked apply
Promoted by hirer · Responses managed off LinkedIn</t>
  </si>
  <si>
    <t>https://www.linkedin.com/jobs/view/4196591921/</t>
  </si>
  <si>
    <t>Software Engineer II</t>
  </si>
  <si>
    <t>Mastercard</t>
  </si>
  <si>
    <t>O'Fallon, MO</t>
  </si>
  <si>
    <t>https://www.linkedin.com/jobs/view/4337381674/</t>
  </si>
  <si>
    <t>AI Developer 
Quick Apply</t>
  </si>
  <si>
    <t>The Planet Group</t>
  </si>
  <si>
    <t>Malvern, PA · Reposted 34 minutes ago · 53 applicants
Promoted by hirer · No response insights available yet</t>
  </si>
  <si>
    <t>https://www.linkedin.com/jobs/view/4338883286/</t>
  </si>
  <si>
    <t>AI Engineer (USA)
Quick Apply</t>
  </si>
  <si>
    <t>Trexquant Investment LP</t>
  </si>
  <si>
    <t>Stamford, CT · Reposted 1 hour ago · Over 100 applicants
Promoted by hirer · Actively reviewing applicants</t>
  </si>
  <si>
    <t>https://www.linkedin.com/jobs/view/4281489538/</t>
  </si>
  <si>
    <t>Full-Stack Developer 
Quick Apply</t>
  </si>
  <si>
    <t>NVIDIA</t>
  </si>
  <si>
    <t>Santa Clara, CA · 1 day ago · Over 100 people clicked apply
Promoted by hirer · Responses managed off LinkedIn</t>
  </si>
  <si>
    <t>https://www.linkedin.com/jobs/view/4338633677/</t>
  </si>
  <si>
    <t>Associate Technical Solutions Engineer II</t>
  </si>
  <si>
    <t>Bestow</t>
  </si>
  <si>
    <t>Remote, US</t>
  </si>
  <si>
    <t>https://jobs.ashbyhq.com/bestow/58482071-59a3-4890-99c8-812b20aacabc/application?utm_source=dMvJ1M2JzV&amp;lever-source=Indeed</t>
  </si>
  <si>
    <t>Associate Software Development Engineer</t>
  </si>
  <si>
    <t>Austin, TX · 1 hour ago · 90 people clicked apply
Responses managed off LinkedIn</t>
  </si>
  <si>
    <t>https://www.linkedin.com/jobs/view/4339864805/</t>
  </si>
  <si>
    <t>Software Developer</t>
  </si>
  <si>
    <t>USA</t>
  </si>
  <si>
    <t>https://apply.careers.microsoft.com/careers/apply/success?domain=microsoft.com&amp;pid=1970393556630658&amp;hl=en</t>
  </si>
  <si>
    <t>Backend/Infra Engineer
Quick Apply</t>
  </si>
  <si>
    <t>Altu</t>
  </si>
  <si>
    <t>San Francisco Bay Area · 53 minutes ago · 17 applicants
Promoted by hirer · No response insights available yet</t>
  </si>
  <si>
    <t>https://www.linkedin.com/jobs/view/4324672994/</t>
  </si>
  <si>
    <t>Java Tech Lead ( 3952 ) 
Quick Apply</t>
  </si>
  <si>
    <t>Sharp Decisions</t>
  </si>
  <si>
    <t>Torrance, CA · Reposted 1 hour ago · Over 100 applicants
Promoted by hirer · Actively reviewing applicants</t>
  </si>
  <si>
    <t>https://www.linkedin.com/jobs/view/4331182588/</t>
  </si>
  <si>
    <t>Senior Ruby on Rails + AI Engineer
Quick Apply</t>
  </si>
  <si>
    <t>Cactus</t>
  </si>
  <si>
    <t>San Mateo, CA · 10 minutes ago · 0 people clicked apply
Responses managed off LinkedIn</t>
  </si>
  <si>
    <t>https://www.linkedin.com/jobs/view/4325044417/</t>
  </si>
  <si>
    <t>Python Developer with MongoDB experience 
Quick Apply</t>
  </si>
  <si>
    <t>Infosys</t>
  </si>
  <si>
    <t>Denver, CO · 2 hours ago · 12 people clicked apply
Promoted by hirer · Responses managed off LinkedIn</t>
  </si>
  <si>
    <t>https://www.linkedin.com/jobs/view/4348100237/</t>
  </si>
  <si>
    <t>Python Developer 
Quick Apply</t>
  </si>
  <si>
    <t>Persistent Systems</t>
  </si>
  <si>
    <t>United States · 2 hours ago · 96 applicants
Promoted by hirer · No response insights available yet</t>
  </si>
  <si>
    <t>https://www.linkedin.com/jobs/view/4348029232/</t>
  </si>
  <si>
    <t>Backend Software Engineer
Quick Apply</t>
  </si>
  <si>
    <t>Corsha</t>
  </si>
  <si>
    <t>Tysons Corner, VA · 2 hours ago · 39 applicants
Promoted by hirer · No response insights available yet</t>
  </si>
  <si>
    <t>https://www.linkedin.com/jobs/view/4339489650/</t>
  </si>
  <si>
    <t>Lead/ Sr AWS Cloud Lambda Developer 
Quick Apply</t>
  </si>
  <si>
    <t>Odyssey Information Services</t>
  </si>
  <si>
    <t>United States · Reposted 1 hour ago · Over 100 applicants
Promoted by hirer · Actively reviewing applicants</t>
  </si>
  <si>
    <t>https://www.linkedin.com/jobs/view/4324410047/</t>
  </si>
  <si>
    <t>Sr Systems Engineer 
Quick Apply</t>
  </si>
  <si>
    <t>San Francisco, CA · Reposted 3 hours ago · 38 applicants
Promoted by hirer · Actively reviewing applicants</t>
  </si>
  <si>
    <t>https://www.linkedin.com/jobs/view/4315829440/</t>
  </si>
  <si>
    <t>OT Security Engineer
Quick Apply</t>
  </si>
  <si>
    <t>Tysons Corner, VA · 2 hours ago · 14 applicants
Promoted by hirer · No response insights available yet</t>
  </si>
  <si>
    <t>https://www.linkedin.com/jobs/view/4339819841/</t>
  </si>
  <si>
    <t>Quality Assurance Lead 
Quick Apply</t>
  </si>
  <si>
    <t>eNGINE</t>
  </si>
  <si>
    <t>Greater Pittsburgh Region · Reposted 40 minutes ago · Over 100 applicants
Promoted by hirer · Actively reviewing applicants</t>
  </si>
  <si>
    <t>https://www.linkedin.com/jobs/view/4337128475/</t>
  </si>
  <si>
    <t>Application Developer - Part-time 
Quick Apply</t>
  </si>
  <si>
    <t>Visionary Integration Professionals (VIP)</t>
  </si>
  <si>
    <t>New York, United States · Reposted 43 minutes ago · 94 people clicked apply
Promoted by hirer · Responses managed off LinkedIn</t>
  </si>
  <si>
    <t>https://www.linkedin.com/jobs/view/4309780786/</t>
  </si>
  <si>
    <t>Software Engineer II, Offshore 
Quick Apply</t>
  </si>
  <si>
    <t>Bentley Systems</t>
  </si>
  <si>
    <t>United States · 28 minutes ago · 1 person clicked apply
Responses managed off LinkedIn</t>
  </si>
  <si>
    <t>https://www.linkedin.com/jobs/view/4325114232/</t>
  </si>
  <si>
    <t>Mainframe MQ Administrator 
Quick Apply</t>
  </si>
  <si>
    <t>Dallas, TX · Reposted 2 hours ago · 41 applicants
Promoted by hirer · Actively reviewing applicants</t>
  </si>
  <si>
    <t>https://www.linkedin.com/jobs/view/4347386956/</t>
  </si>
  <si>
    <t>Senior React Developer (On Site) 
Quick Apply</t>
  </si>
  <si>
    <t>Cognizant</t>
  </si>
  <si>
    <t>Washington, DC · 11 minutes ago · 1 person clicked apply
Responses managed off LinkedIn</t>
  </si>
  <si>
    <t>https://www.linkedin.com/jobs/view/4325104515/</t>
  </si>
  <si>
    <t>Mountain View, CA · 1 hour ago · 75 people clicked apply
Promoted by hirer · Responses managed off LinkedIn</t>
  </si>
  <si>
    <t>https://www.linkedin.com/jobs/view/4342348137/</t>
  </si>
  <si>
    <t>Data Entry Specialist
Quick Apply</t>
  </si>
  <si>
    <t>Amplify Cell Technologies</t>
  </si>
  <si>
    <t>Massachusetts, United States · 2 hours ago · 6 people clicked apply
Promoted by hirer · Responses managed off LinkedIn</t>
  </si>
  <si>
    <t>https://www.linkedin.com/jobs/view/4342427825/</t>
  </si>
  <si>
    <t>Kiewit Scholars - Summer 2026 Internship</t>
  </si>
  <si>
    <t>Kiewit</t>
  </si>
  <si>
    <t>Cranford, NJ · Reposted 3 days ago · Over 100 applicants
Promoted by hirer · Actively reviewing applicants</t>
  </si>
  <si>
    <t>https://www.linkedin.com/jobs/view/4307068536/</t>
  </si>
  <si>
    <t>Project Engineer - Infrastructure 
Quick Apply</t>
  </si>
  <si>
    <t>Lone Tree, CO · Reposted 1 day ago · 58 applicants
Promoted by hirer · Actively reviewing applicants</t>
  </si>
  <si>
    <t>https://www.linkedin.com/jobs/view/4318631577/</t>
  </si>
  <si>
    <t>Design Engineering Manager, Kiewit Infrastructure Engineers 
Quick Apply</t>
  </si>
  <si>
    <t>Washington, DC · Reposted 1 week ago · 48 applicants
Promoted by hirer · No response insights available yet</t>
  </si>
  <si>
    <t>https://www.linkedin.com/jobs/view/4271803246/</t>
  </si>
  <si>
    <t>Building Electrical Engineer 
Quick Apply</t>
  </si>
  <si>
    <t>Lenexa, KS · Reposted 1 week ago · 13 applicants
Promoted by hirer · Actively reviewing applicants</t>
  </si>
  <si>
    <t>https://www.linkedin.com/jobs/view/4304800987/</t>
  </si>
  <si>
    <t>Engineering Controls Analyst Intern - Kiewit Power Engineering (Summer 2026) 
Quick Apply</t>
  </si>
  <si>
    <t>Lenexa, KS · Reposted 2 days ago · 36 applicants
Promoted by hirer · No response insights available yet</t>
  </si>
  <si>
    <t>https://www.linkedin.com/jobs/view/4322694465/</t>
  </si>
  <si>
    <t>Integrative Engineer Intern - Kiewit Infrastructure Engineers (Summer 2026) 
Quick Apply</t>
  </si>
  <si>
    <t>Lone Tree, CO · Reposted 2 weeks ago · Over 100 applicants
Promoted by hirer · Actively reviewing applicants</t>
  </si>
  <si>
    <t>https://www.linkedin.com/jobs/view/4312190696/</t>
  </si>
  <si>
    <t>Structural Engineer- (mid/senior) 
Quick Apply</t>
  </si>
  <si>
    <t>Lawrence, KS · Reposted 1 week ago · 6 applicants
Promoted by hirer · No response insights available yet</t>
  </si>
  <si>
    <t>https://www.linkedin.com/jobs/view/4321104804/</t>
  </si>
  <si>
    <t>Structural Designer 
Quick Apply</t>
  </si>
  <si>
    <t>Omaha, NE · 1 week ago · 42 applicants
Promoted by hirer · No response insights available yet</t>
  </si>
  <si>
    <t>https://www.linkedin.com/jobs/view/4324872849/</t>
  </si>
  <si>
    <t>https://nvidia.wd5.myworkdayjobs.com/en-US/NVIDIAExternalCareerSite/userHome</t>
  </si>
  <si>
    <t>https://www.linkedin.com/in/shaun-blair-25621812/</t>
  </si>
  <si>
    <t>Software Developer (GPS/GNSS):: 25-07166 
Quick Apply</t>
  </si>
  <si>
    <t>Akraya, Inc.</t>
  </si>
  <si>
    <t>Mountain View, CA · Reposted 32 minutes ago · 9 applicants
Promoted by hirer · No response insights available yet</t>
  </si>
  <si>
    <t>https://www.linkedin.com/jobs/view/4348389382/</t>
  </si>
  <si>
    <t>Epic Cadence/Referrals Analyst 
Quick Apply</t>
  </si>
  <si>
    <t>TEKsystems</t>
  </si>
  <si>
    <t>Virginia Beach, VA · Reposted 7 minutes ago · 0 people clicked apply
Promoted by hirer · Responses managed off LinkedIn</t>
  </si>
  <si>
    <t>https://www.linkedin.com/jobs/view/4342588218/</t>
  </si>
  <si>
    <t>*Technical Specialist (Healthcare) 
Quick Apply</t>
  </si>
  <si>
    <t>Cotiviti</t>
  </si>
  <si>
    <t>United States · Reposted 17 minutes ago · Over 100 people clicked apply
Promoted by hirer · Responses managed off LinkedIn</t>
  </si>
  <si>
    <t>https://www.linkedin.com/jobs/view/4325308202/</t>
  </si>
  <si>
    <t>Senior Software Engineer I, New Product Development 
Quick Apply</t>
  </si>
  <si>
    <t>Axon</t>
  </si>
  <si>
    <t>Seattle, WA · 11 minutes ago · 1 person clicked apply
Responses managed off LinkedIn</t>
  </si>
  <si>
    <t>https://www.linkedin.com/jobs/view/4342667947/</t>
  </si>
  <si>
    <t>Software Engineer – PEGA (Full-Stack Growth Path) 
Quick Apply</t>
  </si>
  <si>
    <t>Mountain View, CA · 1 hour ago · 20 people clicked apply
Promoted by hirer · Responses managed off LinkedIn</t>
  </si>
  <si>
    <t>https://www.linkedin.com/jobs/view/4342697468/</t>
  </si>
  <si>
    <t>ServiceNow</t>
  </si>
  <si>
    <t>Santa Clara, CA · 1 hour ago · Over 100 people clicked apply
Promoted by hirer · Responses managed off LinkedIn</t>
  </si>
  <si>
    <t>https://www.linkedin.com/jobs/view/4342707707/</t>
  </si>
  <si>
    <t>New York, NY · 2 hours ago · 15 people clicked apply
Promoted by hirer · Responses managed off LinkedIn</t>
  </si>
  <si>
    <t>https://www.linkedin.com/jobs/view/4342786882/</t>
  </si>
  <si>
    <t>Test Engineer
Quick Apply</t>
  </si>
  <si>
    <t>swipejobs</t>
  </si>
  <si>
    <t>Brea, CA · 2 hours ago · 11 people clicked apply
Promoted by hirer · Responses managed off LinkedIn</t>
  </si>
  <si>
    <t>https://www.linkedin.com/jobs/view/4342697461/</t>
  </si>
  <si>
    <t>Charlotte, NC · 2 hours ago · Over 100 people clicked apply
Promoted by hirer · Responses managed off LinkedIn</t>
  </si>
  <si>
    <t>https://www.linkedin.com/jobs/view/4342777380/</t>
  </si>
  <si>
    <t>Java Application Developer with AWS Migration - Remote position 
Quick Apply</t>
  </si>
  <si>
    <t>R Systems</t>
  </si>
  <si>
    <t>United States · 2 hours ago · 34 people clicked apply
Promoted by hirer · Responses managed off LinkedIn</t>
  </si>
  <si>
    <t>https://www.linkedin.com/jobs/view/4326266040/</t>
  </si>
  <si>
    <t>Business Intelligence Engineer 2 - Remote 
Quick Apply</t>
  </si>
  <si>
    <t>Humana</t>
  </si>
  <si>
    <t>United States · 3 hours ago · 55 people clicked apply
Promoted by hirer · Responses managed off LinkedIn</t>
  </si>
  <si>
    <t>https://www.linkedin.com/jobs/view/4349050419/</t>
  </si>
  <si>
    <t>Software Engineer, Fulfillment Foundations
Quick Apply</t>
  </si>
  <si>
    <t>San Francisco, CA · 3 hours ago · 88 people clicked apply
Responses managed off LinkedIn</t>
  </si>
  <si>
    <t>https://www.linkedin.com/jobs/view/4342617779/</t>
  </si>
  <si>
    <t>Analytic Data Engineer 
Quick Apply</t>
  </si>
  <si>
    <t>Sacramento, CA · 2 hours ago · Over 100 people clicked apply
Responses managed off LinkedIn</t>
  </si>
  <si>
    <t>https://www.linkedin.com/jobs/view/4342657759/</t>
  </si>
  <si>
    <t>Software Engineer II (On-Site) 
Quick Apply</t>
  </si>
  <si>
    <t>BAE Systems, Inc.</t>
  </si>
  <si>
    <t>Hudson, NH · 3 hours ago · 4 people clicked apply
Promoted by hirer · Responses managed off LinkedIn</t>
  </si>
  <si>
    <t>https://www.linkedin.com/jobs/view/4348875222/</t>
  </si>
  <si>
    <t>Fullstack Software Engineer, Growth 
Quick Apply</t>
  </si>
  <si>
    <t>Postman</t>
  </si>
  <si>
    <t>San Francisco, CA · Reposted 46 minutes ago · Over 100 people clicked apply
Promoted by hirer · Responses managed off LinkedIn</t>
  </si>
  <si>
    <t>https://www.linkedin.com/jobs/view/4311763116/</t>
  </si>
  <si>
    <t>MANTECH</t>
  </si>
  <si>
    <t>Norfolk, VA · Reposted 52 minutes ago · 25 people clicked apply
Promoted by hirer · Responses managed off LinkedIn</t>
  </si>
  <si>
    <t>https://www.linkedin.com/jobs/view/4309511324/</t>
  </si>
  <si>
    <t>Web Developer</t>
  </si>
  <si>
    <t>Cottage Grove, MN · Reposted 46 minutes ago · 5 applicants
Promoted by hirer · No response insights available yet</t>
  </si>
  <si>
    <t>https://www.linkedin.com/jobs/view/4342988061/</t>
  </si>
  <si>
    <t>Software Engineer, Full-Stack 
Quick Apply</t>
  </si>
  <si>
    <t>Grammarly</t>
  </si>
  <si>
    <t>San Francisco Bay Area · Reposted 51 minutes ago · Over 100 people clicked apply
Promoted by hirer · Responses managed off LinkedIn</t>
  </si>
  <si>
    <t>https://www.linkedin.com/jobs/view/4184536076/</t>
  </si>
  <si>
    <t>Senior Software Engineer I - Agentic Care 
Quick Apply</t>
  </si>
  <si>
    <t>Spring Health</t>
  </si>
  <si>
    <t>San Francisco, CA · Reposted 57 minutes ago · Over 100 people clicked apply
Promoted by hirer · Responses managed off LinkedIn</t>
  </si>
  <si>
    <t>https://www.linkedin.com/jobs/view/4341119223/</t>
  </si>
  <si>
    <t>DevOps Engineer 
Quick Apply</t>
  </si>
  <si>
    <t>Motion Recruitment</t>
  </si>
  <si>
    <t>Phoenix, AZ · Reposted 52 minutes ago · Over 100 people clicked apply
Promoted by hirer · Responses managed off LinkedIn</t>
  </si>
  <si>
    <t>https://www.linkedin.com/jobs/view/4332085651/</t>
  </si>
  <si>
    <t>Teklabs Inc</t>
  </si>
  <si>
    <t>Maple Grove, MN · 24 minutes ago · 1 applicant
Promoted by hirer · Company review time is typically 1 week</t>
  </si>
  <si>
    <t>https://www.linkedin.com/jobs/view/4326527051/</t>
  </si>
  <si>
    <t>Software Engineer II - Custom Solutions 
Quick Apply</t>
  </si>
  <si>
    <t>The Trade Desk</t>
  </si>
  <si>
    <t>Bellevue, WA · Reposted 49 minutes ago · Over 100 people clicked apply
Promoted by hirer · Responses managed off LinkedIn</t>
  </si>
  <si>
    <t>https://www.linkedin.com/jobs/view/4319264435/</t>
  </si>
  <si>
    <t>Software Engineer - Data Platform 
Quick Apply</t>
  </si>
  <si>
    <t>Hadrian</t>
  </si>
  <si>
    <t>Los Angeles, CA · Reposted 17 minutes ago · Over 100 people clicked apply
Promoted by hirer · Responses managed off LinkedIn</t>
  </si>
  <si>
    <t>https://www.linkedin.com/jobs/view/4311331444/</t>
  </si>
  <si>
    <t>Software Engineer, Registry- Weights &amp; Biases 
Quick Apply</t>
  </si>
  <si>
    <t>Weights &amp; Biases</t>
  </si>
  <si>
    <t>Sunnyvale, CA · Reposted 27 minutes ago · Over 100 people clicked apply
Promoted by hirer · Responses managed off LinkedIn</t>
  </si>
  <si>
    <t>https://www.linkedin.com/jobs/view/4341692681/</t>
  </si>
  <si>
    <t>Capco</t>
  </si>
  <si>
    <t>Charlotte, NC · Reposted 37 minutes ago · Over 100 people clicked apply
Promoted by hirer · Responses managed off LinkedIn</t>
  </si>
  <si>
    <t>https://www.linkedin.com/jobs/view/4336934125/</t>
  </si>
  <si>
    <t>Solutions Engineer, AI Studio 
Quick Apply</t>
  </si>
  <si>
    <t>Asana</t>
  </si>
  <si>
    <t>Chicago, IL · Reposted 50 minutes ago · Over 100 applicants
Promoted by hirer · Actively reviewing applicants</t>
  </si>
  <si>
    <t>https://www.linkedin.com/jobs/view/4341189157/</t>
  </si>
  <si>
    <t>GenAI Cloud Engineer 
Quick Apply</t>
  </si>
  <si>
    <t>Leidos</t>
  </si>
  <si>
    <t>Gaithersburg, MD · Reposted 25 minutes ago · Over 100 people clicked apply
Promoted by hirer · Responses managed off LinkedIn</t>
  </si>
  <si>
    <t>https://www.linkedin.com/jobs/view/4332933524/</t>
  </si>
  <si>
    <t>Malvern, PA · 56 minutes ago · 43 applicants
Promoted by hirer · No response insights available yet</t>
  </si>
  <si>
    <t>https://www.linkedin.com/jobs/view/4343035299/</t>
  </si>
  <si>
    <t>Java/ Spring Boot Developer II, Associate, P2 
Quick Apply</t>
  </si>
  <si>
    <t>Morgan Stanley</t>
  </si>
  <si>
    <t>Alpharetta, GA · Reposted 22 minutes ago · Over 100 people clicked apply
Promoted by hirer · Responses managed off LinkedIn</t>
  </si>
  <si>
    <t>https://www.linkedin.com/jobs/view/4323450549/</t>
  </si>
  <si>
    <t>Software Engineer II - Embedded Cybersecurity (Onsite) 
Quick Apply</t>
  </si>
  <si>
    <t>Collins Aerospace</t>
  </si>
  <si>
    <t>Cedar Rapids, IA · 30 minutes ago · 0 people clicked apply
Promoted by hirer · Responses managed off LinkedIn</t>
  </si>
  <si>
    <t>https://www.linkedin.com/jobs/view/4345435168/</t>
  </si>
  <si>
    <t>Frontend developer – Angular 
Quick Apply</t>
  </si>
  <si>
    <t>Innova Solutions</t>
  </si>
  <si>
    <t>McLean, VA · 46 minutes ago · 9 applicants
Promoted by hirer · Company review time is typically 1 week</t>
  </si>
  <si>
    <t>https://www.linkedin.com/jobs/view/4328581547/</t>
  </si>
  <si>
    <t>Test Automation Engineer/SDET 
Quick Apply</t>
  </si>
  <si>
    <t>Chicago, IL · 59 minutes ago · 8 people clicked apply
Promoted by hirer · Responses managed off LinkedIn</t>
  </si>
  <si>
    <t>https://www.linkedin.com/jobs/view/4328655386/</t>
  </si>
  <si>
    <t>ServiceNow Developer</t>
  </si>
  <si>
    <t>Global Applications Solution</t>
  </si>
  <si>
    <t>New Jersey, United States · 38 minutes ago · 15 applicants
Promoted by hirer · No response insights available yet</t>
  </si>
  <si>
    <t>https://www.linkedin.com/jobs/view/4346310957/</t>
  </si>
  <si>
    <t>Junior Software Developer</t>
  </si>
  <si>
    <t>Ace Parking</t>
  </si>
  <si>
    <t>San Diego, CA · 5 days ago · Over 100 applicants
Promoted by hirer · Actively reviewing applicants</t>
  </si>
  <si>
    <t>https://www.linkedin.com/jobs/view/4329562815/</t>
  </si>
  <si>
    <t>Early Career Software Engineer</t>
  </si>
  <si>
    <t>Multi Location</t>
  </si>
  <si>
    <t>https://jobright.ai/jobs/info/69420f7914ee092a69002d4c?utm_source=1100&amp;utm_campaign=Software Engineering</t>
  </si>
  <si>
    <t>Data Engineer I</t>
  </si>
  <si>
    <t>Chewy</t>
  </si>
  <si>
    <t>Backend Engineer, New Grad</t>
  </si>
  <si>
    <t>Axon.ai</t>
  </si>
  <si>
    <t>AppLovin</t>
  </si>
  <si>
    <t>Software Developer - Spring 2026 New Graduate</t>
  </si>
  <si>
    <t>D2L</t>
  </si>
  <si>
    <t>Solution Engineer Assc - Solution Engineer</t>
  </si>
  <si>
    <t>American Electric Power</t>
  </si>
  <si>
    <t>Application Under Consideration</t>
  </si>
  <si>
    <t>New Grad Software Engineer, Backend 2026</t>
  </si>
  <si>
    <t>Circle</t>
  </si>
  <si>
    <t>Junior Technical Consultant (Boomi Integrations)</t>
  </si>
  <si>
    <t>Strategic Information Group</t>
  </si>
  <si>
    <t>Software Engineer (New Grad Summer 2026)</t>
  </si>
  <si>
    <t>Freeform</t>
  </si>
  <si>
    <t>Software Engineer - Distributed Systems (Platform Software )</t>
  </si>
  <si>
    <t>Rubrik</t>
  </si>
  <si>
    <t>Optical Network Embedded Software Engineer - New Grad</t>
  </si>
  <si>
    <t>Ciena</t>
  </si>
  <si>
    <t>Software Engineer, Integrations - Bellevue</t>
  </si>
  <si>
    <t>Aircall</t>
  </si>
  <si>
    <t>Game Test Analyst</t>
  </si>
  <si>
    <t>Sony Interactive Entertainment</t>
  </si>
  <si>
    <t>Machine Learning Engineer l</t>
  </si>
  <si>
    <t>Cohere Health</t>
  </si>
  <si>
    <t>Associate Solution Engineer</t>
  </si>
  <si>
    <t>Snowflake</t>
  </si>
  <si>
    <t>Graduate 2026 Software Engineer I, US</t>
  </si>
  <si>
    <t>Software Engineer Graduate (Site Reliability Engineering) - 2026 Start (BS/MS)</t>
  </si>
  <si>
    <t>TikTok</t>
  </si>
  <si>
    <t>New Grad Program – Associate, Software Engineer</t>
  </si>
  <si>
    <t>Epsilon</t>
  </si>
  <si>
    <t>Junior AI Engineer</t>
  </si>
  <si>
    <t>Accel Entertainment</t>
  </si>
  <si>
    <t>Graduate 2026 Software Engineer I, Mobile</t>
  </si>
  <si>
    <t>AI/ML Engineer, Analyst - AI Labs</t>
  </si>
  <si>
    <t>BlackRock</t>
  </si>
  <si>
    <t>2026 University Graduate - Machine Learning Engineer</t>
  </si>
  <si>
    <t>Enterprise Business Systems Developer I – Oracle ERP/Cloud</t>
  </si>
  <si>
    <t>Darigold</t>
  </si>
  <si>
    <t>Software Engineer 1</t>
  </si>
  <si>
    <t>Pattern Data</t>
  </si>
  <si>
    <t>Fanatics</t>
  </si>
  <si>
    <t>Business Solutions Developer I</t>
  </si>
  <si>
    <t>Centene Corporation</t>
  </si>
  <si>
    <t>Software Engineer - Developer Productivity</t>
  </si>
  <si>
    <t>Software Engineer, Autonomy-New Grad</t>
  </si>
  <si>
    <t>Nuro</t>
  </si>
  <si>
    <t>IXL Learning</t>
  </si>
  <si>
    <t>Individual Contributor Infrastructure Engineer</t>
  </si>
  <si>
    <t>New York, NY · Reposted 5 hours ago · Over 100 applicants
Promoted by hirer · No response insights available yet</t>
  </si>
  <si>
    <t>https://www.linkedin.com/jobs/view/4344093651/</t>
  </si>
  <si>
    <t>Software Engineer I - Direct Issuance (New Grad)</t>
  </si>
  <si>
    <t>StubHub</t>
  </si>
  <si>
    <t>https://jobright.ai/jobs/info/6941eaf3bdcf884a5adda468?utm_source=1100&amp;utm_campaign=Software Engineering</t>
  </si>
  <si>
    <t>Software Engineer II, Backend (Identity Decisioning)</t>
  </si>
  <si>
    <t>Affirm</t>
  </si>
  <si>
    <t>https://jobright.ai/jobs/info/69416e1d14ee092a69ff9586?utm_source=1100&amp;utm_campaign=Software Engineering</t>
  </si>
  <si>
    <t>Member of Technical Staff</t>
  </si>
  <si>
    <t>Harper (YC W25)</t>
  </si>
  <si>
    <t>https://jobright.ai/jobs/info/695e3af6da2b8c6b40f39153?utm_source=1100&amp;utm_campaign=Software Engineering</t>
  </si>
  <si>
    <t>QA Engineer: Licensing</t>
  </si>
  <si>
    <t>Nutanix</t>
  </si>
  <si>
    <t>https://jobright.ai/jobs/info/69481aecd1953b5d11c130d0?utm_source=1100&amp;utm_campaign=Software Engineering</t>
  </si>
  <si>
    <t>AI Engineer (All Levels)</t>
  </si>
  <si>
    <t>Fieldguide</t>
  </si>
  <si>
    <t>https://jobright.ai/jobs/info/695e2c673c6a895ac5ef08db?utm_source=1100&amp;utm_campaign=Software Engineering</t>
  </si>
  <si>
    <t>Software Engineer I - Product Development</t>
  </si>
  <si>
    <t>PagerDuty</t>
  </si>
  <si>
    <t>https://jobright.ai/jobs/info/694a092f7d506e3808f530ec?utm_source=1100&amp;utm_campaign=Software Engineering</t>
  </si>
  <si>
    <t>Engineer II, Business Intelligence</t>
  </si>
  <si>
    <t>Ensemble Health Partners</t>
  </si>
  <si>
    <t>United States</t>
  </si>
  <si>
    <t>https://jobright.ai/jobs/info/694880087d506e3808f3b5fe?utm_source=1100&amp;utm_campaign=Software Engineering</t>
  </si>
  <si>
    <t>Data Engineer (University Grad)</t>
  </si>
  <si>
    <t>Meta</t>
  </si>
  <si>
    <t>Menlo Park, CA</t>
  </si>
  <si>
    <t>https://jobright.ai/jobs/info/695cf6b4f5f3c43f38e1b8f7?utm_source=1100&amp;utm_campaign=Software Engineering</t>
  </si>
  <si>
    <t>Autonomy Software Engineer</t>
  </si>
  <si>
    <t>Skydio</t>
  </si>
  <si>
    <t>San Mateo, CA</t>
  </si>
  <si>
    <t>https://jobright.ai/jobs/info/6940ada3aa598a08c3f04efd?utm_source=1100&amp;utm_campaign=Software Engineering</t>
  </si>
  <si>
    <t>Quantitative Data Engineer</t>
  </si>
  <si>
    <t>Harris | Oakmark</t>
  </si>
  <si>
    <t>Multi Location
Chicago, IL
Chicago, Illinois, United States</t>
  </si>
  <si>
    <t>https://jobright.ai/jobs/info/68cd1f7ce23def7af55b59ce?utm_source=1100&amp;utm_campaign=Software Engineering</t>
  </si>
  <si>
    <t>Human Capital Reporting Data &amp; Operations Analyst</t>
  </si>
  <si>
    <t>The D. E. Shaw Group</t>
  </si>
  <si>
    <t>New York, NY</t>
  </si>
  <si>
    <t>https://jobright.ai/jobs/info/68cb8be5efdec76df36be724?utm_source=1100&amp;utm_campaign=Software Engineering</t>
  </si>
  <si>
    <t>Software Engineer I</t>
  </si>
  <si>
    <t>Twitch</t>
  </si>
  <si>
    <t>Multi Location
San Francisco, CA
Seattle, WA</t>
  </si>
  <si>
    <t>https://jobright.ai/jobs/info/695cc73bf1f8465b79f2eee4?utm_source=1100&amp;utm_campaign=Software Engineering</t>
  </si>
  <si>
    <t>Associate Solutions Engineer</t>
  </si>
  <si>
    <t>TDS Gift Cards</t>
  </si>
  <si>
    <t>https://jobright.ai/jobs/info/695cae97f1f8465b79f2df78?utm_source=1100&amp;utm_campaign=Software Engineering</t>
  </si>
  <si>
    <t>Forward Deployed Engineer</t>
  </si>
  <si>
    <t>Paratus Health</t>
  </si>
  <si>
    <t>Menlo Park, CA, US</t>
  </si>
  <si>
    <t>https://jobright.ai/jobs/info/695cc5035e4962051b59e87e?utm_source=1100&amp;utm_campaign=Software Engineering</t>
  </si>
  <si>
    <t>Early Career, Software Engineer (2026)</t>
  </si>
  <si>
    <t>Figma</t>
  </si>
  <si>
    <t>Multi Location
San Francisco, CA • New York, NY
San Francisco, CA
New York, NY</t>
  </si>
  <si>
    <t>https://jobright.ai/jobs/info/68d1bb228c62e63bc7fcf29d?utm_source=1100&amp;utm_campaign=Software Engineering</t>
  </si>
  <si>
    <t>Engineer 1 - Clearable New College Grad</t>
  </si>
  <si>
    <t>AtlasQuo</t>
  </si>
  <si>
    <t>Richmond, VA · 4 hours ago · 22 applicants
Company review time is typically 1 week</t>
  </si>
  <si>
    <t>https://www.linkedin.com/jobs/view/4351961649/</t>
  </si>
  <si>
    <t>Algo Engineer</t>
  </si>
  <si>
    <t>Capitolis</t>
  </si>
  <si>
    <t>New York, New York, United States</t>
  </si>
  <si>
    <t>https://jobright.ai/jobs/info/691ceb7bff7024498416bd32?utm_source=1100&amp;utm_campaign=Software Engineering</t>
  </si>
  <si>
    <t>https://jobright.ai/jobs/info/695e5d2408ab990f2829b382?utm_source=1100&amp;utm_campaign=Software Engineering</t>
  </si>
  <si>
    <t>Warner Bros. Discovery</t>
  </si>
  <si>
    <t>Burbank, CA</t>
  </si>
  <si>
    <t>https://jobright.ai/jobs/info/69476d0d7d506e3808f2b3a5?utm_source=1100&amp;utm_campaign=Software Engineering</t>
  </si>
  <si>
    <t>Java Software Engineer I (Remote within the USA)</t>
  </si>
  <si>
    <t>Businessolver</t>
  </si>
  <si>
    <t>https://jobright.ai/jobs/info/69248a7fec574f4265bb44b7?utm_source=1100&amp;utm_campaign=Software Engineering</t>
  </si>
  <si>
    <t>Multi Location
Atlanta, GA
New York, NY</t>
  </si>
  <si>
    <t>https://jobright.ai/jobs/info/694789fd63141d1884572cfa?utm_source=1100&amp;utm_campaign=Software Engineering</t>
  </si>
  <si>
    <t>Software Engineer - Windows Servicing and Delivery (WSD)</t>
  </si>
  <si>
    <t>Redmond, WA</t>
  </si>
  <si>
    <t>https://jobright.ai/jobs/info/694159f1bdcf884a5add1fce?utm_source=1100&amp;utm_campaign=Software Engineering</t>
  </si>
  <si>
    <t>Associate QA Analyst</t>
  </si>
  <si>
    <t>https://jobright.ai/jobs/info/69425e30bdcf884a5ade4055?utm_source=1100&amp;utm_campaign=Software Engineering</t>
  </si>
  <si>
    <t>Jr. Software Development Engineer - New York, NY, Jr. Developer Program</t>
  </si>
  <si>
    <t>Amazon</t>
  </si>
  <si>
    <t>https://jobright.ai/jobs/info/695c88b89a87b95a9397ddcc?utm_source=1100&amp;utm_campaign=Software Engineering</t>
  </si>
  <si>
    <t>Software Engineer, New Grad</t>
  </si>
  <si>
    <t>Stripe</t>
  </si>
  <si>
    <t>https://stripe.com/jobs/listing/software-engineer-new-grad/7210112/apply?gh_src=Simplify</t>
  </si>
  <si>
    <t>(New Grad) Software Engineering</t>
  </si>
  <si>
    <t>Samsara</t>
  </si>
  <si>
    <t>https://jobright.ai/jobs/info/68ccee1cd11b445e0bee4649?utm_source=1100&amp;utm_campaign=Software Engineering</t>
  </si>
  <si>
    <t>Android Engineer I (Growth)</t>
  </si>
  <si>
    <t>WHOOP</t>
  </si>
  <si>
    <t>https://jobright.ai/jobs/info/68e7d8a9c4895107182bec62?utm_source=1100&amp;utm_campaign=Software Engineering</t>
  </si>
  <si>
    <t>Software Engineer I - Web Frameworks, Officer</t>
  </si>
  <si>
    <t>State Street</t>
  </si>
  <si>
    <t>https://jobright.ai/jobs/info/695601f8aa05c26e7ab04e23?utm_source=1100&amp;utm_campaign=Software Engineering</t>
  </si>
  <si>
    <t>Front End Developer (Jr-Mid React) 
Quick Apply</t>
  </si>
  <si>
    <t>Bounteous</t>
  </si>
  <si>
    <t>United States · 1 week ago · Over 100 people clicked apply
Promoted by hirer · Responses managed off LinkedIn</t>
  </si>
  <si>
    <t>https://www.linkedin.com/jobs/view/4329962289/</t>
  </si>
  <si>
    <t>Software Engineer, AI Platform</t>
  </si>
  <si>
    <t>LinkedIn</t>
  </si>
  <si>
    <t>Mountain View, CA · 5 hours ago · Over 100 applicants
Promoted by hirer · No response insights available yet</t>
  </si>
  <si>
    <t>https://www.linkedin.com/jobs/view/4361551460/</t>
  </si>
  <si>
    <t>Goliath Partners</t>
  </si>
  <si>
    <t>New York City Metropolitan Area · 1 hour ago · Over 100 applicants
Promoted by hirer · No response insights available yet</t>
  </si>
  <si>
    <t>https://www.linkedin.com/jobs/view/4363849934/</t>
  </si>
  <si>
    <t>Production Support Analyst 
Quick Apply</t>
  </si>
  <si>
    <t>InvisALERT Solutions</t>
  </si>
  <si>
    <t>West Chester, PA · 34 minutes ago · 14 applicants
Promoted by hirer · No response insights available yet</t>
  </si>
  <si>
    <t>https://www.linkedin.com/jobs/view/4364365955/</t>
  </si>
  <si>
    <t>https://jobright.ai/jobs/info/68ce072c1ad6b16f028a13f9?utm_source=1100&amp;utm_campaign=Software Engineering</t>
  </si>
  <si>
    <t>Seattle, WA</t>
  </si>
  <si>
    <t>yes</t>
  </si>
  <si>
    <t>2026 University Graduate - Research Scientist/Engineer</t>
  </si>
  <si>
    <t>https://jobright.ai/jobs/info/69049feaff462851feff6988?utm_source=1100&amp;utm_campaign=Software Engineering</t>
  </si>
  <si>
    <t>AI Engineer, Asset Management</t>
  </si>
  <si>
    <t>https://jobright.ai/jobs/info/6977423b52f3c27ec643455e?utm_source=1100&amp;utm_campaign=Software Engineering</t>
  </si>
  <si>
    <t>Manulife</t>
  </si>
  <si>
    <t>https://jobright.ai/jobs/info/68c7b57027f0732240603828?utm_source=1100&amp;utm_campaign=Software Engineering</t>
  </si>
  <si>
    <t>San Jose, CA</t>
  </si>
  <si>
    <t>Product Software Engineer</t>
  </si>
  <si>
    <t>https://jobright.ai/jobs/info/6978d8a388e2b47213bcf353?utm_source=1100&amp;utm_campaign=Software Engineering</t>
  </si>
  <si>
    <t>Multi Location
San Diego, CA
San Diego, California, United States of America</t>
  </si>
  <si>
    <t>Qualcomm</t>
  </si>
  <si>
    <t>Engineer</t>
  </si>
  <si>
    <t>https://jobright.ai/jobs/info/6978d6e439f7f96cc6d133a9?utm_source=1100&amp;utm_campaign=Software Engineering</t>
  </si>
  <si>
    <t>San Diego, CA</t>
  </si>
  <si>
    <t>Junior Software Engineer</t>
  </si>
  <si>
    <t>https://jobright.ai/jobs/info/6978d45352f3c27ec6451abb?utm_source=1100&amp;utm_campaign=Software Engineering</t>
  </si>
  <si>
    <t>Foster City, CA</t>
  </si>
  <si>
    <t>PTC</t>
  </si>
  <si>
    <t>https://jobright.ai/jobs/info/6978b8e088e2b47213bce2d7?utm_source=1100&amp;utm_campaign=Software Engineering</t>
  </si>
  <si>
    <t>Full Stack Engineer 
Quick Apply</t>
  </si>
  <si>
    <t>Roanoke, TX · 8 hours ago · 74 people clicked apply
Promoted by hirer · Responses managed off LinkedIn</t>
  </si>
  <si>
    <t>https://www.linkedin.com/jobs/view/4366994421/</t>
  </si>
  <si>
    <t>https://jobright.ai/jobs/info/697303a9694e99351d144796?utm_source=1100&amp;utm_campaign=Software Engineering</t>
  </si>
  <si>
    <t>Hybrid</t>
  </si>
  <si>
    <t>https://jobright.ai/jobs/info/68d1ed62a54edb3bf3e1796e?utm_source=1100&amp;utm_campaign=Software Engineering</t>
  </si>
  <si>
    <t>On Site</t>
  </si>
  <si>
    <t>Accuris</t>
  </si>
  <si>
    <t>https://jobright.ai/jobs/info/6927510ed47de4798ecdb594?utm_source=1100&amp;utm_campaign=Software Engineering</t>
  </si>
  <si>
    <t>Vinson &amp; Elkins</t>
  </si>
  <si>
    <t>Financial Systems Programmer Analyst</t>
  </si>
  <si>
    <t>https://jobright.ai/jobs/info/6947690163141d188457136c?utm_source=1100&amp;utm_campaign=Software Engineering</t>
  </si>
  <si>
    <t>Two Sigma</t>
  </si>
  <si>
    <t>Reliability Engineer - Trading</t>
  </si>
  <si>
    <t>https://jobright.ai/jobs/info/6789b508fade8859f716b08e?utm_source=1100&amp;utm_campaign=Software Engineering</t>
  </si>
  <si>
    <t>Center for AI Safety</t>
  </si>
  <si>
    <t>Research Engineer</t>
  </si>
  <si>
    <t>https://jobright.ai/jobs/info/697b2fd31423772304eb5b2b?utm_source=1100&amp;utm_campaign=Software Engineering</t>
  </si>
  <si>
    <t>Nordstrom</t>
  </si>
  <si>
    <t>iOS Engineer 1 - Customer Mobile Applications Team (Hybrid - Seattle, WA)</t>
  </si>
  <si>
    <t>https://jobright.ai/jobs/info/697b2c2c17b11b1c2e424083?utm_source=1100&amp;utm_campaign=Software Engineering</t>
  </si>
  <si>
    <t>https://jobright.ai/jobs/info/691dfcc409cc522e877347d6?utm_source=1100&amp;utm_campaign=Software Engineering</t>
  </si>
  <si>
    <t>https://jobright.ai/jobs/info/68cce286d11b445e0bee3cbc?utm_source=1100&amp;utm_campaign=Software Engineering</t>
  </si>
  <si>
    <t>Data QA Specialist</t>
  </si>
  <si>
    <t>1X</t>
  </si>
  <si>
    <t>https://jobright.ai/jobs/info/697c23310b88cc7d64232804?utm_source=1100&amp;utm_campaign=Software Engineering</t>
  </si>
  <si>
    <t>https://jobright.ai/jobs/info/697bd8bb1136d179eeef6919?utm_source=1100&amp;utm_campaign=Software Engineering</t>
  </si>
  <si>
    <t>Research Associate, Cloud</t>
  </si>
  <si>
    <t>Activision</t>
  </si>
  <si>
    <t>https://jobright.ai/jobs/info/697c7c6b727747250d572d7c?utm_source=1100&amp;utm_campaign=Software Engineering</t>
  </si>
  <si>
    <t>Senior LangGraph Developer</t>
  </si>
  <si>
    <t>Dallas, TX</t>
  </si>
  <si>
    <t>https://www.linkedin.com/jobs/view/4367481163/</t>
  </si>
  <si>
    <t>Software Development Engineer</t>
  </si>
  <si>
    <t>https://jobright.ai/jobs/info/697c8ac0727747250d574c88?utm_source=1100&amp;utm_campaign=Software Engineering</t>
  </si>
  <si>
    <t>Software Engineer II, Backend (Infrastructure)</t>
  </si>
  <si>
    <t>https://jobright.ai/jobs/info/6944adcf50bbaf765056c56d?utm_source=1100&amp;utm_campaign=Software Engineering</t>
  </si>
  <si>
    <t>https://jobright.ai/jobs/info/6944b4c9a7227b3ece666036?utm_source=1100&amp;utm_campaign=Software Engineering</t>
  </si>
  <si>
    <t>https://jobright.ai/jobs/info/6940950caa598a08c3f0408c?utm_source=1100&amp;utm_campaign=Software Engineering</t>
  </si>
  <si>
    <t>DevOps Engineer</t>
  </si>
  <si>
    <t>AMH</t>
  </si>
  <si>
    <t>Draper, UT · Reposted 5 hours ago · Over 100 applicants
Promoted by hirer · No response insights available yet</t>
  </si>
  <si>
    <t>https://www.linkedin.com/jobs/view/4345022455/</t>
  </si>
  <si>
    <t>Junior Software Engineer - Portfolio Implementation Analytics</t>
  </si>
  <si>
    <t>AQR Capital Management</t>
  </si>
  <si>
    <t>https://jobright.ai/jobs/info/697bb89d0b88cc7d642283ca?utm_source=1100&amp;utm_campaign=Software Engineering</t>
  </si>
  <si>
    <t>Apple</t>
  </si>
  <si>
    <t>AR/VR Software Development Engineer</t>
  </si>
  <si>
    <t>https://jobright.ai/jobs/info/697c8112137a0510256584f5?utm_source=1100&amp;utm_campaign=Software Engineering</t>
  </si>
  <si>
    <t>https://jobright.ai/jobs/info/697c8103137a0510256584cf?utm_source=1100&amp;utm_campaign=Software Engineering</t>
  </si>
  <si>
    <t>Software Development Engineer - Test</t>
  </si>
  <si>
    <t>https://jobright.ai/jobs/info/697c7af6727747250d572a0e?utm_source=1100&amp;utm_campaign=Software Engineering</t>
  </si>
  <si>
    <t>https://jobright.ai/jobs/info/697c7b48727747250d572c75?utm_source=1100&amp;utm_campaign=Software Engineering</t>
  </si>
  <si>
    <t>Config/Release Engineer</t>
  </si>
  <si>
    <t>https://jobright.ai/jobs/info/697c811e137a0510256584ff?utm_source=1100&amp;utm_campaign=Software Engineering</t>
  </si>
  <si>
    <t>https://jobright.ai/jobs/info/697c8112137a0510256584f4?utm_source=1100&amp;utm_campaign=Software Engineering</t>
  </si>
  <si>
    <t>Cellular Protocol Stack Developer</t>
  </si>
  <si>
    <t>https://jobright.ai/jobs/info/698514108da7a612045f6910?utm_source=1100&amp;utm_campaign=Software Engineering</t>
  </si>
  <si>
    <t>San Diego, California, United States</t>
  </si>
  <si>
    <t>$120300-$210100 /yr</t>
  </si>
  <si>
    <t>10000+</t>
  </si>
  <si>
    <t>Apps, Artificial Intelligence (AI)</t>
  </si>
  <si>
    <t>1. Bachelors and/or Master's degree in Electrical Engineering, Computer Science, or equivalent field.
2. 0-2 years of experience in embedded system software development.
3. Strong Software Engineering skills including design, programming using C/C++.</t>
  </si>
  <si>
    <t>not sure</t>
  </si>
  <si>
    <t>Security Software Engineer - Secure Transports</t>
  </si>
  <si>
    <t>https://jobright.ai/jobs/info/69831a2a0f6f7e7a2cdc9253?utm_source=1100&amp;utm_campaign=Software Engineering</t>
  </si>
  <si>
    <t>Cupertino, CA</t>
  </si>
  <si>
    <t>$181K-$318K /yr</t>
  </si>
  <si>
    <t>1. 1 year of professional software engineering experience
2. Experience in systems or OS development using C</t>
  </si>
  <si>
    <t>https://jobright.ai/jobs/info/69825af70f6f7e7a2cdb839d?utm_source=1100&amp;utm_campaign=Software Engineering</t>
  </si>
  <si>
    <t>Cupertino, California, United States</t>
  </si>
  <si>
    <t>$181,100-$318,400 /yr</t>
  </si>
  <si>
    <t>Software Development Engineer - Server</t>
  </si>
  <si>
    <t>https://jobright.ai/jobs/info/697f4dfbce48107c05436471?utm_source=1100&amp;utm_campaign=Software Engineering</t>
  </si>
  <si>
    <t>$147K-$221K /yr</t>
  </si>
  <si>
    <t>1. Master’s degree or foreign equivalent in Computer Science, Software Engineering or related field and 1 year of experience in the job offered or related occupation.
2. 1 year of experience with the following skills:
3. Designing and implementing RESTFul Application Programming Interfaces for the web.
4. Designing and implementing Data Storage solutions.
5. Designing and implementing Object Oriented Computer Code to execute Business Logic.
...</t>
  </si>
  <si>
    <t>Software Screening &amp; Integration Engineer, Generative AI Experiences Software (Special Projects)</t>
  </si>
  <si>
    <t>https://jobright.ai/jobs/info/697d789b3f57a335696762a1?utm_source=1100&amp;utm_campaign=Software Engineering</t>
  </si>
  <si>
    <t>Sunnyvale, CA</t>
  </si>
  <si>
    <t>$147K-$272K /yr</t>
  </si>
  <si>
    <t>1. Passionate and inquisitive, and seek to solve everyday problems in innovative ways (e.g. process efficiency, automation)
2. Passion for debugging and problem solving
3. Strong software engineering and development life cycle knowledge
4. Advanced experience with version control systems, specifically git
5. Experience in programming or scripting, preferably in Python
...</t>
  </si>
  <si>
    <t>https://jobright.ai/jobs/info/6985133f8da7a612045f676c?utm_source=1100&amp;utm_campaign=Software Engineering</t>
  </si>
  <si>
    <t>Multi Location
California, United States
Arizona, United States</t>
  </si>
  <si>
    <t>$99000-$133000 /yr</t>
  </si>
  <si>
    <t>Collaboration, Consulting</t>
  </si>
  <si>
    <t>1. Experience with Big Data Platforms (Apache Spark, Presto, Amazon EMR)
2. Experience with Cloud Data Warehouses (Amazon Redshift, Snowflake, Google BigQuery)
3. Proficiency in Object Oriented Coding (Java, Python)
4. Experience with NoSQL Databases (DynamoDB, Cosmos DB, MongoDB)
5. Familiarity with Container Management Systems (Kubernetes, Amazon ECS)
...</t>
  </si>
  <si>
    <t>https://jobright.ai/jobs/info/698511c90f6f7e7a2cdf8ee0?utm_source=1100&amp;utm_campaign=Software Engineering</t>
  </si>
  <si>
    <t>Washington, United States</t>
  </si>
  <si>
    <t>$91000-$122000 /yr</t>
  </si>
  <si>
    <t>Junior Software Development Engineer in Test</t>
  </si>
  <si>
    <t>https://jobright.ai/jobs/info/69850eb9348f733a5c392d9f?utm_source=1100&amp;utm_campaign=Software Engineering</t>
  </si>
  <si>
    <t>$36.06-$38.46 /hr</t>
  </si>
  <si>
    <t>501-1000</t>
  </si>
  <si>
    <t>Consulting, Information Technology</t>
  </si>
  <si>
    <t>1. Bachelor’s degree in computer science, Computer Engineering, Mathematics, Information Systems, or a related technical field.
2. 0–2 years of professional or academic experience working with databases, data processing, or software engineering.
3. Hands-on experience with relational or non‑relational database technologies (e.g., SQL, PostgreSQL, MySQL, MongoDB).
4. Understanding of ETL concepts, data modeling, and data transformation workflows.
5. Proficiency in at least one scripting language (Python preferred).
...</t>
  </si>
  <si>
    <t>Associate Android Engineer</t>
  </si>
  <si>
    <t>https://jobright.ai/jobs/info/6984f8b28da7a612045f4063?utm_source=1100&amp;utm_campaign=Software Engineering</t>
  </si>
  <si>
    <t>$96000-$110000 /yr</t>
  </si>
  <si>
    <t>5001-10000</t>
  </si>
  <si>
    <t>Digital Media, Journalism</t>
  </si>
  <si>
    <t>1. Experience with Android engineering fundamentals, including writing testable code, networking, data persistence, and UI
2. Basic proficiency in Kotlin
3. Demonstrated understanding of Android design patterns
4. Experience with layouts, themes, styles, views, and other Android UI concepts</t>
  </si>
  <si>
    <t>Clinical Software Engineer I (on-site) 
Quick Apply</t>
  </si>
  <si>
    <t>Los Angeles, California, United States · 3 days ago · Over 100 people clicked apply
Promoted by hirer · Responses managed off LinkedIn</t>
  </si>
  <si>
    <t>https://www.linkedin.com/jobs/view/4357514978/</t>
  </si>
  <si>
    <t>Entry-Level Quantitative Strategist</t>
  </si>
  <si>
    <t>WorldQuant</t>
  </si>
  <si>
    <t>Austin, CO</t>
  </si>
  <si>
    <t>https://www.linkedin.com/jobs/view/3667832892/</t>
  </si>
  <si>
    <t>Zip</t>
  </si>
  <si>
    <t>Software Engineer, New Grad (2026 Start)</t>
  </si>
  <si>
    <t>Applied</t>
  </si>
  <si>
    <t>https://jobright.ai/jobs/info/697d3c7f3f57a33569670c2a?utm_source=1100&amp;utm_campaign=Software Engineering</t>
  </si>
  <si>
    <t>San Francisco, CA</t>
  </si>
  <si>
    <t>Compliance, Enterprise Resource Planning (ERP)</t>
  </si>
  <si>
    <t>1. Pursuing a BS or MS in Computer Science or related technical field involving coding (e.g. physics or math), with a graduation date between December 2025 - June 2026
2. Experience with web applications and API development. At Zip, our stack includes Python, Javascript/TypeScript, React, and GraphQL
3. Ability and interest to quickly learn new frameworks, architecture patterns, and programming languages as needed
4. Fantastic written and verbal communication skills
5. Prior internships in high-growth startup environment</t>
  </si>
  <si>
    <t>Zillow</t>
  </si>
  <si>
    <t>Machine Learning Engineer, Zillow Shopping AI</t>
  </si>
  <si>
    <t>https://jobright.ai/jobs/info/6932ef11764507023d1b126b?utm_source=1100&amp;utm_campaign=Software Engineering</t>
  </si>
  <si>
    <t>Marketplace, Online Portals</t>
  </si>
  <si>
    <t>1. 1-3 years of experience in developing applications in search, personalized ranking, or recommender systems
2. Experience developing and deploying ML models that scale to high-traffic, latency sensitive customer-facing services (100s of millions of requests per day)
3. Strong programming skills in a high-level language such as Python or Java
4. Familiarity with common machine learning libraries like PyTorch, TensorFlow, Catboost, scikit-learn and huggingface (repository)
5. Expertise with large scale distributed data processing systems such as Hive, Spark, Airflow, or Databricks
...</t>
  </si>
  <si>
    <t>Abaka AI</t>
  </si>
  <si>
    <t>https://jobright.ai/jobs/info/692f0172ef4b48533d14228a?utm_source=1100&amp;utm_campaign=Software Engineering</t>
  </si>
  <si>
    <t>Palo Alto, CA</t>
  </si>
  <si>
    <t>51-100</t>
  </si>
  <si>
    <t>Data Collection and Labeling, Machine Learning</t>
  </si>
  <si>
    <t>1. Strong background in computer science, data engineering, artificial intelligence, or related fields, with hands-on experience building or operating large-scale data systems.
2. 1+ years of experience in data engineering or data operations. Leadership experience is highly valued, and experience with LLM or multimodal dataset preparation is a strong plus.
3. Deep understanding of end-to-end multimodal data workflows, with hands-on experience in at least two modalities (text, images, audio, or video).
4. Proficiency in designing technical architectures for large-scale data pipelines, including distributed processing and automation frameworks, along with familiarity with data privacy and security best practices such as access control and data anonymization.
5. Strong execution and team management capabilities, with the ability to translate high-level objectives into actionable plans and drive team results.
...</t>
  </si>
  <si>
    <t>Clinical Software Engineer I (on-site)</t>
  </si>
  <si>
    <t>https://jobright.ai/jobs/info/69812521abff4c399a9ffa30?utm_source=1100&amp;utm_campaign=Software Engineering</t>
  </si>
  <si>
    <t>Los Angeles, CA</t>
  </si>
  <si>
    <t>Biotechnology, Emergency Medicine</t>
  </si>
  <si>
    <t>1. Bachelor's Degree with 0-2 years of related experience or Associate's Degree with a minimum 4 years of related experience.
2. Basic experience in designing and developing complex software systems.
3. Basic knowledge in programming languages such as modular program languages, Python &amp; agile methodologies
4. Basic level of understanding of test-driven methodologies
5. Basic familiarity with continuous integration &amp; continuous development (CI/CD)
...</t>
  </si>
  <si>
    <t>Applied Scientist</t>
  </si>
  <si>
    <t>https://jobright.ai/jobs/info/696586a15ad3a93f8230ce39?utm_source=1100&amp;utm_campaign=Software Engineering</t>
  </si>
  <si>
    <t>Artificial Intelligence (AI), Consulting</t>
  </si>
  <si>
    <t>1. Graduate, PhD, or postgraduate degree in Computer Science, Computer Engineering, or a related field—or equivalent experience.
2. 0+ years ML Engineering experience, specializing in generative AI like LLMs.
3. Strong Python and deep learning engineering skills.
4. Experience in training and inferencing with PyTorch or TensorFlow.
5. Familiarity with distillation, transformers, and diffusion models.
...</t>
  </si>
  <si>
    <t>2026 University Graduate - Applied Scientist</t>
  </si>
  <si>
    <t>https://jobright.ai/jobs/info/690d2d2ad046ab6061cf3cdc?utm_source=1100&amp;utm_campaign=Software Engineering</t>
  </si>
  <si>
    <t>1. PhD or MS degree in CV/AI/ML/CG or related fields
2. 0-2+ years of experience in specific skill/field(s)
3. Research or industry experience in training Generative AI models (pre-training and/or post-training) in at least one of the following modalities: image, video, 3D, or audio.
4. Expertise in large-scale model training and optimization, including data curation, distributed training, and memory-efficient techniques.
5. Experience with post-training techniques such as fine-tuning, alignment or distillation.
...</t>
  </si>
  <si>
    <t>Worldwide Golf</t>
  </si>
  <si>
    <t>SAP BTP/ABAP Developer</t>
  </si>
  <si>
    <t>https://jobright.ai/jobs/info/697d07cc137a05102565fc4b?utm_source=1100&amp;utm_campaign=Software Engineering</t>
  </si>
  <si>
    <t>Santa Ana, CA</t>
  </si>
  <si>
    <t>251-500</t>
  </si>
  <si>
    <t>1. Bachelor’s or master’s degree in computer science, Information Technology, or related field is required.
2. 1+ years of experience working on S/4 HANA or SAP ECC Cloud is required
3. Strong proficiency in SAP ABAP development, including advanced techniques such as Object-Oriented ABAP, AMDP, CDS Views, Workflow, HTML, BADI's and user exits and HANA SQL scripting is required.
4. Hands-on experience with EDI integration
5. Expertise in SAP Fiori, SAPUI5, and JavaScript.
...</t>
  </si>
  <si>
    <t>XPENG</t>
  </si>
  <si>
    <t>Data Infrastructure Engineer</t>
  </si>
  <si>
    <t>https://jobright.ai/jobs/info/69842b4c8da7a612045e320d?utm_source=1100&amp;utm_campaign=Software Engineering</t>
  </si>
  <si>
    <t>Santa Clara, CA</t>
  </si>
  <si>
    <t>Automotive, Autonomous Vehicles</t>
  </si>
  <si>
    <t>1. BS in Analytics, Computer Science, Mathematics or related fields (or relevant experience)
2. 1+ years industrial experience in the related field
3. Proficient in both written and spoken English and Mandarin
4. Passionate about autonomous driving technology
5. Familiar with SQL and some prior experience with Python
...</t>
  </si>
  <si>
    <t>Software Development Engineer I</t>
  </si>
  <si>
    <t>https://jobright.ai/jobs/info/692fbd30ef4b48533d14891c?utm_source=1100&amp;utm_campaign=Software Engineering</t>
  </si>
  <si>
    <t>Santa Barbara, CA</t>
  </si>
  <si>
    <t>Property Management, PropTech</t>
  </si>
  <si>
    <t>1. Bachelor’s Degree in Computer/Engineering Science or an equivalent combination of education and experience
2. Attention to detail with a high level of accuracy
3. Independent problem-solving and analysis skills
4. Clear, effective oral and written communication skills
5. Good time management and organization skills
...</t>
  </si>
  <si>
    <t>Ziff Davis Shopping</t>
  </si>
  <si>
    <t>Software Engineer I (Laravel/PHP)</t>
  </si>
  <si>
    <t>https://jobright.ai/jobs/info/69825a84348f733a5c352ae2?utm_source=1100&amp;utm_campaign=Software Engineering</t>
  </si>
  <si>
    <t>Digital Media, Marketing</t>
  </si>
  <si>
    <t>1. 1+ years of commercial development experience with proficiency in PHP (Laravel)
2. Basic familiarity with AWS environments or interest in learning cloud infrastructure concepts
3. Interest in learning event-driven systems or message brokers (e.g., Kafka)
4. Working knowledge of MySQL and an understanding of data processing workflows
5. Ability to work within and incrementally improve existing codebases
...</t>
  </si>
  <si>
    <t>Alfa Insurance</t>
  </si>
  <si>
    <t>Software Engineer Web Development</t>
  </si>
  <si>
    <t>https://jobright.ai/jobs/info/69827fc00a9e07331f8d9767?utm_source=1100&amp;utm_campaign=Software Engineering</t>
  </si>
  <si>
    <t>Montgomery, AL 36116</t>
  </si>
  <si>
    <t>1001-5000</t>
  </si>
  <si>
    <t>Auto Insurance, Financial Services</t>
  </si>
  <si>
    <t>1. Bachelor's degree in Computer Engineering, Computer Science, Information Systems, or a related area of study related to Computer Science or Mathematics is required.
2. Strong understanding of integration patterns, REST/SOAP APIs, and data transformation (JSON, XML, XSLT, etc.)
3. Proficiency in Java or other relevant programming languages
4. General understanding of all SDLC components. Knows when to use different methodologies and how to effectively manage each.
5. Documented and proven application development record or schooling/training as it relates to the technologies, tools and languages required for the specified position.
...</t>
  </si>
  <si>
    <t>Business Intelligence Engineer, Studio Data Operations</t>
  </si>
  <si>
    <t>https://jobright.ai/jobs/info/6985b13f8ca8121a3a67e289?utm_source=1100&amp;utm_campaign=Software Engineering</t>
  </si>
  <si>
    <t>Culver City, CA</t>
  </si>
  <si>
    <t>Artificial Intelligence (AI), Delivery</t>
  </si>
  <si>
    <t>1. Knowledge of data modeling and data pipeline design
2. Experience with data querying or modeling with SQL
3. Knowledge of BI analytics, reporting or visualization tools like Tableau, AWS QuickSight, Cognos or other third-party tools</t>
  </si>
  <si>
    <t>Software Dev Engineer II - AMZ26326.1</t>
  </si>
  <si>
    <t>https://jobright.ai/jobs/info/693101bd4c474121999eb2f7?utm_source=1100&amp;utm_campaign=Software Engineering</t>
  </si>
  <si>
    <t>Iowa City, IA</t>
  </si>
  <si>
    <t>1. Bachelor's degree or foreign equivalent in Computer Science, Engineering, Mathematics, or a related field
2. one year of experience in the job offered or a related occupation
3. one year of experience in designing and developing large-scale, multi-tiered, multi-threaded, embedded or distributed software applications, tools, systems, and services using: C#, C++, Java, or Perl
4. Object Oriented Design</t>
  </si>
  <si>
    <t>Akuna Capital</t>
  </si>
  <si>
    <t>Software Engineer (Entry-Level) - C++</t>
  </si>
  <si>
    <t>https://jobright.ai/jobs/info/697aea1bc532c4768fe0a87c?utm_source=1100&amp;utm_campaign=Software Engineering</t>
  </si>
  <si>
    <t>Chicago, IL</t>
  </si>
  <si>
    <t>Trading Platform</t>
  </si>
  <si>
    <t>1. BS/MS/PhD in Computer Science, Engineering, Math, Physics or related field completed upon employment
2. Experience programming in modern C++
3. Experience with several of the following – distributed systems, parallel processing, networking, data structures and algorithms and operating systems
4. Strong analytic and problem-solving skills
5. Exposure to scripting and rudimentary data mining and regression analysis, ideally in Python with Pandas and Numpy
...</t>
  </si>
  <si>
    <t>F5</t>
  </si>
  <si>
    <t>Engineer I, Software</t>
  </si>
  <si>
    <t>https://jobright.ai/jobs/info/698402cc348f733a5c37b417?utm_source=1100&amp;utm_campaign=Software Engineering</t>
  </si>
  <si>
    <t>Consumer Electronics, SaaS</t>
  </si>
  <si>
    <t>1. Bachelor’s degree, or foreign equivalent, in Computer Science, Data Science, Engineering (any field), or related quantitative discipline.
2. C
3. C++ &amp; OOP
4. Scripting: Python or Typescript
5. SQL
...</t>
  </si>
  <si>
    <t>Engineer II</t>
  </si>
  <si>
    <t>https://jobright.ai/jobs/info/69841f7a8da7a612045e16e2?utm_source=1100&amp;utm_campaign=Software Engineering</t>
  </si>
  <si>
    <t>1. Master’s degree, or foreign equivalent, in Computer Science, Information Systems, Engineering (any field), or related quantitative discipline
2. six (6) months of experience in job offered or in any occupation in a related field
3. Golang
4. MongoDB
5. Python
...</t>
  </si>
  <si>
    <t>https://jobright.ai/jobs/info/69841a948da7a612045e0cc3?utm_source=1100&amp;utm_campaign=Software Engineering</t>
  </si>
  <si>
    <t>1. Master’s degree, or foreign equivalent, in Computer Science, Telecommunications, Engineering (any field), or related quantitative discipline
2. one(1) year of experience in job offered or in any occupation in a related field
3. Docker
4. Linux or Unix
5. AWS
...</t>
  </si>
  <si>
    <t>WORLDPAC</t>
  </si>
  <si>
    <t>Quality Assurance Software Tester</t>
  </si>
  <si>
    <t>https://jobright.ai/jobs/info/698150cb49964d25b5e444fc?utm_source=1100&amp;utm_campaign=Software Engineering</t>
  </si>
  <si>
    <t>Oakbrook Terrace, IL</t>
  </si>
  <si>
    <t>E-Commerce, Electrical Distribution</t>
  </si>
  <si>
    <t>1. Bachelor’s degree or equivalent professional experience.
2. Demonstrated experience in manual software testing, preferably within a multi-domain or enterprise environment.
3. Experience testing IBM i (AS/400) applications, including green-screen and system integrations.
4. Experience with test case writing and execution, including positive, negative, and edge case testing.
5. Proficiency in SQL for data validation and test support.
...</t>
  </si>
  <si>
    <t>Java Developer</t>
  </si>
  <si>
    <t>Wiley</t>
  </si>
  <si>
    <t>$71K-$102K /yr</t>
  </si>
  <si>
    <t>https://jobright.ai/jobs/info/698b7348c5761b521a9af427?utm_source=1100&amp;utm_campaign=Software Engineering</t>
  </si>
  <si>
    <t>1. Basic understanding of web technologies including HTML, CSS, and JavaScript.
2. Familiarity with JavaScript and interest in learning modern frameworks like Ember and Angular.
3. Basic Python programming knowledge.
4. Willingness to learn additional backend languages like Go.
5. Understanding of SQL database concepts.
...</t>
  </si>
  <si>
    <t>Artificial Intelligence Engineer</t>
  </si>
  <si>
    <t>Wise Pelican</t>
  </si>
  <si>
    <t>$60K-$85K /yr</t>
  </si>
  <si>
    <t>https://jobright.ai/jobs/info/698bf7a6e4f6572f0e43eeca?utm_source=1100&amp;utm_campaign=Software Engineering</t>
  </si>
  <si>
    <t>Advertising, Marketing</t>
  </si>
  <si>
    <t>1. Strong portfolio, self-taught builder, or recent grad.
2. Solid foundation in TypeScript and front-end frameworks like React.
3. Comfortable with Git, Github, and CI/CD best practices (branches, PRs, rebasing, code review, github actions, testing, error logging).
4. Collaborative, creative, and unafraid to experiment.</t>
  </si>
  <si>
    <t>Software Engineer - Full Stack/Backend</t>
  </si>
  <si>
    <t>Worldscape</t>
  </si>
  <si>
    <t>$100000-$120000 /yr</t>
  </si>
  <si>
    <t>https://jobright.ai/jobs/info/698d421478b4502f12a3dc5b?utm_source=1100&amp;utm_campaign=Software Engineering</t>
  </si>
  <si>
    <t>11-50</t>
  </si>
  <si>
    <t>1. Bachelor’s degree in computer science, AI/ML, Data Engineering, or related field.
2. Strong proficiency in coding languages (e.g., C#, Java, Python, or C++).
3. Passion for solving customer problems.
4. Hands-on experience with data pipelines, cloud platforms (Azure, AWS, or GCP), and containerization (Docker/Kubernetes).
5. Proven ability to work in agile environments, managing ambiguity and delivering impactful outcomes.
...</t>
  </si>
  <si>
    <t>Data Engineer - AI Semantic Analytics</t>
  </si>
  <si>
    <t>Yahoo</t>
  </si>
  <si>
    <t>$76K-$159K /yr</t>
  </si>
  <si>
    <t>https://jobright.ai/jobs/info/698d0ebe78b4502f12a3876b?utm_source=1100&amp;utm_campaign=Software Engineering</t>
  </si>
  <si>
    <t>Email, Internet</t>
  </si>
  <si>
    <t>1. BS in Computer Science, Data Science, Engineering, or a related field (or equivalent experience).
2. Strong interest in AI-driven analytics, semantic data layers, and modern data access patterns.
3. Familiarity with SQL and cloud data warehouses such as BigQuery (or equivalent platforms like Snowflake/Redshift).
4. Understanding of data modeling principles and structured analytics workflows.
5. Strong analytical thinking and problem-solving skills.
...</t>
  </si>
  <si>
    <t>Production Engineer I</t>
  </si>
  <si>
    <t>$88K-$184K /yr</t>
  </si>
  <si>
    <t>https://jobright.ai/jobs/info/698ab2fb4db8972cec0018f1?utm_source=1100&amp;utm_campaign=Software Engineering</t>
  </si>
  <si>
    <t>1. BS/MS in Computer Science or equivalent degree
2. 1-3 years experience (academic, internship, or professional) in DevOps/ PE / SRE, Software Development or similar
3. 1-3 Years of experience in at least one of the web technologies like Apache, Jetty, Tomcat.
4. Hands-on experience or academic exposure to containerization and orchestration technologies (e.g., Docker, Kubernetes), cloud platforms such as AWS, or machine learning frameworks (e.g., PyTorch, TensorFlow).
5. Experience using modern development and AI tools such as Vertex AI, Claude Code, VS studio, GitHub Copilot, or equivalent platforms.
...</t>
  </si>
  <si>
    <t>Software Engineer, Security Products</t>
  </si>
  <si>
    <t>$150K-$180K /yr</t>
  </si>
  <si>
    <t>https://jobright.ai/jobs/info/696ffa400f4e0f657ea4529c?utm_source=1100&amp;utm_campaign=Software Engineering</t>
  </si>
  <si>
    <t>1. Minimum 1+ years of experience in a software engineering role. This role requires software development experience.
2. Experience with web application and API development in production environments. At Zip, our stack includes Python, Typescript, React, and GraphQL.</t>
  </si>
  <si>
    <t>Software Engineer I (Remote)</t>
  </si>
  <si>
    <t>Vitu</t>
  </si>
  <si>
    <t>$65K-$96K /yr</t>
  </si>
  <si>
    <t>https://jobright.ai/jobs/info/698c584978b4502f12a2dd43?utm_source=1100&amp;utm_campaign=Software Engineering</t>
  </si>
  <si>
    <t>1. Bachelor’s degree in Computer Science or related field or equivalent combination of industry related professional experience and education
2. Scrum Developer Certification or equivalent
3. 1– 3 years of working experience
4. Working experience in design, development, and implementation of highly scalable, high-volume software systems and components, client-facing web applications, and major Internet-oriented applications and systems
5. Working experience realizing applications from conception and design, to implementation and support
...</t>
  </si>
  <si>
    <t>Software Engineer II (Remote)</t>
  </si>
  <si>
    <t>$83K-$120K /yr</t>
  </si>
  <si>
    <t>https://jobright.ai/jobs/info/698c6307f64d441a164e55b6?utm_source=1100&amp;utm_campaign=Software Engineering</t>
  </si>
  <si>
    <t>1. 1– 3 years of working experience
2. Working experience in design, development, and implementation of highly scalable, high-volume software systems and components, client-facing web applications, and major Internet-oriented applications and systems
3. Working experience realizing applications from conception and design, to implementation and support
4. Working experience in coding within multiple technology stacks (e.g. Front-end: browser and device typically using common client-side technologies – HTML, CSS, JavaScript; Back-end: server, application, database using languages like PHP, Python, Ruby)
5. Working experience with application lifecycle methodologies (e.g. agile, iterative)
...</t>
  </si>
  <si>
    <t>Software Engineer - Perception</t>
  </si>
  <si>
    <t>Voxel</t>
  </si>
  <si>
    <t>$120K-$200K /yr</t>
  </si>
  <si>
    <t>https://jobright.ai/jobs/info/698c39b90f6f7e7a2ce7f095?utm_source=1100&amp;utm_campaign=Software Engineering</t>
  </si>
  <si>
    <t>101-250</t>
  </si>
  <si>
    <t>Artificial Intelligence (AI), Computer Vision</t>
  </si>
  <si>
    <t>1. Bachelor's degree in Computer Science, Robotics or a related field.
2. Software development experience with proficiency in Python, Go-Lang or C++.
3. Ability to solve complex and open-ended problems
4. Familiarity with version control systems like Git (e.g., branching, merging, pull requests).</t>
  </si>
  <si>
    <t>Jr Oracle and SQL DBA</t>
  </si>
  <si>
    <t>Westinghouse Electric Company</t>
  </si>
  <si>
    <t>$58K-$73K /yr</t>
  </si>
  <si>
    <t>https://jobright.ai/jobs/info/698a55e90f6f7e7a2ce56ebb?utm_source=1100&amp;utm_campaign=Software Engineering</t>
  </si>
  <si>
    <t>Electrical Distribution, Energy</t>
  </si>
  <si>
    <t>1. Bachelor's degree in computer science or information technology or related field
2. 0+ years of proven support in a SQL Server and Oracle database environments
3. Experience with Oracle and SQL Server standalone and clustered environments
4. Experience with Oracle 12c and 19c
5. Working knowledge of Windows and Linux Operating Systems
...</t>
  </si>
  <si>
    <t>Software Engineer, 2026 New Grad</t>
  </si>
  <si>
    <t>Whatnot</t>
  </si>
  <si>
    <t>$140K-$150K /yr</t>
  </si>
  <si>
    <t>https://jobright.ai/jobs/info/68f934a66de2db04dc3e6a0e?utm_source=1100&amp;utm_campaign=Software Engineering</t>
  </si>
  <si>
    <t>Collectibles, E-Commerce</t>
  </si>
  <si>
    <t>1. Graduating with a CS or Software Engineering degree in Dec 2025 or by Summer 2026
2. Industry software engineering experience
3. Problem solver and out-of-the-box thinker
4. Willing to take risks and build product and systems for 1M+ users
5. Capable of building scalable systems
...</t>
  </si>
  <si>
    <t>SDET I</t>
  </si>
  <si>
    <t>Verisk</t>
  </si>
  <si>
    <t>$80000-$85000 /yr</t>
  </si>
  <si>
    <t>https://jobright.ai/jobs/info/698563850f6f7e7a2ce01fe6?utm_source=1100&amp;utm_campaign=Software Engineering</t>
  </si>
  <si>
    <t>Lehi, UT, United States</t>
  </si>
  <si>
    <t>Analytics, Financial Services</t>
  </si>
  <si>
    <t>Software Engineer, Platform Infrastructure</t>
  </si>
  <si>
    <t>Verkada</t>
  </si>
  <si>
    <t>$120K-$220K /yr</t>
  </si>
  <si>
    <t>https://jobright.ai/jobs/info/6970a15351f726477182efdc?utm_source=1100&amp;utm_campaign=Software Engineering</t>
  </si>
  <si>
    <t>Artificial Intelligence (AI), Enterprise Software</t>
  </si>
  <si>
    <t>1. Must have a BS, MS, or PhD in Computer Science, or similar technical field of study
2. 1+ years of experience on cloud infrastructure or backend systems.
3. Strong problem solving and troubleshooting skills
4. Experience in Python and/or Go
5. Experience with one of the major cloud platforms (preferably AWS)
...</t>
  </si>
  <si>
    <t>Software Engineer - Transformation</t>
  </si>
  <si>
    <t>Visa</t>
  </si>
  <si>
    <t>$88K-$137K /yr</t>
  </si>
  <si>
    <t>https://jobright.ai/jobs/info/697aa2fc8dbbf73badc7df0d?utm_source=1100&amp;utm_campaign=Software Engineering</t>
  </si>
  <si>
    <t>Banking, Finance</t>
  </si>
  <si>
    <t>1. Minimum of 6 months of work experience or a Bachelor's Degree</t>
  </si>
  <si>
    <t>DevOps Engineer I</t>
  </si>
  <si>
    <t>BBG Ventures</t>
  </si>
  <si>
    <t>$1000000-$114000 /yr</t>
  </si>
  <si>
    <t>https://jobright.ai/jobs/info/6985d60b8da7a612046088ca?utm_source=1100&amp;utm_campaign=Software Engineering</t>
  </si>
  <si>
    <t>Education, Health Care</t>
  </si>
  <si>
    <t>1. Have worked on previous devops teams or worked in the capacity of devops engineer
2. Have worked with infrastructure as code technologies (terraform, cloudformation)
3. Have some major cloud provider experience (AWS, GCP, or Azure)
4. Experience in scripting languages (bash, python, or ruby preferred)
5. You've produced technical documentation about upcoming changes, rationale, and process for migration
...</t>
  </si>
  <si>
    <t>Data Enablement Engineer</t>
  </si>
  <si>
    <t>Betterment</t>
  </si>
  <si>
    <t>https://jobright.ai/jobs/info/68d733e2d3fe025a3015f7db?utm_source=1100&amp;utm_campaign=Software Engineering</t>
  </si>
  <si>
    <t>Betterment HQ - New York City</t>
  </si>
  <si>
    <t>Finance, Financial Services</t>
  </si>
  <si>
    <t>1. 1 - 3 years of experience writing SQL statements and transforming data
2. Familiarity with ETL, Python, and creating pipelines for large datasets
3. Passion for scaling and automating analytics work
4. Ability to take apart business problems, translate them into technical requirements, and translate results back to non-technical audiences
5. Autonomy, curiosity, and tenacity as a data issue detective</t>
  </si>
  <si>
    <t>AI/ML Research Scientist, Inverse Problems &amp; Machine Learning</t>
  </si>
  <si>
    <t>Biohub</t>
  </si>
  <si>
    <t>$169K-$232K /yr</t>
  </si>
  <si>
    <t>https://jobright.ai/jobs/info/6986c1ea8ca8121a3a692ff7?utm_source=1100&amp;utm_campaign=Software Engineering</t>
  </si>
  <si>
    <t>Redwood City, CA</t>
  </si>
  <si>
    <t>Bioinformatics, Biotechnology</t>
  </si>
  <si>
    <t>1. M.S. or Ph.D. in Applied Mathematics, Computer Science, Physics, Engineering, or a related field.
2. 1 - 5 years of relevant experience.
3. Strong foundation in inverse problems, optimization, or computational modeling.
4. Experience in machine learning and deep learning (e.g., PyTorch, TensorFlow).
5. Proficiency in Python or C++, and familiarity with scientific computing libraries.
...</t>
  </si>
  <si>
    <t>Cyber Operations, Analyst / Wilmington, DE</t>
  </si>
  <si>
    <t>$110000-$138000 /yr</t>
  </si>
  <si>
    <t>https://jobright.ai/jobs/info/698d2abcf64d441a164f2032?utm_source=1100&amp;utm_campaign=Software Engineering</t>
  </si>
  <si>
    <t>Wilmington, DE</t>
  </si>
  <si>
    <t>Asset Management, Crowdfunding</t>
  </si>
  <si>
    <t>1. Conceptual knowledge of Cyber Security and Information Technology.
2. Analytical and problem-solving skills
3. Experience with Defender and/or Purview
4. Ability to multitask with a strong attention to detail.
5. Strong communication, collaboration, and presentation skills.
...</t>
  </si>
  <si>
    <t>Full Stack Java Engineer - Aladdin Engineering, Alternatives, Associate</t>
  </si>
  <si>
    <t>Burford Capital</t>
  </si>
  <si>
    <t>$130K-$150K /yr</t>
  </si>
  <si>
    <t>https://jobright.ai/jobs/info/69861d028da7a6120460c5ee?utm_source=1100&amp;utm_campaign=Software Engineering</t>
  </si>
  <si>
    <t>Financial Services</t>
  </si>
  <si>
    <t>1. Bachelor’s degree in computer science, Engineering, Data Science, or related technical field.
2. Fluency in Python and familiarity with modern development practices.
3. Experience in building, testing, and deploying LLM-based applications, as well as experience using relevant AI stack (e.g. LLM frameworks, vector databases, etc.)
4. Experience with databases (e.g. PostgreSQL) and the basics of frontend development (React / Typescript).
5. Strong analytical and problem-solving ability; some minimal level of mathematical fluency is essential (e.g. comfortability with vectors, matrices, probability, etc.)
...</t>
  </si>
  <si>
    <t>$67,500-$100,000 /yr</t>
  </si>
  <si>
    <t>https://jobright.ai/jobs/info/698661b88ca8121a3a689edf?utm_source=1100&amp;utm_campaign=Software Engineering</t>
  </si>
  <si>
    <t>Holmdel, NJ, United States</t>
  </si>
  <si>
    <t>1. Bachelor’s Degree in Computer Science, Information Systems, or related field required.
2. Basic understanding of Windows Administration, Linux Administration, and IIS Management.
3. Knowledge of Amazon Web Services (AWS) and general cloud computing concepts – EC2, S3, RDS, VPC, Lambda, etc.
4. Familiarity with at least one programming or scripting language (e.g., Python, Bash, PowerShell).
5. Demonstrated mastery of Development tools and methodologies, such as Firewall concepts, network connectivity, XML config files, Rest API calls, HTTP Headers and Response Codes.
...</t>
  </si>
  <si>
    <t>Site Reliability Engineer I</t>
  </si>
  <si>
    <t>Uplight</t>
  </si>
  <si>
    <t>$83K-$103K /yr</t>
  </si>
  <si>
    <t>https://jobright.ai/jobs/info/698a514b4db8972cecff9045?utm_source=1100&amp;utm_campaign=Software Engineering</t>
  </si>
  <si>
    <t>Energy, Software</t>
  </si>
  <si>
    <t>1. You are a new developer
2. Python or other server-side programming languages
3. Have built APIs to industry-accepted RESTful standards
4. Demonstrable experience with writing unit and functional tests
5. Working knowledge of SQL and other data tools
...</t>
  </si>
  <si>
    <t>Automation Engineer</t>
  </si>
  <si>
    <t>VARITE INC</t>
  </si>
  <si>
    <t>$40-$45 /hr</t>
  </si>
  <si>
    <t>https://jobright.ai/jobs/info/698d097ff64d441a164ee73c?utm_source=1100&amp;utm_campaign=Software Engineering</t>
  </si>
  <si>
    <t>Mountain View, CA</t>
  </si>
  <si>
    <t>1. Automation QA (Test) Engineer designs, develops, and executes automated tests to ensure the quality and performance of software applications.
2. Prior experience at Client playing similar role is preferred
3. Designing and developing automated test scripts: This involves writing code to automate repetitive testing tasks.
4. Identifying opportunities for automation: Looking for areas where manual testing can be replaced or supplemented by automated tests.
5. Executing automated tests: Running the scripts to identify defects and ensure functionality.
...</t>
  </si>
  <si>
    <t>C++ Software Engineer — Systems</t>
  </si>
  <si>
    <t>Vast.ai</t>
  </si>
  <si>
    <t>$120K-$180K /yr</t>
  </si>
  <si>
    <t>https://jobright.ai/jobs/info/6848e942132739e8bcbe8e16?utm_source=1100&amp;utm_campaign=Software Engineering</t>
  </si>
  <si>
    <t>AI Infrastructure, Artificial Intelligence (AI)</t>
  </si>
  <si>
    <t>1. Strong programming skills in at least one language, ideally C++
2. Extensive knowledge of Linux kernel internals, containerization technologies, and virtualization
3. Deep understanding of workload and network isolation techniques in multi-tenant environments
4. Experience in securing and hardening cloud infrastructure, particularly in environments with untrusted workloads
5. Strong background in workload and network isolation, network security, and cloud-native security practices
...</t>
  </si>
  <si>
    <t>Systems/GPU Research Engineer</t>
  </si>
  <si>
    <t>$160K-$320K /yr</t>
  </si>
  <si>
    <t>https://jobright.ai/jobs/info/677ef9d4e0336989ef57dcf2?utm_source=1100&amp;utm_campaign=Software Engineering</t>
  </si>
  <si>
    <t>1. Expertise in systems engineering across the tech stack
2. Deep understanding of GPU architectures
3. Strong holistic background in neural network performance and tooling
4. Published research at top AI conferences
5. CUDA/C++, GPGPU, Python, Linux</t>
  </si>
  <si>
    <t>Software Engineer, ML</t>
  </si>
  <si>
    <t>$100K-$200K /yr</t>
  </si>
  <si>
    <t>https://jobright.ai/jobs/info/6971c06951f7264771843175?utm_source=1100&amp;utm_campaign=Software Engineering</t>
  </si>
  <si>
    <t>Multi Location
Seattle, WA
New York, NY</t>
  </si>
  <si>
    <t>Gaming, Media and Entertainment</t>
  </si>
  <si>
    <t>1. 1+ years of professional software development experience with a focus on building scalable systems
2. Experience building production ML infrastructure, including model deployment, serving, and monitoring systems
3. Proficiency in modern programming languages (Python, Java, Go) and distributed system technologies
4. A track record of building APIs and integrating systems that handle high-throughput, low-latency requirements
5. Understanding of data processing pipelines and experience with streaming technologies (Flink, Kafka, or similar)
...</t>
  </si>
  <si>
    <t>Software Development Engineer, Money</t>
  </si>
  <si>
    <t>$127,100-$185,000 /yr</t>
  </si>
  <si>
    <t>https://jobright.ai/jobs/info/6969ad761703f05405abaaf6?utm_source=1100&amp;utm_campaign=Software Engineering</t>
  </si>
  <si>
    <t>1. 1+ Years experience developing software in a professional environment
2. Prior experience building consumer-facing products at scale
3. Proficient coding skills in modern languages and frameworks
4. Proven ability with algorithms, data structures, data modeling, and schema design
5. Minimum of Bachelor’s degree in Computer Science or equivalent experience</t>
  </si>
  <si>
    <t>Software Engineer, Community Health</t>
  </si>
  <si>
    <t>$127100-$185000 /yr</t>
  </si>
  <si>
    <t>https://jobright.ai/jobs/info/698d3cecf64d441a164f40ea?utm_source=1100&amp;utm_campaign=Software Engineering</t>
  </si>
  <si>
    <t>1. 1+ years of experience working as a software development engineer
2. Bachelor's degree in Computer Science or related field or equivalent industry experience as a Software Engineer
3. A foundation in data structures and algorithms. Familiarity with scalability, concurrency, API design, data modeling, and distributed systems fundamentals
4. Willingness to try new things and work with a diverse group of people</t>
  </si>
  <si>
    <t>Two Dots</t>
  </si>
  <si>
    <t>$150K-$275K /yr</t>
  </si>
  <si>
    <t>https://jobright.ai/jobs/info/6968b11ef25a380066973d4e?utm_source=1100&amp;utm_campaign=Software Engineering</t>
  </si>
  <si>
    <t>Artificial Intelligence (AI), Fraud Detection</t>
  </si>
  <si>
    <t>1. Experience with Typescript
2. Experience with React
3. Experience with Node.js or Python
4. Experience with Postgres, Bigquery, or Redis
5. Experience with GCP</t>
  </si>
  <si>
    <t>Software Engineer, Trading Engineering</t>
  </si>
  <si>
    <t>$165K-$250K /yr</t>
  </si>
  <si>
    <t>https://jobright.ai/jobs/info/68cd5e341ad6b16f02898d01?utm_source=1100&amp;utm_campaign=Software Engineering</t>
  </si>
  <si>
    <t>New York, United States</t>
  </si>
  <si>
    <t>Big Data, Machine Learning</t>
  </si>
  <si>
    <t>1. Minimum 1 year of experience required; 2-6 years of experience preferred systems level development.
2. BS or MS degree in Computer Science, Engineering, or a related field.
3. Experience with C, C++, or Rust is required.
4. A high-level understanding of data structures and algorithms.</t>
  </si>
  <si>
    <t>Software Engineer, Enterprise Platform Engineering</t>
  </si>
  <si>
    <t>https://jobright.ai/jobs/info/68dedcb444d32141e0c0329d?utm_source=1100&amp;utm_campaign=Software Engineering</t>
  </si>
  <si>
    <t>1. Minimum 1 year of experience required
2. BS or MS degree in Computer Science, Engineering, or a related field
3. In-depth knowledge of Linux operating system and network fundamentals
4. Good understanding of system performance
5. Experience of working on large distributed system
...</t>
  </si>
  <si>
    <t>Software Engineer II- Backend, Marketplace/Maps/Membership/AV</t>
  </si>
  <si>
    <t>$171K-$190K /yr</t>
  </si>
  <si>
    <t>https://jobright.ai/jobs/info/6985307c348f733a5c39638d?utm_source=1100&amp;utm_campaign=Software Engineering</t>
  </si>
  <si>
    <t>Multi Location
San Francisco, CA
Sunnyvale, CA
Seattle, WA
New York, NY</t>
  </si>
  <si>
    <t>Logistics, Mobile Apps</t>
  </si>
  <si>
    <t>1. Bachelor's degree or equivalent in Computer Science, Engineering, Mathematics or related field with at least 1 year of full-time Software Engineering work experience OR PhD in Computer Science, Engineering, Mathematics or related field
2. Proficiency in at least one programming language such as Java, C++, Python, or Go
3. 1 year of experience with backend development, building and delivering end-user products.</t>
  </si>
  <si>
    <t>Crowds Artist</t>
  </si>
  <si>
    <t>The Walt Disney Company</t>
  </si>
  <si>
    <t>$60-$75 /hr</t>
  </si>
  <si>
    <t>https://jobright.ai/jobs/info/698729a98da7a61204623ea2?utm_source=1100&amp;utm_campaign=Software Engineering</t>
  </si>
  <si>
    <t>Amusement Park and Arcade, Animation</t>
  </si>
  <si>
    <t>1. Bachelor's degree in Computer Graphics, Computer Science, Engineering, and related fields, or equivalent experience
2. Understanding of rigging and animation techniques
3. Strong interest in Particle Systems, AI/Machine learning, or crowds systems (agent/brain design, simulation, and behavior)
4. Experience with commercial graphics packages such as Houdini
5. Solid understanding of the production processes and pipelines of CG Animation, VFX, or Video Game productions
...</t>
  </si>
  <si>
    <t>Consultant, Data Center Engineer</t>
  </si>
  <si>
    <t>Tower Research Capital</t>
  </si>
  <si>
    <t>https://jobright.ai/jobs/info/693742441c1c2161c13f2174?utm_source=1100&amp;utm_campaign=Software Engineering</t>
  </si>
  <si>
    <t>Multi Location
New York, United States
New York</t>
  </si>
  <si>
    <t>1. An understanding of data center management and layout (power, cooling, cabling)
2. An understanding of networking and systems concepts (circuits, IP routing, consoles, networking)
3. Working knowledge of Linux (Red Hat preferred)
4. Basic knowledge of Cisco (CCNA preferred)
5. Experience making and running patch cables
...</t>
  </si>
  <si>
    <t>Software Engineer - Early Career (USA)</t>
  </si>
  <si>
    <t>$130K-$175K /yr</t>
  </si>
  <si>
    <t>https://jobright.ai/jobs/info/68c040328e65e77df55bf6c3?utm_source=1100&amp;utm_campaign=Software Engineering</t>
  </si>
  <si>
    <t>NYC Metro Area</t>
  </si>
  <si>
    <t>Marketing, Real Estate</t>
  </si>
  <si>
    <t>1. BS/MS degree in Computer Science, or a related STEM field
2. Strong knowledge of data structures, algorithms, and object-oriented programming
3. Proficiency in one or more programming languages: C++, C, Python, Java, or Rust
4. Familiarity with Linux environments
5. Excellent problem-solving skills and ability to learn quickly in a collaborative team setting</t>
  </si>
  <si>
    <t>University Grad – Product Engineer (2026)</t>
  </si>
  <si>
    <t>TRM Labs</t>
  </si>
  <si>
    <t>https://jobright.ai/jobs/info/68dc8bfcddc10244dd676b21?utm_source=1100&amp;utm_campaign=Software Engineering</t>
  </si>
  <si>
    <t>Big Data, Blockchain</t>
  </si>
  <si>
    <t>1. A Bachelor’s or Master’s degree in Computer Science or a closely related technical field (completed by Summer 2026).
2. 1–2 software engineering internships, or equivalent experience through academic or personal projects.
3. Familiarity with JavaScript/TypeScript and an interest in full-stack development (React, Node.js, Postgres).
4. An eagerness to learn: you take feedback well and show curiosity about unfamiliar systems or tools.
5. Strong communication skills—you keep your team updated, ask questions early, and can explain your thinking clearly.
...</t>
  </si>
  <si>
    <t>Software Development Engineer - 2026 (US)</t>
  </si>
  <si>
    <t>$110K-$160K /yr</t>
  </si>
  <si>
    <t>https://jobright.ai/jobs/info/698bff790f6f7e7a2ce78ef3?utm_source=1100&amp;utm_campaign=Software Engineering</t>
  </si>
  <si>
    <t>1. Experience with at least one general-purpose programming language such as Java, Python, C++, C#, Go, Rust, or TypeScript
2. Experience with data structure implementation, basic algorithm development, and/or object-oriented design principles
3. Currently has, or is in the process of obtaining a bachelor’s degree in Computer Science, Computer Engineering, Data Science, Information Systems, or related STEM fields
4. Must be 18 years of age of older</t>
  </si>
  <si>
    <t>Back End Engineer</t>
  </si>
  <si>
    <t>1stDibs</t>
  </si>
  <si>
    <t>$100,000-$125,000 /yr</t>
  </si>
  <si>
    <t>https://jobright.ai/jobs/info/698cd68d78b4502f12a35166?utm_source=1100&amp;utm_campaign=Software Engineering</t>
  </si>
  <si>
    <t>Art, E-Commerce</t>
  </si>
  <si>
    <t>1. 1-2 years of Java experience and understanding
2. Genuine passion for architecting software solutions
3. Adding to organizational efficiency through contributing to shared libraries and components
4. Experience providing thoughtful code reviews, mentorship
5. Ability to bring your intellectual curiosity and thoughtful opinions with you every single day
...</t>
  </si>
  <si>
    <t>Emerging Talent Engineering Opportunities (Full-Time)</t>
  </si>
  <si>
    <t>Tessera Labs</t>
  </si>
  <si>
    <t>$100K-$150K /yr</t>
  </si>
  <si>
    <t>https://jobright.ai/jobs/info/698d22cdf64d441a164f1653?utm_source=1100&amp;utm_campaign=Software Engineering</t>
  </si>
  <si>
    <t>Multi Location
New York, NY
San Jose, CA</t>
  </si>
  <si>
    <t>1. Graduating seniors looking for full-time roles
2. Curious builders who want to work in AI
3. A current undergraduate student or graduating senior
4. Curious about AI, startups, and building real products
5. Comfortable learning quickly
...</t>
  </si>
  <si>
    <t>Workflow and UI Automation Developer  - LATAM</t>
  </si>
  <si>
    <t>Destify</t>
  </si>
  <si>
    <t>$110000-$130000 /yr</t>
  </si>
  <si>
    <t>https://jobright.ai/jobs/info/698a9b560f6f7e7a2ce5d057?utm_source=1100&amp;utm_campaign=Software Engineering</t>
  </si>
  <si>
    <t>Remote Worker - N/A</t>
  </si>
  <si>
    <t>1. 1-2 years experience developing in HubSpot.
2. Strong knowledge and experience in building HubSpot Workflows and utilizing their API for CRUD and Batch operations.
3. Strong proficiency in n8n (JSON, data transformation, and core nodes).
4. Solid grasp of building and maintaining JavaScript/TypeScript functions in automation nodes and webhook frameworks.
5. Strong proficiency in React development and rendering lifecycle.
...</t>
  </si>
  <si>
    <t>Implementation Engineer</t>
  </si>
  <si>
    <t>SPX Technologies</t>
  </si>
  <si>
    <t>$91K-$155K /yr</t>
  </si>
  <si>
    <t>https://jobright.ai/jobs/info/69685710f25a38006696bddd?utm_source=1100&amp;utm_campaign=Software Engineering</t>
  </si>
  <si>
    <t>Elk Grove Village, IL</t>
  </si>
  <si>
    <t>1. Bachelor’s degree in Computer Science, Information Technology, Electronics, or equivalent experience.
2. 1–5 years experience in SaaS implementation, technical onboarding, professional services, or field integrations (hardware + software).
3. Practical familiarity with multi-tenant SaaS environments and tenant configuration principles.
4. Practical familiarity with MySQL and MongoDB (basic to intermediate: CRUD, simple joins, queries and updates).
5. Practical familiarity with AWS S3 for storage and config management.
...</t>
  </si>
  <si>
    <t>Entry-Level Python Engineer [32868]</t>
  </si>
  <si>
    <t>Stealth Startup</t>
  </si>
  <si>
    <t>$150K-$150K /yr</t>
  </si>
  <si>
    <t>https://jobright.ai/jobs/info/698aeb180f6f7e7a2ce63624?utm_source=1100&amp;utm_campaign=Software Engineering</t>
  </si>
  <si>
    <t>1. Bachelor’s degree in Computer Science, Engineering, or related field (or equivalent experience)
2. Solid understanding of Python fundamentals
3. Knowledge of data structures, algorithms, and OOP concepts
4. Familiarity with Git and basic development workflows
5. Strong problem-solving skills and eagerness to learn</t>
  </si>
  <si>
    <t>Entry-Level Python / AI Engineer</t>
  </si>
  <si>
    <t>https://jobright.ai/jobs/info/6989f9810f6f7e7a2ce50ce8?utm_source=1100&amp;utm_campaign=Software Engineering</t>
  </si>
  <si>
    <t>1. Bachelor’s degree in Computer Science, Engineering, AI, or related field (or equivalent experience)
2. Strong foundation in Python
3. Basic understanding of machine learning concepts (supervised/unsupervised learning)
4. Familiarity with libraries such as NumPy, Pandas, scikit-learn, PyTorch, or TensorFlow
5. Understanding of data structures, algorithms, and OOP
...</t>
  </si>
  <si>
    <t>Software Engineer I - Infrastructure (New Grad)</t>
  </si>
  <si>
    <t>$125000-$150000 /yr</t>
  </si>
  <si>
    <t>https://jobright.ai/jobs/info/698ba72a0f6f7e7a2ce721a0?utm_source=1100&amp;utm_campaign=Software Engineering</t>
  </si>
  <si>
    <t>New York, NY, US</t>
  </si>
  <si>
    <t>E-Commerce, Marketplace</t>
  </si>
  <si>
    <t>1. 1-2 software engineering internships, or equivalent demonstration
2. Exposure to designing and developing robust, distributed systems using multiple general-purpose programming languages (e.g., Java, C#, Python, Golang)
3. Exposure to designing and developing solutions to complex problems with significant business impact
4. Proven ability to learn other coding languages, platforms, frameworks, and tools
5. Understanding of the full software development life cycle, including coding standards, code reviews, source control management, build processes, testing, and operations</t>
  </si>
  <si>
    <t>$225000-$225000 /yr</t>
  </si>
  <si>
    <t>https://jobright.ai/jobs/info/68cb75559e3a822f5d2462a3?utm_source=1100&amp;utm_campaign=Software Engineering</t>
  </si>
  <si>
    <t>Financial Services, Real Estate</t>
  </si>
  <si>
    <t>1. Exceptional software developers with a range of quantitative and programming abilities
2. Excellent analytical, mathematical, and software design skills
3. Experience in formulating statistical models for computerized trading strategies
4. Experience in developing distributed systems to analyze and react to incoming data in real time
5. Experience in creating tools for advanced mathematical modeling
...</t>
  </si>
  <si>
    <t>Software Engineer, New Grad (2026)</t>
  </si>
  <si>
    <t>Airtable</t>
  </si>
  <si>
    <t>$170000-$170000 /yr</t>
  </si>
  <si>
    <t>https://jobright.ai/jobs/info/698a89d24db8972cecffe3ff?utm_source=1100&amp;utm_campaign=Software Engineering</t>
  </si>
  <si>
    <t>Database, Developer Tools</t>
  </si>
  <si>
    <t>1. 2026 Graduate
2. You must reside in or be open to relocating to our offices in either San Francisco or New York City for this position
3. You will be required to work 2 days/week in-office.
4. You will start with our July/August 2026 Cohort
5. You must be graduating from an engineering degree seeking program (Bachelor’s or Master’s) in 2026
...</t>
  </si>
  <si>
    <t>RCM Automation Engineer (Revenue Cycle Experience is Required)</t>
  </si>
  <si>
    <t>Radiology Partners</t>
  </si>
  <si>
    <t>$85K-$95K /yr</t>
  </si>
  <si>
    <t>https://jobright.ai/jobs/info/6944818ddd382f5f566aae25?utm_source=1100&amp;utm_campaign=Software Engineering</t>
  </si>
  <si>
    <t>Health Care, Health Diagnostics</t>
  </si>
  <si>
    <t>1. Bachelor’s degree in Computer Science, Software Engineering, Data Science, or related field.
2. 1-3 years of experience in automation, software development, or process engineering (UiPath, Power Automate, Blue Prism, or equivalent).
3. Demonstrated familiarity with cloud automation or AI ecosystems (Azure, AWS, Copilot, and Google Cloud).
4. Understanding of prompt design or LLM based automation.
5. Exposure to AI-driven automation platforms or agentic tooling (OpenAI, AWS Bedrock, Copilot Studio, or equivalent).
...</t>
  </si>
  <si>
    <t>RBC</t>
  </si>
  <si>
    <t>$110K-$200K /yr</t>
  </si>
  <si>
    <t>https://jobright.ai/jobs/info/69705241587dfa0bb55dd85d?utm_source=1100&amp;utm_campaign=Software Engineering</t>
  </si>
  <si>
    <t>Banking, Financial Services</t>
  </si>
  <si>
    <t>1. Bachelor’s Degree (or higher) in Computer Science, Engineering, Data Science, or related Quantitative field
2. 1 – 5 years of coding in Python; including experience with libraries such as Pandas or NumPy for data manipulation and visualization
3. Familiarity with building and training machine learning models (e.g., regression, classification, clustering) using frameworks like Scikit-learn, TensorFlow, or PyTorch
4. Exposure to natural language processing (NLP) concepts, such as text preprocessing, sentiment analysis, or basic chatbot implementations
5. Understanding of image processing techniques (e.g., OpenCV) or document parsing (e.g., OCR tools) for tasks like data extraction
...</t>
  </si>
  <si>
    <t>Full-Stack React/Node.js Developer (ON-SITE)</t>
  </si>
  <si>
    <t>Ringy</t>
  </si>
  <si>
    <t>$70K-$130K /yr</t>
  </si>
  <si>
    <t>https://jobright.ai/jobs/info/698a63780f6f7e7a2ce584fe?utm_source=1100&amp;utm_campaign=Software Engineering</t>
  </si>
  <si>
    <t>Denver, CO</t>
  </si>
  <si>
    <t>Cloud Data Services, CRM</t>
  </si>
  <si>
    <t>1. BACHELORS DEGREE IN COMPUTER SCIENCE OR SIMILAR ENGINEERING DEGREE REQUIRED
2. Some experience in ReactJS, Node.js, HTML5, CSS3, and JavaScript
3. Some experience in creating responsive web applications and cross-browser compatibility
4. Understanding of RESTful API design and development
5. Experience with common front-end development tools such as Babel, Webpack, NPM, etc.
...</t>
  </si>
  <si>
    <t>Associate Data Scientist</t>
  </si>
  <si>
    <t>Quantifind</t>
  </si>
  <si>
    <t>$100000-$130000 /yr</t>
  </si>
  <si>
    <t>https://jobright.ai/jobs/info/698a728f4db8972cecffc350?utm_source=1100&amp;utm_campaign=Software Engineering</t>
  </si>
  <si>
    <t>Multi Location
Palo Alto, CA
Washington, DC or Palo Alto, CA</t>
  </si>
  <si>
    <t>Analytics, Artificial Intelligence (AI)</t>
  </si>
  <si>
    <t>1. MS or higher in the following areas: Statistics, Mathematics, or Computer Science
2. At least 1 year of professional industry experience, in addition to your academic experience
3. Outstanding analytical skills and the ability to communicate quantitative results to technical and non-technical audiences
4. Strong knowledge of Statistics/Probability/Machine Learning including core concepts of hypothesis testing, inference, bias-variance trade-off, regularization, dimensionality reduction etc.
5. Experience using supervised and unsupervised statistical techniques such as regression, classification, and clustering
...</t>
  </si>
  <si>
    <t>Software Development Engineer: Entry-Level</t>
  </si>
  <si>
    <t>Qumulo</t>
  </si>
  <si>
    <t>$127K-$191K /yr</t>
  </si>
  <si>
    <t>https://jobright.ai/jobs/info/698d486678b4502f12a3e820?utm_source=1100&amp;utm_campaign=Software Engineering</t>
  </si>
  <si>
    <t>Big Data, Cloud Data Services</t>
  </si>
  <si>
    <t>1. Ability to write well-factored and well-tested code
2. Strong grasp of algorithms and data structures, with some experience in distributed systems, database concepts, concurrent programming, or operating systems concepts
3. At least one class, internship or personal project using C, C++, Rust, Java, or Go
4. Willingness to work collaboratively with a team to solve complex problems
5. Finishing a BS or BA in Computer Science or Computer Engineering or equivalent experience</t>
  </si>
  <si>
    <t>Machine Learning Engineer New Grad 2025-2026 - Ads, Quora (Remote)</t>
  </si>
  <si>
    <t>Quora</t>
  </si>
  <si>
    <t>$107K-$160K /yr</t>
  </si>
  <si>
    <t>https://jobright.ai/jobs/info/69855cfd0f6f7e7a2ce012bf?utm_source=1100&amp;utm_campaign=Software Engineering</t>
  </si>
  <si>
    <t>Multi Location
Austin, TX
United States</t>
  </si>
  <si>
    <t>Copywriting, Information Services</t>
  </si>
  <si>
    <t>1. Ability to be available for meetings and impromptu communication during Quora's “coordination hours" (Mon-Fri: 9am-3pm Pacific Time)
2. A 2025 or Summer 2026 graduate with or pursuing a B.S., M.S., or Ph.D. in Computer Science, Engineering or a related technical field
3. Strong understanding of mathematical foundations of Machine Learning algorithms
4. Knowledge of Python or C++, or the ability to learn them quickly
5. A passion for learning and always improving yourself and the team around you</t>
  </si>
  <si>
    <t>Full Stack .Net Developer</t>
  </si>
  <si>
    <t>LDP</t>
  </si>
  <si>
    <t>$50K-$80K /yr</t>
  </si>
  <si>
    <t>https://jobright.ai/jobs/info/698c5d9178b4502f12a2e37c?utm_source=1100&amp;utm_campaign=Software Engineering</t>
  </si>
  <si>
    <t>Harrisburg, PA</t>
  </si>
  <si>
    <t>Compliance, Consulting</t>
  </si>
  <si>
    <t>1. Experience in .NET
2. Experience with SQL Server, including a thorough understanding of T-SQL
3. Experience with HTML and JavaScript
4. Experience developing for multiple web browsers</t>
  </si>
  <si>
    <t>Embedded Software Engineer</t>
  </si>
  <si>
    <t>Lexington Medical, Inc</t>
  </si>
  <si>
    <t>$80K-$110K /yr</t>
  </si>
  <si>
    <t>https://jobright.ai/jobs/info/695e8c5e0badca5763aefa2d?utm_source=1100&amp;utm_campaign=Software Engineering</t>
  </si>
  <si>
    <t>Bedford, MA</t>
  </si>
  <si>
    <t>Health Care, Manufacturing</t>
  </si>
  <si>
    <t>1. Bachelor’s or Master’s degree in Computer Science, Electrical Engineering, Computer Engineering, Robotics, or a related discipline.
2. 1+ years of relevant experience, including internships or co-ops with significant hands-on embedded or hardware-focused work.
3. Experience writing and debugging embedded C or C++ code.
4. Comfort working with microcontrollers, hardware-level debugging tools, and lab equipment.
5. Exposure to real-time or bare-metal embedded systems.
...</t>
  </si>
  <si>
    <t>Computer Engineer I/II</t>
  </si>
  <si>
    <t>Lila Sciences</t>
  </si>
  <si>
    <t>$76K-$125K /yr</t>
  </si>
  <si>
    <t>https://jobright.ai/jobs/info/6938b554a0dde7020e3150b9?utm_source=1100&amp;utm_campaign=Software Engineering</t>
  </si>
  <si>
    <t>Cambridge, MA</t>
  </si>
  <si>
    <t>Artificial Intelligence (AI), Foundational AI</t>
  </si>
  <si>
    <t>1. Bachelor's degree in Computer Science, Computer Engineering, or related field (recent grads welcome)
2. Understanding of some operating systems concepts: scheduling, processes, concurrency, resource allocation
3. Proficiency with PowerShell scripting (non-negotiable—until we change the world we live here.)
4. Ability to debug problems methodically when documentation doesn't exist
5. Self-motivated team player who values collaboration and building genuine relationships with colleagues</t>
  </si>
  <si>
    <t>Software Engineer, Server</t>
  </si>
  <si>
    <t>Lyft</t>
  </si>
  <si>
    <t>$108K-$135K /yr</t>
  </si>
  <si>
    <t>https://jobright.ai/jobs/info/6979a7e4d7df290257fc19b8?utm_source=1100&amp;utm_campaign=Software Engineering</t>
  </si>
  <si>
    <t>San Francisco County, CA</t>
  </si>
  <si>
    <t>Apps, Mobile Apps</t>
  </si>
  <si>
    <t>1. BS/MS or equivalent in Computer Engineering, Computer Science, or related field or equivalent practical experience
2. Experience with Python and/or Go.
3. Proficiency in object-oriented programming
4. Experience working with data structures or algorithms
5. Ability to work with a low-ego, highly collaborative, and cross-functional team</t>
  </si>
  <si>
    <t>Galileo Financial Technologies</t>
  </si>
  <si>
    <t>$106K-$198K /yr</t>
  </si>
  <si>
    <t>https://jobright.ai/jobs/info/698549e78da7a612045fbee3?utm_source=1100&amp;utm_campaign=Software Engineering</t>
  </si>
  <si>
    <t>Banking, Decentralized Finance (DeFi)</t>
  </si>
  <si>
    <t>1. Bachelor's or Master's degree in Computer Science, or Software Engineering
2. Have no more than 2+ years of professional full-time relevant work experience
3. Strong sense of ownership and willingness to learn unfamiliar systems
4. Affinity for solving complex problems and the drive to dive deep into the technical details
5. Proficiency in Python, Java or another modern object-oriented language
...</t>
  </si>
  <si>
    <t>Software Engineer (New Grads)</t>
  </si>
  <si>
    <t>Giga</t>
  </si>
  <si>
    <t>$160000-$250000 /yr</t>
  </si>
  <si>
    <t>https://jobright.ai/jobs/info/6987dd510f6f7e7a2ce303d5?utm_source=1100&amp;utm_campaign=Software Engineering</t>
  </si>
  <si>
    <t>Artificial Intelligence (AI), B2C</t>
  </si>
  <si>
    <t>1. Are graduating (or recently graduated) with a CS degree or equivalent background
2. Have internship experience or significant projects where you wrote production-quality code
3. Can take a problem, figure out an approach, and unblock yourself when you get stuck
4. Prefer shipping over perfection but still care about quality
5. Want to work at a startup where you'll have real responsibility early</t>
  </si>
  <si>
    <t>Software Engineer I / II</t>
  </si>
  <si>
    <t>$160K-$250K /yr</t>
  </si>
  <si>
    <t>https://jobright.ai/jobs/info/698c1006e4f6572f0e440a02?utm_source=1100&amp;utm_campaign=Software Engineering</t>
  </si>
  <si>
    <t>Multi Location
NYC Metro Area
San Francisco Bay Area
San Francisco, CA</t>
  </si>
  <si>
    <t>1. 1-3 years of professional software engineering experience
2. Curious and ask good questions—you want to understand why things work, not just how
3. Can take feedback well and iterate quickly
4. Prefer shipping over perfection but still care about quality
5. Want to grow at a startup where you'll have real responsibility early</t>
  </si>
  <si>
    <t>https://jobright.ai/jobs/info/69880d6e8da7a61204631762?utm_source=1100&amp;utm_campaign=Software Engineering</t>
  </si>
  <si>
    <t>Engineering Analyst, AI Safety</t>
  </si>
  <si>
    <t>Google</t>
  </si>
  <si>
    <t>$105K-$151K /yr</t>
  </si>
  <si>
    <t>https://jobright.ai/jobs/info/698cd4050f6f7e7a2ce8887c?utm_source=1100&amp;utm_campaign=Software Engineering</t>
  </si>
  <si>
    <t>Multi Location
Seattle, WA
Kirkland, WA</t>
  </si>
  <si>
    <t>1. Bachelor's degree or equivalent practical experience.
2. 1 year of experience in data analysis, including identifying trends, generating summary statistics, and drawing insights from quantitative and qualitative data.
3. 1 year of experience managing projects and defining project scope, goals, and deliverables.
4. Experience working with SQL or Python.</t>
  </si>
  <si>
    <t>Software Engineer - AI</t>
  </si>
  <si>
    <t>Promise</t>
  </si>
  <si>
    <t>$100000-$125000 /yr</t>
  </si>
  <si>
    <t>https://jobright.ai/jobs/info/68a8f2b2d627244576e3683a?utm_source=1100&amp;utm_campaign=Software Engineering</t>
  </si>
  <si>
    <t>Chicago, Illinois, United States</t>
  </si>
  <si>
    <t>Financial Services, Professional Services</t>
  </si>
  <si>
    <t>1. Bachelor’s degree in engineering, Finance, Statistics, Computer Science, or Data Science (STEM discipline preferred); advanced degree is a plus
2. 1–3 years of experience, preferably in financial services or investment management
3. Understanding of portfolio theory, risk management, and investment analytics
4. Proficient in Python for data science, statistical analysis and ETL
5. Proven ability to design data pipelines on Microsoft Azure with continuous delivery, automation, and orchestration
...</t>
  </si>
  <si>
    <t>Gen AI Engineer</t>
  </si>
  <si>
    <t>HCLTech</t>
  </si>
  <si>
    <t>$100K-$120K /yr</t>
  </si>
  <si>
    <t>https://jobright.ai/jobs/info/69853ddb0f6f7e7a2cdfdaf0?utm_source=1100&amp;utm_campaign=Software Engineering</t>
  </si>
  <si>
    <t>Information and Communications Technology (ICT), IT Management</t>
  </si>
  <si>
    <t>1. Python (scripting, data manipulation); familiarity with NumPy, Pandas, Matplotlib, Scikit Learn etc.
2. GenAI / Agent frameworks: Autogen, Semantic Kernel, Azure AI Foundry, Azure OpenAI, LangChain, LangGraph.
3. Understanding of machine learning fundamentals: supervised vs. unsupervised learning, neural networks, NLP.
4. Familiarity with GenAI tools: MCP Server, Agent 2 Agent Communication, Hugging Face Transformers, OpenAI APIs, and diffusion models (for image generation).
5. Working knowledge of Azure platform and PaaS services.
...</t>
  </si>
  <si>
    <t>Gen AI Architect</t>
  </si>
  <si>
    <t>$150K-$200K /yr</t>
  </si>
  <si>
    <t>https://jobright.ai/jobs/info/698605d18da7a6120460b5c4?utm_source=1100&amp;utm_campaign=Software Engineering</t>
  </si>
  <si>
    <t>Master's University Grad Machine Learning Engineer 2026 (USA)</t>
  </si>
  <si>
    <t>Pinterest</t>
  </si>
  <si>
    <t>$136,700-$175,140 /yr</t>
  </si>
  <si>
    <t>https://jobright.ai/jobs/info/69725fc0584a1c1ef6fd6453?utm_source=1100&amp;utm_campaign=Software Engineering</t>
  </si>
  <si>
    <t>Multi Location
New York, NY
Palo Alto, CA
Seattle, WA
San Francisco, CA</t>
  </si>
  <si>
    <t>Internet, Social Bookmarking</t>
  </si>
  <si>
    <t>1. Master's in Computer Science, ML, NLP, Statistics, Information Sciences or related field required
2. Machine Learning experience (ranking, computer vision, NLP, content recommendations, embedding, information retrieval etc)
3. Experience with big data technologies (e.g., Hadoop/Spark) and scalable realtime systems that process stream data
4. Mastery of at least one systems languages (Java, C++, Python) or one ML framework (Tensorflow, Pytorch, MLFlow)
5. Cross-functional collaborator and strong communicator
...</t>
  </si>
  <si>
    <t>Software Engineer, Map Generalist</t>
  </si>
  <si>
    <t>Pony.ai</t>
  </si>
  <si>
    <t>https://jobright.ai/jobs/info/68a7bfbdd627244576e2e633?utm_source=1100&amp;utm_campaign=Software Engineering</t>
  </si>
  <si>
    <t>Fremont, CA</t>
  </si>
  <si>
    <t>Artificial Intelligence (AI), Automotive</t>
  </si>
  <si>
    <t>1. BS, MS or PhD in Mechanical Engineering, Electrical Engineering, Robotics, Aerospace Engineering, Computer Science or other related fields
2. Strong programming skills in C++
3. Software engineering experience
4. Strong mathematical skills</t>
  </si>
  <si>
    <t>Software Engineer - Perception Infrastructure</t>
  </si>
  <si>
    <t>https://jobright.ai/jobs/info/6940ae7a50bbaf765052b3e1?utm_source=1100&amp;utm_campaign=Software Engineering</t>
  </si>
  <si>
    <t>1. Strong programming skills in C++, with a solid foundation in data structures and algorithms.
2. BS/MS or Ph.D in Computer Science or a related field
3. Open to master new grads/fresh PhD</t>
  </si>
  <si>
    <t>Software Development Engineer II - EDI</t>
  </si>
  <si>
    <t>Premera Blue Cross</t>
  </si>
  <si>
    <t>$81100-$137900 /yr</t>
  </si>
  <si>
    <t>https://jobright.ai/jobs/info/698a7bae4db8972cecffce1c?utm_source=1100&amp;utm_campaign=Software Engineering</t>
  </si>
  <si>
    <t>Mountlake Terrace WA</t>
  </si>
  <si>
    <t>Cyber Security, Health Care</t>
  </si>
  <si>
    <t>1. Bachelor’s degree in computer science or information systems
2. One (1) year of software development experience, knowledge of software development lifecycle, and skills to utilize one or more programming languages</t>
  </si>
  <si>
    <t>Software Verification Engineer</t>
  </si>
  <si>
    <t>Safe Flight Instrument, LLC</t>
  </si>
  <si>
    <t>$68K-$92K /yr</t>
  </si>
  <si>
    <t>https://jobright.ai/jobs/info/69855b708da7a612045fdf02?utm_source=1100&amp;utm_campaign=Software Engineering</t>
  </si>
  <si>
    <t>White Plains, NY</t>
  </si>
  <si>
    <t>Aerospace, Manufacturing</t>
  </si>
  <si>
    <t>1. Proven software verification experience in black box and white box environments.
2. Proficiency in Python.
3. Fluent in C.
4. Excellent verbal and written communication skills.
5. Excellent organizational skills and attention to detail.
...</t>
  </si>
  <si>
    <t>Machine Learning Research Scientist, Postdoctoral Fellow</t>
  </si>
  <si>
    <t>SandboxAQ</t>
  </si>
  <si>
    <t>$115K-$135K /yr</t>
  </si>
  <si>
    <t>https://jobright.ai/jobs/info/692f83affa28370be26ab03b?utm_source=1100&amp;utm_campaign=Software Engineering</t>
  </si>
  <si>
    <t>Artificial Intelligence (AI), Cyber Security</t>
  </si>
  <si>
    <t>1. PhD in Machine Learning, Data Science, Computer Science, or a related field with a strong focus on Machine Learning.
2. Strong experience in Python and ML frameworks such as Hugging Face Transformers, LangChain, TensorFlow, or PyTorch.
3. Successful research track record in the field of Machine Learning.
4. Hands-on model development skills, including building models from scratch and running inference efficiently (generative and quantitative).</t>
  </si>
  <si>
    <t>Associate Engineer, Software Engineering ( New College Graduate)</t>
  </si>
  <si>
    <t>Saviynt</t>
  </si>
  <si>
    <t>$90000-$130000 /yr</t>
  </si>
  <si>
    <t>https://jobright.ai/jobs/info/698c10e6e4f6572f0e440b12?utm_source=1100&amp;utm_campaign=Software Engineering</t>
  </si>
  <si>
    <t>Milpitas, California</t>
  </si>
  <si>
    <t>Artificial Intelligence (AI), Cloud Data Services</t>
  </si>
  <si>
    <t>1. Graduating in 2026 with a Masters or PhD in Computer Science, Data Science, Engineering, or a related field
2. Strong foundation in Python, Go, or similar programming languages
3. Familiarity with data structures, algorithms, and software development principles
4. Experience in applied AI or machine learning
5. Excellent problem-solving skills, curiosity, and eagerness to learn</t>
  </si>
  <si>
    <t>$90K-$130K /yr</t>
  </si>
  <si>
    <t>https://jobright.ai/jobs/info/698c31140f6f7e7a2ce7e4fb?utm_source=1100&amp;utm_campaign=Software Engineering</t>
  </si>
  <si>
    <t>Milpitas, CA</t>
  </si>
  <si>
    <t>Software Engineer - New Grad</t>
  </si>
  <si>
    <t>Scale AI</t>
  </si>
  <si>
    <t>$124000-$155000 /yr</t>
  </si>
  <si>
    <t>https://jobright.ai/jobs/info/68cf5685846f0b04af681243?utm_source=1100&amp;utm_campaign=Software Engineering</t>
  </si>
  <si>
    <t>San Francisco Bay Area</t>
  </si>
  <si>
    <t>1. A graduation date in Fall 2025 or Spring 2026 with a Bachelor’s degree (or equivalent) in a relevant field (Computer Science, EECS, Computer Engineering, Statistics)
2. Product engineering experience such as building web apps full-stack, integrating with relevant APIs and services, talking to customers, figuring out ‘what’ to build and then iterating
3. Previous Product/Software Engineering Internship experience
4. Track record of shipping high-quality products and features at scale
5. Experience building systems that process large volumes of data
...</t>
  </si>
  <si>
    <t>Scopely</t>
  </si>
  <si>
    <t>$108K-$165K /yr</t>
  </si>
  <si>
    <t>https://jobright.ai/jobs/info/696980ca1703f05405ab6c46?utm_source=1100&amp;utm_campaign=Software Engineering</t>
  </si>
  <si>
    <t>Digital Entertainment, Mobile Apps</t>
  </si>
  <si>
    <t>1. Experience as part of a professional game development team or other relevant area
2. Experience with and knowledge of Unity Game Engine or a similar technology (i.e. Unreal Engine)
3. Strong software engineering fundamentals (data structures, concurrency, design patterns, algorithms)
4. Knowledge of game framework architecture at scale, maintainability over time, robust API design, etc
5. Solid understanding of mobile networking architecture
...</t>
  </si>
  <si>
    <t>Software Engineer, Full Stack</t>
  </si>
  <si>
    <t>$160K-$220K /yr</t>
  </si>
  <si>
    <t>https://jobright.ai/jobs/info/698cd90c78b4502f12a353d2?utm_source=1100&amp;utm_campaign=Software Engineering</t>
  </si>
  <si>
    <t>Artificial Intelligence (AI), Drone Management</t>
  </si>
  <si>
    <t>1. 1–3+ years of experience building and shipping customer-facing software across the stack.
2. Experience with modern web development technologies such as React and TypeScript.
3. Experience building or integrating backend services (e.g., REST/GraphQL APIs, service-to-service communication, or data pipelines).
4. Familiarity with cloud-based systems and distributed architectures.
5. Understanding of performance, reliability, and maintainability considerations across frontend and backend systems.
...</t>
  </si>
  <si>
    <t>Junior Software Engineer- AI Services</t>
  </si>
  <si>
    <t>SmartBear</t>
  </si>
  <si>
    <t>$110K-$130K /yr</t>
  </si>
  <si>
    <t>https://jobright.ai/jobs/info/698b1db64db8972cec0093bf?utm_source=1100&amp;utm_campaign=Software Engineering</t>
  </si>
  <si>
    <t>Somerville, MA</t>
  </si>
  <si>
    <t>1. 1+ years in software development in a production environment
2. Strong understanding of HTTP, REST and the client/server architecture
3. Demonstrated ability of completing software projects, individually and as part of a team
4. Demonstrated ability of taking ambiguous or ill-defined requirements and problem statements, and rapidly converting them into working code, with quality
5. Outstanding proactive communication skills in English</t>
  </si>
  <si>
    <t>Software Engineer - Agents for Code</t>
  </si>
  <si>
    <t>$160K-$230K /yr</t>
  </si>
  <si>
    <t>https://jobright.ai/jobs/info/69853b3f0f6f7e7a2cdfd563?utm_source=1100&amp;utm_campaign=Software Engineering</t>
  </si>
  <si>
    <t>1. Bachelor’s degree in Computer Science, Engineering, or a related field.
2. 1-3 years of software engineering experience, with a strong interest or project experience in shipping AI/ML features or LLM-based applications.
3. Strong programming skills in Python and experience with SQL (Snowflake, SQL Server, Oracle, or Teradata experience is a plus).
4. Familiarity with AI engineering and agentic workflows.
5. Strong communication skills and ability to collaborate effectively in a team environment.</t>
  </si>
  <si>
    <t>Software Development Engineer - Embedded Quality</t>
  </si>
  <si>
    <t>Sonos, Inc.</t>
  </si>
  <si>
    <t>$110000-$138100 /yr</t>
  </si>
  <si>
    <t>https://jobright.ai/jobs/info/69851812348f733a5c39412a?utm_source=1100&amp;utm_campaign=Software Engineering</t>
  </si>
  <si>
    <t>Audio, Consumer Electronics</t>
  </si>
  <si>
    <t>1. Bachelor's Degree in Computer Science, Software Engineering or equivalent experience
2. 1-5 years of experience in automation, preferably with embedded systems
3. Demonstrated proficiency writing code for automation with one or more of the following: Python, Javascript, C/C++
4. Experience with version control such as Git, Perforce, etc
5. Knowledge on data instrumentation and telemetry for Software Quality
...</t>
  </si>
  <si>
    <t>Software Automation / Test Engineer</t>
  </si>
  <si>
    <t>Palo Alto Networks</t>
  </si>
  <si>
    <t>$126,000-$204,500 /yr</t>
  </si>
  <si>
    <t>https://jobright.ai/jobs/info/698d4dab78b4502f12a3f2f3?utm_source=1100&amp;utm_campaign=Software Engineering</t>
  </si>
  <si>
    <t>Office - USA - CA - Headquarters</t>
  </si>
  <si>
    <t>Agentic AI, Cloud Security</t>
  </si>
  <si>
    <t>1. MSEE/CS or BS/CS career-level of experience in the Networking Security industry, or equivalent experience or equivalent military experience required
2. 1+ years of experience
3. Solid understanding of testing methodologies and experience with functional testing
4. Experience testing Firewall or Network Security appliances
5. Proficient with Python scripting and should be able to run and debug existing scripts
...</t>
  </si>
  <si>
    <t>Software Engineer - Backend</t>
  </si>
  <si>
    <t>PayPal</t>
  </si>
  <si>
    <t>$116K-$173K /yr</t>
  </si>
  <si>
    <t>https://jobright.ai/jobs/info/698b482106d9b06224954509?utm_source=1100&amp;utm_campaign=Software Engineering</t>
  </si>
  <si>
    <t>E-Commerce Platforms, FinTech</t>
  </si>
  <si>
    <t>1. 1+ years relevant experience and a Bachelor’s degree OR Any equivalent combination of education and experience.
2. Strong foundation in programming concepts, data structures, and algorithms.
3. Proficiency in Python and experience with frameworks such as Django or Flask.
4. Build and maintain backend services for identity and authentication workflows.
5. Collaborate with product managers and senior engineers to deliver impactful business outcomes.
...</t>
  </si>
  <si>
    <t>PMC: Full Stack Engineer</t>
  </si>
  <si>
    <t>Penske Media Corporation</t>
  </si>
  <si>
    <t>$120000-$135000 /yr</t>
  </si>
  <si>
    <t>https://jobright.ai/jobs/info/69852d518da7a612045f8bf0?utm_source=1100&amp;utm_campaign=Software Engineering</t>
  </si>
  <si>
    <t>California - Los Angeles Office</t>
  </si>
  <si>
    <t>Advertising, Broadcasting</t>
  </si>
  <si>
    <t>1. Experience with PHP and familiarity with WordPress or Laravel (professional, academic, or personal projects)
2. Basic experience with JavaScript and modern frontend development (TypeScript or React experience is a plus)
3. Familiarity with Git and collaborative development workflows
4. Hands-on experience using AI-assisted development tools (such as coding assistants, AI-powered IDEs, or automated refactoring tools) as part of your regular development workflow, with an interest in learning how to apply them effectively in production environments
5. Understanding of web fundamentals such as HTTP, TLS, REST APIs, and relational databases
...</t>
  </si>
  <si>
    <t>$120K-$135K /yr</t>
  </si>
  <si>
    <t>https://jobright.ai/jobs/info/69840ffb8da7a612045df778?utm_source=1100&amp;utm_campaign=Software Engineering</t>
  </si>
  <si>
    <t>LA Metro Area</t>
  </si>
  <si>
    <t>Software Engineer I - Data Platform</t>
  </si>
  <si>
    <t>Aurora</t>
  </si>
  <si>
    <t>$105K-$157K /yr</t>
  </si>
  <si>
    <t>https://jobright.ai/jobs/info/696afce0db26b618950e7197?utm_source=1100&amp;utm_campaign=Software Engineering</t>
  </si>
  <si>
    <t>Pittsburgh, PA</t>
  </si>
  <si>
    <t>1. BS/MS or PhD in Computer Science or a related field
2. Minimum 1 year related experience
3. Required programming skills: GoLang/Python
4. General knowledge of backend software systems networking, load balancing, API gateways, system security, gRPC services.
5. AWS infrastructure experience, including S3 and DynamoDB in a production commercial system
...</t>
  </si>
  <si>
    <t>Software Security Engineer (Multiple Levels Available)</t>
  </si>
  <si>
    <t>$94,200-$141,200 /yr</t>
  </si>
  <si>
    <t>https://jobright.ai/jobs/info/698597428da7a612046044b5?utm_source=1100&amp;utm_campaign=Software Engineering</t>
  </si>
  <si>
    <t>Artificial Intelligence (AI), Generative AI</t>
  </si>
  <si>
    <t>1. Bachelor's degree in Engineering, Information Systems, Computer Science, or related field.
2. 0-7 yrs experience.
3. Strong C programming skills, with an emphasis on secure programming best practices.
4. Strong understanding of embedded hardware &amp; driver concepts.
5. Strong understanding of software and computer architecture concepts.
...</t>
  </si>
  <si>
    <t>Software Engineer - Core Product</t>
  </si>
  <si>
    <t>Baseten</t>
  </si>
  <si>
    <t>$150K-$230K /yr</t>
  </si>
  <si>
    <t>https://jobright.ai/jobs/info/6991b50c6ea51a7610f40e53?utm_source=1100&amp;utm_campaign=Software Engineering</t>
  </si>
  <si>
    <t>1. Bachelor's degree or higher in Computer Science or related field
2. 1-3 years experience in software engineering or infrastructure
3. Proficient coding abilities in one or more popular programming or scripting languages; Python, Go, or Javascript proficiency is a plus
4. Familiarity with web applications &amp; databases
5. Good taste in product, particularly developer-oriented tools
...</t>
  </si>
  <si>
    <t>Software Engineer - C++ Core Middleware</t>
  </si>
  <si>
    <t>Zoox</t>
  </si>
  <si>
    <t>$175K-$212K /yr</t>
  </si>
  <si>
    <t>https://jobright.ai/jobs/info/68cee4ad846f0b04af67d99a?utm_source=1100&amp;utm_campaign=Software Engineering</t>
  </si>
  <si>
    <t>Artificial Intelligence (AI), Autonomous Vehicles</t>
  </si>
  <si>
    <t>1. 1+ years of professional software development experience
2. Strong proficiency in modern C++ (C++14/17)
3. Strong background in developing scalable, distributed applications in Linux and the Nvidia Drive platform
4. Experience with GPU/CUDA programming
5. Experience with robotics frameworks/middleware (e.g., ROS/ROS2)</t>
  </si>
  <si>
    <t>Embedded NPU Software Engineer</t>
  </si>
  <si>
    <t>$94200-$141200 /yr</t>
  </si>
  <si>
    <t>https://jobright.ai/jobs/info/69840c1f01214b4cdacc6e42?utm_source=1100&amp;utm_campaign=Software Engineering</t>
  </si>
  <si>
    <t>1. Bachelor's degree in Engineering, Information Systems, Computer Science, or related field.
2. Develop and validate embedded NPU software features in C/C++ for real-time systems.
3. Participate in the design and implementation of inter-processor communication and memory management mechanisms.
4. Assist in debugging, profiling, and optimizing software for performance and power efficiency.
5. Collaborate with cross-functional teams to integrate NPU software into broader system frameworks.
...</t>
  </si>
  <si>
    <t>Business Intelligence Engineer</t>
  </si>
  <si>
    <t>Kikka Sushi</t>
  </si>
  <si>
    <t>https://jobright.ai/jobs/info/69917e8d0cc8ea15f1dc2992?utm_source=1100&amp;utm_campaign=Software Engineering</t>
  </si>
  <si>
    <t>Food and Beverage, Hospitality</t>
  </si>
  <si>
    <t>1. Over 1 year of experience in business intelligence, data analytics, data science, or a related field.
2. A customer-focused mindset with the ability to craft compelling, actionable stories from data.
3. Proficient in SQL.
4. Expertise in designing and implementing efficient data sources, including data modeling and ETL processes.
5. Familiar with Python for data analysis and scheduling with Airflow.
...</t>
  </si>
  <si>
    <t>DigitalOcean</t>
  </si>
  <si>
    <t>$100K-$140K /yr</t>
  </si>
  <si>
    <t>https://jobright.ai/jobs/info/698d1868f64d441a164f012c?utm_source=1100&amp;utm_campaign=Software Engineering</t>
  </si>
  <si>
    <t>Cloud Computing, DevOps</t>
  </si>
  <si>
    <t>1. 1–4 years of software engineering experience with an interest in ML platforms, AI techniques (e.g., LLMs, multimodal, large vision models), or GenAI-related concepts.
2. Solid understanding of at least one backend language (Python or Go preferred) and experience working with REST APIs.
3. A proactive approach to troubleshooting and a desire to build production-grade systems in a high-growth tech environment.
4. Strong communication skills and a team-first mindset, with the ability to take feedback and apply it to code improvements.</t>
  </si>
  <si>
    <t>$110000-$140000 /yr</t>
  </si>
  <si>
    <t>https://jobright.ai/jobs/info/698d05eb0f6f7e7a2ce8b496?utm_source=1100&amp;utm_campaign=Software Engineering</t>
  </si>
  <si>
    <t>Seattle</t>
  </si>
  <si>
    <t>Junior Full Stack Engineer ($250k - $300k salary)</t>
  </si>
  <si>
    <t>Baton Corporation</t>
  </si>
  <si>
    <t>https://jobright.ai/jobs/info/69933bb7e0bddb6acac18538?utm_source=1100&amp;utm_campaign=Software Engineering</t>
  </si>
  <si>
    <t>Multi Location
New York, NY
New York</t>
  </si>
  <si>
    <t>$250K-$300K /yr</t>
  </si>
  <si>
    <t>1. An exceptional early-career engineer with a strong foundation in computer science and the ability to ramp quickly on new systems and codebases
2. Studied at a top university or demonstrated equivalent ability through competitive programming, Olympiads, open-source contributions, or substantial personal projects
3. Comfortable working across the stack, with hands-on experience in technologies like TypeScript, React, Next.js, and Node.js (or adjacent modern frameworks)
4. Curious and intellectually rigorous - you enjoy understanding why systems work, not just how to use them
5. A strong problem solver who can break down ambiguous problems, reason from first principles, and iterate toward solid solutions
...</t>
  </si>
  <si>
    <t>Software Engineer - Simulators</t>
  </si>
  <si>
    <t>MatX</t>
  </si>
  <si>
    <t>https://jobright.ai/jobs/info/69932f94e0bddb6acac17f73?utm_source=1100&amp;utm_campaign=Software Engineering</t>
  </si>
  <si>
    <t>$120000-$200000 /yr</t>
  </si>
  <si>
    <t>1. Bachelor of Computer Science or equivalent degree
2. Excellent software engineering skills, with a focus on maintainable performant
3. Strong foundation in computer architecture fundamentals
4. Excellent cross-functional communication skills
5. Rust experience AND/OR experience writing cycle-accurate simulators
...</t>
  </si>
  <si>
    <t>Trading Operations</t>
  </si>
  <si>
    <t>XTX Markets</t>
  </si>
  <si>
    <t>https://jobright.ai/jobs/info/698f57000cc8ea15f1d9d99a?utm_source=1100&amp;utm_campaign=Software Engineering</t>
  </si>
  <si>
    <t>$125K-$155K /yr</t>
  </si>
  <si>
    <t>Consumer Electronics, Electronics</t>
  </si>
  <si>
    <t>1. Bachelor’s or Master’s degree with a minimum GPA of 3.5 in Mathematics, Engineering or Computer Science.
2. Between 1 and 5 years of relevant industry experience.
3. Programming experience (Python, Go) related to automation and data manipulation (SQL) is required.
4. Strong analytical and problem-solving skills.
5. Ability to analyse and debug problems in a fast-paced environment.
...</t>
  </si>
  <si>
    <t>Software Engineer, Identity</t>
  </si>
  <si>
    <t>https://jobright.ai/jobs/info/68cda9731ad6b16f0289d5ba?utm_source=1100&amp;utm_campaign=Software Engineering</t>
  </si>
  <si>
    <t>Cloud Engineer</t>
  </si>
  <si>
    <t>https://jobright.ai/jobs/info/698fb87e0f6f7e7a2cec042e?utm_source=1100&amp;utm_campaign=Software Engineering</t>
  </si>
  <si>
    <t>Multi Location
United States - California - Remote
United States of America : Remote
United States - California - Alameda</t>
  </si>
  <si>
    <t>$61300-$122700 /yr</t>
  </si>
  <si>
    <t>1. Bachelors Degree in Computer Science, Information Technology or other relevant field
2. Software development experience, ideally in Go but also in Python, Rust, Java, Spark, or C#/.NET. A willingness to learn new software development languages to meet goals and objectives
3. Strong Computer Science fundamentals and experience with software development
4. Eagerness to contribute beyond experience level
5. Understands Object Oriented Programming and design and building modular unit testable code
...</t>
  </si>
  <si>
    <t>Software Engineer 1, Product Engineering - Identity Security</t>
  </si>
  <si>
    <t>Abnormal AI</t>
  </si>
  <si>
    <t>https://jobright.ai/jobs/info/695ee98ba112b402660da601?utm_source=1100&amp;utm_campaign=Software Engineering</t>
  </si>
  <si>
    <t>Hybrid - San Francisco, CA, USA</t>
  </si>
  <si>
    <t>$140,300-$165,000 /yr</t>
  </si>
  <si>
    <t>1. 1+ years building software applications.
2. Experience productionizing large‑scale, data‑intensive systems.
3. High velocity and creativity in solving technical challenges.
4. Experience &amp; desire to adopt &amp; improve AI-native development workflows.
5. Strong debugging with logs, metrics, and signals.
...</t>
  </si>
  <si>
    <t>Software Engineer II, Backend (Credit Decisioning)</t>
  </si>
  <si>
    <t>https://jobright.ai/jobs/info/69766b97bc8e722e7b1b01c5?utm_source=1100&amp;utm_campaign=Software Engineering</t>
  </si>
  <si>
    <t>Multi Location
Las Vegas, NV
Denver, CO
Atlanta, GA
Houston, TX
New York, NY
San Diego, CA
Portland, OR
Pittsburgh, PA
Salt Lake City, UT
Detroit, MI
Richmond, VA
Boulder, CO
Washington, DC
Cleveland, OH
Sioux Falls, SD
Palo Alto, CA
San Francisco, CA
Minneapolis, MN
Raleigh, NC
Dallas, TX
Nashville, TN
Phoenix, AZ
Boston, MA
Chicago, IL
Austin, TX
Los Angeles, CA
Philadelphia, PA
San Jose, CA
Madison, WI
St Louis, MO
Charlotte, NC
Seattle, WA
Miami, FL
Baltimore, MD
Boise, ID</t>
  </si>
  <si>
    <t>$160,000-$210,000 /yr</t>
  </si>
  <si>
    <t>Financial Services, FinTech</t>
  </si>
  <si>
    <t>1. You have a total of 1.5+ years of experience as a software engineer.
2. You have experience designing, developing and launching backend systems and are proficient in one of Python or Kotlin.
3. You are familiar with the building blocks of distributed systems, and the technologies like AWS, MySQL and Kubernetes.
4. You have mastered taking a simple problem or business scenario into a solution that interacts with multiple software components, and executing on it by writing clear, easily understood, well tested and extensible code.
5. You are comfortable navigating a large code base, debugging others' code, and providing feedback to other engineers through code reviews.
...</t>
  </si>
  <si>
    <t>Multi Location
Remote US
Sioux Falls, SD
Raleigh, NC
Boise, ID
Boulder, CO
Miami, FL
Las Vegas, NV
Cleveland, OH
Dallas, TX
Portland, OR
San Jose, CA
Nashville, TN
Richmond, VA
Houston, TX
Atlanta, GA
St Louis, MO
Los Angeles, CA
San Francisco, CA
Phoenix, AZ
Pittsburgh, PA
Palo Alto, CA
Washington, DC
Philadelphia, PA
Chicago, IL
Minneapolis, MN
Seattle, WA
Detroit, MI
Madison, WI
Charlotte, NC
Austin, TX
New York, NY
Salt Lake City, UT
San Diego, CA
Denver, CO
Boston, MA
Baltimore, MD</t>
  </si>
  <si>
    <t>$160000-$210000 /yr</t>
  </si>
  <si>
    <t>Junior UI Compositing Engineer</t>
  </si>
  <si>
    <t>https://jobright.ai/jobs/info/69900ed30f6f7e7a2cec60ca?utm_source=1100&amp;utm_campaign=Software Engineering</t>
  </si>
  <si>
    <t>$127K-$221K /yr</t>
  </si>
  <si>
    <t>1. Bachelor's or Master's degree in Computer Science or related field, or equivalent practical experience
2. Solid understanding of computer science fundamentals: data structures, algorithms, and operating systems concepts
3. Ability to write code in at least one lower-level language like C, C++, or similar (from coursework or projects)
4. Comfortable working in Unix/Linux environments and using command-line tools
5. Some experience with debugging (even from school projects or internships)
...</t>
  </si>
  <si>
    <t>Software Quality Engineer, Media</t>
  </si>
  <si>
    <t>https://jobright.ai/jobs/info/699007ba0f6f7e7a2cec5a09?utm_source=1100&amp;utm_campaign=Software Engineering</t>
  </si>
  <si>
    <t>$116K-$203K /yr</t>
  </si>
  <si>
    <t>1. B.S. in Computer Science
2. Proficiency in coding with Python or similar OOP languages
3. Professional or internship experience in a software development or quality role is required</t>
  </si>
  <si>
    <t>Full Stack C# Developer – Software Engineer</t>
  </si>
  <si>
    <t>Applied Materials</t>
  </si>
  <si>
    <t>https://jobright.ai/jobs/info/6974f2e1bc8e722e7b19e47d?utm_source=1100&amp;utm_campaign=Software Engineering</t>
  </si>
  <si>
    <t>Chandler, AZ</t>
  </si>
  <si>
    <t>$132K-$182K /yr</t>
  </si>
  <si>
    <t>Electronics, Manufacturing</t>
  </si>
  <si>
    <t>1. Bachelor’s degree in a related field, such as computer science, information management, software/system engineering, cyber security or mathematics.
2. Familiarity with the basic theories and concepts of software engineering.
3. Proficiency in .Net, C#
4. Comfortable with Agile development and rapid prototyping
5. Parallel programing/multi-threading
...</t>
  </si>
  <si>
    <t>Attentive</t>
  </si>
  <si>
    <t>https://jobright.ai/jobs/info/698f146c6ea51a7610f139d2?utm_source=1100&amp;utm_campaign=Software Engineering</t>
  </si>
  <si>
    <t>$136000-$165000 /yr</t>
  </si>
  <si>
    <t>Artificial Intelligence (AI), Email Marketing</t>
  </si>
  <si>
    <t>1. 0–2 years of professional software engineering experience (internships or co-op experience welcome).
2. Strong foundation in at least one modern programming language (e.g., Java, Python, Go, or similar).
3. Understanding of computer science fundamentals (data structures, algorithms, object-oriented programming, web technologies).
4. Interest in AI/ML applications and excitement to learn how they drive customer engagement at scale.
5. Strong communication and collaboration skills; eager to learn from teammates and contribute to a high-performing team.
...</t>
  </si>
  <si>
    <t>Software Development Engineer IV</t>
  </si>
  <si>
    <t>Avalara</t>
  </si>
  <si>
    <t>https://jobright.ai/jobs/info/69908cfe6ea51a7610f31530?utm_source=1100&amp;utm_campaign=Software Engineering</t>
  </si>
  <si>
    <t>Durham, NC</t>
  </si>
  <si>
    <t>$156807.12-$156807.12 /yr</t>
  </si>
  <si>
    <t>Artificial Intelligence (AI), Compliance</t>
  </si>
  <si>
    <t>1. Master’s degree in Computer Science, Computer Engineering, or a related field
2. 6 months of progressive, post-baccalaureate experience in a software developer-related occupation, including 6 months of experience in each of the following: Python, C#, Java, or other modern languages used in backend systems; Designing and documenting REST APIs; Postgres, NoSQL or other RDBS such as SQL Server; API security fundamentals; Distributed source control tools and development workflow (git or source control alternatives); Testing strategies and tools; AWS Glue or other ETL service such as SSIS
3. Certification in AWS Solutions Architect
4. Education or experience in AI/ML</t>
  </si>
  <si>
    <t>Software Engineer, Mobile</t>
  </si>
  <si>
    <t>Cambridge Mobile Telematics</t>
  </si>
  <si>
    <t>https://jobright.ai/jobs/info/68afc807e723db6c9b7b3609?utm_source=1100&amp;utm_campaign=Software Engineering</t>
  </si>
  <si>
    <t>$93K-$116K /yr</t>
  </si>
  <si>
    <t>Mobile, Public Safety</t>
  </si>
  <si>
    <t>1. Bachelor's degree or equivalent years of experience and/or certification in a related field
2. Experience building adaptive user interfaces
3. Understanding of Agile development methodologies (specifically SCRUM)
4. Hard skills required for Android developers: Experience in Java or Kotlin
5. Hard skills required for iOS focused developers: Proficient in both Swift and Objective-C with a strong understanding of concurrency concepts</t>
  </si>
  <si>
    <t>Blockchain Security Engineer - (Solidity / Rust / Golang)</t>
  </si>
  <si>
    <t>CertiK</t>
  </si>
  <si>
    <t>https://jobright.ai/jobs/info/694783e1d1953b5d11c09306?utm_source=1100&amp;utm_campaign=Software Engineering</t>
  </si>
  <si>
    <t>$102K-$180K /yr</t>
  </si>
  <si>
    <t>Blockchain, Cyber Security</t>
  </si>
  <si>
    <t>1. Bachelor’s, Master’s, or PhD in Mathematics, Computer Science, or Information Security.
2. At least 1 years of hands-on experience with blockchain technologies, including: Smart contracts (EVM chains, Solana, Move, etc.), Blockchain protocols (nodes, SDKs, Cosmos, etc.)
3. Experience in threat modeling, risk assessment, and security analysis.
4. Proficiency in one or more programming languages: Rust, Go, Solidity, Python, etc.
5. Passion for Cryptocurrency, DeFi, and Blockchain technologies.</t>
  </si>
  <si>
    <t>Associate C++ Engineer</t>
  </si>
  <si>
    <t>Chicago Trading Company</t>
  </si>
  <si>
    <t>https://jobright.ai/jobs/info/697a5104a8de441ca7357cf1?utm_source=1100&amp;utm_campaign=Software Engineering</t>
  </si>
  <si>
    <t>$175,000-$175,000 /yr</t>
  </si>
  <si>
    <t>1. Strong foundation in C++ programming skills gained through coursework, internships, or entry-level positions
2. Pursuing a Bachelor's or Master's degree in Computer Science, Computer Engineering or a similar field
3. A proven record of success (academics, awards, etc.)
4. Willing to relocate to Chicago, IL or New York, New York</t>
  </si>
  <si>
    <t>Software Engineer Security &amp; Automation I (Full Time) – United States</t>
  </si>
  <si>
    <t>https://jobright.ai/jobs/info/6986e7260f6f7e7a2ce22175?utm_source=1100&amp;utm_campaign=Software Engineering</t>
  </si>
  <si>
    <t>Multi Location
Fulton, MD
Alpharetta, GA
Boston, MA
Austin, TX
Atlanta, GA
Dallas, TX
Hillsboro, OR</t>
  </si>
  <si>
    <t>$104700-$153000 /yr</t>
  </si>
  <si>
    <t>Communications Infrastructure, Enterprise Software</t>
  </si>
  <si>
    <t>1. Completion within the past 3 years, or current enrollment with expected completion within 12 months, of a certification or relevant degree program (e.g., Associate’s, Apprenticeship, Boot Camp, or Certification in a specialized program + 1 year of relevant experience, High School Diploma + 2 years of relevant experience) or Bachelor’s + 0 years of relevant experience. Relevant fields include:
2. Experience writing, debugging, and maintaining code in Python or other scripting languages (such as Bash), with a focus on automating tasks, workflows, or processes.
3. Understanding of security protocols and principles (e.g., TLS/SSL, SSH, OAuth, SAML, IPsec) and familiarity with common cybersecurity tools.
4. Exposure to DevOps and DevSecOps practices, including integrating security measures into CI/CD pipelines (e.g., Jenkins, GitHub Actions) and cloud environments.
5. Familiarity with cloud security concepts and experience using automation tools within software development and deployment workflows.</t>
  </si>
  <si>
    <t>Production Support Engineer</t>
  </si>
  <si>
    <t>https://jobright.ai/jobs/info/698f92486ea51a7610f1f377?utm_source=1100&amp;utm_campaign=Software Engineering</t>
  </si>
  <si>
    <t>California, United States</t>
  </si>
  <si>
    <t>$72K-$115K /yr</t>
  </si>
  <si>
    <t>Consulting, Industrial Automation</t>
  </si>
  <si>
    <t>1. Worked on a large‑scale integration platform providing Data, SOA, and communication services to global customers.
2. Supported applications running across multi‑geo data centers on ~200 bare‑metal servers, with additional services deployed on AWS and Iscloud.
3. Managed Java-based application environments, storage systems, CI/CD pipelines, monitoring, and production reliability.
4. Debugged production issues across Java application servers with Oracle backend.
5. Monitored system performance and logs using Splunk.
...</t>
  </si>
  <si>
    <t>https://jobright.ai/jobs/info/68cddf34e23def7af55bfd8a?utm_source=1100&amp;utm_campaign=Software Engineering</t>
  </si>
  <si>
    <t>$95K-$115K /yr</t>
  </si>
  <si>
    <t>Consumer Software, Health Care</t>
  </si>
  <si>
    <t>1. 1-3 years full time professional experience in ML
2. MS in computer science, machine learning, computational linguistics, statistics, mathematics or similar field
3. Hands on experience building with modern language models, including context-engineering LLMs or fine-tuning SLMs
4. Understanding of scientific best practice in experimental design and can independently perform data collection, measurement, and interpretation of results
5. Experience configuring, training, evaluating, deploying, and maintaining models in a production setting
...</t>
  </si>
  <si>
    <t>Deployment Site Reliability Engineer - Associate</t>
  </si>
  <si>
    <t>Deutsche Bank</t>
  </si>
  <si>
    <t>https://jobright.ai/jobs/info/699143530cc8ea15f1dbd843?utm_source=1100&amp;utm_campaign=Software Engineering</t>
  </si>
  <si>
    <t>Cary, NC</t>
  </si>
  <si>
    <t>$85K-$130K /yr</t>
  </si>
  <si>
    <t>1. Proficiency in Linux and Unix systems commonly used in server environments
2. Experience with monitoring tools such as Datadog or Prometheus for performance tracking and incident response
3. Understanding of networking protocols including Border Gateway Protocol (BGP), Open Shortest Path First (OSPF), Multiprotocol Label Switching (MPLS), Spanning Tree Protocol (STP), and Virtual Extensible LAN (VXLAN)
4. Familiarity with enterprise network environments, preferably within financial institutions
5. Certified technical engineer (e.g., Cisco Certified Network Associate)
...</t>
  </si>
  <si>
    <t>Trade Systems Engineer</t>
  </si>
  <si>
    <t>DRW</t>
  </si>
  <si>
    <t>https://jobright.ai/jobs/info/6806869622b8e29f156721fb?utm_source=1100&amp;utm_campaign=Software Engineering</t>
  </si>
  <si>
    <t>$85K-$125K /yr</t>
  </si>
  <si>
    <t>Consulting, Finance</t>
  </si>
  <si>
    <t>1. 1–3 years of experience in trade support, systems administration, site reliability engineering, or a related technical role (internships or projects count!)
2. Bachelor’s degree in Computer Science, Engineering, or related STEM field
3. Basic understanding of networking concepts (TCP/IP, DNS, DHCP) and ability to use common troubleshooting tools
4. Ability to think through and troubleshoot technical problems under time pressure
5. Clear communication skills, written and verbal
...</t>
  </si>
  <si>
    <t>Engineer II - Software Defined Storage</t>
  </si>
  <si>
    <t>GEICO</t>
  </si>
  <si>
    <t>https://jobright.ai/jobs/info/6976ba78206da320f4a072c7?utm_source=1100&amp;utm_campaign=Software Engineering</t>
  </si>
  <si>
    <t>Multi Location
Chevy Chase, MD
Dallas, TX
Palo Alto, CA
Seattle, WA</t>
  </si>
  <si>
    <t>$75K-$160K /yr</t>
  </si>
  <si>
    <t>1. Understanding of various storage architectures and solutions, including object storage (with technologies like Amazon S3, OpenStack Swift), block storage (using software like iSCSI, Fibre Channel), and file storage (solutions such as NFS, SMB/CIFS)
2. Proficiency with data management and storage protocols/services (e.g., Fibre Channel, iSCSI, NFS, SMB/CIFS)
3. Familiarity with virtualization technologies (e.g., VMware, Hyper-V) and their interaction with underlying storage infrastructures
4. Understanding of and experience with software-defined storage services such as Ceph, MinIO, Swift, OpenStack, and GlusterFS
5. Proficiency with cloud services and infrastructure, including public and private cloud environments
...</t>
  </si>
  <si>
    <t>Software Engineer II, Site Reliability</t>
  </si>
  <si>
    <t>https://jobright.ai/jobs/info/69931d6ae0bddb6acac170b9?utm_source=1100&amp;utm_campaign=Software Engineering</t>
  </si>
  <si>
    <t>$118,000-$170,000 /yr</t>
  </si>
  <si>
    <t>1. Bachelor’s degree in Computer Science, a related field, or equivalent practical experience.
2. 1 year of experience with software development in one or more programming languages during coursework/projects, research, internships, or practical experience in school, work, or Open Source projects.
3. 1 year of experience with data structures or algorithms.</t>
  </si>
  <si>
    <t>https://jobright.ai/jobs/info/693e643baa598a08c3eeb026?utm_source=1100&amp;utm_campaign=Software Engineering</t>
  </si>
  <si>
    <t>$145K-$219K /yr</t>
  </si>
  <si>
    <t>1. You are a recent graduate or graduating soon (BS, MS or PhD) with focus on one or more of the areas listed above
2. You are a skilled algorithm designer with strong problem solving
3. You are a talented software developer ideally with experience in C++/Python
4. You have experience working with machine learning or autonomous systems
5. You have a knack and real passion for searching and solving hard problems
...</t>
  </si>
  <si>
    <t>AI Automation &amp; Growth Analyst</t>
  </si>
  <si>
    <t>Warner Music Group</t>
  </si>
  <si>
    <t>https://jobright.ai/jobs/info/6993231081476f6176aacbce?utm_source=1100&amp;utm_campaign=Software Engineering</t>
  </si>
  <si>
    <t>$70K-$80K /yr</t>
  </si>
  <si>
    <t>Digital Entertainment, Media and Entertainment</t>
  </si>
  <si>
    <t>1. Strong Scripting Skills (Python or JavaScript): You have strong hands-on experience using Python or JavaScript/TypeScript for data manipulation, API interaction, and process automation. You prefer writing a script to doing a task manually twice.
2. Data &amp; SQL Fluency: You are comfortable writing SQL queries to pull, clean, and structure data from relational databases. You understand how to prepare data for AI context windows.
3. Version Control (Git): You understand the importance of source control. You are familiar with branching, merging, and pull requests to maintain a clean codebase in a team environment.
4. LLM &amp; API Experience: You have built applications or scripts that utilize LLM APIs (OpenAI, Anthropic, Gemini). You understand concepts like context limits, temperature, and prompt engineering within code.
5. Grounded in Engineering Principles: You build for the long term. You strive to write clean, scalable, and reliable code that can be maintained and built upon by the team.
...</t>
  </si>
  <si>
    <t>Full Stack Software Engineer, Deals Office</t>
  </si>
  <si>
    <t>https://jobright.ai/jobs/info/6993215981476f6176aaca60?utm_source=1100&amp;utm_campaign=Software Engineering</t>
  </si>
  <si>
    <t>$80K-$90K /yr</t>
  </si>
  <si>
    <t>1. Some experience building web applications (internships, bootcamps, personal projects, or 1-2 years professional)
2. Familiarity with Python and TypeScript/React
3. Basic SQL knowledge
4. Experience using AI coding tools (Cursor, Claude Code, Copilot)
5. Ability to learn quickly and take feedback well</t>
  </si>
  <si>
    <t>El Mirage, Arizona- Network Infrastructure Engineer – Data Center</t>
  </si>
  <si>
    <t>https://jobright.ai/jobs/info/6993e38e81476f6176ab8092?utm_source=1100&amp;utm_campaign=Software Engineering</t>
  </si>
  <si>
    <t>Catapult Federal Services</t>
  </si>
  <si>
    <t>$75000-$85000 /yr</t>
  </si>
  <si>
    <t>1. 1–3 years of hands-on experience in a network support or systems administration role.
2. Comfortable working in active construction and commissioning environments and wearing required personal protective equipment (PPE) such as steel-toe boots, hard hats, and safety vests.
3. Ability to perform physical tasks including standing for extended periods, working in equipment racks, and lifting or moving network hardware as required.
4. Strong understanding of LAN/WAN fundamentals, including IP addressing, subnetting, VLANs, and routing.
5. Hands-on experience with Cisco networking equipment (switching and routing).
...</t>
  </si>
  <si>
    <t>https://jobright.ai/jobs/info/697665d1bc8e722e7b1afd8d?utm_source=1100&amp;utm_campaign=Software Engineering</t>
  </si>
  <si>
    <t>Traffic Software Engineer</t>
  </si>
  <si>
    <t>https://jobright.ai/jobs/info/699388aee0bddb6acac1cf1c?utm_source=1100&amp;utm_campaign=Software Engineering</t>
  </si>
  <si>
    <t>Zachary Piper Solutions</t>
  </si>
  <si>
    <t>$80K-$130K /yr</t>
  </si>
  <si>
    <t>Government, Information Services</t>
  </si>
  <si>
    <t>1. 0–4 years of experience for Junior / 4–8 years of experience for Mid-Level roles
2. Strong Python skills in a Linux environment
3. Experience with unit and integration testing within CI workflows
4. Proficiency with API integrations and data format adapters (e.g., JSON ↔ XML)
5. Experience using Git for version control
...</t>
  </si>
  <si>
    <t>https://jobright.ai/jobs/info/6993adeb81476f6176ab485f?utm_source=1100&amp;utm_campaign=Software Engineering</t>
  </si>
  <si>
    <t>Save A Lot</t>
  </si>
  <si>
    <t>$85300-$107000 /yr</t>
  </si>
  <si>
    <t>Food Processing</t>
  </si>
  <si>
    <t>1. 1-3 years of IT experience
2. 1-3 years of experience with Python
3. 1-3 years of experience with SQL
4. 1-3 years of experience delivering projects in a complex enterprise environment
5. 1-3 years developing and delivering data engineering solutions in data warehousing
...</t>
  </si>
  <si>
    <t>Entry Level AI Software Engineer</t>
  </si>
  <si>
    <t>Gret AI</t>
  </si>
  <si>
    <t>https://jobright.ai/jobs/info/6993175381476f6176aac389?utm_source=1100&amp;utm_campaign=Software Engineering</t>
  </si>
  <si>
    <t>$90000-$120000 /yr</t>
  </si>
  <si>
    <t>1. Solid programming fundamentals (Python or TypeScript preferred)
2. Comfort working with backend systems and APIs
3. Basic understanding of how modern AI systems work (LLMs, prompts, function calling, etc.)
4. Willingness to read code, debug issues, and ask good questions
5. Ability to reason clearly about data, state, and edge cases</t>
  </si>
  <si>
    <t>Hexnode</t>
  </si>
  <si>
    <t>https://jobright.ai/jobs/info/6992e03a81476f6176aa6ffd?utm_source=1100&amp;utm_campaign=Software Engineering</t>
  </si>
  <si>
    <t>Springfield, MA</t>
  </si>
  <si>
    <t>$70000-$100000 /yr</t>
  </si>
  <si>
    <t>B2B, Enterprise Software</t>
  </si>
  <si>
    <t>1. Bachelor's degree in Computer Science or similar
2. Proficiency in Java, Python, or comparable language
3. Knowledge of SQL, REST, and version control
4. Understanding of cloud infrastructure basics
5. Experience with testing and debugging methods
...</t>
  </si>
  <si>
    <t>UI Technical Designer</t>
  </si>
  <si>
    <t>Naughty Dog</t>
  </si>
  <si>
    <t>https://jobright.ai/jobs/info/689542a18c6d6b4426778662?utm_source=1100&amp;utm_campaign=Software Engineering</t>
  </si>
  <si>
    <t>Santa Monica, CA</t>
  </si>
  <si>
    <t>$124K-$155K /yr</t>
  </si>
  <si>
    <t>Gaming, Video Games</t>
  </si>
  <si>
    <t>1. A minimum of one year of experience in the gaming industry, focusing on UI or a related field
2. Strong coding abilities supported by a degree in Computer Science, Software Engineering, or commensurate professional experience
3. Proficiency in scripting languages such as Python, Lua, C#, or similar
4. Proven expertise with game heads-up display (HUD), navigation interfaces, inventory systems, and other player progression systems
5. Ability to work independently, manage workloads effectively, and meet project deadlines
...</t>
  </si>
  <si>
    <t>Software Engineer, New Grad, San Francisco</t>
  </si>
  <si>
    <t>Profound</t>
  </si>
  <si>
    <t>https://jobright.ai/jobs/info/6992a57e81476f6176aa1e31?utm_source=1100&amp;utm_campaign=Software Engineering</t>
  </si>
  <si>
    <t>$140000-$170000 /yr</t>
  </si>
  <si>
    <t>1. A strong portfolio or GitHub showcasing full-stack development expertise, with proficiency in React, TypeScript, Node.js, and modern front-end and back-end frameworks
2. Experience designing and working with scalable databases and APIs
3. Deep understanding of performance optimization, security, and best practices
4. Comfortable in a fast-moving, high-performance startup environment</t>
  </si>
  <si>
    <t>https://jobright.ai/jobs/info/6904027cff462851feff1c71?utm_source=1100&amp;utm_campaign=Software Engineering</t>
  </si>
  <si>
    <t>$126K-$190K /yr</t>
  </si>
  <si>
    <t>Cloud Computing, Cloud Data Services</t>
  </si>
  <si>
    <t>1. BS or MS in Computer science or related field with up to 2 years of relevant work experience.
2. Strong knowledge of data structures, algorithms, and software design.
3. Solid programming skills in one or more programming languages (Python preferred).
4. Working knowledge of virtualization, Container technologies, Storage / database / network and distributed systems.
5. Ability to work collaboratively in a team environment, including quickly getting up to speed with new technologies.</t>
  </si>
  <si>
    <t>Full Stack Developer</t>
  </si>
  <si>
    <t>Valer</t>
  </si>
  <si>
    <t>https://jobright.ai/jobs/info/69925d686ea51a7610f47c07?utm_source=1100&amp;utm_campaign=Software Engineering</t>
  </si>
  <si>
    <t>Huntington Beach, CA</t>
  </si>
  <si>
    <t>$86K-$150K /yr</t>
  </si>
  <si>
    <t>Document Management, Document Preparation</t>
  </si>
  <si>
    <t>1. Excellent Python skills
2. 1+ years of development work on Linux platforms
3. 1+ years of data communication protocol and interface development (REST)
4. Enthusiasm for working directly with VALER users and the patient population they serve
5. Desire to work in fast-paced, ever evolving environment</t>
  </si>
  <si>
    <t>(Senior) Data Engineer</t>
  </si>
  <si>
    <t>Flagship Pioneering</t>
  </si>
  <si>
    <t>https://jobright.ai/jobs/info/697404a2206da320f49e1506?utm_source=1100&amp;utm_campaign=Software Engineering</t>
  </si>
  <si>
    <t>$74K-$176K /yr</t>
  </si>
  <si>
    <t>1. BS, MS, or PhD in Computer Science, Bioinformatics, or related field with 0-4 years of professional data engineering experience.
2. Background in scientific domains (biology, chemistry, or related fields).
3. Python expertise including data science libraries and testing frameworks.
4. AWS experience with storage, database, compute, and analytics services (S3, RDS, DynamoDB, Redshift, Lambda, EC2, Batch, ECS, Glue, Athena).
5. Proven experience designing, deploying, and maintaining production data pipelines at scale.
...</t>
  </si>
  <si>
    <t>Embedded Software Engineer, Powertrain</t>
  </si>
  <si>
    <t>Joby Aviation</t>
  </si>
  <si>
    <t>https://jobright.ai/jobs/info/693cb18750bbaf76504ff04a?utm_source=1100&amp;utm_campaign=Software Engineering</t>
  </si>
  <si>
    <t>San Carlos, CA</t>
  </si>
  <si>
    <t>$99K-$170K /yr</t>
  </si>
  <si>
    <t>Aerospace, Air Transportation</t>
  </si>
  <si>
    <t>1. Bachelor's degree in Computer Science, Electrical Engineering, Robotics, or a related STEM field
2. Proficient knowledge of C++ and real-time operating systems
3. Understanding of modern micro-controller and microprocessor architectures
4. Experience debugging an embedded target
5. Prior experience with Python
...</t>
  </si>
  <si>
    <t>Software Tester</t>
  </si>
  <si>
    <t>Waco Tribune-Herald</t>
  </si>
  <si>
    <t>https://jobright.ai/jobs/info/6992cedace78e77b4fd69cee?utm_source=1100&amp;utm_campaign=Software Engineering</t>
  </si>
  <si>
    <t>$121389-$123760 /yr</t>
  </si>
  <si>
    <t>Fitness, News</t>
  </si>
  <si>
    <t>1. Support the software testing process.
2. Work closely with development teams.
3. Help automate test cases.
4. Identify issues.
5. Contribute to the delivery of high-quality software products.</t>
  </si>
  <si>
    <t>Security Engineer</t>
  </si>
  <si>
    <t>WatchGuard Technologies</t>
  </si>
  <si>
    <t>https://jobright.ai/jobs/info/6973effa37785856350dc137?utm_source=1100&amp;utm_campaign=Software Engineering</t>
  </si>
  <si>
    <t>$90K-$105K /yr</t>
  </si>
  <si>
    <t>Cyber Security, Network Security</t>
  </si>
  <si>
    <t>1. Hands-on experience working with Stellar Cyber XDR
2. Understanding of how to navigate Stellar Cyber XDR queries, dashboards, and automations
3. Experience working with data
4. Experience writing code
5. Experience building tools that improve security operations
...</t>
  </si>
  <si>
    <t>AI Software Engineer</t>
  </si>
  <si>
    <t>Supernova Technology™</t>
  </si>
  <si>
    <t>https://jobright.ai/jobs/info/698fab850cc8ea15f1da4668?utm_source=1100&amp;utm_campaign=Software Engineering</t>
  </si>
  <si>
    <t>FinTech, Lending</t>
  </si>
  <si>
    <t>1. Bachelor’s degree in Computer Science, Engineering, or related technical field (or equivalent practical experience).
2. 1+ years of software development experience (internships, research, or strong personal side projects welcome).
3. Proficiency in Python and familiarity with backend application development.
4. Experience with or exposure to FastAPI, Flask, or similar web frameworks.
5. Basic understanding of relational databases such as Postgres.
...</t>
  </si>
  <si>
    <t>Software Engineer (Java / Angular)</t>
  </si>
  <si>
    <t>Quantelux</t>
  </si>
  <si>
    <t>https://jobright.ai/jobs/info/6990b03b6ea51a7610f33686?utm_source=1100&amp;utm_campaign=Software Engineering</t>
  </si>
  <si>
    <t>Dayton, OH</t>
  </si>
  <si>
    <t>$65000-$105000 /yr</t>
  </si>
  <si>
    <t>1. Ohio resident (Dayton/Cincinnati area preferred for occasional onsite)
2. 0–6+ years of professional software development experience (level/title aligned accordingly)
3. Experience with Java (Spring Boot preferred) or strong OOP fundamentals with willingness to ramp quickly
4. Experience with Angular/TypeScript or modern frontend experience with willingness to ramp quickly
5. Comfortable working with REST APIs and SQL / relational databases
...</t>
  </si>
  <si>
    <t>Software Engineer I - Full Stack, Officer</t>
  </si>
  <si>
    <t>https://jobright.ai/jobs/info/699131730f6f7e7a2ced770b?utm_source=1100&amp;utm_campaign=Software Engineering</t>
  </si>
  <si>
    <t>Burlington, MA</t>
  </si>
  <si>
    <t>$70K-$119K /yr</t>
  </si>
  <si>
    <t>1. B.S. or master’s degree in computer science, Engineering, Mathematics, and Physics or other technical course of study
2. 1 – 5 years of professional experience
3. Interest and passion about building high quality software in FinTech space
4. Ideally, you already have initial experience with Java, PowerShell and batch scripts and have knowledge of C#
5. You are familiar with concepts such as DevOps, continuous delivery, clean code, TDD and agile methods
...</t>
  </si>
  <si>
    <t>Software Engineer - Production</t>
  </si>
  <si>
    <t>Supermicro</t>
  </si>
  <si>
    <t>https://jobright.ai/jobs/info/697441eebc8e722e7b193af0?utm_source=1100&amp;utm_campaign=Software Engineering</t>
  </si>
  <si>
    <t>$100K-$160K /yr</t>
  </si>
  <si>
    <t>Artificial Intelligence (AI), Cloud Computing</t>
  </si>
  <si>
    <t>1. Bachelor’s degree in Computer Science, Information Technology, or Engineering
2. 1+ years of experience building large scale software applications
3. Experience building web applications
4. Experience designing and integrating GraphQL, RESTful APIs
5. Knowledge of Docker, Nodejs, React, Sql, and Javascript
...</t>
  </si>
  <si>
    <t>Machine Learning Scientist I/II, Decision Making for Physical Sciences</t>
  </si>
  <si>
    <t>https://jobright.ai/jobs/info/69827024348f733a5c3549fd?utm_source=1100&amp;utm_campaign=Software Engineering</t>
  </si>
  <si>
    <t>Cambridge, MA USA</t>
  </si>
  <si>
    <t>$176000-$304000 /yr</t>
  </si>
  <si>
    <t>1. Advanced degree (PhD or MS with equivalent research/industry experience) in Computer Science, Applied Math/Statistics, Physics, Materials Science, Chemical Engineering, or related field.
2. Strong foundation in sequential decision‑making: Bayesian Optimization, active learning, contextual bandits, model‑based RL, or Bayesian experimental design.
3. Proficiency in Python and modern ML tooling (e.g., PyTorch/JAX; BoTorch/GPyTorch/Ax or similar); strong software engineering practices.</t>
  </si>
  <si>
    <t>Asset &amp; Wealth Management-Generative AI Software Engineer-Associate-Albany</t>
  </si>
  <si>
    <t>Goldman Sachs</t>
  </si>
  <si>
    <t>https://jobright.ai/jobs/info/698f62810cc8ea15f1d9e653?utm_source=1100&amp;utm_campaign=Software Engineering</t>
  </si>
  <si>
    <t>Albany, NY</t>
  </si>
  <si>
    <t>$95K-$145K /yr</t>
  </si>
  <si>
    <t>1. Proficiency in programming languages such as Java, JavaScript, and Python.
2. Experience with frameworks including Spring Boot, Pydantic, LangChain, and LangGraph.
3. Hands-on project experience building Gen AI integrations and RAG applications, including chat-based solutions.
4. Demonstrated ability to untangle user feedback into precise requirements and break down projects into iterative delivery milestones.</t>
  </si>
  <si>
    <t>West Monroe</t>
  </si>
  <si>
    <t>https://jobright.ai/jobs/info/695782d4aa05c26e7ab1807f?utm_source=1100&amp;utm_campaign=Software Engineering</t>
  </si>
  <si>
    <t>$92800-$109200 /yr</t>
  </si>
  <si>
    <t>Business Development, Consulting</t>
  </si>
  <si>
    <t>1. 1 - 4 years of hands-on professional development experience
2. Experience writing complex SQL queries related to data manipulation strategies
3. Experience with Spark, Databricks, Kafka, Kinesis, Hadoop, and/or Lambda
4. Exposure using ETL tools (Azure Data Factory, AWS Glue, Informatica, Talend, IBM DataStage, etc.), and/or database platforms (Snowflake, Redshift, Azure Synapse, or Oracle)
5. Exposure to data visualization tools (Tableau, Power BI, Looker)
...</t>
  </si>
  <si>
    <t>Animation Tools Programmer (All Levels)</t>
  </si>
  <si>
    <t>Rockstar Games</t>
  </si>
  <si>
    <t>https://jobright.ai/jobs/info/6993aae8e0bddb6acac1f227?utm_source=1100&amp;utm_campaign=Software Engineering</t>
  </si>
  <si>
    <t>Oakville, Ontario, Canada</t>
  </si>
  <si>
    <t>CAD85000-CAD120000 /yr</t>
  </si>
  <si>
    <t>Gaming, PC Games</t>
  </si>
  <si>
    <t>1. A degree in Computer Science, Mathematics or equivalent.
2. Experience with C++ and/or C#.
3. Strong math skills.
4. Strong team communication skills.
5. Ability to work within a team.
...</t>
  </si>
  <si>
    <t>Full Stack Engineer</t>
  </si>
  <si>
    <t>Stackline</t>
  </si>
  <si>
    <t>https://jobright.ai/jobs/info/698289b20f6f7e7a2cdbcba1?utm_source=1100&amp;utm_campaign=Software Engineering</t>
  </si>
  <si>
    <t>$135000-$165000 /yr</t>
  </si>
  <si>
    <t>Analytics, E-Commerce</t>
  </si>
  <si>
    <t>1. Development experience in at least one modern programming language such as Typescript, C#, Java, or Python.
2. Bachelor’s degree in computer science or related discipline.
3. Knows a broad range of design approaches and when to use them (and when to not).
4. Understands a broad range of data structures and algorithms, and which to use, or not.
5. Understands the maintenance characteristics, runtime properties, and dependencies of a software (e.g., build dependencies). Knows how to be efficient with compute resources: hardware, database, memory/CPU, etc.
...</t>
  </si>
  <si>
    <t>Flight Software Engineer</t>
  </si>
  <si>
    <t>Astro Mechanica</t>
  </si>
  <si>
    <t>https://jobright.ai/jobs/info/6993f025e0bddb6acac23b53?utm_source=1100&amp;utm_campaign=Software Engineering</t>
  </si>
  <si>
    <t>$90K-$160K /yr</t>
  </si>
  <si>
    <t>1. Bachelor’s degree in Computer Science, Engineering, Math, or a Science discipline
2. 0-3 years of professional software development experience, including internships and research experience
3. Experience in C++, Rust, or other systems programming language
4. Proven skills in debugging, performance optimization, and unit testing
5. Ambition to work in a fast-paced environment</t>
  </si>
  <si>
    <t>Flash Biometrics</t>
  </si>
  <si>
    <t>https://jobright.ai/jobs/info/699466e8e0bddb6acac2d06b?utm_source=1100&amp;utm_campaign=Software Engineering</t>
  </si>
  <si>
    <t>Claremont, CA</t>
  </si>
  <si>
    <t>$100K-$125K /yr</t>
  </si>
  <si>
    <t>1. 1+ year of professional (non-internship) software development experience
2. Strong foundation in computer science fundamentals, algorithms, and data structures
3. Experience with object-oriented programming principles
4. Proficiency working with relational databases
5. Familiarity with version control systems and modern development workflows
...</t>
  </si>
  <si>
    <t>https://jobright.ai/jobs/info/6906b43363502c0aded82a7e?utm_source=1100&amp;utm_campaign=Software Engineering</t>
  </si>
  <si>
    <t>Multi Location
San Francisco, CA
New York, NY
United States</t>
  </si>
  <si>
    <t>$149000-$350000 /yr</t>
  </si>
  <si>
    <t>Collaboration, Developer Tools</t>
  </si>
  <si>
    <t>1. Proven experience in shipping and maintaining full-stack applications in production
2. Strong proficiency in modern front-end frameworks (e.g., React/TypeScript) and back-end technologies (e.g., Ruby, Python, Go, C++, PostgreSQL)
3. A product mindset, with the ability to translate user needs into scalable technical solutions
4. Excellent collaboration and communication skills, with experience working effectively across cross-functional teams
5. Passion for engineering craft and building polished, maintainable, and scalable systems</t>
  </si>
  <si>
    <t>Flight Test Operator - Device Platform</t>
  </si>
  <si>
    <t>https://jobright.ai/jobs/info/6940a54850bbaf765052aec4?utm_source=1100&amp;utm_campaign=Software Engineering</t>
  </si>
  <si>
    <t>$90K-$110K /yr</t>
  </si>
  <si>
    <t>1. Background in human factors, mobile UI/UX validation or design, flight testing, and/or real-world system testing
2. Strong debugging and troubleshooting skills across mobile, embedded, and networked systems
3. Experience with UAS operations and high-reliability operator workflows
4. Understanding of human factors, usability engineering, and cognitive workload
5. Strong documentation and technical communication skills
...</t>
  </si>
  <si>
    <t>Entry-Level Python / AI Engineer [32869]</t>
  </si>
  <si>
    <t>https://jobright.ai/jobs/info/6994507681476f6176ac0759?utm_source=1100&amp;utm_campaign=Software Engineering</t>
  </si>
  <si>
    <t>$150000-$150000 /yr</t>
  </si>
  <si>
    <t>Entry-Level Python Engineer [32870]</t>
  </si>
  <si>
    <t>https://jobright.ai/jobs/info/69944fa981476f6176ac0655?utm_source=1100&amp;utm_campaign=Software Engineering</t>
  </si>
  <si>
    <t>https://jobright.ai/jobs/info/69944c83ce78e77b4fd83d08?utm_source=1100&amp;utm_campaign=Software Engineering</t>
  </si>
  <si>
    <t>Software Engineer (Retirement Strategies)</t>
  </si>
  <si>
    <t>Prudential Financial</t>
  </si>
  <si>
    <t>https://jobright.ai/jobs/info/695c23fff1f8465b79f230d2?utm_source=1100&amp;utm_campaign=Software Engineering</t>
  </si>
  <si>
    <t>Newark, NJ</t>
  </si>
  <si>
    <t>$82K-$135K /yr</t>
  </si>
  <si>
    <t>Asset Management, Finance</t>
  </si>
  <si>
    <t>1. Bachelor’s degree in computer science, Engineering, or related field, or equivalent experience
2. Typically, 1+ years of experience in software engineering
3. Experience with Agile development methodologies and Test-Driven Development (TDD)
4. Strong communication and collaboration skills, with the ability to effectively represent the team and engage with cross-functional stakeholders
5. Ability to learn new skills and knowledge on an ongoing basis through self-initiative and tackling challenges
...</t>
  </si>
  <si>
    <t>Software Engineer I (MTS)</t>
  </si>
  <si>
    <t>Komatsu</t>
  </si>
  <si>
    <t>https://jobright.ai/jobs/info/6977f3b588e2b47213bbfdc4?utm_source=1100&amp;utm_campaign=Software Engineering</t>
  </si>
  <si>
    <t>Tucson, AZ</t>
  </si>
  <si>
    <t>$34888-$34888 /yr</t>
  </si>
  <si>
    <t>Construction, Industrial</t>
  </si>
  <si>
    <t>1. Bachelor’s degree in Computer Science, Engineering or other related technical filed or equivalent experience
2. Software development experience specifically OOP
3. Experience in a DevOps role utilizing Azure platform
4. Experience with databases such as MySQL and or Microsoft SQL Server
5. Ability to work both independently as well as in a dynamic, distributed team environment
...</t>
  </si>
  <si>
    <t>$147K-$210K /yr</t>
  </si>
  <si>
    <t>1. 1+ years of experience writing production level code for autonomous robots, preferably flying robots with a high level of proficiency in C++ and Python
2. Practical experience implementing state of the art algorithms in a robotics-adjacent area including computer vision, state estimation, motion planning, controls, sensor characterization and integration, UAS software and hardware development
3. Highly curious, creative, and able to communicate concepts to non-technical audiences
4. Strong software engineering fundamentals and a commitment to writing clean, well-designed, maintainable, readable code
5. Excited to use robotics to make the world safer, more productive, and more creative</t>
  </si>
  <si>
    <t>Software Engineer, C++ (New Grad Summer 2026)</t>
  </si>
  <si>
    <t>https://jobright.ai/jobs/info/69532d10f1f8465b79ea7f29?utm_source=1100&amp;utm_campaign=Software Engineering</t>
  </si>
  <si>
    <t>$115K-$125K /yr</t>
  </si>
  <si>
    <t>3D Technology, Electronics</t>
  </si>
  <si>
    <t>1. Bachelor's degree in computer science or computer engineering from an ABET accredited university or college
2. Internship or engineering club experience such as FSAE, Baja SAE, solar car, rocket club, robotics club, hackathons, or similar programming with C/C++</t>
  </si>
  <si>
    <t>Machine Learning Engineer I</t>
  </si>
  <si>
    <t>Scowtt</t>
  </si>
  <si>
    <t>https://jobright.ai/jobs/info/6977957388e2b47213bb7d7b?utm_source=1100&amp;utm_campaign=Software Engineering</t>
  </si>
  <si>
    <t>$100000-$150000 /yr</t>
  </si>
  <si>
    <t>Advertising, Artificial Intelligence (AI)</t>
  </si>
  <si>
    <t>1. Bachelor’s degree in Computer Science, ML, Data Science, or equivalent
2. 1-3 years of experience in data structures, algorithms
3. 1-3 years of experience with machine learning concepts and workflows
4. 1-3 years of experience in coding using Python with demonstrated strong coding skills</t>
  </si>
  <si>
    <t>https://jobright.ai/jobs/info/68f95f5acadb2e5a06a64637?utm_source=1100&amp;utm_campaign=Software Engineering</t>
  </si>
  <si>
    <t>Multi Location
San Francisco, CA
NYC Metro Area
San Francisco Bay Area</t>
  </si>
  <si>
    <t>1. Have 1-3 years of professional software engineering experience
2. Are curious and ask good questions—you want to understand why things work, not just how
3. Can take feedback well and iterate quickly
4. Prefer shipping over perfection but still care about quality
5. Want to grow at a startup where you'll have real responsibility early</t>
  </si>
  <si>
    <t>Software Engineer - Automation Tools and Infrastructure</t>
  </si>
  <si>
    <t>https://jobright.ai/jobs/info/69252701d47de4798eccd7d9?utm_source=1100&amp;utm_campaign=Software Engineering</t>
  </si>
  <si>
    <t>$141K-$188K /yr</t>
  </si>
  <si>
    <t>1. BS in relevant engineering discipline and 1+ years of relevant work experience
2. HIL and/or SIL Test Frameworks
3. Object-oriented programming experience (Python or C++ preferred)
4. Experience building cross-platform software with source control (Git)
5. Strong interpersonal and communication skills</t>
  </si>
  <si>
    <t>XiFin, Inc.</t>
  </si>
  <si>
    <t>https://jobright.ai/jobs/info/695e083661d5475ac1a0c7f6?utm_source=1100&amp;utm_campaign=Software Engineering</t>
  </si>
  <si>
    <t>$70K-$90K /yr</t>
  </si>
  <si>
    <t>Enterprise Software, Health Care</t>
  </si>
  <si>
    <t>1. Are a new graduate with a bachelor’s or master’s degree
2. Communicate clearly and confidently, both in writing and in conversation
3. Are eager to learn, ask great questions, and work with others to solve problems
4. Willing to collaborate across the organization to drive XiFin’s business forward
5. Must have obtained a bachelor’s or master’s degree in computer science or equivalent technical field, by or within the 6 months preceding the start date of June 2026
...</t>
  </si>
  <si>
    <t>Platform Engineer - Anaplan</t>
  </si>
  <si>
    <t>https://jobright.ai/jobs/info/695c27a222c9dc0d3d540859?utm_source=1100&amp;utm_campaign=Software Engineering</t>
  </si>
  <si>
    <t>$85K-$126K /yr</t>
  </si>
  <si>
    <t>1. Bachelor of Computer Science or Engineering or experience in related fields
2. Diverse ideas, experiences, thoughts and perspectives to the benefit of the organization
3. Experience with agile development methodologies and Test-Driven Development (TDD)
4. Knowledge of business concepts tools and processes that are needed for making sound decisions in the context of the company's business
5. Ability to learn new skills and knowledge on an on-going basis through self-initiative and tackling challenges
...</t>
  </si>
  <si>
    <t>https://jobright.ai/jobs/info/695cc1021dfa954d1c46e0c1?utm_source=1100&amp;utm_campaign=Software Engineering</t>
  </si>
  <si>
    <t>Multi Location
Seattle, WA
San Francisco, CA</t>
  </si>
  <si>
    <t>$110,500-$160,000 /yr</t>
  </si>
  <si>
    <t>1. 0-2 years of professional software development experience
2. Excellent verbal and written communication skills; Ability to effectively collaborate with teammates is critical to success.
3. A track record of building consumer-facing products that users love
4. Demonstrable experience of modern programming languages and frameworks
5. Sharp problem-solving skills with a focus on algorithms, data structures, and schema design
...</t>
  </si>
  <si>
    <t>Associate Software Engineer in Test</t>
  </si>
  <si>
    <t>OPENLANE</t>
  </si>
  <si>
    <t>https://jobright.ai/jobs/info/695cadc15e4962051b59da05?utm_source=1100&amp;utm_campaign=Software Engineering</t>
  </si>
  <si>
    <t>Reno, NV</t>
  </si>
  <si>
    <t>$65K-$75K /yr</t>
  </si>
  <si>
    <t>Automotive, E-Commerce</t>
  </si>
  <si>
    <t>1. Bachelor’s Degree in related field or equivalent related experience required
2. Excellent attention to detail and a good eye for quality
3. Able to create and carry out test plans to make sure all goals are reached
4. Strong analytical, critical thinking, and problem-solving abilities
5. Strong written and verbal communications skills, including the ability to clearly articulate ideas and comfortable interacting with end users, business partners, and technical individuals
...</t>
  </si>
  <si>
    <t>IMO Health</t>
  </si>
  <si>
    <t>https://jobs.lever.co/imo-online/28f3bd46-aa6d-40ae-a6eb-54074192e96a/thanks</t>
  </si>
  <si>
    <t>WorkBoard</t>
  </si>
  <si>
    <t>Software Engineer I (Full Time) - United States</t>
  </si>
  <si>
    <t>https://careers.cisco.com/global/en/applythankyou?status=success&amp;jobSeqNo=CISCISGLOBAL2007003EXTERNALENGLOBAL&amp;jobTitle=Software%20Engineer%20I%20(Full%20Time)%20-%20United%20States&amp;jobId=2007003&amp;jobApplicationId=27d61a0ceb959001220518cf2ac70001</t>
  </si>
  <si>
    <t>Associate Data Engineer</t>
  </si>
  <si>
    <t>https://jobright.ai/jobs/info/6994f43ee0bddb6acac37881?utm_source=1100&amp;utm_campaign=Software Engineering</t>
  </si>
  <si>
    <t>Hartford, CT</t>
  </si>
  <si>
    <t>$67980-$135960 /yr</t>
  </si>
  <si>
    <t>Health Care, Medical</t>
  </si>
  <si>
    <t>1. 0-3 years of applicable work experience
2. Proficiency in Python, specifically with ETL pipelines.
3. Strong proficiency in SQL and experience in developing simple to moderately complex queries.
4. Experience deploying data pipelines in a cloud environment (Azure, AWS, GCP).
5. Understanding of data warehousing concepts.
...</t>
  </si>
  <si>
    <t>Cloud Platform Engineer I</t>
  </si>
  <si>
    <t>EBSCO Information Services</t>
  </si>
  <si>
    <t>https://jobright.ai/jobs/info/6994fdeece78e77b4fd912e0?utm_source=1100&amp;utm_campaign=Software Engineering</t>
  </si>
  <si>
    <t>Multi Location
United States
US-Remote
Remote, UNAVAILABLE, US</t>
  </si>
  <si>
    <t>$67480-$96400 /yr</t>
  </si>
  <si>
    <t>Content Creators, Database</t>
  </si>
  <si>
    <t>1. 0–3 years of experience in software engineering, infrastructure, DevOps, SRE, or a related technical role (internships, co-ops, bootcamps, or academic projects count)
2. Foundational understanding of cloud concepts (compute, networking, storage)
3. Basic experience or exposure to AWS or another major cloud provider
4. Familiarity with containers and Kubernetes concepts (hands-on experience is a plus, but not required)
5. Some experience with CI/CD pipelines (GitHub Actions, Jenkins, GitLab CI, etc.)
...</t>
  </si>
  <si>
    <t>Firmware Engineer</t>
  </si>
  <si>
    <t>Coherent Corp.</t>
  </si>
  <si>
    <t>https://jobright.ai/jobs/info/6994fb40e0bddb6acac3806c?utm_source=1100&amp;utm_campaign=Software Engineering</t>
  </si>
  <si>
    <t>1020 Stewart Drive, Sunnyvale, CA, 94085, US</t>
  </si>
  <si>
    <t>$70750-$115875 /yr</t>
  </si>
  <si>
    <t>1. BS or MS in Electrical Engineering or related technical fields.
2. Solid foundation in digital circuit design.
3. Deep understanding of MCUs.
4. Ability to work with little supervision and to manage assigned tasks effectively.
5. Ability to learn and apply new technologies and tools to develop innovative solutions.
...</t>
  </si>
  <si>
    <t>Machine Learning Engineer</t>
  </si>
  <si>
    <t>https://jobright.ai/jobs/info/6994e497ce78e77b4fd8f5ab?utm_source=1100&amp;utm_campaign=Software Engineering</t>
  </si>
  <si>
    <t>Multi Location
Austin, TX
Chicago, IL</t>
  </si>
  <si>
    <t>$118K-$174K /yr</t>
  </si>
  <si>
    <t>1. 1+ years relevant experience and a Bachelor’s degree OR Any equivalent combination of education and experience.
2. Familiarity with ML frameworks like TensorFlow or scikit-learn.
3. Strong analytical and problem-solving skills.</t>
  </si>
  <si>
    <t>Agentic AI Engineer in Test</t>
  </si>
  <si>
    <t>Santander</t>
  </si>
  <si>
    <t>https://jobright.ai/jobs/info/699501d881476f6176acde66?utm_source=1100&amp;utm_campaign=Software Engineering</t>
  </si>
  <si>
    <t>Miami Coconut Grove Corp</t>
  </si>
  <si>
    <t>$44250-$86000 /yr</t>
  </si>
  <si>
    <t>Banking, Commercial Lending</t>
  </si>
  <si>
    <t>1. Bachelor's Degree or equivalent work experience: Computer Science, Software Engineering or equivalent field.
2. 0+ Years Experience with test strategies, test plans, and test cases.
3. Experience in writing SQLs to query the backend during the test execution.
4. Expertise in testing web based applications and web services based systems with minimal to no user interface.
5. Experience building test automation frameworks for AI/ML or distributed systems.
...</t>
  </si>
  <si>
    <t>IT Analyst</t>
  </si>
  <si>
    <t>Camping World</t>
  </si>
  <si>
    <t>https://jobright.ai/jobs/info/6994da8b81476f6176acae1c?utm_source=1100&amp;utm_campaign=Software Engineering</t>
  </si>
  <si>
    <t>$65K-$94K /yr</t>
  </si>
  <si>
    <t>E-Commerce, Retail</t>
  </si>
  <si>
    <t>1. Bachelor’s degree in Computer Science, Information Technology, a related technical field, or equivalent practical experience.
2. A strong interest in application performance, cloud computing, and IT infrastructure.
3. Basic understanding of modern IT concepts (e.g., cloud, databases, web applications).
4. Excellent problem-solving skills and a strong desire to learn.
5. Strong verbal and written communication skills.</t>
  </si>
  <si>
    <t>Counsel Stack</t>
  </si>
  <si>
    <t>https://jobright.ai/jobs/info/699480c3e0bddb6acac2f06f?utm_source=1100&amp;utm_campaign=Software Engineering</t>
  </si>
  <si>
    <t>$100-$100 /hr</t>
  </si>
  <si>
    <t>Legal Tech</t>
  </si>
  <si>
    <t>1. Python
2. PostgreSQL
3. DM with a GitHub link</t>
  </si>
  <si>
    <t>Software Engineer, I - Mobile (iOS)</t>
  </si>
  <si>
    <t>Coursera</t>
  </si>
  <si>
    <t>https://jobright.ai/jobs/info/698b93c50f6f7e7a2ce70a99?utm_source=1100&amp;utm_campaign=Software Engineering</t>
  </si>
  <si>
    <t>EdTech, Education</t>
  </si>
  <si>
    <t>1. Experience building iOS applications using Swift, including some experience with SwiftUI (professional experience, internships, or substantial project work).
2. Familiarity with core iOS concepts in Swift and SwiftUI.
3. Exposure to working with APIs.
4. Basic understanding of Git-based workflows and collaborative development.
5. Ability to work effectively on well-defined problems with guidance and support.
...</t>
  </si>
  <si>
    <t>Junior Full Stack Software Engineer</t>
  </si>
  <si>
    <t>WEX</t>
  </si>
  <si>
    <t>https://jobright.ai/jobs/info/6994d5c9e0bddb6acac35277?utm_source=1100&amp;utm_campaign=Software Engineering</t>
  </si>
  <si>
    <t>Multi Location
Maine, United States
US - Remote</t>
  </si>
  <si>
    <t>$75,200-$95,300 /yr</t>
  </si>
  <si>
    <t>1. Experience with C# .NET
2. Experience building microservices
3. Experience with AWS and Azure or equivalent cloud technologies
4. Experience with REST or GraphQL microservices, performance profiling, and tuning tools
5. Experience with Linux/Unix
...</t>
  </si>
  <si>
    <t>Associate Quality Engineer</t>
  </si>
  <si>
    <t>WB Games New York</t>
  </si>
  <si>
    <t>https://jobright.ai/jobs/info/6994efec81476f6176acc902?utm_source=1100&amp;utm_campaign=Software Engineering</t>
  </si>
  <si>
    <t>Troy, NY</t>
  </si>
  <si>
    <t>$56K-$104K /yr</t>
  </si>
  <si>
    <t>Information Technology, Online Games</t>
  </si>
  <si>
    <t>1. Ability to write clear and concise bug reports that conform to the established bug writing standards of WB Games NY.
2. Able to read and write software in Python or some other general purpose programming language.
3. Experience running commands from a CLI (Command Line Interface).
4. Experience using and interacting with a REST API, and other web-based technologies.
5. Ability to identify bugs, duplicate them, perform additional research, and track the bug lifecycle.
...</t>
  </si>
  <si>
    <t>Platform Control Software Engineer</t>
  </si>
  <si>
    <t>Forterra</t>
  </si>
  <si>
    <t>https://jobright.ai/jobs/info/6994f6ed81476f6176accf60?utm_source=1100&amp;utm_campaign=Software Engineering</t>
  </si>
  <si>
    <t>Clarksburg, MD</t>
  </si>
  <si>
    <t>$115000-$155000 /yr</t>
  </si>
  <si>
    <t>1. Minimum of 1-2 years of experience in control systems engineering.
2. Strong background in control theory and control systems design.
3. Proficiency in programming languages such as C++
4. Experience with vehicle dynamics and actuation systems.</t>
  </si>
  <si>
    <t>Wavelogic Firmware Developer - New Grad</t>
  </si>
  <si>
    <t>https://jobright.ai/jobs/info/6940937baa598a08c3f03f56?utm_source=1100&amp;utm_campaign=Software Engineering</t>
  </si>
  <si>
    <t>Atlanta, GA</t>
  </si>
  <si>
    <t>$69K-$110K /yr</t>
  </si>
  <si>
    <t>Collaboration, Delivery</t>
  </si>
  <si>
    <t>1. Bachelor’s degree in Electrical or Computer Engineering.
2. Proficiency in the C programming language.
3. Working knowledge of embedded systems, including drivers, mutual exclusion, synchronization, interrupt handling, and inter-process communication.
4. Understanding of coherent optics, optical and electrical communication techniques.</t>
  </si>
  <si>
    <t>Junior Software Validation Developer</t>
  </si>
  <si>
    <t>WDI Wise Device Inc.</t>
  </si>
  <si>
    <t>https://jobright.ai/jobs/info/6994b129e0bddb6acac32229?utm_source=1100&amp;utm_campaign=Software Engineering</t>
  </si>
  <si>
    <t>Toronto, Ontario, Canada</t>
  </si>
  <si>
    <t>$76000-$87000 /yr</t>
  </si>
  <si>
    <t>Automotive, Construction</t>
  </si>
  <si>
    <t>1. Good with C/C++, C#, Visual Studio, .NET
2. Good with AutoIT and/or Powershell, National Instruments Labwindows
3. Familiar with diagnostic tools: perfmon, regedit, event viewer
4. Familiar with JIRA, Jenkins, Subversion
5. Familiar with Oracle or VM Ware Virtual Machines
...</t>
  </si>
  <si>
    <t>SDET</t>
  </si>
  <si>
    <t>RAPP</t>
  </si>
  <si>
    <t>https://jobright.ai/jobs/info/6977e54a52f3c27ec6440e37?utm_source=1100&amp;utm_campaign=Software Engineering</t>
  </si>
  <si>
    <t>Greater Chicago Area</t>
  </si>
  <si>
    <t>$81K-$97K /yr</t>
  </si>
  <si>
    <t>1. Bachelor’s degree in computer science, ML Engineering, or related field.
2. 0–3 years in software testing or development with exposure to automation.
3. Proficiency in Python or JavaScript.
4. Familiarity with Playwright or Cypress.
5. Basic understanding of unit testing frameworks such as PyTest, Mocha, or Jest.
...</t>
  </si>
  <si>
    <t>https://jobright.ai/jobs/info/69781999fdeb8243a27b0d10?utm_source=1100&amp;utm_campaign=Software Engineering</t>
  </si>
  <si>
    <t>N/A</t>
  </si>
  <si>
    <t>1. BS/MS or equivalent in Computer Engineering, Computer Science, or related field or equivalent practical experience
2. Experience with Python and/or Go
3. Proficiency in object-oriented programming
4. Experience working with data structures or algorithms
5. Ability to work with a low-ego, highly collaborative, and cross-functional team</t>
  </si>
  <si>
    <t>Software Developer Entry to Mid-Level (Open to Montana &amp;amp; South Dakota major office locations)</t>
  </si>
  <si>
    <t>https://jobright.ai/jobs/info/6995252081476f6176ad02c7?utm_source=1100&amp;utm_campaign=Software Engineering</t>
  </si>
  <si>
    <t>SD,US</t>
  </si>
  <si>
    <t>NorthWestern Energy</t>
  </si>
  <si>
    <t>$64800-$125400 /yr</t>
  </si>
  <si>
    <t>Clean Energy, Electrical Distribution</t>
  </si>
  <si>
    <t>1. Bachelor's degree in computer science, information technology, or a related field preferred (will consider combo of associates degree plus practical experience)
2. 0-7 years of professional software development experience ideal
3. Experience with at least one modern programming language such as C#, JavaScript, or TypeScript
4. Familiarity with web application development concepts
5. Basic experience or coursework with relational databases (e.g., SQL Server)
...</t>
  </si>
  <si>
    <t>OT Data Engineer</t>
  </si>
  <si>
    <t>https://jobright.ai/jobs/info/69952396e0bddb6acac3ab2a?utm_source=1100&amp;utm_campaign=Software Engineering</t>
  </si>
  <si>
    <t>Baltimore, MD</t>
  </si>
  <si>
    <t>American Sugar Refining, Inc.</t>
  </si>
  <si>
    <t>$62K-$156K /yr</t>
  </si>
  <si>
    <t>Agriculture, Food and Beverage</t>
  </si>
  <si>
    <t>1. Bachelor’s degree in engineering, Computer Science, or related field.
2. Strong interest in manufacturing processes and data analytics.
3. Familiarity with databases (SQL), programming language (Python), analytics tools (Power BI, SSRS).
4. Understanding of data governance concepts is desirable.
5. Excellent problem-solving and communication skills.
...</t>
  </si>
  <si>
    <t>Security Engineer, New Grad</t>
  </si>
  <si>
    <t>https://jobright.ai/jobs/info/698ed94af64d441a165131b2?utm_source=1100&amp;utm_campaign=Software Engineering</t>
  </si>
  <si>
    <t>$129000-$193400 /yr</t>
  </si>
  <si>
    <t>Finance, FinTech</t>
  </si>
  <si>
    <t>1. Currently enrolled in a Bachelor’s or Master’s program in Computer Science or related field (graduating by Summer 2026)
2. Some experience and familiarity with programming, either through side projects or classwork. We work mostly in Java, Ruby, Python, JavaScript, Scala, and Go. We believe new programming languages can be learned if the fundamentals and general knowledge are present
3. Experience from either previous internships or working collaboratively on multi-person coding projects (in a university or professional setting)
4. Ability to learn unfamiliar systems and form an understanding of those systems, through independent research and working with a mentor and subject matter experts
5. Aptitude to think like an attacker and reason through different approaches to reducing security risk.</t>
  </si>
  <si>
    <t>DSaP Developer</t>
  </si>
  <si>
    <t>https://jobright.ai/jobs/info/69951d8c81476f6176acfb09?utm_source=1100&amp;utm_campaign=Software Engineering</t>
  </si>
  <si>
    <t>SanMar</t>
  </si>
  <si>
    <t>$100000-$140000 /yr</t>
  </si>
  <si>
    <t>Apparel, Fashion</t>
  </si>
  <si>
    <t>1. Bachelor's Degree in IT/Computer Science, Supply Chain, or related field, or equivalent experience
2. 1-3 years of experience in SQL Server development and/or administration
3. Experience in C#, .Net, PHP, or similar object-oriented programming language
4. Solid subject matter expertise on the functional use of technology-based distribution systems: experience with solutions such as Infios / Körber (HighJump) / WMS, Voice and RF WMS equipment or other point-of-pick hardware, ProShip / Parcel management, Conveyor hardware/software interfaces, Databases/reporting tools
5. Understanding of database administration and database modeling concepts
...</t>
  </si>
  <si>
    <t>Full Stack Web Engineer, Palo Alto</t>
  </si>
  <si>
    <t>https://jobright.ai/jobs/info/69951ba2ce78e77b4fd932ef?utm_source=1100&amp;utm_campaign=Software Engineering</t>
  </si>
  <si>
    <t>Multi Location
Palo Alto, CA
Palo Alto, California, United States</t>
  </si>
  <si>
    <t>Rhombus Power Inc.</t>
  </si>
  <si>
    <t>$80000-$110000 /yr</t>
  </si>
  <si>
    <t>Artificial Intelligence (AI)</t>
  </si>
  <si>
    <t>1. 1-3 years building and shipping production web applications
2. At least undergraduate degree in Computer Science, or similar degree
3. Strong frontend engineering skills (React, Next.js, or similar modern frameworks)
4. Solid backend experience (Node.js, Python, or PHP)
5. Deep understanding of HTML, CSS, responsive design, and performance optimization
...</t>
  </si>
  <si>
    <t>Associate Machine Learning Engineer</t>
  </si>
  <si>
    <t>https://jobright.ai/jobs/info/69951b33ce78e77b4fd9328e?utm_source=1100&amp;utm_campaign=Software Engineering</t>
  </si>
  <si>
    <t>San Diego, CA, US</t>
  </si>
  <si>
    <t>1. Bachelor’s or Master’s degree in Computer Science, Engineering, Data Science, or a related technical field
2. 0–3 years of programming experience in Python (including academic projects, internships, research, or personal projects)
3. Foundational understanding of data structures, algorithms, and software development principles
4. Demonstrated interest in artificial intelligence, automation, and applied machine learning</t>
  </si>
  <si>
    <t>Software Engineer, Frontend</t>
  </si>
  <si>
    <t>https://jobright.ai/jobs/info/6994ea6cce78e77b4fd8fd2b?utm_source=1100&amp;utm_campaign=Software Engineering</t>
  </si>
  <si>
    <t>El Segundo, CA</t>
  </si>
  <si>
    <t>Radiant</t>
  </si>
  <si>
    <t>$74000-$172725 /yr</t>
  </si>
  <si>
    <t>Clean Energy, Energy</t>
  </si>
  <si>
    <t>1. Bachelor's degree in Computer Science, Math, Physics, Engineering, or a related technical field.
2. 1+ Years of professional experience in front-end, full-stack, web development engineering.
3. Proficiency in React and Typescript for front-end development.
4. Strong experience building modern web applications with React, Typescript, and Vite as a stack.
5. Familiar with Nginx and Docker.
...</t>
  </si>
  <si>
    <t>Software Engineer II - Active Support</t>
  </si>
  <si>
    <t>Stubhub</t>
  </si>
  <si>
    <t>System Development Engineer I, REALM</t>
  </si>
  <si>
    <t>Fullstack Engineer</t>
  </si>
  <si>
    <t>https://jobright.ai/jobs/info/6997e0f0ce78e77b4fdc5883?utm_source=1100&amp;utm_campaign=Software Engineering</t>
  </si>
  <si>
    <t>Bellevue, WA</t>
  </si>
  <si>
    <t>$107500-$165000 /yr</t>
  </si>
  <si>
    <t>1. 1–3 years of professional software or game development experience, or equivalent project experience.
2. Experience developing games or interactive applications using Unity, including C# scripting.
3. Basic familiarity with backend services, APIs, or server-side development concepts.
4. Exposure to cloud platforms such as Google Cloud Platform, AWS, or Azure (academic or professional).
5. Familiarity with version control systems (e.g., Git).
...</t>
  </si>
  <si>
    <t>https://jobright.ai/jobs/info/6997de2ece78e77b4fdc5376?utm_source=1100&amp;utm_campaign=Software Engineering</t>
  </si>
  <si>
    <t>Software Engineer, Test &amp; Infrastructure I</t>
  </si>
  <si>
    <t>Vail Systems</t>
  </si>
  <si>
    <t>https://jobright.ai/jobs/info/68e6b5d9ae2b894b1d71ceb4?utm_source=1100&amp;utm_campaign=Software Engineering</t>
  </si>
  <si>
    <t>$68K-$90K /yr</t>
  </si>
  <si>
    <t>Customer Service, Enterprise</t>
  </si>
  <si>
    <t>1. Bachelor's degree in Computer Science/Engineering or a related field, or equivalent experience
2. Experience: 0–2+ years in software development or test automation
3. Programming Skills: Familiarity with languages such as Ruby, Java, C#/.NET, C++, Perl, Python, or JavaScript
4. Test Frameworks: Exposure to tools such as JUnit, NUnit, TestNG, RSpec, or Cucumber
5. Platforms: Comfortable working in Linux and/or Windows environments
...</t>
  </si>
  <si>
    <t>https://jobright.ai/jobs/info/697a4a3ea5b9804527e0208c?utm_source=1100&amp;utm_campaign=Software Engineering</t>
  </si>
  <si>
    <t>Multi Location
Chicago, IL
Chicago</t>
  </si>
  <si>
    <t>$175000-$175000 /yr</t>
  </si>
  <si>
    <t>MLOps Engineer</t>
  </si>
  <si>
    <t>Reality Defender</t>
  </si>
  <si>
    <t>https://jobright.ai/jobs/info/6997cd6d81476f6176affcd3?utm_source=1100&amp;utm_campaign=Software Engineering</t>
  </si>
  <si>
    <t>$90K-$120K /yr</t>
  </si>
  <si>
    <t>1. Bachelor's degree in computer science, machine learning, or a related field
2. 1+ year of experience working with large datasets in a production environment or academic setting
3. Strong command of Python fundamentals and data wrangling (pandas, scikit-learn, matplotlib)
4. Basic experience with batch data pipelines and ETL workflows
5. Familiarity with cloud object storage (AWS S3 or equivalent) and structured data organization
...</t>
  </si>
  <si>
    <t>Lumin Digital</t>
  </si>
  <si>
    <t>https://jobright.ai/jobs/info/6997ce8481476f6176affe8d?utm_source=1100&amp;utm_campaign=Software Engineering</t>
  </si>
  <si>
    <t>Remote- United States</t>
  </si>
  <si>
    <t>$80000-$130000 /yr</t>
  </si>
  <si>
    <t>1. Bachelor’s degree in Computer Science, Engineering, or a related field.
2. 0–5 years of professional experience in software development, preferably in a SaaS, B2B, or enterprise application environment.
3. Experience (school or professionally) with object-oriented programming languages such as TypeScript, C#, Java, or similar.
4. Understanding of relational databases and experience with SQL and ORM technologies (e.g., Entity Framework, Hibernate).
5. Familiarity (school or professionally) with microservices architecture, REST APIs, and system integration.
...</t>
  </si>
  <si>
    <t>https://jobright.ai/jobs/info/6993d865ce78e77b4fd7abc3?utm_source=1100&amp;utm_campaign=Software Engineering</t>
  </si>
  <si>
    <t>$99,100-$160,000 /yr</t>
  </si>
  <si>
    <t>1. Experience in automating, deploying, and supporting infrastructure
2. Experience programming with at least one modern language such as Python, Ruby, Golang, Java, C++, C#, Rust
3. Experience with Linux/Unix
4. 1+ years of DevOps or SysOps in a large-scale software development environment experience
5. Bachelor's degree in computer science, computer engineering, or related field</t>
  </si>
  <si>
    <t>$140K-$145K /yr</t>
  </si>
  <si>
    <t>https://jobright.ai/jobs/info/6929a9fe4c474121999c9ff6?utm_source=1100&amp;utm_campaign=Software Engineering</t>
  </si>
  <si>
    <t>Multi Location
Los Angeles, CA
Seattle, WA
San Francisco, CA</t>
  </si>
  <si>
    <t>Software Engineer, Fullstack, Early Career</t>
  </si>
  <si>
    <t>Notion</t>
  </si>
  <si>
    <t>https://jobright.ai/jobs/info/690b8137221b890c277f5557?utm_source=1100&amp;utm_campaign=Software Engineering</t>
  </si>
  <si>
    <t>Multi Location
New York, NY
San Francisco, CA</t>
  </si>
  <si>
    <t>$126K-$180K /yr</t>
  </si>
  <si>
    <t>Software Engineer, New College Grad- Master's (Chandler, AZ)</t>
  </si>
  <si>
    <t>https://jobright.ai/jobs/info/6999e013e0bddb6acac90ea8?utm_source=1100&amp;utm_campaign=Software Engineering</t>
  </si>
  <si>
    <t>$108K-$148K /yr</t>
  </si>
  <si>
    <t>Position Name</t>
  </si>
  <si>
    <t>Current Date</t>
  </si>
  <si>
    <t>Updated Date</t>
  </si>
  <si>
    <t>Nvidia</t>
  </si>
  <si>
    <t>Solution Architect</t>
  </si>
  <si>
    <t>https://nvidia.wd5.myworkdayjobs.com/NVIDIAExternalCareerSite/job/US-CA-Santa-Clara/Solutions-Architect--Worldwide-Field-Operations---New-College-Graduate-2026_JR2004686?source=Eightfold</t>
  </si>
  <si>
    <t xml:space="preserve">Zip </t>
  </si>
  <si>
    <t>I need to reach out to the recuiter regarding the message suggested by gpt</t>
  </si>
  <si>
    <t>https://www.linkedin.com/in/bhavani-nkrishna/</t>
  </si>
  <si>
    <t>Hi Bhavani,
I just applied for the Software Engineer role at Zip via Ashby and wanted to introduce myself. I came across your profile through mutual connections and thought I’d reach out in case you’re the right person to speak with or can point me to the appropriate recruiter.
Thanks for your time.</t>
  </si>
  <si>
    <t>Android Engineer (Growth &amp; Ecosystem)</t>
  </si>
  <si>
    <t>$105K-$145K /yr</t>
  </si>
  <si>
    <t>Consumer Electronics, Fitness</t>
  </si>
  <si>
    <t>1. 0–2 years of professional experience in Android development (internship or academic experience acceptable)
2. Proficiency with Kotlin and familiarity with Android Studio and Jetpack libraries
3. Understanding of Android fundamentals including lifecycle, UI components, and REST API integration
4. Enthusiasm for writing clean code and collaborating in a team environment
5. Willingness to learn architecture patterns like MVVM and modular design
...</t>
  </si>
  <si>
    <t>Associate R &amp; D Data Scientist</t>
  </si>
  <si>
    <t>https://jobright.ai/jobs/info/69580d75f1f8465b79eeaf5b?utm_source=1100&amp;utm_campaign=Software Engineering</t>
  </si>
  <si>
    <t>Princeton, NJ</t>
  </si>
  <si>
    <t>ETS</t>
  </si>
  <si>
    <t>Association, EdTech</t>
  </si>
  <si>
    <t>1. Demonstrable proficiency and experience in Python and/or R for data analysis and modeling.
2. Hands-on experience with PyTorch/TensorFlow, Scikit-learn, and other machine learning frameworks.
3. Familiarity with generative AI methods and their practical applications.
4. Strong understanding of statistical methods, experimental design, and data visualization.
5. Ability to work in cloud computing environments (e.g., AWS) for model deployment and data processing.
...</t>
  </si>
  <si>
    <t>Deep Learning Kernel Software Performance Architect - New College Grad 2026, Deep Learning Kernel Software Performance Architect - New College Grad 2026</t>
  </si>
  <si>
    <t>https://jobright.ai/jobs/info/69743bf0206da320f49e61ae?utm_source=1100&amp;utm_campaign=Software Engineering</t>
  </si>
  <si>
    <t>$124K-$242K /yr</t>
  </si>
  <si>
    <t>1. Master's or PhD in Computer Science, Electrical Engineering or Computer Engineering, or equivalent experience.
2. Proven expertise in software design, including debugging, performance analysis, and test development
3. Hands-on experience with practical parallel programming, even if it’s not on GPUs.
4. Strong understanding of computer architecture, with practical experience on performance debugging.
5. Ability to identify bottlenecks, optimize resource utilization, and enhance system throughput
...</t>
  </si>
  <si>
    <t>Systems Programmer I</t>
  </si>
  <si>
    <t>https://jobright.ai/jobs/info/6994d97fe0bddb6acac35703?utm_source=1100&amp;utm_campaign=Software Engineering</t>
  </si>
  <si>
    <t>St Charles, IL</t>
  </si>
  <si>
    <t>OSG USA, INC.</t>
  </si>
  <si>
    <t>$56K-$73K /yr</t>
  </si>
  <si>
    <t>Industrial, Manufacturing</t>
  </si>
  <si>
    <t>1. HS Diploma/GED or equivalent
2. Experience computer programming in X++, C#, and/or SQL
3. Experience with Microsoft Office Products
4. Excellent problem-solving and analytical skills
5. Basic knowledge of database management, SQL, and data modeling</t>
  </si>
  <si>
    <t>El Mirage, AZ</t>
  </si>
  <si>
    <t>$75K-$85K /yr</t>
  </si>
  <si>
    <t>Zoho Developer</t>
  </si>
  <si>
    <t>https://jobright.ai/jobs/info/69955c76ce78e77b4fd97ff7?utm_source=1100&amp;utm_campaign=Software Engineering</t>
  </si>
  <si>
    <t>Remote job</t>
  </si>
  <si>
    <t>KDG</t>
  </si>
  <si>
    <t>$65000-$75000 /yr</t>
  </si>
  <si>
    <t>Cyber Security, Digital Marketing</t>
  </si>
  <si>
    <t>1. Demonstrated professional integrity, accountability, and ethical judgment, with a consistent commitment to doing what is right for the client, the team, and the business.
2. Strong business-first mindset, viewing technology as a tool to support operational efficiency, scalability, and long-term success—not as an end in itself.
3. Proven ability to communicate clearly and respectfully with Project Managers, Business Analysts, and customers, translating complex ideas into practical, shared understanding.
4. High sense of ownership and responsibility, following through on commitments, proactively addressing challenges, and taking pride in delivering meaningful outcomes.
5. Thoughtful and disciplined approach to listening, clarifying, and validating requirements before designing or building solutions.
...</t>
  </si>
  <si>
    <t>System Administrator 1</t>
  </si>
  <si>
    <t>https://jobright.ai/jobs/info/6993cedb81476f6176ab6a58?utm_source=1100&amp;utm_campaign=Software Engineering</t>
  </si>
  <si>
    <t>La Crosse, WI</t>
  </si>
  <si>
    <t>Kwik Trip, Inc.</t>
  </si>
  <si>
    <t>$27-$40 /hr</t>
  </si>
  <si>
    <t>Consumer Goods, Food and Beverage</t>
  </si>
  <si>
    <t>1. Associate degree in Information Systems/Network Systems Administration or equivalent combination of education and experience is required.
2. Experience related to server and infrastructure management, with specific focus on the setup and maintenance of servers and applications within a virtual environment.
3. Knowledge of Microsoft Windows client and server operating systems
4. Experience with Office 365 administration (including Exchange Online, SharePoint Online, etc.)
5. Experience with Microsoft Active Directory, and Microsoft Group Policy management.
...</t>
  </si>
  <si>
    <t>INFORMATION TECHNOLOGY SPECIALIST I</t>
  </si>
  <si>
    <t>https://jobright.ai/jobs/info/6994d12081476f6176aca282?utm_source=1100&amp;utm_campaign=Software Engineering</t>
  </si>
  <si>
    <t>Sacramento, CA</t>
  </si>
  <si>
    <t>California State Treasurer's Office</t>
  </si>
  <si>
    <t>$6513-$10852 /mon</t>
  </si>
  <si>
    <t>Banking, Education</t>
  </si>
  <si>
    <t>1. The position(s) require(s) a Background Investigation be cleared prior to being hired.
2. 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
3. Resume is required and must be included.
4. School Transcripts</t>
  </si>
  <si>
    <t>Computer Science and Engineering Department: CROSS Practitioner in Residence Pool</t>
  </si>
  <si>
    <t>https://jobright.ai/jobs/info/6995703f81476f6176ad606f?utm_source=1100&amp;utm_campaign=Software Engineering</t>
  </si>
  <si>
    <t>Santa Cruz County, CA</t>
  </si>
  <si>
    <t>$55000-$194800 /yr</t>
  </si>
  <si>
    <t>1. Bachelor’s degree or higher (or equivalent foreign degree).
2. Experience in open source software development.</t>
  </si>
  <si>
    <t>https://jobright.ai/jobs/info/6997ded6e0bddb6acac6b3d6?utm_source=1100&amp;utm_campaign=Software Engineering</t>
  </si>
  <si>
    <t>Bellevue, Washington, USA</t>
  </si>
  <si>
    <t>https://jobright.ai/jobs/info/69939ba3ce78e77b4fd76e5c?utm_source=1100&amp;utm_campaign=Software Engineering</t>
  </si>
  <si>
    <t>Multi Location
Utah, United States
Washington, United States
Colorado, United States
Oregon, United States</t>
  </si>
  <si>
    <t>400 NW Plz Dr, St Ann, MO 63074, USA</t>
  </si>
  <si>
    <t>AI Prompt Engineer Associate (DMV)</t>
  </si>
  <si>
    <t>https://jobright.ai/jobs/info/6993f5c9ce78e77b4fd7d33f?utm_source=1100&amp;utm_campaign=Software Engineering</t>
  </si>
  <si>
    <t>Any Location / Remote</t>
  </si>
  <si>
    <t>General Dynamics Information Technology</t>
  </si>
  <si>
    <t>$80750-$109250 /yr</t>
  </si>
  <si>
    <t>1. Education: Bachelor of Arts/Bachelor of Science or High School Degree
2. Experience: 0+ years of related experience with BA/BS or 4 years of relevant experience with High School Degree
3. Excellent problem-solving skills with creative mindset
4. Strong communication skills to collaborate with other program members and stakeholders
5. Curiosity about AI systems, how they work, and how to optimize generative AI responses
...</t>
  </si>
  <si>
    <t>App Review Specialist</t>
  </si>
  <si>
    <t>https://jobright.ai/jobs/info/699365a581476f6176ab059c?utm_source=1100&amp;utm_campaign=Software Engineering</t>
  </si>
  <si>
    <t>Sunnyvale, California, United States</t>
  </si>
  <si>
    <t>$27.75-$47.02 /hr</t>
  </si>
  <si>
    <t>1. Fluency in English and Spanish as this role will frequently be supporting language-specific apps.
2. Available to work a Tuesday–Saturday schedule.</t>
  </si>
  <si>
    <t>https://jobright.ai/jobs/info/68afbe89b47fb001d688cc34?utm_source=1100&amp;utm_campaign=Software Engineering</t>
  </si>
  <si>
    <t>$140K-$190K /yr</t>
  </si>
  <si>
    <t>Analytics, Call Center</t>
  </si>
  <si>
    <t>1. At least 1 year of professional experience in back-end or full-stack development
2. Expert level programming ability with Typescript (+React), Python, or Ruby
3. Deep understanding of software development practices, scalable system architecture, security best practices and cloud-based platforms
4. Proven understanding of distributed computing principles and experience with cloud-based platforms
5. Exceptional analytical and problem-solving skills, with the ability to effectively troubleshoot complex data issues
...</t>
  </si>
  <si>
    <t>https://jobright.ai/jobs/info/690b95204a1b456627b10975?utm_source=1100&amp;utm_campaign=Software Engineering</t>
  </si>
  <si>
    <t>$17-$18 /hr</t>
  </si>
  <si>
    <t>Consumer Goods, Music</t>
  </si>
  <si>
    <t>1. Must be at least 18 years of age
2. Strong analytical and problem solving skills
3. Excellent written and verbal communication (needs to be able to communicate bugs how did you find them? What exact steps are needed to make it happen again?)
4. Basic to intermediate understanding of networking setup and hardware, as well as how its principles and components apply to modern console, PC, and mobile gaming / functionality
5. Ability to work in both an individual and team environment
...</t>
  </si>
  <si>
    <t>QA Analyst (Temp)</t>
  </si>
  <si>
    <t>https://jobright.ai/jobs/info/69485501d1953b5d11c1610e?utm_source=1100&amp;utm_campaign=Software Engineering</t>
  </si>
  <si>
    <t>Austin, TX</t>
  </si>
  <si>
    <t>Daybreak Game Company LLC</t>
  </si>
  <si>
    <t>$14-$17 /hr</t>
  </si>
  <si>
    <t>Gamification, Gaming</t>
  </si>
  <si>
    <t>1. Proficient in QA Methodologies and best practices
2. Excellent written and verbal communication
3. 1 year of quality assurance experience
4. Create and execute test plans
5. Collaborate with other analysts and developers to ensure thorough testing of content
...</t>
  </si>
  <si>
    <t>https://jobright.ai/jobs/info/6976c169206da320f4a077ca?utm_source=1100&amp;utm_campaign=Software Engineering</t>
  </si>
  <si>
    <t>Multi Location
Palo Alto, CA
Chevy Chase, MD
Seattle, WA
Dallas, TX</t>
  </si>
  <si>
    <t>Production Engineer, Global Banking &amp; Markets, FICC Systematic Market Making (SMM)</t>
  </si>
  <si>
    <t>https://jobright.ai/jobs/info/69957643e0bddb6acac40d5e?utm_source=1100&amp;utm_campaign=Software Engineering</t>
  </si>
  <si>
    <t>Multi Location
New York, NY
New York, New York, United States</t>
  </si>
  <si>
    <t>$115000-$180000 /yr</t>
  </si>
  <si>
    <t>1. 1 year or more of relevant work experience
2. Proficiency in one of the following: Python, C, C++, Java, or shell scripting
3. Aptitude for algorithms, data structures, and software design
4. Experience with Linux operating system internals and/or networking concepts
5. Strong analytical skills, with an ability to quickly identify scope and impact of issues during high-pressure situations
...</t>
  </si>
  <si>
    <t>https://jobright.ai/jobs/info/6997e315e0bddb6acac6bdac?utm_source=1100&amp;utm_campaign=Software Engineering</t>
  </si>
  <si>
    <t>Sioux Falls, SD</t>
  </si>
  <si>
    <t>Sanford Health</t>
  </si>
  <si>
    <t>$32-$52 /hr</t>
  </si>
  <si>
    <t>Children, Education</t>
  </si>
  <si>
    <t>1. Bachelor's Degree in a computer-related field required.
2. Basic knowledge of computer principles and techniques necessary to develop and document software applications systems.
3. Basic knowledge of relational databases.
4. Basic knowledge of Object Oriented programming.
5. Basic knowledge of ASP.NET.
...</t>
  </si>
  <si>
    <t>Firmware Validation Engineer &amp; Flashing Engineer</t>
  </si>
  <si>
    <t>https://jobright.ai/jobs/info/6995608fce78e77b4fd98621?utm_source=1100&amp;utm_campaign=Software Engineering</t>
  </si>
  <si>
    <t>$140000-$210000 /yr</t>
  </si>
  <si>
    <t>Automotive, Electric Vehicle</t>
  </si>
  <si>
    <t>1. Minimum of 1 to 3 years prior experience in embedded systems, software engineering (or similar role)
2. Bachelor’s Degree in Computer Science, Electrical Engineering, Computer Engineering, or related field, or equivalent experience
3. Solid Python experience
4. Understanding of branching, configuration management, testing, build and release processes for complex software
5. Must have fundamentals in electrical engineering
...</t>
  </si>
  <si>
    <t>https://jobright.ai/jobs/info/69955f92ce78e77b4fd98538?utm_source=1100&amp;utm_campaign=Software Engineering</t>
  </si>
  <si>
    <t>$140K-$210K /yr</t>
  </si>
  <si>
    <t>IT Systems Engineer</t>
  </si>
  <si>
    <t>https://jobright.ai/jobs/info/69955b49e0bddb6acac3eb98?utm_source=1100&amp;utm_campaign=Software Engineering</t>
  </si>
  <si>
    <t>Artificial Intelligence (AI), Chatbot</t>
  </si>
  <si>
    <t>1. Bachelor's degree in Information Technology, Computer Science, or a related field (or equivalent practical experience).
2. 0–2 years of professional IT support experience.
3. Demonstrable Python and Bash scripting ability (personal projects, coursework, or professional experience).
4. Familiarity with Git/GitHub workflows.
5. Understand how to use command line on Linux and MacOS.</t>
  </si>
  <si>
    <t>Software Engineer I / II - San Francisco</t>
  </si>
  <si>
    <t>Multi Location
San Francisco, CA
San Francisco Bay Area</t>
  </si>
  <si>
    <t>Junior Systems Administrator</t>
  </si>
  <si>
    <t>https://jobright.ai/jobs/info/6995b059ce78e77b4fd9c70f?utm_source=1100&amp;utm_campaign=Software Engineering</t>
  </si>
  <si>
    <t>Washington, DC</t>
  </si>
  <si>
    <t>Urban Land Institute</t>
  </si>
  <si>
    <t>$56K-$67K /yr</t>
  </si>
  <si>
    <t>Association, Real Estate</t>
  </si>
  <si>
    <t>1. Working knowledge of Windows 10/11
2. Working knowledge of macOS and iOS
3. Working knowledge of Microsoft 365 applications
4. Working knowledge of Active Directory and Azure Active Directory
5. Exposure to cloud platforms (Azure, AWS, or Google Workspace) preferred but not required
...</t>
  </si>
  <si>
    <t>https://jobright.ai/jobs/info/69955e8b81476f6176ad4958?utm_source=1100&amp;utm_campaign=Software Engineering</t>
  </si>
  <si>
    <t>SD Metro Area</t>
  </si>
  <si>
    <t>$70K-$100K /yr</t>
  </si>
  <si>
    <t>1. Bachelor’s or Master’s degree in Computer Science, Engineering, Data Science, or a related technical field
2. 0–3 years of programming experience in Python (including academic projects, internships, research, or personal projects)
3. Foundational understanding of data structures, algorithms, and software development principles
4. Demonstrated interest in artificial intelligence, automation, and applied machine learning
5. Demonstrate a strong growth mindset and eagerness to learn emerging AI technologies
...</t>
  </si>
  <si>
    <t>Entry-Level Embedded Systems Engineer</t>
  </si>
  <si>
    <t>https://jobright.ai/jobs/info/69957131ce78e77b4fd99c9e?utm_source=1100&amp;utm_campaign=Software Engineering</t>
  </si>
  <si>
    <t>Allentown, PA</t>
  </si>
  <si>
    <t>Broadcom</t>
  </si>
  <si>
    <t>$73K-$117K /yr</t>
  </si>
  <si>
    <t>Mobile, Semiconductor</t>
  </si>
  <si>
    <t>1. Master’s Degree in Electrical Engineering or Computer Engineering
2. Proficient in C and Python
3. Self-directed and motivated</t>
  </si>
  <si>
    <t>https://jobright.ai/jobs/info/699949e6e0bddb6acac868fe?utm_source=1100&amp;utm_campaign=Software Engineering</t>
  </si>
  <si>
    <t>$129K-$193K /yr</t>
  </si>
  <si>
    <t>R&amp;D Engineer, Embedded Systems (Onsite)</t>
  </si>
  <si>
    <t>https://jobright.ai/jobs/info/6995dbe7e0bddb6acac44bfd?utm_source=1100&amp;utm_campaign=Software Engineering</t>
  </si>
  <si>
    <t>Sunnyvale,CA,US</t>
  </si>
  <si>
    <t>EBR Systems, Inc.</t>
  </si>
  <si>
    <t>$87500-$112500 /yr</t>
  </si>
  <si>
    <t>Biotechnology, Health Care</t>
  </si>
  <si>
    <t>1. Bachelor’s degree in Electrical Engineering, Computer Engineering, Embedded Systems, or related field.
2. Entry-level role with up to 2 years of experience (industry or strong academic projects).
3. Exposure to embedded C/C++, microcontrollers, and basic electronics concepts.
4. Curiosity, persistence, and comfort working through ambiguity.
5. Willingness to ask questions and learn from failures.
...</t>
  </si>
  <si>
    <t>Firmware Validation Engineer I</t>
  </si>
  <si>
    <t>https://jobright.ai/jobs/info/69954703e0bddb6acac3d437?utm_source=1100&amp;utm_campaign=Software Engineering</t>
  </si>
  <si>
    <t>Capgemini Engineering</t>
  </si>
  <si>
    <t>$54K-$130K /yr</t>
  </si>
  <si>
    <t>Consulting, Information Services</t>
  </si>
  <si>
    <t>1. Bachelor's degree in computer science, software engineering or relevant field required.
2. Experience with embedded systems, RTOS environments, and microcontroller/microprocessor architectures (ARM, PIC, AVR, etc.).
3. Familiarity with test automation frameworks (Python, Robot Framework, Jenkins CI/CD for test execution).
4. Understanding of source control systems (Git), build pipelines, and test documentation standards.
5. Verbal and written communication skills, problem solving skills, customer service and interpersonal skills.
...</t>
  </si>
  <si>
    <t>https://jobright.ai/jobs/info/6995401281476f6176ad227a?utm_source=1100&amp;utm_campaign=Software Engineering</t>
  </si>
  <si>
    <t>Rhombus</t>
  </si>
  <si>
    <t>Information Technology, Security</t>
  </si>
  <si>
    <t>https://jobright.ai/jobs/info/6995387bce78e77b4fd953dc?utm_source=1100&amp;utm_campaign=Software Engineering</t>
  </si>
  <si>
    <t>Washington, DC, US</t>
  </si>
  <si>
    <t>$55781-$66625 /yr</t>
  </si>
  <si>
    <t>1. Working knowledge of Windows 10/11
2. Working knowledge of macOS and iOS
3. Working knowledge of Microsoft 365 applications
4. Working knowledge of Active Directory and Azure Active Directory
5. Experience with ServiceNow or a comparable IT service management platform
...</t>
  </si>
  <si>
    <t>Developer</t>
  </si>
  <si>
    <t>https://jobright.ai/jobs/info/699533f4ce78e77b4fd94ea4?utm_source=1100&amp;utm_campaign=Software Engineering</t>
  </si>
  <si>
    <t>Carpinteria, CA</t>
  </si>
  <si>
    <t>PlanMember Financial Corporation</t>
  </si>
  <si>
    <t>$75K-$95K /yr</t>
  </si>
  <si>
    <t>1. Proficient in UI development with 1-2 years of experience in HTML5/CSS3, Bootstrap or similar UI development framework.
2. 1-2 years of Web development experience in technologies such as PHP, Ruby, ColdFusion or ASP.Net
3. 1-3 years’ experience required with one of the JavaScript framework/libraries. (jQuery, AngularJS, React, Ember, Knockout etc.)
4. Database experience with SQL Server or MySQL.
5. Be comfortable with writing SQL queries. Should be good with SQL optimization using indexes or other optimization techniques.
...</t>
  </si>
  <si>
    <t>Systems Administrator I</t>
  </si>
  <si>
    <t>https://jobright.ai/jobs/info/698f9bc66ea51a7610f20112?utm_source=1100&amp;utm_campaign=Software Engineering</t>
  </si>
  <si>
    <t>Buffalo, NY</t>
  </si>
  <si>
    <t>M&amp;T Bank</t>
  </si>
  <si>
    <t>$23-$39 /hr</t>
  </si>
  <si>
    <t>1. Associates degree and a minimum of 1 years' relevant work experience, or in lieu of a degree, a combined minimum of 3 years' higher education and/or work experience, including a minimum of 1 years' relevant work experience
2. Experience working independently or functioning as a member of a team
3. Basic computer skills, including pertinent software
4. Proven analytical skills
5. Proven problem-solving skills
...</t>
  </si>
  <si>
    <t>Software Engineer Grad</t>
  </si>
  <si>
    <t>https://jobright.ai/jobs/info/69952fc181476f6176ad0e80?utm_source=1100&amp;utm_campaign=Software Engineering</t>
  </si>
  <si>
    <t>Pure Storage</t>
  </si>
  <si>
    <t>$119K-$179K /yr</t>
  </si>
  <si>
    <t>Cloud Computing, Data Storage</t>
  </si>
  <si>
    <t>1. Strong computer science fundamentals: A solid understanding of data structures, algorithms, concurrency, and design principles. You can apply these concepts to solve practical engineering problems.
2. Proficiency in C++: You're comfortable writing clean, efficient, and well-structured code in C++.
3. Problem-solving aptitude: A proactive and self-motivated approach to identifying and solving complex problems with a focus on delivering high-quality, impactful results.
4. Collaboration and communication skills: The ability to articulate complex technical ideas clearly and work effectively in a team-based, open office environment.</t>
  </si>
  <si>
    <t>https://jobright.ai/jobs/info/69955112e0bddb6acac3df17?utm_source=1100&amp;utm_campaign=Software Engineering</t>
  </si>
  <si>
    <t>$115K-$180K /yr</t>
  </si>
  <si>
    <t>Network Engineer</t>
  </si>
  <si>
    <t>https://jobright.ai/jobs/info/69955a8be0bddb6acac3eb0a?utm_source=1100&amp;utm_campaign=Software Engineering</t>
  </si>
  <si>
    <t>Santa Monica Seafood</t>
  </si>
  <si>
    <t>$90K-$100K /yr</t>
  </si>
  <si>
    <t>Food and Beverage</t>
  </si>
  <si>
    <t>1. Ability to work independently.
2. Monitor and maintain LAN/WAN, SD-WAN, WLAN, and VPN infrastructure.
3. Respond to network outages and performance issues.
4. Support network hardware such as switches, routers, firewalls, and wireless access points.
5. Configure and deploy network equipment.
...</t>
  </si>
  <si>
    <t>$74K-$173K /yr</t>
  </si>
  <si>
    <t>https://jobright.ai/jobs/info/69952098e0bddb6acac3a84b?utm_source=1100&amp;utm_campaign=Software Engineering</t>
  </si>
  <si>
    <t>Palo Alto, California, United States</t>
  </si>
  <si>
    <t>https://jobright.ai/jobs/info/69952cd4e0bddb6acac3b489?utm_source=1100&amp;utm_campaign=Software Engineering</t>
  </si>
  <si>
    <t>Santa Clara, California</t>
  </si>
  <si>
    <t>$119,000-$179,000 /yr</t>
  </si>
  <si>
    <t>Post-Doctoral Associate</t>
  </si>
  <si>
    <t>https://jobright.ai/jobs/info/6994fb7e81476f6176acd5bc?utm_source=1100&amp;utm_campaign=Software Engineering</t>
  </si>
  <si>
    <t>Athens, GA</t>
  </si>
  <si>
    <t>The University of Georgia</t>
  </si>
  <si>
    <t>$47K-$56K /yr</t>
  </si>
  <si>
    <t>Artificial Intelligence (AI), Information Technology</t>
  </si>
  <si>
    <t>1. Pharm.D. or Ph.D. in Pharmaceutical Sciences, or a related discipline.
2. Extensive experience with clinical datasets and managing and analyzing big data repositories.
3. Competent with foundational principles in biostatics and at least one coding language (e.g., R, python, SAS, C++).
4. Excellent scientific writing ability and oral communication skills.
5. Have a growth mindset, enjoy working in a team, and be highly motivated to publish high-impact work.</t>
  </si>
  <si>
    <t>https://jobright.ai/jobs/info/699504ece0bddb6acac38c3d?utm_source=1100&amp;utm_campaign=Software Engineering</t>
  </si>
  <si>
    <t>II-VI Aerospace &amp; Defense</t>
  </si>
  <si>
    <t>$70,750-$115,875 /yr</t>
  </si>
  <si>
    <t>Aerospace, Apps</t>
  </si>
  <si>
    <t>1. Carry out firmware design under the guidance of senior members of the design team.
2. Use C++ to write firmware on ST MCUs.
3. Develop GUI for firmware testing using Python or other programming languages.
4. Utilize instruments like logic analyzer and oscilloscope for troubleshooting.
5. Collaborate with other team members on circuit design support.
...</t>
  </si>
  <si>
    <t>Database Administrator</t>
  </si>
  <si>
    <t>https://jobright.ai/jobs/info/699666b2e0bddb6acac4dbd1?utm_source=1100&amp;utm_campaign=Software Engineering</t>
  </si>
  <si>
    <t>California Franchise Tax Board</t>
  </si>
  <si>
    <t>$6513-$10537 /mon</t>
  </si>
  <si>
    <t>Government, Non Profit</t>
  </si>
  <si>
    <t>1. Experience with Microsoft SQL Server Administration
2. Experience in Database Administration on Windows environment
3. Experience in scripting languages such as PowerShell, C#, Java, JavaScript, BASH, Perl, or Python etc.
4. Experience with Performance Tuning, Troubleshooting, Installing, and Configuration of Databases
5. Experience with Database Clusters, Database Migrations, Database Backup, Restore and Disaster Recovery
...</t>
  </si>
  <si>
    <t>https://jobright.ai/jobs/info/699522fece78e77b4fd93abe?utm_source=1100&amp;utm_campaign=Software Engineering</t>
  </si>
  <si>
    <t>San Francisco (Remote)</t>
  </si>
  <si>
    <t>$150,000-$200,000 /yr</t>
  </si>
  <si>
    <t>1. Bachelor’s degree in Information Technology, Computer Science, or a related field (or equivalent practical experience).
2. Relevant certifications such as CompTIA A+, Google IT Support Professional Certificate, or AWS Cloud Practitioner are valued.
3. 0–2 years of professional IT support experience.
4. Demonstrable Python and Bash scripting ability (personal projects, coursework, or professional experience).
5. Familiarity with Git/GitHub workflows.
...</t>
  </si>
  <si>
    <t>Postdoctoral Fellow, Kelley Lab - Gene Regulation Machine Learning</t>
  </si>
  <si>
    <t>https://jobright.ai/jobs/info/69952f94e0bddb6acac3b78d?utm_source=1100&amp;utm_campaign=Software Engineering</t>
  </si>
  <si>
    <t>South San Francisco, CA</t>
  </si>
  <si>
    <t>Calico Life Sciences</t>
  </si>
  <si>
    <t>$95000-$95000 /yr</t>
  </si>
  <si>
    <t>1. Must have recently completed a PhD degree in a relevant scientific or computational field
2. Current PhD student applicants should be within 12 months of completing their PhD
3. Applicants who have already graduated must have completed their PhD within the past 3 years and not have been employed as a postdoc at more than one other lab/company since graduation
4. Must have made important contributions to science in their area, ideally demonstrated by having had a meaningful first author paper accepted for publication
5. While specific technical skills are project-dependent, proficiency in core scientific methodologies, analytical skills, and quantitative problem-solving is essential
...</t>
  </si>
  <si>
    <t>Security Operations Center (SOC) Analyst</t>
  </si>
  <si>
    <t>https://jobright.ai/jobs/info/69965767ce78e77b4fda5ccf?utm_source=1100&amp;utm_campaign=Software Engineering</t>
  </si>
  <si>
    <t>Hawaii</t>
  </si>
  <si>
    <t>RapDev</t>
  </si>
  <si>
    <t>$110000-$150000 /yr</t>
  </si>
  <si>
    <t>Cloud Computing, Consulting</t>
  </si>
  <si>
    <t>1. Bachelor's degree or equivalent experience in Cyber Security or related field
2. SIEM experience with Splunk, SumoLogic, Datadog, or similar.
3. Experience with security monitoring, incident response, and threat analysis
4. Experience with Cloud Native Technologies
5. Excellent problem-solving and analytical skills
...</t>
  </si>
  <si>
    <t>https://jobright.ai/jobs/info/699657db81476f6176ae22a2?utm_source=1100&amp;utm_campaign=Software Engineering</t>
  </si>
  <si>
    <t>$70000-$125000 /yr</t>
  </si>
  <si>
    <t>1. Bachelor's degree or equivalent experience in Cyber Security or related field
2. SIEM experience with Splunk, SumoLogic, Datadog, or similar
3. Experience with security monitoring, incident response, and threat analysis
4. Experience with Cloud Native Technologies
5. Excellent problem-solving and analytical skills
...</t>
  </si>
  <si>
    <t>https://jobright.ai/jobs/info/69965310e0bddb6acac4c17c?utm_source=1100&amp;utm_campaign=Software Engineering</t>
  </si>
  <si>
    <t>US, Remote</t>
  </si>
  <si>
    <t>Horizon3.ai</t>
  </si>
  <si>
    <t>$130000-$190000 /yr</t>
  </si>
  <si>
    <t>1. Bachelor’s degree in Computer Science, Computer Engineering, or a related field, or equivalent practical experience.
2. 1–4 years of professional software engineering experience.
3. Experience building backend services using at least one modern language, such as Python, Go, Java, TypeScript, or similar.
4. Experience working with SQL and at least one relational database in production.
5. Experience building backend services on a cloud platform (AWS, GCP, or Azure), and familiarity with Docker and containerized applications.</t>
  </si>
  <si>
    <t>GSOC Operator</t>
  </si>
  <si>
    <t>https://jobright.ai/jobs/info/69951220e0bddb6acac39ba0?utm_source=1100&amp;utm_campaign=Software Engineering</t>
  </si>
  <si>
    <t>Provo, UT</t>
  </si>
  <si>
    <t>Cobalt AI</t>
  </si>
  <si>
    <t>$16.50-$16.50 /hr</t>
  </si>
  <si>
    <t>1. Ability to monitor alarms and respond to security incidents.
2. Experience in managing and updating credentials in Credential Management systems.
3. Ability to provide remote access support to authorized personnel.
4. Excellent customer service skills for inbound phone call management.
5. Ability to manage alerts and notifications through an Intelligence platform.
...</t>
  </si>
  <si>
    <t>https://jobright.ai/jobs/info/6995237b81476f6176ad00ff?utm_source=1100&amp;utm_campaign=Software Engineering</t>
  </si>
  <si>
    <t>Ripon, WI</t>
  </si>
  <si>
    <t>Accurate Controls, Inc.</t>
  </si>
  <si>
    <t>$55K-$65K /yr</t>
  </si>
  <si>
    <t>3D Printing, Cyber Security</t>
  </si>
  <si>
    <t>1. Proven experience in software development with proficiency in multiple programming languages such as Java, C#, C++, Python, VBA, or JavaScript.
2. Strong understanding of web development frameworks including React, Express, Ruby on Rails, and RESTful API design principles.
3. Hands-on experience working with cloud platforms like AWS or Azure for deployment and infrastructure management.
4. Familiarity with IT infrastructure, Linux environments, version control systems (GitHub, SVN), and application deployment pipelines.
5. Knowledge of database systems such as MySQL or SQL Server for data modeling and query optimization.
...</t>
  </si>
  <si>
    <t>Quantitative Developer</t>
  </si>
  <si>
    <t>https://jobright.ai/jobs/info/699513b9ce78e77b4fd92c06?utm_source=1100&amp;utm_campaign=Software Engineering</t>
  </si>
  <si>
    <t>Arrowstreet Capital, Limited Partnership</t>
  </si>
  <si>
    <t>$155K-$260K /yr</t>
  </si>
  <si>
    <t>Financial Services, Venture Capital</t>
  </si>
  <si>
    <t>1. An undergraduate or graduate degree from an educational institution in computer science with a quantitative application such as mathematics and/or finance, or vice versa – a quantitative degree with a computer science application
2. 1 - 3 years of relevant experience required
3. Demonstrated professional or academic success
4. Strong analytical, quantitative, and problem-solving skills
5. Experience implementing production-grade Python code for a data analytic business, preferably in investment management
...</t>
  </si>
  <si>
    <t>Associate Game Designer (Technical) (Contingent)</t>
  </si>
  <si>
    <t>https://jobright.ai/jobs/info/6994e4e6ce78e77b4fd8f60f?utm_source=1100&amp;utm_campaign=Software Engineering</t>
  </si>
  <si>
    <t>Multi Location
United States, Santa Monica, CA
Santa Monica, CA</t>
  </si>
  <si>
    <t>$37-$50 /hr</t>
  </si>
  <si>
    <t>1. Significant programming ability (Computer Science undergraduate degree preferred)
2. Knowledge of 3D math
3. Experience with C++, C#, Lua, or other scripting language
4. Broad understanding of gaming landscape
5. Self-starter with excellent communication and teamwork skills
...</t>
  </si>
  <si>
    <t>https://jobright.ai/jobs/info/6995104cce78e77b4fd927fe?utm_source=1100&amp;utm_campaign=Software Engineering</t>
  </si>
  <si>
    <t>$40K-$55K /yr</t>
  </si>
  <si>
    <t>1. Develop and support programs in Python, TypeScript, C, C++, C# and other programming languages for use on existing and active projects.
2. Develop front-end user interfaces with HTML, CSS, JavaScript, PHP, and C#.
3. Perform coding, debugging, testing, and troubleshooting throughout the application development process.
4. Provide ongoing maintenance, support, and enhancements in existing systems and platforms.
5. Work alongside other engineers on the team to evaluate technology and apply best case solutions.
...</t>
  </si>
  <si>
    <t>Epicor IT Specialist</t>
  </si>
  <si>
    <t>https://jobright.ai/jobs/info/6994ee77e0bddb6acac3706c?utm_source=1100&amp;utm_campaign=Software Engineering</t>
  </si>
  <si>
    <t>Springfield, MO</t>
  </si>
  <si>
    <t>Springfield Sign</t>
  </si>
  <si>
    <t>$65K-$125K /yr</t>
  </si>
  <si>
    <t>Digital Signage, Graphic Design</t>
  </si>
  <si>
    <t>1. Extensive experience with Epicor ERP system configuration, customization, and deployment.
2. Strong understanding of service-oriented architecture (SOA), solution architecture, and system design principles.
3. Proficiency in database management systems such as SQL Server, PostgreSQL, MySQL; familiarity with NoSQL databases is a plus.
4. Hands-on knowledge of IT infrastructure components including operating systems (Windows/Linux), virtualization (VMware/ESXi), cloud platforms (AWS/Azure), and networking fundamentals (DNS, DHCP, VPNs).
5. Expertise in web services development using RESTful APIs and SOAP; experience integrating third-party solutions like Salesforce or Pegasystems is highly desirable.
...</t>
  </si>
  <si>
    <t>https://jobright.ai/jobs/info/699512dce0bddb6acac39c89?utm_source=1100&amp;utm_campaign=Software Engineering</t>
  </si>
  <si>
    <t>Multi Location
Phoenix, AZ
Phoenix, AZ (Hybrid)</t>
  </si>
  <si>
    <t>Maricopa County</t>
  </si>
  <si>
    <t>$62000-$119000 /yr</t>
  </si>
  <si>
    <t>Association, Government</t>
  </si>
  <si>
    <t>1. One year of relevant work experience, performing the duties and responsibilities of the role
2. Bachelor's degree from an accredited college or university in Computer Science, Information Technology, or related field
3. A combination of post-secondary education and/or job-related experience may substitute for the minimum qualifications on a year-for-year basis.</t>
  </si>
  <si>
    <t>Global Currency and Emerging Markets (GCEM) - Software Engineer - New York - GBM Public</t>
  </si>
  <si>
    <t>https://jobright.ai/jobs/info/6994f8ace0bddb6acac37d8b?utm_source=1100&amp;utm_campaign=Software Engineering</t>
  </si>
  <si>
    <t>1. Strong analytical skills and a passion for problem solving.
2. Strong programming skills in OO languages such as Java or Python.
3. Ability to quickly learn new languages and technologies.
4. Strong background in computer science, mathematics, and/or a related field.
5. Comfort with multi-tasking and is self-motivated.
...</t>
  </si>
  <si>
    <t>https://jobright.ai/jobs/info/6994e71581476f6176acbcb1?utm_source=1100&amp;utm_campaign=Software Engineering</t>
  </si>
  <si>
    <t>https://jobright.ai/jobs/info/6994d072ce78e77b4fd8de83?utm_source=1100&amp;utm_campaign=Software Engineering</t>
  </si>
  <si>
    <t>Saint Charles, IL</t>
  </si>
  <si>
    <t>OSG Corporation</t>
  </si>
  <si>
    <t>Manufacturing</t>
  </si>
  <si>
    <t>Application Programmer</t>
  </si>
  <si>
    <t>https://jobright.ai/jobs/info/6994f3aa81476f6176acce99?utm_source=1100&amp;utm_campaign=Software Engineering</t>
  </si>
  <si>
    <t>Malta, IL</t>
  </si>
  <si>
    <t>Kishwaukee College</t>
  </si>
  <si>
    <t>$58K-$66K /yr</t>
  </si>
  <si>
    <t>1. Demonstrate clear and effective written and verbal communication skills.
2. Demonstrate strong customer service and interpersonal skills.
3. Possess strong organizational and time management skills.
4. Ability to work independently as well as cooperatively in groups.
5. Experience with Windows and Linux Server Operating Systems.
...</t>
  </si>
  <si>
    <t>Maine, United States</t>
  </si>
  <si>
    <t>DevOps Build Engineer</t>
  </si>
  <si>
    <t>https://jobright.ai/jobs/info/6994dfc9ce78e77b4fd8ef78?utm_source=1100&amp;utm_campaign=Software Engineering</t>
  </si>
  <si>
    <t>SAI360</t>
  </si>
  <si>
    <t>€2166-€2400 /mon</t>
  </si>
  <si>
    <t>Information Services, Information Technology</t>
  </si>
  <si>
    <t>1. Strong experience with Maven (configurations, multi module projects, dependency management)
2. Good understanding of the Java ecosystem (libraries, frameworks, runtimes, compatibility constraints)
3. Experience upgrading and maintaining components such as Tomcat, application servers, or containerised runtimes
4. Familiarity with CI/CD pipelines (e.g., Jenkins, GitLab CI, GitHub Actions, Azure DevOps)
5. Ability to write, maintain, and debug integration tests (JUnit, REST Assured, or similar)
...</t>
  </si>
  <si>
    <t>Network System Administrator- Tier 2</t>
  </si>
  <si>
    <t>https://jobright.ai/jobs/info/6994da68e0bddb6acac35823?utm_source=1100&amp;utm_campaign=Software Engineering</t>
  </si>
  <si>
    <t>Rockville, MD</t>
  </si>
  <si>
    <t>OSIbeyond</t>
  </si>
  <si>
    <t>$66K-$74K /yr</t>
  </si>
  <si>
    <t>1. 1+ year experience as T2 Helpdesk Support
2. CompTIA A+
3. CompTIA Network+
4. CompTIA Security+
5. MD-102: Microsoft 365 Certified: Endpoint Administrator Associate
...</t>
  </si>
  <si>
    <t>Associate QA Engineer</t>
  </si>
  <si>
    <t>https://jobright.ai/jobs/info/6994992081476f6176ac5e36?utm_source=1100&amp;utm_campaign=Software Engineering</t>
  </si>
  <si>
    <t>Funnel Leasing</t>
  </si>
  <si>
    <t>Cloud Data Services, Marketing</t>
  </si>
  <si>
    <t>1. Bachelor's degree or other relevant technical training or experience
2. Ability to collaborate with and communicate effectively to teams having both a technical and non-technical audience
3. Experience in QA or software development, or relevant work experience (customer support, product management, user research, business analytics, etc)
4. Familiarity in being able to test software and write automated tests (eg, Playwright)
5. Ability to read requirements for a product and create a plan for testing those requirements
...</t>
  </si>
  <si>
    <t>Testing Specialist</t>
  </si>
  <si>
    <t>https://jobright.ai/jobs/info/6917aac015b415636717a430?utm_source=1100&amp;utm_campaign=Software Engineering</t>
  </si>
  <si>
    <t>Trustmark</t>
  </si>
  <si>
    <t>$24-$36 /hr</t>
  </si>
  <si>
    <t>Fitness, Health Care</t>
  </si>
  <si>
    <t>1. Two-year college or technical degree
2. Minimum 1 year testing experience
3. Technical aptitude
4. Proficient with MS Office suite
5. Experience with using tools to query data, creating and formatting files and forms
...</t>
  </si>
  <si>
    <t>https://jobright.ai/jobs/info/6994c6d7e0bddb6acac340ae?utm_source=1100&amp;utm_campaign=Software Engineering</t>
  </si>
  <si>
    <t>SD, Sioux Falls</t>
  </si>
  <si>
    <t>$32.50-$52 /hr</t>
  </si>
  <si>
    <t>System Administrator, Distribution</t>
  </si>
  <si>
    <t>https://jobright.ai/jobs/info/6994d00081476f6176aca139?utm_source=1100&amp;utm_campaign=Software Engineering</t>
  </si>
  <si>
    <t>Issaquah, WA</t>
  </si>
  <si>
    <t>$80K-$105K /yr</t>
  </si>
  <si>
    <t>1. Bachelor's Degree in IT/computer science or Supply Chain or equivalent experience
2. 1-3 years experience supporting technology-based distribution systems including Körber (HighJump)/WMS software, Voice and RF WMS equipment or other point-of-pick hardware, ProShip/Parcel management software, Label generation tools such as Bartender or Minisoft, Conveyor hardware/software interfaces, or equivalent industry solutions
3. Working knowledge of Windows Server administration
4. Knowledge of integration, middleware, and/or messaging topologies
5. Understanding of network technologies such as load balancing, network/socket communication
...</t>
  </si>
  <si>
    <t>https://jobright.ai/jobs/info/6994c1f5e0bddb6acac33711?utm_source=1100&amp;utm_campaign=Software Engineering</t>
  </si>
  <si>
    <t>NY Troy 5 3rd Street</t>
  </si>
  <si>
    <t>$56,012-$104,023 /yr</t>
  </si>
  <si>
    <t>$149K-$350K /yr</t>
  </si>
  <si>
    <t>https://jobright.ai/jobs/info/698bc9470f6f7e7a2ce73f66?utm_source=1100&amp;utm_campaign=Software Engineering</t>
  </si>
  <si>
    <t>Lazard</t>
  </si>
  <si>
    <t>$110K-$140K /yr</t>
  </si>
  <si>
    <t>Advice, Asset Management</t>
  </si>
  <si>
    <t>1. Bachelor’s or advanced degree in Computer Science, AI, Data Science, Machine Learning, or related fields.
2. 1-3 years of experience developing large scale GenAI applications
3. Expertise in Python and frameworks such as TensorFlow, PyTorch, and scikit-learn.
4. Deep knowledge of machine learning algorithms and experience in productionizing AI models.
5. Proficiency with frameworks for large language models (LLMs) such as LangChain, LlamaIndex, and VectorDBs.
...</t>
  </si>
  <si>
    <t>Assistant Systems Administrator</t>
  </si>
  <si>
    <t>https://jobright.ai/jobs/info/698f17a26ea51a7610f1407d?utm_source=1100&amp;utm_campaign=Software Engineering</t>
  </si>
  <si>
    <t>Culver, IN</t>
  </si>
  <si>
    <t>Culver Academies</t>
  </si>
  <si>
    <t>$24-$26 /hr</t>
  </si>
  <si>
    <t>Education, Primary Education</t>
  </si>
  <si>
    <t>1. Associate’s degree in Information Technology or related field
2. at least one technical certification (e.g., CompTIA Network+, Security+, Microsoft Certified Fundamentals) or equivalent experience
3. strong analytical and problem-solving skills
4. ability to work independently
5. familiarity with Windows Server, Active Directory, and Microsoft 365 environments
...</t>
  </si>
  <si>
    <t>System Engineer - Odessa, TX</t>
  </si>
  <si>
    <t>https://jobright.ai/jobs/info/6986987e8da7a6120461711b?utm_source=1100&amp;utm_campaign=Software Engineering</t>
  </si>
  <si>
    <t>Odessa, TX</t>
  </si>
  <si>
    <t>Oracle</t>
  </si>
  <si>
    <t>$24-$48 /hr</t>
  </si>
  <si>
    <t>Data Governance, Data Management</t>
  </si>
  <si>
    <t>1. Experience in maintaining, upgrading, and evolving core infrastructure
2. Experience in upgrading and supporting server environments
3. Experience in administering platforms including VMware, Veeam, and Active Directory
4. Experience in supporting and optimizing VDI environments, including Citrix technologies
5. Strong analytical and troubleshooting skills
...</t>
  </si>
  <si>
    <t>https://jobright.ai/jobs/info/6994a335e0bddb6acac31460?utm_source=1100&amp;utm_campaign=Software Engineering</t>
  </si>
  <si>
    <t>$99K-$160K /yr</t>
  </si>
  <si>
    <t>https://jobright.ai/jobs/info/698e3635f64d441a16506f57?utm_source=1100&amp;utm_campaign=Software Engineering</t>
  </si>
  <si>
    <t>$80170-$105000 /yr</t>
  </si>
  <si>
    <t>Software Engineer, IVR</t>
  </si>
  <si>
    <t>https://jobright.ai/jobs/info/6996a46fce78e77b4fdace89?utm_source=1100&amp;utm_campaign=Software Engineering</t>
  </si>
  <si>
    <t>$80K-$87K /yr</t>
  </si>
  <si>
    <t>1. A Bachelor’s degree in Computer Science, Engineering, or a related field, or equivalent experience
2. Up to 2 years of experience as a software developer
3. Proven track record of developing high-quality software
4. Knowledge of Object-Oriented software development techniques
5. Ability to communicate with developers, executive managers, and external customers
...</t>
  </si>
  <si>
    <t>Compiler Engineer, Compute Front-End - New College Grad 2026</t>
  </si>
  <si>
    <t>https://jobright.ai/jobs/info/69969609ce78e77b4fdab5a8?utm_source=1100&amp;utm_campaign=Software Engineering</t>
  </si>
  <si>
    <t>1. BS/MS/PhD degree in Computer Science, Computer Engineering, or related field (or equivalent experience)
2. 1+ years of experience in developing production compilers or related software
3. Knowledge of compiler front-end technology
4. Advanced C++ development skills, including experience working with large, modularized codebases.
5. Strong interpersonal, verbal and written communications skills
...</t>
  </si>
  <si>
    <t>https://jobright.ai/jobs/info/69968bc7e0bddb6acac50aa1?utm_source=1100&amp;utm_campaign=Software Engineering</t>
  </si>
  <si>
    <t>$110K-$150K /yr</t>
  </si>
  <si>
    <t>1. Bachelor’s degree in Computer Science, ML, Data Science, or equivalent
2. 1-3 years of experience in data structures, algorithms through employment, coursework, projects or internships
3. 1-3 years of experience with developing software using technologies like Node.js, React/Next.js, TypeScript through employment, coursework, projects or internships</t>
  </si>
  <si>
    <t>Software Test Engineer I</t>
  </si>
  <si>
    <t>https://jobright.ai/jobs/info/69969424ce78e77b4fdab1af?utm_source=1100&amp;utm_campaign=Software Engineering</t>
  </si>
  <si>
    <t>Salt Lake City, UT</t>
  </si>
  <si>
    <t>bioMérieux</t>
  </si>
  <si>
    <t>$82K-$102K /yr</t>
  </si>
  <si>
    <t>1. BS in Computer Science, Engineering, Scientific or Mathematical field. For non-technical BS degrees, a MS of science in Computer Science, Engineering, Scientific or Mathematical field is acceptable.
2. Experience with software test engineering or programming
3. Experience with Windows OS, source code, defect tracking, and build systems experience preferred
4. Technical learning aptitude to quickly understand and acquire new technical knowledge and skills.
5. Flexibility, being highly adaptable and resilient to thrive in a dynamic work environment.
...</t>
  </si>
  <si>
    <t>Compute Platform Engineer I</t>
  </si>
  <si>
    <t>https://jobright.ai/jobs/info/69966d2281476f6176ae3eaf?utm_source=1100&amp;utm_campaign=Software Engineering</t>
  </si>
  <si>
    <t>Multi Location
Seattle, WA
Collegeville, PA
San Francisco, CA</t>
  </si>
  <si>
    <t>GSK</t>
  </si>
  <si>
    <t>$82K-$137K /yr</t>
  </si>
  <si>
    <t>1. Bachelor's degree in Data Engineering, Computer Science, Software Engineering or related field
2. Experience in programming language: e.g., Python, Go, C++, Scala, Java, including toolchains for documentation, testing, and operations / observability
3. Experience in modern software development tools / ways of working (e.g. git/GitHub, devops tools, metrics / monitoring, …)
4. Cloud experience (e.g., AWS, Google Cloud, Azure), including infrastructure-as-code tools and scalable compute technologies, such as Google Batch and Vertex
5. Experience with CI/CD implementations using git and a common CI/CD stack (e.g., Azure DevOps, CloudBuild, Jenkins, CircleCI, GitLab)
...</t>
  </si>
  <si>
    <t>Computational Imaging Postdoctoral Fellow (Cryo-EM)</t>
  </si>
  <si>
    <t>https://jobright.ai/jobs/info/699a7c1581476f6176b30cbb?utm_source=1100&amp;utm_campaign=Software Engineering</t>
  </si>
  <si>
    <t>Berkeley Lab</t>
  </si>
  <si>
    <t>$96K-$107K /yr</t>
  </si>
  <si>
    <t>1. A recent Ph.D. (within the last 1-2 years) in Computational Biophysics/Physics, Computational Cryo-Electron Microscopy, Applied Mathematics, Computer Science, or a closely related discipline.
2. A solid background in Cryo-Electron Microscopy, with an emphasis on reconstruction workflows.
3. Experience developing numerical methods for solving inverse problems in imaging including iterative reconstruction techniques, regularization methods, and uncertainty-aware modeling.
4. Experience with generative models, variational inference, and physics-informed machine learning approaches.
5. Experience coding in Python and PyTorch.
...</t>
  </si>
  <si>
    <t>Engineer 1 - Platform Engineer, Productivity &amp; Collaboration (Hybrid - Seattle, WA)</t>
  </si>
  <si>
    <t>https://jobright.ai/jobs/info/699682d581476f6176ae5b9f?utm_source=1100&amp;utm_campaign=Software Engineering</t>
  </si>
  <si>
    <t>$104500-$162500 /yr</t>
  </si>
  <si>
    <t>E-Commerce, Fashion</t>
  </si>
  <si>
    <t>1. Bachelor’s degree in Computer Science, Engineering, Information Systems, or equivalent degree.
2. 1+ years of experience with deploying apps with Microsoft Software Center.
3. 1+ years of experience managing Group Policy Objects.
4. 1+ years of experience in a technical engineering role supporting enterprise collaboration platforms (SharePoint, MS Teams, ServiceNow, Jira, Exchange, Slack, or similar).
5. Experience designing, building, and maintaining automations, scripts, or integrations using PowerShell, Python, JavaScript, or similar tools.
...</t>
  </si>
  <si>
    <t>Jr. Network Administrator</t>
  </si>
  <si>
    <t>https://jobright.ai/jobs/info/699687d181476f6176ae6305?utm_source=1100&amp;utm_campaign=Software Engineering</t>
  </si>
  <si>
    <t>Aurora, CO</t>
  </si>
  <si>
    <t>Dessert Holdings</t>
  </si>
  <si>
    <t>Food and Beverage, Food Processing</t>
  </si>
  <si>
    <t>1. Associate or bachelor’s degree in information technology, Computer Science, or a related field, or equivalent experience
2. 1 - 2 years of IT support and/or system administration experience (internships included)
3. Working knowledge of Windows Server environments
4. Foundational understanding of networking concepts, including TCP/IP, DNS, and DHCP
5. Experience with Active Directory, including user account creation, maintenance, and access management
...</t>
  </si>
  <si>
    <t>Security Software Test Engineer</t>
  </si>
  <si>
    <t>https://jobright.ai/jobs/info/6999436881476f6176b1d99d?utm_source=1100&amp;utm_campaign=Software Engineering</t>
  </si>
  <si>
    <t>$89000-$133600 /yr</t>
  </si>
  <si>
    <t>1. Bachelor's degree in Engineering, Information Systems, Computer Science, or related field.
2. Software development skills in C, C++ and Python.
3. Team player, work independently with minimum supervision
4. Verbal and written communication skills</t>
  </si>
  <si>
    <t>ML Infrastructure Engineer</t>
  </si>
  <si>
    <t>https://jobright.ai/jobs/info/69968a2de0bddb6acac50864?utm_source=1100&amp;utm_campaign=Software Engineering</t>
  </si>
  <si>
    <t>Advertising, Developer Tools</t>
  </si>
  <si>
    <t>1. 0-2 years of experience
2. Minimum of a BS and/or MS in Computer Science
3. Excellent knowledge of computer science fundamentals including data structures, algorithms, and coding
4. Good experience with C++, Python and/or Golang
5. Experience independently creating and maintaining projects</t>
  </si>
  <si>
    <t>https://jobright.ai/jobs/info/6996a5da81476f6176ae94fa?utm_source=1100&amp;utm_campaign=Software Engineering</t>
  </si>
  <si>
    <t>Axon by AppLovin</t>
  </si>
  <si>
    <t>Associate AI Engineer</t>
  </si>
  <si>
    <t>https://jobright.ai/jobs/info/6996890be0bddb6acac50710?utm_source=1100&amp;utm_campaign=Software Engineering</t>
  </si>
  <si>
    <t>Morningstar</t>
  </si>
  <si>
    <t>$114,750-$144-510 /yr</t>
  </si>
  <si>
    <t>Asset Management, Enterprise Software</t>
  </si>
  <si>
    <t>1. 1-2 years of AI engineering experience
2. Experience using AI Coding tools like Claude Code and/or Cursor
3. Experience with Python, LLMs, prompt engineering, and AI frameworks
4. Ability to rapidly prototype with limited infrastructure
5. Strong problem-solving and communication skills
...</t>
  </si>
  <si>
    <t>NW Deployment Technician IV, DCC Communities, NW Deployment Technician IV, DCC Communities</t>
  </si>
  <si>
    <t>https://jobright.ai/jobs/info/69968943ce78e77b4fda9f69?utm_source=1100&amp;utm_campaign=Software Engineering</t>
  </si>
  <si>
    <t>Fairless Hills, Pennsylvania, USA</t>
  </si>
  <si>
    <t>$30-$54 /hr</t>
  </si>
  <si>
    <t>1. 1+ years of computer networking experience
2. 1+ years of Linux operating systems experience
3. Bachelor's degree in Information Technology, Computer Science, or a related field
4. Experience in computer networking
5. Experience working with Linux operating systems
...</t>
  </si>
  <si>
    <t>Data Center Operations Engineer</t>
  </si>
  <si>
    <t>https://jobright.ai/jobs/info/6997bb9381476f6176afe09f?utm_source=1100&amp;utm_campaign=Software Engineering</t>
  </si>
  <si>
    <t>Leaseweb</t>
  </si>
  <si>
    <t>$38-$43 /hr</t>
  </si>
  <si>
    <t>IaaS, Information Technology</t>
  </si>
  <si>
    <t>1. At least 1 year of hands-on experience working in a data center environment
2. Working knowledge of Linux and common operating systems
3. Strong hardware knowledge (servers, switches, KVMs, drives, memory, etc.)
4. Basic network knowledge (DNS, IP addressing, subnetting, gateways)
5. Valid driver’s license
...</t>
  </si>
  <si>
    <t>Software Engineer - Frontend (DPX)</t>
  </si>
  <si>
    <t>https://jobright.ai/jobs/info/69968f2b81476f6176ae6f9a?utm_source=1100&amp;utm_campaign=Software Engineering</t>
  </si>
  <si>
    <t>$102000-$167000 /yr</t>
  </si>
  <si>
    <t>Professional Networking, Recruiting</t>
  </si>
  <si>
    <t>1. BA/BS in Computer Science or related technical field or equivalent practical experience
2. 1+ years of industry experience in software design, development, and algorithm related solutions
3. Experience programming in languages such as Javascript, HTML, CSS, Python, Java, etc.</t>
  </si>
  <si>
    <t>Data Engineer, AMZL Orbit Data Engineering</t>
  </si>
  <si>
    <t>https://jobright.ai/jobs/info/69966faae0bddb6acac4e684?utm_source=1100&amp;utm_campaign=Software Engineering</t>
  </si>
  <si>
    <t>Multi Location
Nashville, Tennessee, USA
Austin, Texas, USA
Bellevue, Washington, USA</t>
  </si>
  <si>
    <t>$96200-$160000 /yr</t>
  </si>
  <si>
    <t>1. 1+ years of data engineering experience
2. Experience with data modeling, warehousing and building ETL pipelines
3. Experience with one or more query language (e.g., SQL, PL/SQL, DDL, MDX, HiveQL, SparkSQL, Scala)
4. Experience with one or more scripting language (e.g., Python, KornShell)</t>
  </si>
  <si>
    <t>https://jobright.ai/jobs/info/6996893fce78e77b4fda9f64?utm_source=1100&amp;utm_campaign=Software Engineering</t>
  </si>
  <si>
    <t>$102K-$167K /yr</t>
  </si>
  <si>
    <t>Technical Support Analyst-PC/Network</t>
  </si>
  <si>
    <t>https://jobright.ai/jobs/info/6996748e81476f6176ae48b9?utm_source=1100&amp;utm_campaign=Software Engineering</t>
  </si>
  <si>
    <t>Hamilton Township, NJ</t>
  </si>
  <si>
    <t>$55K-$97K /yr</t>
  </si>
  <si>
    <t>Building Material, Construction</t>
  </si>
  <si>
    <t>1. 1–3 years of professional experience in a Network Engineer, Network Analyst, or IT Support role with strong networking responsibilities.
2. Hands-on experience with: Network troubleshooting (TCP/IP, DNS, DHCP, VLANs, basic routing/switching).
3. Hands-on experience with: Network device support (routers, switches; basic firewall understanding is a plus).
4. Hands-on experience with: IT support for end-user connectivity and network-related issues.
5. Basic understanding of software development concepts (e.g., APIs, client-server applications, version control awareness).
...</t>
  </si>
  <si>
    <t>https://jobright.ai/jobs/info/69968650ce78e77b4fda9aba?utm_source=1100&amp;utm_campaign=Software Engineering</t>
  </si>
  <si>
    <t>Multi Location
Cambridge, MA
USA - Pennsylvania - Upper Providence
Cambridge 300 Technology Square
South San Francisco 611 Gateway Blvd
Seattle Sixth Ave</t>
  </si>
  <si>
    <t>$82088-$136813 /yr</t>
  </si>
  <si>
    <t>https://jobright.ai/jobs/info/69966b98e0bddb6acac4e2fa?utm_source=1100&amp;utm_campaign=Software Engineering</t>
  </si>
  <si>
    <t>Livermore, CA</t>
  </si>
  <si>
    <t>OE Federal Credit Union</t>
  </si>
  <si>
    <t>$70304-$118793 /yr</t>
  </si>
  <si>
    <t>Accounting, Financial Services</t>
  </si>
  <si>
    <t>1. Associates degree in an applicable field and minimum 1 year of work experience in a Lead-level role, or High School Diploma/GED and minimum 3 years of work experience in a Lead-level role required.
2. Problem solving skills, ability to make sound judgment, and analytical skills; interpersonal, verbal and written communications skills are required to elicit requirements and communicate technical information to users effectively.
3. Proficiency with Microsoft Word, Excel, Power Point and Outlook required.
4. Must be capable of working agreed work shift and working before/after the work shift, when needed.</t>
  </si>
  <si>
    <t>https://jobright.ai/jobs/info/699695b781476f6176ae7a7b?utm_source=1100&amp;utm_campaign=Software Engineering</t>
  </si>
  <si>
    <t>$114750-$144510 /yr</t>
  </si>
  <si>
    <t>Engineer I-Software Quality Assurance</t>
  </si>
  <si>
    <t>https://jobright.ai/jobs/info/69967735ce78e77b4fda8591?utm_source=1100&amp;utm_campaign=Software Engineering</t>
  </si>
  <si>
    <t>Microchip Technology Inc.</t>
  </si>
  <si>
    <t>$70K-$143K /yr</t>
  </si>
  <si>
    <t>Automotive, Manufacturing</t>
  </si>
  <si>
    <t>1. Bachelor's/Master’s degree in Computer Science or Computer/Electrical Engineering.
2. Excellent programming skills.
3. Experienced in Verilog, Systemverilog, or VHDL.
4. Strong knowledge of digital design and work experience with FPGAs.
5. Exposure to synthesis/simulation tools.
...</t>
  </si>
  <si>
    <t>https://jobright.ai/jobs/info/69968d7b81476f6176ae6c70?utm_source=1100&amp;utm_campaign=Software Engineering</t>
  </si>
  <si>
    <t>$130K-$190K /yr</t>
  </si>
  <si>
    <t>https://jobright.ai/jobs/info/6996738be0bddb6acac4ebd4?utm_source=1100&amp;utm_campaign=Software Engineering</t>
  </si>
  <si>
    <t>Salt Lake City, Utah</t>
  </si>
  <si>
    <t>$82000-$102000 /yr</t>
  </si>
  <si>
    <t>1. + BS in Computer Science, Engineering, Scientific or Mathematical field. For non-technical BS degrees, a MS of science in Computer Science, Engineering, Scientific or Mathematical field is acceptable.
2. Experience with software test engineering or programming
3. Experience with Windows OS, source code, defect tracking, and build systems experience preferred
4. Technical learning aptitude to quickly understand and acquire new technical knowledge and skills.
5. Flexibility, being highly adaptable and resilient to thrive in a dynamic work environment.
...</t>
  </si>
  <si>
    <t>Associate Software Test Engineer</t>
  </si>
  <si>
    <t>https://jobright.ai/jobs/info/69967fcece78e77b4fda90b5?utm_source=1100&amp;utm_campaign=Software Engineering</t>
  </si>
  <si>
    <t>Victoria, British Columbia</t>
  </si>
  <si>
    <t>Absolute Security</t>
  </si>
  <si>
    <t>Cyber Security, Enterprise Software</t>
  </si>
  <si>
    <t>1. A degree in Computer Science or another STEM field.
2. Internship or 1 year of hands-on software testing experience (bonus if it involved client/server or mobile testing!).
3. Familiarity with Azure cloud environments (and a willingness to learn more).
4. Solid networking know-how and troubleshooting chops (Windows or Linux).
5. Exposure to tools like Wireshark or NetMon.
...</t>
  </si>
  <si>
    <t>Module Development Engineer</t>
  </si>
  <si>
    <t>https://jobright.ai/jobs/info/69968d58e0bddb6acac50ce5?utm_source=1100&amp;utm_campaign=Software Engineering</t>
  </si>
  <si>
    <t>Intel Corporation</t>
  </si>
  <si>
    <t>$134K-$220K /yr</t>
  </si>
  <si>
    <t>1. PhD in Engineering related discipline.
2. 1+ years of experience working with the following:
3. Using C++ to create or modify large applications (over 50k lines of code) and making use of multiple internal and external software libraries.
4. Refactoring legacy code (in any language) and developing applications for computer vision, computer graphics, image processing or signal processing.
5. Cross-platform software (Linux and Windows), MS Visual Studio, CMake, revision control (e.g. SVN or Git)
...</t>
  </si>
  <si>
    <t>https://jobright.ai/jobs/info/69969c4f81476f6176ae83c6?utm_source=1100&amp;utm_campaign=Software Engineering</t>
  </si>
  <si>
    <t>Morningstar Sustainalytics</t>
  </si>
  <si>
    <t>https://jobright.ai/jobs/info/69969a6be0bddb6acac52311?utm_source=1100&amp;utm_campaign=Software Engineering</t>
  </si>
  <si>
    <t>Multi Location
US, CA, Santa Clara
US, TX, Austin
US, WA, Redmond</t>
  </si>
  <si>
    <t>$124000-$195500 /yr</t>
  </si>
  <si>
    <t>Applications Analyst I</t>
  </si>
  <si>
    <t>https://jobright.ai/jobs/info/6996978281476f6176ae7d9a?utm_source=1100&amp;utm_campaign=Software Engineering</t>
  </si>
  <si>
    <t>Boston-MA</t>
  </si>
  <si>
    <t>Mass General Brigham</t>
  </si>
  <si>
    <t>$62,836.80-$89,762.40 /yr</t>
  </si>
  <si>
    <t>Health Care, Home Health Care</t>
  </si>
  <si>
    <t>1. Able to use software such as FileMaker
2. Knowledge of Microsoft Office 365 and other popular office productivity solutions
3. If you are utilizing Epic, you must be able to obtain the required certifications as outlined in the program requirements</t>
  </si>
  <si>
    <t>Student, Associate Front-End Developer (Summer 2026)</t>
  </si>
  <si>
    <t>https://jobright.ai/jobs/info/69967c9ee0bddb6acac4f6a7?utm_source=1100&amp;utm_campaign=Software Engineering</t>
  </si>
  <si>
    <t>Multi Location
Sun Life Toronto One York
Sun Life Waterloo King</t>
  </si>
  <si>
    <t>Sun Life</t>
  </si>
  <si>
    <t>1. Studying towards a university degree in Computer Science or a related field
2. Experience in web application development using some or all of the following technologies: JavaScript/ES6, React.js, HTML, CSS, Webpack, XML/JSON
3. Good understanding of web based applications and client server technologies especially frameworks such as Bootstrap
4. A self-starter and self-motivated
5. Good organizational, multi-tasking and time management skills
...</t>
  </si>
  <si>
    <t>Frontend React Developer</t>
  </si>
  <si>
    <t>https://jobright.ai/jobs/info/69967ea281476f6176ae577a?utm_source=1100&amp;utm_campaign=Software Engineering</t>
  </si>
  <si>
    <t>DoubleTree by Hilton</t>
  </si>
  <si>
    <t>$56K-$157K /yr</t>
  </si>
  <si>
    <t>1. Proven experience in front-end development with extensive knowledge of JavaScript frameworks such as React.js.
2. Strong understanding of HTML5, CSS3 (including SCSS), and responsive web design principles for creating user-centric interfaces.
3. Familiarity with version control systems like GitHub and experience working within Agile methodologies.
4. Hands-on experience with RESTful APIs, GraphQL, AJAX, JSON, XML for integrating web services into applications.
5. Develop and maintain high-quality front-end components using React.js.
...</t>
  </si>
  <si>
    <t>Data Conversion Engineer (ETL)</t>
  </si>
  <si>
    <t>https://jobright.ai/jobs/info/69963585e0bddb6acac49786?utm_source=1100&amp;utm_campaign=Software Engineering</t>
  </si>
  <si>
    <t>Twin Cities Area</t>
  </si>
  <si>
    <t>Aspen Technology</t>
  </si>
  <si>
    <t>$78K-$97K /yr</t>
  </si>
  <si>
    <t>Industrial, Industrial Automation</t>
  </si>
  <si>
    <t>1. Bachelor's degree in Geography, GIS, Computer Science, or a related field.
2. Familiarity with ETL tools and methodologies.
3. Understanding of geospatial data concepts and principles.
4. Proficiency in SQL and scripting languages (Python, Perl, etc.).
5. Experience troubleshooting complex systems and software applications.
...</t>
  </si>
  <si>
    <t>Software Engineer, ML Infrastructure</t>
  </si>
  <si>
    <t>https://jobright.ai/jobs/info/69965e25e0bddb6acac4cfd3?utm_source=1100&amp;utm_campaign=Software Engineering</t>
  </si>
  <si>
    <t>1. Have 0-2 years of experience and a minimum of a BS and/or MS in Computer Science
2. Have excellent knowledge of computer science fundamentals including data structures, algorithms, and coding
3. Good experience with C++, Python and/or Golang is a plus
4. Experience independently creating and maintaining projects</t>
  </si>
  <si>
    <t>Software / AI Engineer (Agents &amp; Automation)</t>
  </si>
  <si>
    <t>https://jobright.ai/jobs/info/69970c5be0bddb6acac5c3e0?utm_source=1100&amp;utm_campaign=Software Engineering</t>
  </si>
  <si>
    <t>Aware AI Labs</t>
  </si>
  <si>
    <t>$180K-$240K /yr</t>
  </si>
  <si>
    <t>1. Strong programming skills (Python, TypeScript, or similar)
2. Experience with automation systems, agents, or infrastructure
3. Ability to work in a small, fast-moving team</t>
  </si>
  <si>
    <t>https://jobright.ai/jobs/info/6996794181476f6176ae4fc6?utm_source=1100&amp;utm_campaign=Software Engineering</t>
  </si>
  <si>
    <t>EMW Staffing Solutions LLC</t>
  </si>
  <si>
    <t>$130-$250 /yr</t>
  </si>
  <si>
    <t>1. Experience with React
2. Experience with TypeScript
3. Experience with Tailwind
4. Experience with Supabase
5. Experience with Railway (node) but mostly serverless
...</t>
  </si>
  <si>
    <t>MAGENTO DEVELOPER</t>
  </si>
  <si>
    <t>https://jobright.ai/jobs/info/699664b4e0bddb6acac4d93f?utm_source=1100&amp;utm_campaign=Software Engineering</t>
  </si>
  <si>
    <t>Coalition, Inc.</t>
  </si>
  <si>
    <t>$17-$35 /hr</t>
  </si>
  <si>
    <t>Cyber Security, Information Technology</t>
  </si>
  <si>
    <t>1. Convert Figma or PSD designs into pixel-perfect, responsive Magento sites.
2. Basic server management knowledge (e.g., configuring hosting environments, performance tuning, or deployment processes) is a plus.
3. Experience with Progressive Web Apps (PWA), headless Magento architectures, or modern frontend frameworks (Magento PWA Studio, Vue Storefront, etc.) is an advantage.
4. Knowledge of AI/ML-driven e-commerce features, personalised recommendations, and Core Web Vitals performance optimisation is desirable.
5. Understanding of omnichannel commerce (online, marketplaces, POS integration) and scalable cloud deployment best practices is a plus.
...</t>
  </si>
  <si>
    <t>https://jobright.ai/jobs/info/69966fbe81476f6176ae41ca?utm_source=1100&amp;utm_campaign=Software Engineering</t>
  </si>
  <si>
    <t>US, California, Santa Clara</t>
  </si>
  <si>
    <t>$133,800-$219,550 /yr</t>
  </si>
  <si>
    <t>https://jobright.ai/jobs/info/699668a5e0bddb6acac4decc?utm_source=1100&amp;utm_campaign=Software Engineering</t>
  </si>
  <si>
    <t>Multi Location
Austin, Texas Metropolitan Area
TX - Austin - Park Centre</t>
  </si>
  <si>
    <t>$70,304-$143,000 /yr</t>
  </si>
  <si>
    <t>1. Bachelor's/Master’s degree in Computer Science or Computer/Electrical Engineering
2. Excellent programming skills
3. Experienced in Verilog, Systemverilog, or VHDL
4. Strong knowledge of digital design and work experience with FPGAs
5. Exposure to synthesis/simulation tools
...</t>
  </si>
  <si>
    <t>https://jobright.ai/jobs/info/69965b57e0bddb6acac4cb6e?utm_source=1100&amp;utm_campaign=Software Engineering</t>
  </si>
  <si>
    <t>$70K-$125K /yr</t>
  </si>
  <si>
    <t>GSET Data Platform Eng - GBM Public - Software Engineer - NYC</t>
  </si>
  <si>
    <t>https://jobright.ai/jobs/info/69968537ce78e77b4fda990c?utm_source=1100&amp;utm_campaign=Software Engineering</t>
  </si>
  <si>
    <t>Multi Location
New York, New York, United States
New York, NY</t>
  </si>
  <si>
    <t>1. Minimum 1 year of work experience in High Performance Server side/Data processing applications
2. Minimum 1 year of Java or 2 years of Python programming experience
3. Exposure to scripting languages, Relational Databases (OLTP/OLAP) and cloud services (Snowflake/Singlestore)
4. Clear understanding of algorithms and data structures
5. Familiarity with core programming concepts and techniques (e.g. concurrency, memory management), I/O, performance optimization, high volume, near real-time processing
...</t>
  </si>
  <si>
    <t>FRONT END DEVELOPER</t>
  </si>
  <si>
    <t>https://jobright.ai/jobs/info/6996658981476f6176ae3685?utm_source=1100&amp;utm_campaign=Software Engineering</t>
  </si>
  <si>
    <t>1. Experience with modern JavaScript ES6+
2. Experience using any Frontend Frameworks/Libraries (e.g, React, Vue, AngularJS, etc)
3. Strong communication and collaboration skills, able to clearly discuss ideas, technical concepts, and feedback
4. A proactive mindset and the ability to take initiative and ownership of your work
5. An expertise in HTML5, CSS3, and jQuery
...</t>
  </si>
  <si>
    <t>Attack Surface &amp; Vulnerability Analyst</t>
  </si>
  <si>
    <t>https://jobright.ai/jobs/info/69965876ce78e77b4fda5e75?utm_source=1100&amp;utm_campaign=Software Engineering</t>
  </si>
  <si>
    <t>SLEEPY HOLLOW</t>
  </si>
  <si>
    <t>Regeneron</t>
  </si>
  <si>
    <t>$80300-$131100 /yr</t>
  </si>
  <si>
    <t>Biopharma, Biotechnology</t>
  </si>
  <si>
    <t>1. Knowledge, proven ability, and skills in defense-in-depth security control coverage and vulnerability assessment, prioritization, assignment, validation, and tracking.
2. ASVM/ASM focused Cybersecurity tool familiarity E.g., CAASM (Cyber Asset Attack Surface Management), EASM (External Attack Surface Management), RBVM (Risk Based Vulnerability Management), CNAPP (Cloud Native Application Protection Platform), EDR (Endpoint Detection and Response), etc.
3. Familiarity with CIS Security Controls, MITRE ATT&amp;CK Framework
4. Working knowledge of multi-tenant cloud environments (AWS, Azure, GCP), vulnerability mitigation techniques, and system hardening.
5. Proven threat and vulnerability assessment skills or knowledge gained through experience or academia.
...</t>
  </si>
  <si>
    <t>LARAVEL DEVELOPER</t>
  </si>
  <si>
    <t>https://jobright.ai/jobs/info/69963de881476f6176adfa40?utm_source=1100&amp;utm_campaign=Software Engineering</t>
  </si>
  <si>
    <t>$15-$35 /hr</t>
  </si>
  <si>
    <t>1. An expertise in PHP, MySQL, HTML5, and CSS3.
2. The ability to convert PSDs to Laravel and PHP sites.
3. The ability to work in a LEMP development environment.
4. Strong understanding of SOLID principles.
5. Solid fundamentals: MVC architecture, OOP, Eloquent ORM, Blade, routing/middleware, Composer.
...</t>
  </si>
  <si>
    <t>https://jobright.ai/jobs/info/69965293ce78e77b4fda5565?utm_source=1100&amp;utm_campaign=Software Engineering</t>
  </si>
  <si>
    <t>Sleepy Hollow, NY</t>
  </si>
  <si>
    <t>$80,300-$131,100 /yr</t>
  </si>
  <si>
    <t>Data Technology DMX Liquidity Data Engineer</t>
  </si>
  <si>
    <t>https://jobright.ai/jobs/info/6996555981476f6176ae1e6d?utm_source=1100&amp;utm_campaign=Software Engineering</t>
  </si>
  <si>
    <t>Norman, OK</t>
  </si>
  <si>
    <t>MSCI Inc.</t>
  </si>
  <si>
    <t>$73K-$95K /yr</t>
  </si>
  <si>
    <t>1. Academic knowledge or working experience in data modeling, designing data pipelines using different data processing technologies (ex. Spark). Experience in importing, parsing, and cleansing data and in performance tuning.
2. Academic knowledge or working experience with one or more of the following languages: Python, Linux scripting resolving various kinds of data processing problems with XML, JSON and parquet file formats.
3. Knowledge of modern test frameworks for test case generation for unit and integration tests.
4. Knowledge of C++/Java/Scala is a plus.
5. Knowledge or working experience with relational databases, such as: Oracle/Sybase/MSSQL/MySQL
...</t>
  </si>
  <si>
    <t>Junior 3D Unity Developer, Texas Immersive Institute, Moody College of Communication</t>
  </si>
  <si>
    <t>https://jobright.ai/jobs/info/699655ec81476f6176ae1f60?utm_source=1100&amp;utm_campaign=Software Engineering</t>
  </si>
  <si>
    <t>UT MAIN CAMPUS</t>
  </si>
  <si>
    <t>The University of Texas at Austin</t>
  </si>
  <si>
    <t>$25-$25 /hr</t>
  </si>
  <si>
    <t>Corporate Training, Education</t>
  </si>
  <si>
    <t>1. Strong proficiency in C# programming within the Unity engine.
2. Experience with Unity Prefabs, Scriptable Objects, and basic UI/Data integration.
3. Understanding of vector math and transform logic for NPC agent movement (e.g., boids or simple AI steering).
4. Familiarity with version control systems (e.g., GitHub or PlasticSCM).
5. Ability to troubleshoot and debug complex real-time systems.
...</t>
  </si>
  <si>
    <t>Junior Software Engineer with Accounting Experience (LATAM)</t>
  </si>
  <si>
    <t>https://jobright.ai/jobs/info/6917535b3ea85638ae1c9c1c?utm_source=1100&amp;utm_campaign=Software Engineering</t>
  </si>
  <si>
    <t>Latin America</t>
  </si>
  <si>
    <t>Sezzle</t>
  </si>
  <si>
    <t>$1500-$4000 /mon</t>
  </si>
  <si>
    <t>E-Commerce, Financial Services</t>
  </si>
  <si>
    <t>1. Prior experience as an accountant or financial analyst.
2. Solid understanding of financial operations such as reconciliation, reporting, and compliance.
3. Proficient in at least one programming language (e.g., Python, Java, Go) and familiar with database systems like MySQL or PostgreSQL.
4. Experience with backend API development.
5. Experience with relational database storage and retrieval.
...</t>
  </si>
  <si>
    <t>Cybersecurity Analyst - External Assessments</t>
  </si>
  <si>
    <t>https://jobright.ai/jobs/info/69979c3ee0bddb6acac64d88?utm_source=1100&amp;utm_campaign=Software Engineering</t>
  </si>
  <si>
    <t>Ann Arbor, MI</t>
  </si>
  <si>
    <t>KLA</t>
  </si>
  <si>
    <t>$70K-$120K /yr</t>
  </si>
  <si>
    <t>Electronics, Information Technology</t>
  </si>
  <si>
    <t>1. Completion of a Bachelor's degree from an accredited course of study, in Information Assurance, Cybersecurity, IT Security, Computer Science, Information Technology or similar; or work experience equivalent
2. Knowledge of cloud computing and associated security standards</t>
  </si>
  <si>
    <t>$71K-$75K /yr</t>
  </si>
  <si>
    <t>Art, Education</t>
  </si>
  <si>
    <t>1. BA/BS degree required
2. Ability to work both independently and on a wide variety of teams
3. Passion for making bullet-proof applications and improving education through technology
4. Self-motivated, detail oriented, proactive and collaborative
5. Excellent written and verbal communication skills</t>
  </si>
  <si>
    <t>R&amp;D Engineer II - Embedded Firmware</t>
  </si>
  <si>
    <t>https://jobright.ai/jobs/info/68ce6bdafb49c96ca6ea0393?utm_source=1100&amp;utm_campaign=Software Engineering</t>
  </si>
  <si>
    <t>Alameda, CA</t>
  </si>
  <si>
    <t>Penumbra, Inc.</t>
  </si>
  <si>
    <t>$97K-$127K /yr</t>
  </si>
  <si>
    <t>1. BS in computer engineering/ software engineering/ electrical engineering or related field required
2. Hands-on experience developing prototype software/firmware for hardware such as PCB, Arduino, Raspberry Pi, or similar required
3. Programming experience required, proficiency in languages such as C or C++
4. Embedded systems design, Unit testing, end to end testing on HW, communication protocols (SPI, UART, I2C, CAN, USB), Algorithm design, Signal Processing, Microcontrollers (STM32,ARM Cortex M4/M7 etc.), controls algorithm (ex. PWM, PID), RTOS and/or Bare metal</t>
  </si>
  <si>
    <t>https://jobright.ai/jobs/info/699647e2e0bddb6acac4afe3?utm_source=1100&amp;utm_campaign=Software Engineering</t>
  </si>
  <si>
    <t>US - NJ, Hamilton</t>
  </si>
  <si>
    <t>ParsonsKellogg</t>
  </si>
  <si>
    <t>$55300-$96800 /yr</t>
  </si>
  <si>
    <t>Software Engineer, Analyst</t>
  </si>
  <si>
    <t>https://jobright.ai/jobs/info/699645e7e0bddb6acac4ad40?utm_source=1100&amp;utm_campaign=Software Engineering</t>
  </si>
  <si>
    <t>New York</t>
  </si>
  <si>
    <t>First Eagle Investments</t>
  </si>
  <si>
    <t>$95000-$125000 /yr</t>
  </si>
  <si>
    <t>1. Proficiency in programming languages such as Python or C#
2. 1-3 years of experience in financial services and/or trading systems
3. Experience with cloud platforms (AWS, Azure, or GCP) and on-premises infrastructure
4. Strong knowledge of SQL and relational databases
5. Familiarity with dev ops tools such as Jenkins
...</t>
  </si>
  <si>
    <t>https://jobright.ai/jobs/info/69963d5281476f6176adf98f?utm_source=1100&amp;utm_campaign=Software Engineering</t>
  </si>
  <si>
    <t>Alpharetta, GA</t>
  </si>
  <si>
    <t>RELX</t>
  </si>
  <si>
    <t>$59K-$99K /yr</t>
  </si>
  <si>
    <t>Analytics, Business Information Systems</t>
  </si>
  <si>
    <t>1. BS Engineering/Computer Science experience required and equivalent work experience in Software Engineering
2. Understanding of data manipulation languages – SSIS, SQL, etc
3. Ability to work with simple data models and familiarity with various data formats
4. Proficiency in Java
5. Understanding of languages including but not limited to: Python, Korn Shell, etc
...</t>
  </si>
  <si>
    <t>https://jobright.ai/jobs/info/6996512ae0bddb6acac4be6c?utm_source=1100&amp;utm_campaign=Software Engineering</t>
  </si>
  <si>
    <t>https://jobright.ai/jobs/info/69965b1581476f6176ae2849?utm_source=1100&amp;utm_campaign=Software Engineering</t>
  </si>
  <si>
    <t>Medina, Minnesota</t>
  </si>
  <si>
    <t>$77900-$97400 /yr</t>
  </si>
  <si>
    <t>Engineering Analyst</t>
  </si>
  <si>
    <t>https://jobright.ai/jobs/info/699648f281476f6176ae0a96?utm_source=1100&amp;utm_campaign=Software Engineering</t>
  </si>
  <si>
    <t>St Paul, MN</t>
  </si>
  <si>
    <t>Securian Financial</t>
  </si>
  <si>
    <t>$56K-$103K /yr</t>
  </si>
  <si>
    <t>Financial Services, Insurance</t>
  </si>
  <si>
    <t>1. Experience with: Java, JavaScript, Rest APIs, AWS, Spring, Vue
2. Technical aptitude &amp; ambition to understand technology solutions and how those solutions integrate with other internal/external apps to support highly complex or customized Group insurance products.
3. Strong written &amp; verbal communication skills – highly comfortable contributing thoughts, ideas and questions in team settings.
4. Passion to dig deeper, continuously learn and improve technical skills.</t>
  </si>
  <si>
    <t>NOC Technician I - Charlotte, NC or Columbia, SC</t>
  </si>
  <si>
    <t>https://jobright.ai/jobs/info/6996331481476f6176adee84?utm_source=1100&amp;utm_campaign=Software Engineering</t>
  </si>
  <si>
    <t>Multi Location
Columbia, SC, USA
Charlotte, NC, USA</t>
  </si>
  <si>
    <t>Segra</t>
  </si>
  <si>
    <t>$23.42-$29.30 /hr</t>
  </si>
  <si>
    <t>Commercial, Internet</t>
  </si>
  <si>
    <t>1. Minimum of 1 year of professional experience in networking support, administration, engineering, or similar.
2. High School Diploma or equivalent required.</t>
  </si>
  <si>
    <t>https://jobright.ai/jobs/info/69965468e0bddb6acac4c371?utm_source=1100&amp;utm_campaign=Software Engineering</t>
  </si>
  <si>
    <t>Saint Paul, MN Campus</t>
  </si>
  <si>
    <t>Allied Solutions LLC</t>
  </si>
  <si>
    <t>$55700-$103400 /yr</t>
  </si>
  <si>
    <t>Financial Services, Information Technology</t>
  </si>
  <si>
    <t>Embedded C Engineer - Entry Level</t>
  </si>
  <si>
    <t>https://jobright.ai/jobs/info/6996546dce78e77b4fda582f?utm_source=1100&amp;utm_campaign=Software Engineering</t>
  </si>
  <si>
    <t>Ledgewood, NJ</t>
  </si>
  <si>
    <t>Digitize Solutions</t>
  </si>
  <si>
    <t>$0-$62K /yr</t>
  </si>
  <si>
    <t>IT Management, Web Design</t>
  </si>
  <si>
    <t>1. Demonstrated proficiency in C - the foundation of everything here
2. Strong working knowledge of bare-metal and embedded Linux environments
3. Practical experience with MCU platforms (Arduino, Raspberry Pi, or equivalent)
4. Competence with network protocols and hardware interfaces
5. Functional ability in HTML, CSS, JavaScript, and SQL
...</t>
  </si>
  <si>
    <t>Software Developer - Hybrid</t>
  </si>
  <si>
    <t>https://jobright.ai/jobs/info/6996455ce0bddb6acac4ac8f?utm_source=1100&amp;utm_campaign=Software Engineering</t>
  </si>
  <si>
    <t>Houston, TX</t>
  </si>
  <si>
    <t>NRG Energy</t>
  </si>
  <si>
    <t>$101K-$167K /yr</t>
  </si>
  <si>
    <t>Energy, Solar</t>
  </si>
  <si>
    <t>1. Bachelor’s degree in Computer Science, Engineering, or related field (or equivalent experience).
2. 1–5 years of experience in .NET application development
3. Hands-on experience with SQL Server, Dapper, and Entity Framework.
4. Familiarity with AI services and ability to design prompt-based solutions.
5. Exposure to energy and gas trading business will be a big positive.
...</t>
  </si>
  <si>
    <t>Telematics Software Engineer</t>
  </si>
  <si>
    <t>https://jobright.ai/jobs/info/699651f9ce78e77b4fda5457?utm_source=1100&amp;utm_campaign=Software Engineering</t>
  </si>
  <si>
    <t>Greene, NY</t>
  </si>
  <si>
    <t>Toyota Material Handling</t>
  </si>
  <si>
    <t>$74K-$106K /yr</t>
  </si>
  <si>
    <t>Autonomous Vehicles, Industrial</t>
  </si>
  <si>
    <t>1. Bachelor’s degree in Computer Science or Computer Engineering.
2. Cumulative GPA of 3.0 or higher.</t>
  </si>
  <si>
    <t>Software Engineer - Windows Experiences</t>
  </si>
  <si>
    <t>https://jobright.ai/jobs/info/69415c9cbdcf884a5add2086?utm_source=1100&amp;utm_campaign=Software Engineering</t>
  </si>
  <si>
    <t>$84K-$180K /yr</t>
  </si>
  <si>
    <t>Agentic AI, Application Performance Management</t>
  </si>
  <si>
    <t>1. Bachelor's Degree in Computer Science, or related technical discipline with proven experience coding in languages including, but not limited to, C, C++, C#, Java, JavaScript, or Python OR equivalent experience.
2.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t>
  </si>
  <si>
    <t>Machine Learning Engineer/Machine Learning Scientist , Multi Modality</t>
  </si>
  <si>
    <t>https://jobright.ai/jobs/info/6924e563ec574f4265bb8a10?utm_source=1100&amp;utm_campaign=Software Engineering</t>
  </si>
  <si>
    <t>Multi Location
San Francisco, CA
San Diego, CA</t>
  </si>
  <si>
    <t>Altos Labs</t>
  </si>
  <si>
    <t>$150450-$203550 /yr</t>
  </si>
  <si>
    <t>1. MS in Computer Science, Statistics, Machine Learning, Artificial Intelligence, or a related discipline
2. 0-5 years of relevant work experience in either an academic or industry setting
3. Very strong programming skills, including experience with Python and deep learning libraries (PyTorch, Hugging Face Transformers, H-F Datasets, H-F Accelerate)
4. Ideally, experience in a distributed training framework, like DDP, FSDP, Deepspeed, Megatron, or HuggingFace Accelerate, Ray
5. Expertise in a subset of the following: transformers, natural language processing, multi-modality in language and/or in biology, diffusion models
...</t>
  </si>
  <si>
    <t>Associate Privacy Operations Analyst</t>
  </si>
  <si>
    <t>https://jobright.ai/jobs/info/6930ea68ef4b48533d1509e5?utm_source=1100&amp;utm_campaign=Software Engineering</t>
  </si>
  <si>
    <t>SHEIN Technology LLC</t>
  </si>
  <si>
    <t>$79K-$122K /yr</t>
  </si>
  <si>
    <t>1. A Bachelor’s degree or higher in information systems, computer science, cybersecurity, or related field of study or equivalent work experience is preferred
2. Process optimization experience through AI/ML, preferably in an e-commerce and privacy context
3. Knowledge of data privacy standards and regulations such as CPRA, GDPR, LGPD, ISO 27701
4. Relevant privacy certifications (e.g., CIPT, CIPP/US, CIPP/E) are highly desired
5. Experience in a service desk or similar operational role is desirable
...</t>
  </si>
  <si>
    <t>Supply Chain Machine Learning Data Scientist - Hybrid - Seattle, WA</t>
  </si>
  <si>
    <t>https://jobright.ai/jobs/info/695dceaf924bd9135dd45235?utm_source=1100&amp;utm_campaign=Software Engineering</t>
  </si>
  <si>
    <t>$121500-$188500 /yr</t>
  </si>
  <si>
    <t>1. Bachelor's, Master's, or PhD in Statistics, Data Science, Computer Science, Engineering, Operations Research, or a related technical field; or Equivalent related professional experience.
2. Minimum 1 years hands-on experience in Data Science or Machine Learning roles
3. Minimum 1 years of professional SQL experience, performing advanced queries and optimization techniques
4. Proficient coding skills in Python, with experience writing clean, maintainable, and optimized ML code
5. Experience applying statistical and machine learning algorithms, such as regression, decision trees, clustering, neural networks, survival analysis, along with model evaluation techniques
...</t>
  </si>
  <si>
    <t>Regional IT Infrastructure Lead</t>
  </si>
  <si>
    <t>https://jobright.ai/jobs/info/69791a5239f7f96cc6d1771d?utm_source=1100&amp;utm_campaign=Software Engineering</t>
  </si>
  <si>
    <t>Red Bull Distribution Company</t>
  </si>
  <si>
    <t>$96K-$144K /yr</t>
  </si>
  <si>
    <t>Food and Beverage, Sales</t>
  </si>
  <si>
    <t>1. 1-3 years of practical experience in supporting IT infrastructure.
2. Comprehensive understanding of enterprise-level network and collaboration concepts.
3. Proficient knowledge of network protocols, including TCP/IP, VoIP, DNS, DHCP, etc.
4. Solid understanding of low voltage/structured cabling technologies and principles.
5. Exceptional documentation and project management abilities.
...</t>
  </si>
  <si>
    <t>Cyber Training &amp; Awareness, Associate / Wilmington, DE</t>
  </si>
  <si>
    <t>https://jobright.ai/jobs/info/69962551e0bddb6acac48476?utm_source=1100&amp;utm_campaign=Software Engineering</t>
  </si>
  <si>
    <t>1. Strong documentation and process-oriented background with leading and managing complex Technology projects.
2. Ability to effectively influence others to account for the plans and collaborative behaviors for results.
3. Ability to communicate complex and technical issues to diverse audiences, orally and in writing, in an easily understood, authoritative, and actionable manner.
4. Ability to identify and assess the cybersecurity threats, risks and controls to cost-effectively mitigate risks.
5. Strong decision-making abilities.
...</t>
  </si>
  <si>
    <t>QA Analyst, UI and Front End</t>
  </si>
  <si>
    <t>https://jobright.ai/jobs/info/694267a850bbaf7650545baf?utm_source=1100&amp;utm_campaign=Software Engineering</t>
  </si>
  <si>
    <t>$71K-$90K /yr</t>
  </si>
  <si>
    <t>1. BA/BS degree required
2. Experience in QA of front end elements, web design, UI, and UX
3. Ability to work both independently and on a wide variety of teams
4. Passion for making bullet-proof applications and improving education through technology
5. Self-motivated, detail oriented, proactive and collaborative
...</t>
  </si>
  <si>
    <t>GRC Analyst</t>
  </si>
  <si>
    <t>https://jobright.ai/jobs/info/6979555a39f7f96cc6d1cb66?utm_source=1100&amp;utm_campaign=Software Engineering</t>
  </si>
  <si>
    <t>Multi Location
North Carolina, United States
Utah, United States
Colorado, United States
Arizona, United States
California, United States
San Francisco, CA</t>
  </si>
  <si>
    <t>Rocket Lawyer</t>
  </si>
  <si>
    <t>$92K-$108K /yr</t>
  </si>
  <si>
    <t>Legal, Legal Tech</t>
  </si>
  <si>
    <t>1. Bachelor’s or Graduate degree in Cybersecurity, Information Systems, or a related field, or relevant job experience.
2. 1-3 years of relevant experience (cybersecurity, audit, risk, compliance, GRC).
3. Solid understanding of fundamental security and IT concepts (access controls, data retention, change management, etc.).
4. Familiarity with major security and privacy frameworks (ISO, NIST, SOC 2, HIPAA, etc.).
5. Strong critical thinking, organization, and communication skills.
...</t>
  </si>
  <si>
    <t>Security Analyst</t>
  </si>
  <si>
    <t>https://jobright.ai/jobs/info/6979b6bad7df290257fc27aa?utm_source=1100&amp;utm_campaign=Software Engineering</t>
  </si>
  <si>
    <t>Notable</t>
  </si>
  <si>
    <t>$89K-$110K /yr</t>
  </si>
  <si>
    <t>Artificial Intelligence (AI), Health Care</t>
  </si>
  <si>
    <t>1. Update, and maintain Notable’s comprehensive ISMS policy and procedure documentation
2. Assist with internal and external security audits (HITRUST, SOC 2, ISO, PCI)
3. Provide guidance to Notable teams to ensure compliance with the ISMS, address risk assessments
4. Assess external vendors for compliance with the ISMS
5. Lead internal audits and investigations
...</t>
  </si>
  <si>
    <t>Data Scientist – Merchandising &amp; Inventory Machine Learning - Hybrid – Seattle, WA</t>
  </si>
  <si>
    <t>https://jobright.ai/jobs/info/695dd207924bd9135dd4573a?utm_source=1100&amp;utm_campaign=Software Engineering</t>
  </si>
  <si>
    <t>$121,500-$188,500 /yr</t>
  </si>
  <si>
    <t>https://jobright.ai/jobs/info/6995d02481476f6176ad9c96?utm_source=1100&amp;utm_campaign=Software Engineering</t>
  </si>
  <si>
    <t>$118K-$170K /yr</t>
  </si>
  <si>
    <t>NW Deployment Technician IV, DCC Communities</t>
  </si>
  <si>
    <t>https://jobright.ai/jobs/info/692524c2f0beb0723261b0cb?utm_source=1100&amp;utm_campaign=Software Engineering</t>
  </si>
  <si>
    <t>Multi Location
Fairless Hills, PA
Berwick, PA</t>
  </si>
  <si>
    <t>Amazon Web Services (AWS)</t>
  </si>
  <si>
    <t>$29-$52 /hr</t>
  </si>
  <si>
    <t>Agentic AI, Consulting</t>
  </si>
  <si>
    <t>Software Engineer (AI/LLM)</t>
  </si>
  <si>
    <t>https://jobright.ai/jobs/info/6979215352f3c27ec645677c?utm_source=1100&amp;utm_campaign=Software Engineering</t>
  </si>
  <si>
    <t>Multi Location
San Francisco, CA
New York, NY</t>
  </si>
  <si>
    <t>Actively AI</t>
  </si>
  <si>
    <t>$140K-$180K /yr</t>
  </si>
  <si>
    <t>1. Strong engineering and/or ML background, with experience or interest in LLMs and large-scale data processing.
2. You’ve owned product areas or infrastructure before, and thrive on autonomy.
3. You get energy from talking to users and thinking from their perspective.
4. You learn quickly, move fast, and constantly seek feedback.
5. You're looking for a big leap forward — in ownership, impact, and growth.</t>
  </si>
  <si>
    <t>Latin American Spanish Localization QA Specialist</t>
  </si>
  <si>
    <t>https://jobright.ai/jobs/info/699847adce78e77b4fdcfa02?utm_source=1100&amp;utm_campaign=Software Engineering</t>
  </si>
  <si>
    <t>Localization Academy</t>
  </si>
  <si>
    <t>$30-$36 /hr</t>
  </si>
  <si>
    <t>Continuing Education, Corporate Training</t>
  </si>
  <si>
    <t>1. 1+ years experience in localization, ideally in gaming or entertainment industry
2. Experience with translation tools (memoQ, etc.) and task tracking systems (JIRA, etc.)
3. Strong familiarity with gaming terminology, genre conventions, and player communication tone
4. Native-level fluency in Latin American Spanish with strong English proficiency
5. Interest in working on legacy content, maintaining tone consistency, and contributing to long-term quality improvements
...</t>
  </si>
  <si>
    <t>https://jobright.ai/jobs/info/695ddd3589be3415c7463bbc?utm_source=1100&amp;utm_campaign=Software Engineering</t>
  </si>
  <si>
    <t>1. 1-2 years of experience building distributed, low-latency, high availability applications.
2. A degree in Computer Science, a related Engineering discipline, or equivalent experience
3. Have experience developing with static-typed languages. We work mostly in Go, and while experience as a Go developer isn’t required (you can learn it pretty quickly), we do believe being good at types is an important qualification.
4. Enjoy building intuitive APIs for developers
5. Write high quality code that’s easy to read and understand</t>
  </si>
  <si>
    <t>Post Doc Associate</t>
  </si>
  <si>
    <t>https://jobright.ai/jobs/info/6996ee4fce78e77b4fdb20e3?utm_source=1100&amp;utm_campaign=Software Engineering</t>
  </si>
  <si>
    <t>Gainesville, FL</t>
  </si>
  <si>
    <t>University of Florida</t>
  </si>
  <si>
    <t>$61K-$65K /yr</t>
  </si>
  <si>
    <t>Higher Education</t>
  </si>
  <si>
    <t>1. A Ph.D. in biomedical informatics, computer science or a related field.</t>
  </si>
  <si>
    <t>Data Center Security Specialist, DC Security Amer-East</t>
  </si>
  <si>
    <t>https://jobright.ai/jobs/info/6979831d0791bc1d72303431?utm_source=1100&amp;utm_campaign=Software Engineering</t>
  </si>
  <si>
    <t>Sterling, VA</t>
  </si>
  <si>
    <t>$52400-$112000 /yr</t>
  </si>
  <si>
    <t>1. Experience using CCTV, access control and intrusion systems
2. 6+ months' experience in security roles, preferably in a data center or similar environment.
3. Knowledge of the administration and operation of: access control systems (Lenel, Milestone) and CCTV systems with digital recording.</t>
  </si>
  <si>
    <t>https://jobright.ai/jobs/info/6940aa4caa598a08c3f04d9b?utm_source=1100&amp;utm_campaign=Software Engineering</t>
  </si>
  <si>
    <t>$140K-$220K /yr</t>
  </si>
  <si>
    <t>1. AI experience is a must for this position: Strong knowledge of LLMs and hands-on experience building with them - including usage, prompting and model integration.
2. Proven understanding and direct experience with Agentic AI systems, including designing, developing, and deploying AI Agents and MCP prototype/servers.
3. Familiarity with AI frameworks (e.g., LangChain, LlamaIndex, AutoGen) and modern AI architectures such as RAG, vector databases, reranking, and performance optimization.
4. At least 1 year of experience in back-end development using Python, TypeScript/Node.js, or Java, with a focus on security, scalability, availability, and performance.</t>
  </si>
  <si>
    <t>https://jobright.ai/jobs/info/6941fa16bdcf884a5addb6ad?utm_source=1100&amp;utm_campaign=Software Engineering</t>
  </si>
  <si>
    <t>xAI</t>
  </si>
  <si>
    <t>$180K-$440K /yr</t>
  </si>
  <si>
    <t>1. Basic understanding of BGP configuration and management
2. Basic knowledge of backbone and datacenter networks
3. Working understanding of wireless technologies
4. Working knowledge of at least one internal routing protocol, its configuration and day to day operation
5. Working knowledge of corporate networking
...</t>
  </si>
  <si>
    <t>https://jobright.ai/jobs/info/697ae9d11423772304ead7a9?utm_source=1100&amp;utm_campaign=Software Engineering</t>
  </si>
  <si>
    <t>Nexon America</t>
  </si>
  <si>
    <t>Gaming, Information Technology</t>
  </si>
  <si>
    <t>Software QA Engineer II (Full Time) – United States</t>
  </si>
  <si>
    <t>https://jobright.ai/jobs/info/69791bf552f3c27ec645611f?utm_source=1100&amp;utm_campaign=Software Engineering</t>
  </si>
  <si>
    <t>$123,600-$200,100 /yr</t>
  </si>
  <si>
    <t>1. Completion within the past 3 years, or current enrollment with expected completion within 12 months, of a certification or relevant degree program (e.g., Associate's, Apprenticeship, Boot Camp, or Certification in a specialized program + 1 year of relevant experience, High School Diploma + 2 years of relevant experience) or Bachelor's + 0 years of relevant experience.
2. Proficient knowledge and hands-on experience with current technologies in the primary technical domain.
3. Demonstrated expertise in developing and executing software design plans, automated scripts, and quality assurance programs.
4. Experience in CI/CD environments, including defining and enforcing quality gates.
5. Ability to work independently, provide mentorship, and collaborate effectively within and across teams.</t>
  </si>
  <si>
    <t>MOBA Game Test Analyst</t>
  </si>
  <si>
    <t>https://jobright.ai/jobs/info/6924e8d938cd5478a8d5fc4c?utm_source=1100&amp;utm_campaign=Software Engineering</t>
  </si>
  <si>
    <t>1. Must be at least 18 years of age
2. Strong analytical and problem solving skills
3. Loves PvP games - plays MOBAs, Smash Brothers, Pokémon Unite, action games.
4. Loves Fighting games - keen understanding of fighting game mechanics, dynamics, timing, all the aspects that make them awesome.
5. Excellent written and verbal communication (needs to be able to communicate bugs how did you find them? What exact steps are needed to make it happen again?)
...</t>
  </si>
  <si>
    <t>https://jobright.ai/jobs/info/6995f5a6e0bddb6acac45d86?utm_source=1100&amp;utm_campaign=Software Engineering</t>
  </si>
  <si>
    <t>Miami, FL</t>
  </si>
  <si>
    <t>Santander Bank, N.A.</t>
  </si>
  <si>
    <t>$44K-$86K /yr</t>
  </si>
  <si>
    <t>1. Bachelor's Degree or equivalent work experience: Computer Science, Software Engineering or equivalent field.
2. 0+ Years Experience with test strategies, test plans, and test cases.
3. Experience in writing SQLs to query the backend during the test execution. Expertise in testing web based applications and web services based systems with minimal to no user interface.
4. Experience building test automation frameworks for AI/ML or distributed systems.
5. Understanding of LLM evaluation techniques (BLEU, factuality checks, grounding scores, custom metrics).
...</t>
  </si>
  <si>
    <t>https://jobright.ai/jobs/info/69958b66e0bddb6acac41f7c?utm_source=1100&amp;utm_campaign=Software Engineering</t>
  </si>
  <si>
    <t>Talkdesk</t>
  </si>
  <si>
    <t>$130,000-$196,000 /yr</t>
  </si>
  <si>
    <t>1. Bachelor's or Master's degree in Computer Science, Engineering, or a related field.
2. Strong development experience in Java, Python, C++, C#, or similar OO languages
3. Understanding of database and SQL
4. Good communication skills, maintaining clear and effective interaction with team members and stakeholders.
5. Dedication to work and a strong potential for professional growth and development.</t>
  </si>
  <si>
    <t>Data Scientist I</t>
  </si>
  <si>
    <t>https://jobright.ai/jobs/info/6979c301d7df290257fc302c?utm_source=1100&amp;utm_campaign=Software Engineering</t>
  </si>
  <si>
    <t>GumGum</t>
  </si>
  <si>
    <t>$128K-$130K /yr</t>
  </si>
  <si>
    <t>1. Bachelor’s degree in Statistics, Mathematics, Physics, Economics, Computer Science or a related quantitative or technical field
2. 1–2+ years in a data-driven role (Analytics, Data Science, or similar) -- WE ARE OPEN TO RECENT GRADS WITH INTERNSHIP EXPERIENCE
3. Experience applying ML and statistical methods to real-world datasets
4. Experience collaborating with Engineering and/or Product teams</t>
  </si>
  <si>
    <t>Mobile Engineer (LATAM, All Levels)</t>
  </si>
  <si>
    <t>https://jobright.ai/jobs/info/691f4d143f782d2f1afba228?utm_source=1100&amp;utm_campaign=Software Engineering</t>
  </si>
  <si>
    <t>$2200-$7500 /mon</t>
  </si>
  <si>
    <t>1. Experience solving technical problems as part of a team
2. Bachelor's in computer science or related.
3. Experience with Swift.
4. Familiarity with modern Frontend Development, Javascript or Typescript, with React Native or React (web) experience strongly preferred</t>
  </si>
  <si>
    <t>Software Developer (Big data /Hadoop)</t>
  </si>
  <si>
    <t>https://jobright.ai/jobs/info/6995b564e0bddb6acac4376c?utm_source=1100&amp;utm_campaign=Software Engineering</t>
  </si>
  <si>
    <t>US</t>
  </si>
  <si>
    <t>Marlabs</t>
  </si>
  <si>
    <t>$160805-$160900 /yr</t>
  </si>
  <si>
    <t>1. Master’s Degree in CompSci, any Engg, CIS, Science, Math, Business or related
2. One year of software development experience in Hadoop, HDFS, MapReduce, Pig, Hive, Sqoop, Flume, Kafka, Oozie, Spark, Java, Python, Scala, Cloudera CDH, Hortonworks HDP, AWS</t>
  </si>
  <si>
    <t>Software Developer (Java/J2EE)</t>
  </si>
  <si>
    <t>https://jobright.ai/jobs/info/6995c1d2e0bddb6acac43d80?utm_source=1100&amp;utm_campaign=Software Engineering</t>
  </si>
  <si>
    <t>1. Master’s Degree in CompSci, any Engg, CIS, Science, Math, Business or related
2. One year of experience
3. At least one year of experience in Java
4. At least one year of experience in JavaScript
5. At least one year of experience in Spring Boot
...</t>
  </si>
  <si>
    <t>https://jobright.ai/jobs/info/69916bec6ea51a7610f3d14a?utm_source=1100&amp;utm_campaign=Software Engineering</t>
  </si>
  <si>
    <t>$93K-$179K /yr</t>
  </si>
  <si>
    <t>1. BS degree in computer science or a related field is required, or equivalent experience.
2. 1-3 years of professional experience
3. Established background in OOP and architectural patterns.
4. Proficient in one or more modern OOP programming languages: Javascript or PHP
5. Strong skills in API development, containerization, and CI/CD practices.
...</t>
  </si>
  <si>
    <t>Junior Automation Engineer</t>
  </si>
  <si>
    <t>https://jobright.ai/jobs/info/6995c821e0bddb6acac440fa?utm_source=1100&amp;utm_campaign=Software Engineering</t>
  </si>
  <si>
    <t>Spokane, WA</t>
  </si>
  <si>
    <t>Corporate Tools</t>
  </si>
  <si>
    <t>$55K-$55K /yr</t>
  </si>
  <si>
    <t>Customer Service, Logistics</t>
  </si>
  <si>
    <t>1. Strong exposure to JavaScript &amp; Node.js
2. Strong exposure to Puppeteer or similar automation testing tooling (Jest, mocha etc.)
3. Familiarity with GIT in software development
4. Great communication skills (written and Spoken in English)
5. Experience with Jira and Agile
...</t>
  </si>
  <si>
    <t>IT Tele Communications Admin I - Hourly</t>
  </si>
  <si>
    <t>https://jobright.ai/jobs/info/6995eec6ce78e77b4fd9ece6?utm_source=1100&amp;utm_campaign=Software Engineering</t>
  </si>
  <si>
    <t>Sea Mar Community Health Centers</t>
  </si>
  <si>
    <t>$28-$28 /hr</t>
  </si>
  <si>
    <t>Dental, Health Care</t>
  </si>
  <si>
    <t>1. Sound knowledge in the telecommunications systems, phone configurations
2. Sound knowledge of LAN/WAN configurations.
3. 1 – 3 years demonstrated experience as a Telecommunications Administrator
4. Experience supporting VoIP solutions.
5. Experience supporting Call Centers
...</t>
  </si>
  <si>
    <t>Software Developer I</t>
  </si>
  <si>
    <t>https://jobright.ai/jobs/info/69719b3151f726477183f538?utm_source=1100&amp;utm_campaign=Software Engineering</t>
  </si>
  <si>
    <t>Redfin</t>
  </si>
  <si>
    <t>$107K-$145K /yr</t>
  </si>
  <si>
    <t>Internet, Marketplace</t>
  </si>
  <si>
    <t>1. You are a developer with 0-2 years of experience developing full-stack, customer-facing applications.
2. You keep up with the ever-changing landscape of providing delightful User Interfaces - we use React.
3. You have experience being part of a team developing large scale apps backed by relational databases - we use Java, Spring, Hibernate, and Postgres.
4. You have experience using AI code generation tools such as GitHub CoPilot, Anthropic Claude Code, Cursor, or similar.
5. You’re curious and a life-long learner: you’re willing to take risks and champion new ideas.
...</t>
  </si>
  <si>
    <t>Software Engineering IC2</t>
  </si>
  <si>
    <t>https://jobright.ai/jobs/info/69994e7de0bddb6acac87215?utm_source=1100&amp;utm_campaign=Software Engineering</t>
  </si>
  <si>
    <t>1. Bachelor's Degree in Computer Science, or related technical discipline with proven experience coding in languages including, but not limited to, C, C++, C#, Java, JavaScript, or Python + OR equivalent experience.
2. Basic understanding of data structures, algorithms, software engineering fundamentals and Distributed System Design.</t>
  </si>
  <si>
    <t>AI Engineer I - Agentic AI</t>
  </si>
  <si>
    <t>https://jobright.ai/jobs/info/699968f9e0bddb6acac8a0e5?utm_source=1100&amp;utm_campaign=Software Engineering</t>
  </si>
  <si>
    <t>American Express</t>
  </si>
  <si>
    <t>$78K-$125K /yr</t>
  </si>
  <si>
    <t>Credit Cards, Finance</t>
  </si>
  <si>
    <t>1. 1+ years of professional software engineering experience.
2. Some hands-on experience building or contributing to AI-powered features, LLM-based applications, or applied ML systems (professional or project-based).
3. Solid engineering fundamentals in at least one backend language (Python, Go, or TypeScript).
4. Familiarity with APIs, basic cloud concepts, and modern development practices.
5. Interest in agentic AI systems, autonomy, and AI-assisted development workflows.
...</t>
  </si>
  <si>
    <t>Design Verification Engineer</t>
  </si>
  <si>
    <t>https://jobright.ai/jobs/info/6997fbbee0bddb6acac6faf9?utm_source=1100&amp;utm_campaign=Software Engineering</t>
  </si>
  <si>
    <t>Hercules, CA</t>
  </si>
  <si>
    <t>Consulting, Enterprise Software</t>
  </si>
  <si>
    <t>1. Proficient in test traceability and mapping HW/SW requirements and/or customer requirements to ensure comprehensive test coverage.
2. Knowledgeable in: 21 CFR Part 820 (Quality System Regulation), IEC 62304 (Software Lifecycle and Development for Medical Devices), IEC 61010 / IEC 60601 (Safety and Performance of Medical Electrical Equipment), GLP, GDP, and electronic records compliance per 21 CFR Part 11.
3. EU-MDR knowledge is a plus.
4. Skilled in HW and SW testing techniques, including but not limited to white-box and black-box testing, with a strong focus on early bug detection.
5. Innovate / design new test methods or techniques, whenever required.
...</t>
  </si>
  <si>
    <t>https://jobright.ai/jobs/info/6997e693e0bddb6acac6c521?utm_source=1100&amp;utm_campaign=Software Engineering</t>
  </si>
  <si>
    <t>Multi Location
San Francisco Bay Area
Bellevue, WA
Sunnyvale, CA</t>
  </si>
  <si>
    <t>Asset &amp; Wealth Management - Data Engineer - Analyst - New York</t>
  </si>
  <si>
    <t>https://jobright.ai/jobs/info/6997e6b481476f6176b02a76?utm_source=1100&amp;utm_campaign=Software Engineering</t>
  </si>
  <si>
    <t>1. Minimum 1 year of experience in Java, J2EE and/or Python
2. Strong proficiency in working with data - databases, deriving insights using machine learning.
3. You approach problem solving with an open mind within the context of a team
4. You have exceptional analytical skills, able to apply knowledge and experience in decision-making to arrive at creative and commercial solutions
5. You collaborate with globally-located cross functional team in building customer-centric products
...</t>
  </si>
  <si>
    <t>https://jobright.ai/jobs/info/69980dd1ce78e77b4fdcb594?utm_source=1100&amp;utm_campaign=Software Engineering</t>
  </si>
  <si>
    <t>Irmo, SC</t>
  </si>
  <si>
    <t>1. 1– 3 years of working experience
2. Working experience in design, development, and implementation of highly scalable, high-volume software systems and components, client-facing web applications, and major Internet-oriented applications and systems
3. Working experience realizing applications from conception and design, to implementation and support
4. Working experience in coding within multiple technology stacks (e.g. Front-end: browser and device typically using common client-side technologies – HTML, CSS, JavaScript; Back-end: server, application, database using languages like C#, .NET 8, OpenAPI/Swagger, SQL server)
5. Working experience with application lifecycle methodologies (e.g. agile, iterative)
...</t>
  </si>
  <si>
    <t>https://jobright.ai/jobs/info/6998119ae0bddb6acac719ec?utm_source=1100&amp;utm_campaign=Software Engineering</t>
  </si>
  <si>
    <t>Developer/Sr. Developer, Digital Solutions</t>
  </si>
  <si>
    <t>https://jobright.ai/jobs/info/6999628181476f6176b210d9?utm_source=1100&amp;utm_campaign=Software Engineering</t>
  </si>
  <si>
    <t>Morristown, NJ</t>
  </si>
  <si>
    <t>Crum &amp; Forster Services India Private Limited</t>
  </si>
  <si>
    <t>$73K-$120K /yr</t>
  </si>
  <si>
    <t>1. 0-5+ years of related application development working experience
2. Good understanding of the SDLC process (how software is built)
3. A passion for a dynamic, fast changing environment
4. An enthusiastic and positive attitude
5. A passion for learning
...</t>
  </si>
  <si>
    <t>https://jobright.ai/jobs/info/6997d44cce78e77b4fdc41fc?utm_source=1100&amp;utm_campaign=Software Engineering</t>
  </si>
  <si>
    <t>San Luis Obispo, CA</t>
  </si>
  <si>
    <t>$123K-$170K /yr</t>
  </si>
  <si>
    <t>1. 1+ years of non-internship professional software development experience
2. Experience programming with at least one software programming language</t>
  </si>
  <si>
    <t>QA Analyst/Software</t>
  </si>
  <si>
    <t>https://jobright.ai/jobs/info/6997c853e0bddb6acac68cdd?utm_source=1100&amp;utm_campaign=Software Engineering</t>
  </si>
  <si>
    <t>North Carolina, United States</t>
  </si>
  <si>
    <t>Labcorp</t>
  </si>
  <si>
    <t>$65K-$72K /yr</t>
  </si>
  <si>
    <t>1. Bachelor’s degree in Computer Science, Engineering, IT, or equivalent experience.
2. 0–2 years of experience in Quality Assurance or related technical fields.
3. Familiarity with tools such as Git, JIRA, Confluence, Xcode, Android Studio, Charles Proxy.
4. Understanding of software engineering fundamentals, networking basics, and REST APIs.
5. Ability to prioritize across multiple projects and deadlines.
...</t>
  </si>
  <si>
    <t>https://jobright.ai/jobs/info/6997f51dce78e77b4fdc8716?utm_source=1100&amp;utm_campaign=Software Engineering</t>
  </si>
  <si>
    <t>Washington - Seattle Campus</t>
  </si>
  <si>
    <t>Expedia Group</t>
  </si>
  <si>
    <t>$92500-$129500 /yr</t>
  </si>
  <si>
    <t>Communities, Internet</t>
  </si>
  <si>
    <t>1. Bachelor's degree in computer science, Engineering, or a related technical field, or equivalent practical experience
2. 0–2 years of professional software development experience, including internships, co-ops, or substantial project work
3. Foundational knowledge of JavaScript or TypeScript
4. Exposure to React or similar modern frontend frameworks
5. Exposure to backend development in Node.js, Java, or Kotlin
...</t>
  </si>
  <si>
    <t>Network Deployment Technician, DCC Communities</t>
  </si>
  <si>
    <t>https://jobright.ai/jobs/info/6997d133ce78e77b4fdc3c9e?utm_source=1100&amp;utm_campaign=Software Engineering</t>
  </si>
  <si>
    <t>Multi Location
Stafford, VA
New Carlisle, IN</t>
  </si>
  <si>
    <t>https://jobright.ai/jobs/info/6997cd1381476f6176affc3c?utm_source=1100&amp;utm_campaign=Software Engineering</t>
  </si>
  <si>
    <t>Application Developer</t>
  </si>
  <si>
    <t>https://jobright.ai/jobs/info/6997b78cce78e77b4fdc120d?utm_source=1100&amp;utm_campaign=Software Engineering</t>
  </si>
  <si>
    <t>California Energy Commission</t>
  </si>
  <si>
    <t>Energy, Energy Efficiency</t>
  </si>
  <si>
    <t>1. Proficient in Enterprise Cloud computing technologies
2. Proficient in C#
3. Proficient in ASP.NET Core
4. Proficient in Python
5. Proficient in JavaScript
...</t>
  </si>
  <si>
    <t>HR Systems Engineer</t>
  </si>
  <si>
    <t>https://jobright.ai/jobs/info/6997dbb9e0bddb6acac6ac97?utm_source=1100&amp;utm_campaign=Software Engineering</t>
  </si>
  <si>
    <t>$72,000-$134,000 /yr</t>
  </si>
  <si>
    <t>1. Bachelor’s degree or equivalent work experience in an engineering or technical role.
2. Strong technical aptitude.
3. Excellent analytical, troubleshooting, and problem-solving skills.
4. Experience working on an agile development team.
5. Ability to translate business requirements into technical solutions across diverse systems.
...</t>
  </si>
  <si>
    <t>Software Engineer II, Full-Stack (QMS)</t>
  </si>
  <si>
    <t>https://jobright.ai/jobs/info/6997d7af81476f6176b00d8f?utm_source=1100&amp;utm_campaign=Software Engineering</t>
  </si>
  <si>
    <t>Multi Location
Irvine, CA, US
US-CA-Irvine</t>
  </si>
  <si>
    <t>$107000-$141710 /yr</t>
  </si>
  <si>
    <t>1. 1-3 years of professional software development experience, ideally with some exposure to full-stack development.
2. Working knowledge of JavaScript, HTML, CSS, and at least one modern JavaScript framework (React, Vue, Angular).
3. Experience with at least one backend language (Node.js, Python, Java) and the ability to build simple RESTful APIs.
4. Basic understanding of database concepts and experience working with at least one database technology (SQL or NoSQL).
5. Proficiency with Git and understanding of branching strategies.
...</t>
  </si>
  <si>
    <t>AI Product Engineer</t>
  </si>
  <si>
    <t>https://jobright.ai/jobs/info/6998eb2081476f6176b151a1?utm_source=1100&amp;utm_campaign=Software Engineering</t>
  </si>
  <si>
    <t>Distyl</t>
  </si>
  <si>
    <t>1. 1+ years of experience of software engineering experience
2. Strong Full-Stack Engineering Skills: Comfortable building across front end (TypeScript/React), back end (Python), and data layers. You can move quickly from prototype to production, and you understand how to design systems that are reliable, maintainable, and easy to evolve
3. Experience Building Products on Top of AI Systems: Shipped user-facing applications that integrate with LLMs or other AI services. You understand how interface design, data modeling, and workflow structure influence AI behavior, evaluation quality, and system improvement over time
4. Comfort Operating at the Product–Engineering Boundary: Enjoy working with AI Strategists and domain experts to translate ambiguous business goals into concrete, buildable product workflows. You can reason about tradeoffs between user experience, system constraints, and delivery timelines without needing a separate product manager in the loop
5. Systems Thinking Across Human and AI Boundaries: Reason clearly about how user actions become structured signal for AI systems. You care about how feedback is captured, how knowledge is represented, and how product decisions affect downstream system performance and trust
...</t>
  </si>
  <si>
    <t>GIS Software Engineer I/II - Information Technology</t>
  </si>
  <si>
    <t>https://jobright.ai/jobs/info/6997c13081476f6176afec00?utm_source=1100&amp;utm_campaign=Software Engineering</t>
  </si>
  <si>
    <t>DeLand, FL</t>
  </si>
  <si>
    <t>County of Volusia</t>
  </si>
  <si>
    <t>$62000-$65000 /yr</t>
  </si>
  <si>
    <t>Government, Health Care</t>
  </si>
  <si>
    <t>1. Bachelor's degree in Mathematics, Computer Science, Data Processing, Geography, Planning, Natural Science or related field
2. one (1) year of responsible experience as a programmer for Software Engineer I
3. two (2) years of responsible experience as a programmer for Software Engineer II
4. Knowledge of the principles of database management systems, including data storage, retrieval, and manipulation
5. Knowledge of the assigned governmental functions and the information required from data processing services
...</t>
  </si>
  <si>
    <t>Postdoctoral Scientist Data Science AI/ML &amp; DH</t>
  </si>
  <si>
    <t>https://jobright.ai/jobs/info/6997c4fbce78e77b4fdc29b5?utm_source=1100&amp;utm_campaign=Software Engineering</t>
  </si>
  <si>
    <t>Cambridge, Massachusetts, United States of America</t>
  </si>
  <si>
    <t>Johnson &amp; Johnson</t>
  </si>
  <si>
    <t>1. A recent Ph.D. degree within 3 years in computer science, electrical engineering, biomedical engineering, or related discipline.
2. Extensive experience in analyzing high frequency data from wearable biosensors (e.g., accelerometer, ECG, PPG).
3. Strong background and proven experience in developing or implementing advanced state of the art AI and signal processing methods.
4. Experience with large scale data processing and integrating multi-modal datasets.
5. Proficiency in one or more programming languages such as Python, R, MATLAB and writing re-usable and well documented code.
...</t>
  </si>
  <si>
    <t>Network Administrator</t>
  </si>
  <si>
    <t>https://jobright.ai/jobs/info/6997c678e0bddb6acac689c3?utm_source=1100&amp;utm_campaign=Software Engineering</t>
  </si>
  <si>
    <t>$59150-$106925 /yr</t>
  </si>
  <si>
    <t>Computer, Government</t>
  </si>
  <si>
    <t>https://jobright.ai/jobs/info/6997cbb4e0bddb6acac6924f?utm_source=1100&amp;utm_campaign=Software Engineering</t>
  </si>
  <si>
    <t>$110000-$135000 /yr</t>
  </si>
  <si>
    <t>1. Bachelor's or advanced degree in computer science or a related discipline
2. Excellent programming skills
3. Strong analytical-reasoning and problem-solving skills
4. Ability to work both independently and with a wide variety of teams
5. Passion for improving education through technology</t>
  </si>
  <si>
    <t>WordPress Website Design and Development Specialist</t>
  </si>
  <si>
    <t>https://jobright.ai/jobs/info/6997cfd781476f6176b000c3?utm_source=1100&amp;utm_campaign=Software Engineering</t>
  </si>
  <si>
    <t>AMAX</t>
  </si>
  <si>
    <t>Big Data, Cloud Computing</t>
  </si>
  <si>
    <t>1. Proficient in HTML &amp; CSS
2. Basic to intermediate with PHP (ie. WordPress themes, templates, and functions)
3. Familiarity with JavaScript, Rest API or jQuery for interactive page elements
4. Experience customizing themes, templates, and page layouts
5. Solid understanding of SEO fundamentals, including keyword research, on-page optimization, and content structure best practices
...</t>
  </si>
  <si>
    <t>Associate Embedded Engineer</t>
  </si>
  <si>
    <t>https://jobright.ai/jobs/info/6997c6d681476f6176aff3c6?utm_source=1100&amp;utm_campaign=Software Engineering</t>
  </si>
  <si>
    <t>Mount Prospect, IL</t>
  </si>
  <si>
    <t>AMETEK</t>
  </si>
  <si>
    <t>$75K-$90K /yr</t>
  </si>
  <si>
    <t>1. Bachelor’s degree in Computer Engineering, Electrical Engineering or equivalent
2. Experience programming microcontrollers
3. Curious and innovative
4. Ability to work effectively in a team environment
5. Good verbal and written communication skills are required</t>
  </si>
  <si>
    <t>https://jobright.ai/jobs/info/69976aa181476f6176af8963?utm_source=1100&amp;utm_campaign=Software Engineering</t>
  </si>
  <si>
    <t>Indianapolis, IN</t>
  </si>
  <si>
    <t>Ivy Tech Community College</t>
  </si>
  <si>
    <t>$70K-$75K /yr</t>
  </si>
  <si>
    <t>Higher Education, Universities</t>
  </si>
  <si>
    <t>1. An associate’s degree in information technology or a related field is required.
2. A minimum of one year of relevant experience working with a relational database and SQL.
3. A minimum of one year of frontend development making use of JavaScript, Python, CSS, and HTML is required.
4. Must have some exposure to common Internet protocols: HTTP, FTP, and SSH, etc.
5. Must have some exposure to Linux and Windows operating systems.
...</t>
  </si>
  <si>
    <t>Analyst, Cybersecurity Risk</t>
  </si>
  <si>
    <t>https://jobright.ai/jobs/info/69979454ce78e77b4fdbe492?utm_source=1100&amp;utm_campaign=Software Engineering</t>
  </si>
  <si>
    <t>$51K-$101K /yr</t>
  </si>
  <si>
    <t>1. Bachelors Degree in Information Security, Risk or IT Management, Computer Science, or related field
2. Demonstrated knowledge of common security frameworks and standards (e.g. – National Institute of Standards and Technology (NIST), ISO 27001)
3. Excellent written and verbal communication skills
4. Flexibility to adapt to changing assignments and ability to effectively prioritize
5. Strong analytical skills and the ability to organize work in a logical, thorough, and succinct manner
...</t>
  </si>
  <si>
    <t>Product Security Engineer, LCM QA</t>
  </si>
  <si>
    <t>https://jobright.ai/jobs/info/6997b8b7ce78e77b4fdc13ed?utm_source=1100&amp;utm_campaign=Software Engineering</t>
  </si>
  <si>
    <t>Irvine, California, United States of America</t>
  </si>
  <si>
    <t>$64000-$102350 /yr</t>
  </si>
  <si>
    <t>1. BS in Computer Science/Engineering or equivalent experience.
2. 0–3 years in software QA, data analysis, test automation, or application security support.
3. Basic scripting (Python/Bash/JS); familiarity with Source Code Control (Git) and CI/CD concepts.
4. Awareness of OWASP Top Ten and basic SAST/DAST/SCA tooling.</t>
  </si>
  <si>
    <t>https://jobright.ai/jobs/info/6997b24281476f6176afd307?utm_source=1100&amp;utm_campaign=Software Engineering</t>
  </si>
  <si>
    <t>1. BS/BA in Engineering, Mathematics, Science, or 4-year technical degree in related field.
2. Detail oriented and able to follow instructions.
3. Basic oral and written communication skills.
4. Basic use of MS Office software.
5. Basic use of MS Excel.
...</t>
  </si>
  <si>
    <t>Software Development Engineer - DevOps</t>
  </si>
  <si>
    <t>https://jobright.ai/jobs/info/6997ae31ce78e77b4fdc0a8f?utm_source=1100&amp;utm_campaign=Software Engineering</t>
  </si>
  <si>
    <t>Fortune</t>
  </si>
  <si>
    <t>$68000-$106000 /yr</t>
  </si>
  <si>
    <t>1. Strong coding skills in at least one programming language
2. Experience with infrastructure automation tools (Terraform, Ansible, CloudFormation)
3. Solid understanding of CI/CD principles and tools (Jenkins, GitHub action)
4. Experience with cloud platforms (AWS, Azure, or GCP)
5. Proficiency in scripting languages (Python, Bash, Ruby)
...</t>
  </si>
  <si>
    <t>Data Specialist (Field Based)</t>
  </si>
  <si>
    <t>https://jobright.ai/jobs/info/69977c69e0bddb6acac6322b?utm_source=1100&amp;utm_campaign=Software Engineering</t>
  </si>
  <si>
    <t>ERM</t>
  </si>
  <si>
    <t>$33-$40 /hr</t>
  </si>
  <si>
    <t>Consulting, Health Care</t>
  </si>
  <si>
    <t>1. Bachelor’s degree in data science, computer science, information systems, or a related field.
2. 1–3 years of relevant professional experience or internships.
3. Practical experience writing SQL queries and working with relational databases (e.g., SQL Server, PostgreSQL).
4. Foundational knowledge of ETL/ELT concepts and experience supporting or maintaining simple data pipelines.
5. Basic proficiency in Python or R for data manipulation; familiarity with version control is a plus.
...</t>
  </si>
  <si>
    <t>https://jobright.ai/jobs/info/6997bd71ce78e77b4fdc1d45?utm_source=1100&amp;utm_campaign=Software Engineering</t>
  </si>
  <si>
    <t>Irvine, CA</t>
  </si>
  <si>
    <t>Johnson &amp; Johnson MedTech</t>
  </si>
  <si>
    <t>$64K-$102K /yr</t>
  </si>
  <si>
    <t>Security Analyst II</t>
  </si>
  <si>
    <t>https://jobright.ai/jobs/info/6997dd36ce78e77b4fdc51ff?utm_source=1100&amp;utm_campaign=Software Engineering</t>
  </si>
  <si>
    <t>Sensiba LLP</t>
  </si>
  <si>
    <t>$58K-$94K /yr</t>
  </si>
  <si>
    <t>Finance, Tax Preparation</t>
  </si>
  <si>
    <t>1. Bachelor’s degree in Computer Science, Information Security, or related field, or an equivalent combination of education and experience.
2. 1-2+ years of experience performing penetration testing and/or defensive security operations.
3. Foundational knowledge of network protocols, operating systems (Windows and Linux), and cloud environments (AWS, Azure, or GCP).
4. Familiarity with common security frameworks and standards (e.g., OWASP Top 10, MITRE ATT&amp;CK, NIST, CIS).
5. Ability and willingness to learn programming languages such as Python, Java, C#, or similar.
...</t>
  </si>
  <si>
    <t>Automation Developer</t>
  </si>
  <si>
    <t>https://jobright.ai/jobs/info/69976887e0bddb6acac62167?utm_source=1100&amp;utm_campaign=Software Engineering</t>
  </si>
  <si>
    <t>Philadelphia, PA</t>
  </si>
  <si>
    <t>Children's Hospital of Philadelphia</t>
  </si>
  <si>
    <t>$90K-$115K /yr</t>
  </si>
  <si>
    <t>Child Care, Health Care</t>
  </si>
  <si>
    <t>1. Bachelor's Degree Computer Science, Information Systems, Business Required
2. At least one (1) year Relevant application and integration development experience Required
3. Demonstrates intermediate knowledge of and expertise in the systems life cycle, system specific programming language, and project tracking software.
4. Exhibits In-depth knowledge of system specific programming language and proficiency of at least one programming language.
5. Demonstrates basic knowledge of project management and related tools.
...</t>
  </si>
  <si>
    <t>Engineer I, Firmware Development</t>
  </si>
  <si>
    <t>https://jobright.ai/jobs/info/6997c035e0bddb6acac68359?utm_source=1100&amp;utm_campaign=Software Engineering</t>
  </si>
  <si>
    <t>Landis+Gyr</t>
  </si>
  <si>
    <t>$73K-$90K /yr</t>
  </si>
  <si>
    <t>Electronics, Energy</t>
  </si>
  <si>
    <t>1. Bachelor’s Degree Computer Science, Computer Engineering, or Electronics &amp; Communication is required.
2. 1+ to 3 years’ experience
3. Programming C, C++, C# a plus
4. Firmware development for an embedded system including use of development and debugging tools.
5. Ability to effectively communicate verbally and in writing</t>
  </si>
  <si>
    <t>Junior .NET Developer</t>
  </si>
  <si>
    <t>https://jobright.ai/jobs/info/6997a3f781476f6176afc173?utm_source=1100&amp;utm_campaign=Software Engineering</t>
  </si>
  <si>
    <t>Des Plaines, IL</t>
  </si>
  <si>
    <t>Americaneagle.com</t>
  </si>
  <si>
    <t>CMS, E-Commerce</t>
  </si>
  <si>
    <t>1. Recent graduate or developer with 1-2 years of experience
2. Degree in Computer Science (or equivalent practical experience)
3. Familiarity with web APIs and Git (GitHub, GitLab, or Azure DevOps)
4. Passion for learning, problem-solving, and modern web technologies
5. Interest in using AI tools to improve development efficiency</t>
  </si>
  <si>
    <t>https://jobright.ai/jobs/info/699776f2ce78e77b4fdbce97?utm_source=1100&amp;utm_campaign=Software Engineering</t>
  </si>
  <si>
    <t>Multi Location
San Francisco, CA
California, United States
Walnut Creek, CA
Walnut Creek, California
San Francisco, California
San Jose, California
Northern California - Multiple Locations</t>
  </si>
  <si>
    <t>$69075-$84533 /yr</t>
  </si>
  <si>
    <t>Junior Data Engineer</t>
  </si>
  <si>
    <t>https://jobright.ai/jobs/info/6997a5a681476f6176afc408?utm_source=1100&amp;utm_campaign=Software Engineering</t>
  </si>
  <si>
    <t>Cylinder</t>
  </si>
  <si>
    <t>$85K-$100K /yr</t>
  </si>
  <si>
    <t>1. Bachelor's degree in Computer Science, Engineering, or related field, OR equivalent experience through bootcamps, self-study, or professional projects
2. 0-2 years of experience with data engineering, analytics, or related technical roles (internships and personal projects count!)
3. Basic proficiency with SQL and Python (we'll help you grow these skills!)
4. Familiarity with or interest in learning modern data tools like dbt, Airflow, or cloud platforms
5. Strong communication skills and enthusiasm for learning in a collaborative environment
...</t>
  </si>
  <si>
    <t>AI Science Institute Postdoctoral Fellow, United States - BCG X</t>
  </si>
  <si>
    <t>https://jobright.ai/jobs/info/699754f281476f6176af7b5e?utm_source=1100&amp;utm_campaign=Software Engineering</t>
  </si>
  <si>
    <t>Multi Location
Miami, FL
Washington, DC
Los Angeles, CA
New York, NY
Boston, MA
Seattle, WA
Chicago, IL
Dallas, TX
San Francisco, CA
Pittsburgh, PA
Manhattan Beach, CA</t>
  </si>
  <si>
    <t>$158100-$158100 /yr</t>
  </si>
  <si>
    <t>1. PhD in a relevant field
2. Experience in machine learning, simulation, optimization, or GenAI
3. Ability to lead or contribute to multi-disciplinary research initiatives
4. Collaboration skills with scientists, engineers, and business leaders
5. Experience in authoring research outputs and publishing in top journals
...</t>
  </si>
  <si>
    <t>https://jobright.ai/jobs/info/69979362e0bddb6acac6436e?utm_source=1100&amp;utm_campaign=Software Engineering</t>
  </si>
  <si>
    <t>United States - Illinois - Chicago</t>
  </si>
  <si>
    <t>$50,700-$101,300 /yr</t>
  </si>
  <si>
    <t>https://jobright.ai/jobs/info/6997581881476f6176af7d12?utm_source=1100&amp;utm_campaign=Software Engineering</t>
  </si>
  <si>
    <t>Remote_United States</t>
  </si>
  <si>
    <t>Fortrea</t>
  </si>
  <si>
    <t>Clinical Trials, Health Care</t>
  </si>
  <si>
    <t>1. Bachelor’s degree in Computer Science, Engineering, IT, or equivalent experience.
2. 0–2 years of experience in Quality Assurance or related technical fields.
3. Familiarity with tools such as Git, JIRA, Confluence, Xcode, Android Studio, Charles Proxy
4. Understanding of software engineering fundamentals, networking basics, and REST APIs.
5. Ability to prioritize across multiple projects and deadlines.
...</t>
  </si>
  <si>
    <t>https://jobright.ai/jobs/info/699759cc81476f6176af7da2?utm_source=1100&amp;utm_campaign=Software Engineering</t>
  </si>
  <si>
    <t>$70000-$75000 /yr</t>
  </si>
  <si>
    <t>1. An associate’s degree in information technology or a related field is required.
2. A minimum of one year of relevant experience working with a relational database and SQL, with a preference for Oracle experience.
3. A minimum of one year of frontend development making use of JavaScript, Python, CSS, and HTML is required.
4. Must have some exposure to common Internet protocols: HTTP, FTP, and SSH, etc.
5. Must have some exposure to Linux and Windows operating systems.
...</t>
  </si>
  <si>
    <t>Bioinformatics Assistant | Laboratory of Theoretical Condensed Matter Physics</t>
  </si>
  <si>
    <t>https://jobright.ai/jobs/info/697a67089d60e431a16be47d?utm_source=1100&amp;utm_campaign=Software Engineering</t>
  </si>
  <si>
    <t>The Rockefeller University</t>
  </si>
  <si>
    <t>$50K-$55K /yr</t>
  </si>
  <si>
    <t>Education</t>
  </si>
  <si>
    <t>1. Bachelor’s degree in Computational Biology, Computer Science, Bioinformatics, Biostatistics, Mathematics, or related field</t>
  </si>
  <si>
    <t>Associate Software Engineer, AI Engineering</t>
  </si>
  <si>
    <t>https://jobright.ai/jobs/info/6997f44281476f6176b04886?utm_source=1100&amp;utm_campaign=Software Engineering</t>
  </si>
  <si>
    <t>Multi Location
New York, New York, United States
Santa Monica, California, United States</t>
  </si>
  <si>
    <t>TWG Global</t>
  </si>
  <si>
    <t>$120000-$130000 /yr</t>
  </si>
  <si>
    <t>1. Demonstrated experience building real-world AI applications, including agent workflows, orchestration logic, and modern LLM frameworks (e.g., LangGraph, LangChain, or equivalent).
2. Strong proficiency in both React and Java, including state management and component architecture.
3. Solid understanding of database design, with experience in relational databases like PostgreSQL or MySQL.
4. Familiarity with distributed systems, microservices, and modern system design patterns.
5. Experience with cloud infrastructure (AWS, GCP, or Azure) and CI/CD pipelines.
...</t>
  </si>
  <si>
    <t>Junior Website Developer</t>
  </si>
  <si>
    <t>https://jobright.ai/jobs/info/69975831e0bddb6acac61786?utm_source=1100&amp;utm_campaign=Software Engineering</t>
  </si>
  <si>
    <t>West Chester, PA</t>
  </si>
  <si>
    <t>Padula Media | Digital Marketing</t>
  </si>
  <si>
    <t>$45K-$55K /yr</t>
  </si>
  <si>
    <t>Advertising, Digital Marketing</t>
  </si>
  <si>
    <t>1. At least one year of experience in a development role
2. Proven experience managing multiple websites at once
3. Strong understanding of website hosting and the process to maintain sites
4. Familiarity with WordPress, Elementor, and other major builders
5. Proactive mindset and passion for staying ahead of web trends
...</t>
  </si>
  <si>
    <t>Associate Software Engineer (AI Engineering)</t>
  </si>
  <si>
    <t>https://jobright.ai/jobs/info/6997694c81476f6176af881c?utm_source=1100&amp;utm_campaign=Software Engineering</t>
  </si>
  <si>
    <t>$120K-$130K /yr</t>
  </si>
  <si>
    <t>1. Demonstrated experience building real-world AI applications, including agent workflows, orchestration logic, and modern LLM frameworks (e.g., LangGraph, LangChain, or equivalent)
2. Strong proficiency in both React and Java, including state management and component architecture
3. Solid understanding of database design, with experience in relational databases like PostgreSQL or MySQL
4. Familiarity with distributed systems, microservices, and modern system design patterns
5. Experience with cloud infrastructure (AWS, GCP, or Azure) and CI/CD pipelines
...</t>
  </si>
  <si>
    <t>https://jobright.ai/jobs/info/6997493581476f6176af6dbc?utm_source=1100&amp;utm_campaign=Software Engineering</t>
  </si>
  <si>
    <t>Crum &amp; Forster</t>
  </si>
  <si>
    <t>Commercial Insurance, Health Care</t>
  </si>
  <si>
    <t>https://jobright.ai/jobs/info/69974aa4ce78e77b4fdbad8f?utm_source=1100&amp;utm_campaign=Software Engineering</t>
  </si>
  <si>
    <t>Sun West Mortgage Company, Inc.</t>
  </si>
  <si>
    <t>1. Strong proficiency in one or more of our core languages (Python, C++, Java, Node.js).
2. Experience building scalable systems or AI-driven applications.
3. Curiosity, creativity, and a desire to challenge legacy thinking.
4. Comfort with ambiguity and a passion for solving real-world problems.
5. Willing to learn, disciplined and passionate.</t>
  </si>
  <si>
    <t>https://jobright.ai/jobs/info/695fa523a112b402660e4525?utm_source=1100&amp;utm_campaign=Software Engineering</t>
  </si>
  <si>
    <t>Network Systems Administrator</t>
  </si>
  <si>
    <t>https://jobright.ai/jobs/info/69977a5081476f6176af9750?utm_source=1100&amp;utm_campaign=Software Engineering</t>
  </si>
  <si>
    <t>Fort Lupton,CO,US</t>
  </si>
  <si>
    <t>Golden Aluminum</t>
  </si>
  <si>
    <t>$27-$27+ /hr</t>
  </si>
  <si>
    <t>1. Associate’s degree in Information Technology, Computer Science or related field or equivalent hands-on experience.
2. Position supports manufacturing facility that operates 24/7/365 and must be willing to be responsive as needed for urgent issues.
3. Foundational knowledge of Windows operating systems (desktop and server)
4. Basic understanding of networking: TCP/IP, DNS, DHCP, VPN and wireless LAN (Wi-Fi)
5. Familiarity with Microsoft 365 apps (Teams, Outlook, OneDrive, Sharepoint)
...</t>
  </si>
  <si>
    <t>Software Engineer - Image Quantification and Artificial Intelligence (IQAI), Department of Radiology</t>
  </si>
  <si>
    <t>https://jobright.ai/jobs/info/699738eb81476f6176af50d5?utm_source=1100&amp;utm_campaign=Software Engineering</t>
  </si>
  <si>
    <t>Memphis, TN</t>
  </si>
  <si>
    <t>St. Jude Children's Research Hospital</t>
  </si>
  <si>
    <t>$78000-$139360 /yr</t>
  </si>
  <si>
    <t>Biotechnology, Charity</t>
  </si>
  <si>
    <t>1. Bachelor's degree in computer science, data science, information science, business, or related field required.
2. Minimum Requirement: Bachelor's degree with one 1+ years of relevant experience.
3. Experience with programming languages, databases, and software development lifecycle.
4. Proven experience in developing scientific or production-grade software that is used by others.
5. Proficiency in two or more programming languages (e.g., Python, C++, Java, Go, Rust) is highly preferred; expertise in Python is highly preferred for scientific computing.
...</t>
  </si>
  <si>
    <t>https://jobright.ai/jobs/info/69974a8ae0bddb6acac610a8?utm_source=1100&amp;utm_campaign=Software Engineering</t>
  </si>
  <si>
    <t>$78K-$139K /yr</t>
  </si>
  <si>
    <t>Production Engineer</t>
  </si>
  <si>
    <t>https://jobright.ai/jobs/info/69973bcfce78e77b4fdb8c62?utm_source=1100&amp;utm_campaign=Software Engineering</t>
  </si>
  <si>
    <t>Summit Securities Group</t>
  </si>
  <si>
    <t>$125K-$200K /yr</t>
  </si>
  <si>
    <t>1. 0–5 years of professional production engineering, site reliability engineering, system administration or related.
2. A Bachelor's or Master's degree in Computer Science, Engineering, or a related field.
3. Strong command of Python for backend development.
4. Comfortable with file/process management, system troubleshooting, debugging, configuration, networking.
5. Understands the value of treating infrastructure as code, treating servers as cattle, not pets.
...</t>
  </si>
  <si>
    <t>GPU Architecture Engineer - New College Grad 2025, GPU Architecture Engineer - New College Grad 2025</t>
  </si>
  <si>
    <t>https://jobright.ai/jobs/info/69968e72ce78e77b4fdaa7fb?utm_source=1100&amp;utm_campaign=Software Engineering</t>
  </si>
  <si>
    <t>Multi Location
Durham, NC
Santa Clara, CA
Austin, TX</t>
  </si>
  <si>
    <t>1. Pursuing or recently completed an MS or PhD (or equivalent experience) in CS, EE, math or related discipline.
2. Strong programming ability in C, C++, and Python.
3. Deep knowledge of computer architecture and parallel programming.</t>
  </si>
  <si>
    <t>Analyst - Cyber Security Compliance</t>
  </si>
  <si>
    <t>https://jobright.ai/jobs/info/697b053317b11b1c2e41fd81?utm_source=1100&amp;utm_campaign=Software Engineering</t>
  </si>
  <si>
    <t>Live Nation Entertainment</t>
  </si>
  <si>
    <t>$67K-$84K /yr</t>
  </si>
  <si>
    <t>Concerts, Event Promotion</t>
  </si>
  <si>
    <t>1. A strong working knowledge of the PCI DSS requirements and accurate reporting
2. 1-3 years of experience in PCI compliance programs as a PCI SSC ISA
3. General knowledge of IT environments, including but not limited to scope reduction, network devices, technical implementation, and asset management
4. Experience in cyber security/compliance/IT assessment projects and processes
5. Experience facing technical and security challenges that are difficult and sometimes complex
...</t>
  </si>
  <si>
    <t>https://jobright.ai/jobs/info/697a9be4f6fc293b0a2c83e4?utm_source=1100&amp;utm_campaign=Software Engineering</t>
  </si>
  <si>
    <t>$164K-$246K /yr</t>
  </si>
  <si>
    <t>1. Master’s degree in Computer Science or related field or equivalent
2. one (1) year of experience in the technology industry developing immersive interactive experiences using real-time 3D engines and spatial frameworks
3. building interactive prototypes involving real-time rendering and non-standard input/output systems
4. writing briefs and presenting on various concepts and technologies in Figma and PowerPoint
5. testing and evaluating prototype experiences using Javascript and web-based 3D libraries
...</t>
  </si>
  <si>
    <t>Texas, United States</t>
  </si>
  <si>
    <t>$93K-$129K /yr</t>
  </si>
  <si>
    <t>Advice, Consulting</t>
  </si>
  <si>
    <t>1. Bachelor’s degree in computer science/technology field and/or advanced technical training preferred.
2. One to three years’ experience, legal industry experience is a plus.
3. Thorough knowledge of web-application programming utilizing a Microsoft development stack, as well as, other programming knowledge and other functional skills.
4. Knowledge of programming languages including: Visual C#, Visual Basic, Java/Java Script, Structured Query Language (SQL).
5. Experience with Microsoft Power Platform, SSMS, SSRS, ETL tools (Alteryx or SSIS), and Boomi.
...</t>
  </si>
  <si>
    <t>Camera Software Tuning Engineer</t>
  </si>
  <si>
    <t>https://jobright.ai/jobs/info/697a2193a8de441ca7354958?utm_source=1100&amp;utm_campaign=Software Engineering</t>
  </si>
  <si>
    <t>$116,900-$175,300 /yr</t>
  </si>
  <si>
    <t>1. Bachelor's degree in Computer Science, Electrical Engineering, Electronic Engineering, or related field and 2+ years of Software Engineering or related work experience.
2. Master's degree in Computer Science, Electrical Engineering, Electronic Engineering, or related field and 1+ year of Software Engineering or related work experience.
3. PhD in Computer Science, Electrical Engineering, Electronic Engineering, or related field.
4. 1+ years of experience in ISP algorithms and designs, including AE, AWB, and AF.
5. 1+ years of experience in image‑quality evaluation tools (e.g., Imatest) and tuning equipment (e.g., light booths).
...</t>
  </si>
  <si>
    <t>Software Engineer I, Builder Frameworks</t>
  </si>
  <si>
    <t>https://jobright.ai/jobs/info/695ec3dd08ab990f282a0e54?utm_source=1100&amp;utm_campaign=Software Engineering</t>
  </si>
  <si>
    <t>$99500-$185000 /yr</t>
  </si>
  <si>
    <t>1. Familiarity with the AWS ecosystem
2. 1+ years of experience writing quality software in Go or Typescript
3. Understanding of deployment tools and the software that makes software work
4. A desire to constantly make things better</t>
  </si>
  <si>
    <t>Security Operations Center (SOC) Analyst, Hawaii</t>
  </si>
  <si>
    <t>https://jobright.ai/jobs/info/699678b1ce78e77b4fda87b1?utm_source=1100&amp;utm_campaign=Software Engineering</t>
  </si>
  <si>
    <t>Hawaii, United States</t>
  </si>
  <si>
    <t>Compiler Engineer, Compute Front-End - New College Grad 2026, Compiler Engineer, Compute Front-End - New College Grad 2026</t>
  </si>
  <si>
    <t>https://jobright.ai/jobs/info/6996891481476f6176ae65b4?utm_source=1100&amp;utm_campaign=Software Engineering</t>
  </si>
  <si>
    <t>Multi Location
Austin, TX
Redmond, WA</t>
  </si>
  <si>
    <t>Data Management Developer</t>
  </si>
  <si>
    <t>https://jobright.ai/jobs/info/698e4c9d0f6f7e7a2cea5465?utm_source=1100&amp;utm_campaign=Software Engineering</t>
  </si>
  <si>
    <t>DaVita Kidney Care</t>
  </si>
  <si>
    <t>$58K-$85K /yr</t>
  </si>
  <si>
    <t>Health Care, Hospital</t>
  </si>
  <si>
    <t>1. Beginner to intermediate knowledge of SQL required
2. Bachelor’s degree
3. Desire to learn best practices for data infrastructure organization
4. Intermediate proficiency in MS Excel, PowerPoint, MS Word and Outlook
5. Advanced critical thinking, strong work ethic, creative mindset, adept communication skills, attention to detail, comfort with ambiguity, efficient time management, technical aptitude, and business acumen
...</t>
  </si>
  <si>
    <t>https://jobright.ai/jobs/info/69418cfa50bbaf765053601d?utm_source=1100&amp;utm_campaign=Software Engineering</t>
  </si>
  <si>
    <t>Multi Location
Portland, OR
Baltimore, MD
San Diego, CA
Pittsburgh, PA
St Louis, MO
Philadelphia, PA
Dallas, TX
Austin, TX
Miami, FL
Sioux Falls, SD
Richmond, VA
Charlotte, NC
Denver, CO
Houston, TX
Las Vegas, NV
Palo Alto, CA
Cleveland, OH
Washington, DC
Seattle, WA
Atlanta, GA
Minneapolis, MN
Madison, WI
San Francisco, CA
Salt Lake City, UT
Phoenix, AZ
Los Angeles, CA
Boulder, CO
Raleigh, NC
Boise, ID
New York, NY
Detroit, MI
San Jose, CA
Boston, MA
Chicago, IL
Nashville, TN
Remote US</t>
  </si>
  <si>
    <t>https://jobright.ai/jobs/info/697a79dbf6fc293b0a2c4bd3?utm_source=1100&amp;utm_campaign=Software Engineering</t>
  </si>
  <si>
    <t>Multi Location
San Francisco, CA
United States
New York, NY</t>
  </si>
  <si>
    <t>Valon</t>
  </si>
  <si>
    <t>$140K-$200K /yr</t>
  </si>
  <si>
    <t>1. Bachelor’s degree in Computer Science or related field.
2. Requires 1 year of software engineering experience building quality software applications at scale, including ability to work cross-functionally to balance product and technical requirements, building scalable systems from scratch with a fast turnaround.
3. Experience with one of the following: web application development, mobile application development, building large-scale distributed systems, or infrastructure management.
4. Must have legal authority to work in the U.S.</t>
  </si>
  <si>
    <t>https://jobright.ai/jobs/info/6996dc46ce78e77b4fdb0f77?utm_source=1100&amp;utm_campaign=Software Engineering</t>
  </si>
  <si>
    <t>Fairless Hills, PA</t>
  </si>
  <si>
    <t>1. 1+ years of professional experience in practice area
2. Bachelor’s or Master’s degree in CS, Engineering, bootcamp or equivalent practical experience required</t>
  </si>
  <si>
    <t>Applied Scientist I, Customer Experience and Business Trends</t>
  </si>
  <si>
    <t>https://jobright.ai/jobs/info/6996e05ce0bddb6acac579b1?utm_source=1100&amp;utm_campaign=Software Engineering</t>
  </si>
  <si>
    <t>Multi Location
Seattle, WA
Arlington, VA</t>
  </si>
  <si>
    <t>$136K-$184K /yr</t>
  </si>
  <si>
    <t>1. 1+ years of building models for business application experience
2. Experience with any programming language such as Python, Java, C++
3. Experience in any of the following areas: algorithms and data structures, parsing, numerical optimization, data mining, parallel and distributed computing, high-performance computing
4. Experience with Machine Learning and Large Language Model fundamentals, including architecture, training/inference lifecycles, and optimization of model execution, or experience in developing and deploying LLMs in production on GPUs, Neuron, TPU or other AI acceleration hardware
5. PhD, or Master's degree and 4+ years of CS, CE, ML or related field experience</t>
  </si>
  <si>
    <t>Artificial Intelligence (AI), FinTech</t>
  </si>
  <si>
    <t>1. 1-4 years software engineering experience
2. Experience with LLM applications, agent pipelines, or AI systems in production
3. Proficiency in Python, TypeScript, or similar
4. Ability to work across the stack
5. Based in San Francisco or willing to relocate</t>
  </si>
  <si>
    <t>https://jobright.ai/jobs/info/697b1ea41136d179eeee82c3?utm_source=1100&amp;utm_campaign=Software Engineering</t>
  </si>
  <si>
    <t>Nashville, TN</t>
  </si>
  <si>
    <t>HealthStream</t>
  </si>
  <si>
    <t>E-Learning, Enterprise Software</t>
  </si>
  <si>
    <t>1. A Bachelor's degree in Computer Science, Engineering (any discipline), or closely related field of study is preferred.
2. At least 1 years of experience in the job offered or as a Developer, Consultant, Software Engineer, or closely related occupation.
3. At least 1 year of experience/knowledge with each of the following: full stack web development, API development, c#, asp.net, angular, sql serve, and git.
4. Demonstrated knowledge of DevOps best practices including CI/CD and automation and associated development.
5. Demonstrated knowledge of cloud technologies and monitoring platforms preferred.
...</t>
  </si>
  <si>
    <t>https://jobright.ai/jobs/info/6996d945ce78e77b4fdb0dc8?utm_source=1100&amp;utm_campaign=Software Engineering</t>
  </si>
  <si>
    <t>Multi Location
Bellevue, WA
Nashville, TN
Austin, TX</t>
  </si>
  <si>
    <t>$96K-$160K /yr</t>
  </si>
  <si>
    <t>Consultant</t>
  </si>
  <si>
    <t>https://jobright.ai/jobs/info/69853eba8da7a612045fae84?utm_source=1100&amp;utm_campaign=Software Engineering</t>
  </si>
  <si>
    <t>Multi Location
Nashville, TN
Pittsburgh, PA</t>
  </si>
  <si>
    <t>Deloitte</t>
  </si>
  <si>
    <t>$89K-$161K /yr</t>
  </si>
  <si>
    <t>Accounting, Consulting</t>
  </si>
  <si>
    <t>1. Bachelor's degree in computer science, software engineering, information technology or a related field.
2. 1+ years of hands-on experience with the Boomi platform and related integration products.
3. Previous experience working in a consulting firm environment or within a relevant industry sector (e.g. retail, healthcare, manufacturing, financial services, etc.).
4. 1+ years' experience working on other integration platforms such as MuleSoft, IBM Websphere processor, TIBCO business works, Workato, Google Apigee, Azure Logic Apps.
5. Strong understanding of enterprise integration design patterns, API protocols (REST/SOAP), XML, JSON, and data mapping.
...</t>
  </si>
  <si>
    <t>ERP System Analyst</t>
  </si>
  <si>
    <t>https://jobright.ai/jobs/info/69997791e0bddb6acac8b6b3?utm_source=1100&amp;utm_campaign=Software Engineering</t>
  </si>
  <si>
    <t>Englewood, CO</t>
  </si>
  <si>
    <t>Mears Group PLC</t>
  </si>
  <si>
    <t>$60K-$80K /yr</t>
  </si>
  <si>
    <t>Communities, Real Estate</t>
  </si>
  <si>
    <t>1. Degree in Information Technology, Computer Science, Business Administration, or a related field.
2. Strong analytical and problem-solving skills.
3. Excellent communication and interpersonal skills.
4. Ability to work independently and within a team environment.
5. Basic understanding of ERP systems and business process workflows; experience with Spectrum is a plus.
...</t>
  </si>
  <si>
    <t>Entry-Level Python Engineer [32901]</t>
  </si>
  <si>
    <t>https://jobright.ai/jobs/info/69994b7681476f6176b1ea57?utm_source=1100&amp;utm_campaign=Software Engineering</t>
  </si>
  <si>
    <t>Multi Location
San Diego, CA
San Francisco Bay Area
Houston, TX
Los Angeles, CA
Atlanta, GA
Seattle, WA
San Jose, CA
Miami, FL
Boston, MA
NYC Metro Area</t>
  </si>
  <si>
    <t>Software Engineering AMTS/MTS (College Grad)</t>
  </si>
  <si>
    <t>https://jobright.ai/jobs/info/699955ede0bddb6acac880cd?utm_source=1100&amp;utm_campaign=Software Engineering</t>
  </si>
  <si>
    <t>Multi Location
Bellevue, WA
Seattle, WA
Palo Alto, CA
San Francisco, CA</t>
  </si>
  <si>
    <t>Salesforce</t>
  </si>
  <si>
    <t>$110K-$163K /yr</t>
  </si>
  <si>
    <t>Agentic AI, Artificial Intelligence (AI)</t>
  </si>
  <si>
    <t>1. Strong background in Computer Science or a related engineering discipline.
2. Must be located in North America
3. Academic, professional or internship experience working in a professional coding setting environment
4. Fluency in object-oriented programming/design
5. Academic, professional or internship experience in one of Java, Python, Javascript, HTML, SQL or C++</t>
  </si>
  <si>
    <t>AI Analyst I</t>
  </si>
  <si>
    <t>https://jobright.ai/jobs/info/6999258f81476f6176b1a9c1?utm_source=1100&amp;utm_campaign=Software Engineering</t>
  </si>
  <si>
    <t>Escondido, CA</t>
  </si>
  <si>
    <t>Baker Electric</t>
  </si>
  <si>
    <t>Building Material, Real Estate</t>
  </si>
  <si>
    <t>1. Experience with AI tools such as Microsoft Copilot, ChatGPT, or similar platforms.
2. Experience with Microsoft 365 applications, including Excel, Power BI, SharePoint, and Teams.
3. Basic understanding of UI/UX principles to help ensure AI tools are intuitive and easy to use.
4. Bachelor’s degree in information systems, business administration, operations management, engineering, or equivalent practical experience.
5. 1–3 years’ experience working with AI tools, workflow automation, business analysis, or UX/UI-focused roles.
...</t>
  </si>
  <si>
    <t>https://jobright.ai/jobs/info/69992627ce78e77b4fddd5a4?utm_source=1100&amp;utm_campaign=Software Engineering</t>
  </si>
  <si>
    <t>Ascension</t>
  </si>
  <si>
    <t>Charity, Health Care</t>
  </si>
  <si>
    <t>1. High school diploma/GED with 2 years of experience, or Associate's degree, or Bachelor's degree required.
2. 1 year of experience required.
3. Core Backend: Java, Spring Boot
4. Databases: MongoDB or other NoSQL database systems
5. DevOps: GitHub, Jenkins, and modern CI/CD practices
...</t>
  </si>
  <si>
    <t>https://jobright.ai/jobs/info/69992a2a81476f6176b1b27d?utm_source=1100&amp;utm_campaign=Software Engineering</t>
  </si>
  <si>
    <t>Hover</t>
  </si>
  <si>
    <t>$119K-$172K /yr</t>
  </si>
  <si>
    <t>3D Technology, Computer Vision</t>
  </si>
  <si>
    <t>1. Bachelor’s degree in CS or related field (or equivalent practical experience)
2. Strong programming fundamentals (data structures, debugging, writing maintainable code)
3. Experience building software in at least one modern language and comfort learning new stacks (particularly Javascript or Typescript)
4. Familiarity with web development concepts (APIs, databases, client/server architecture, testing)
5. Clear communicator who follows through and surfaces blockers early. You ask good questions, raise risks early, and help drive toward shared understanding.</t>
  </si>
  <si>
    <t>Full Stack Developer [32897]</t>
  </si>
  <si>
    <t>https://jobright.ai/jobs/info/69994576ce78e77b4fde089a?utm_source=1100&amp;utm_campaign=Software Engineering</t>
  </si>
  <si>
    <t>Multi Location
NYC Metro Area
San Francisco Bay Area
San Francisco, CA
San Jose, CA</t>
  </si>
  <si>
    <t>1. Proficiency in Python.
2. Experience with front-end technologies (HTML, CSS, JavaScript, React or Angular).
3. Strong understanding of database systems (both SQL and NoSQL).
4. Familiarity with RESTful API design and implementation.
5. Knowledge of version control systems, preferably Git.
...</t>
  </si>
  <si>
    <t>Software QA Engineer I</t>
  </si>
  <si>
    <t>https://jobright.ai/jobs/info/6999284ece78e77b4fddd96c?utm_source=1100&amp;utm_campaign=Software Engineering</t>
  </si>
  <si>
    <t>Silicon Labs</t>
  </si>
  <si>
    <t>$79K-$146K /yr</t>
  </si>
  <si>
    <t>Hardware, Internet of Things</t>
  </si>
  <si>
    <t>1. Bachelor’s degree in Computer Engineering, Computer Science, Electrical Engineering, or a related field.
2. Strong proficiency in Python programming.
3. Experience working in Linux environments for development, scripting, and debugging.
4. Basic understanding of networking and wireless technologies (e.g., Wi-Fi or similar).
5. Familiarity with QA methodologies, automated testing frameworks, and version control systems.
...</t>
  </si>
  <si>
    <t>https://jobright.ai/jobs/info/69992d53ce78e77b4fdde2cf?utm_source=1100&amp;utm_campaign=Software Engineering</t>
  </si>
  <si>
    <t>$139K-$172K /yr</t>
  </si>
  <si>
    <t>1. 1-3 years of experience in a software development role; preferably in a fast paced, technology environment.
2. Strong software engineering skills in one or more modern languages (e.g., Ruby, JavaScript/TypeScript, Python, or C++) and an eagerness to learn new technologies as needed.
3. Comfort driving forward on ambiguous technical problems and driving them from concept to delivery.
4. Clear, concise technical documentation and communication skills that enable alignment across engineering, product, and operations teams.</t>
  </si>
  <si>
    <t>Software Development Engineer, iOS</t>
  </si>
  <si>
    <t>https://jobright.ai/jobs/info/69992decce78e77b4fdde39f?utm_source=1100&amp;utm_campaign=Software Engineering</t>
  </si>
  <si>
    <t>Audible</t>
  </si>
  <si>
    <t>$122K-$181K /yr</t>
  </si>
  <si>
    <t>Audio, Audiobooks</t>
  </si>
  <si>
    <t>1. Bachelor's degree in Computer Science or a related field
2. 1+ years of software development experience
3. Experience in documentation, unit testing, code reviews, test automation, continuous integration &amp; deployment</t>
  </si>
  <si>
    <t>https://jobright.ai/jobs/info/699940a1ce78e77b4fddfff0?utm_source=1100&amp;utm_campaign=Software Engineering</t>
  </si>
  <si>
    <t>Multi Location
Seattle, WA
Chicago, IL
Los Angeles, CA
Austin, TX
Boston, MA
NYC Metro Area</t>
  </si>
  <si>
    <t>$300K-$300K /yr</t>
  </si>
  <si>
    <t>https://jobright.ai/jobs/info/69992bffce78e77b4fdde107?utm_source=1100&amp;utm_campaign=Software Engineering</t>
  </si>
  <si>
    <t>Whippany, NJ</t>
  </si>
  <si>
    <t>MetLife</t>
  </si>
  <si>
    <t>$64K-$76K /yr</t>
  </si>
  <si>
    <t>Asset Management, Financial Services</t>
  </si>
  <si>
    <t>1. A bachelor's degree in Computer Science, Information Systems, Engineering, or a closely related discipline must be conferred prior to start date.
2. Internship or academic project experience in software development or AI/ML.
3. Demonstrated ability to quickly learn and apply new skills to deliver high quality software as evidenced by academic or project experience.
4. Proficiency in at least one programming language (e.g., Java, Python, C#, JavaScript/TypeScript, COBOL, etc.).
5. Basic understanding of software design principles and coding best practices.
...</t>
  </si>
  <si>
    <t>Ent Network Engineer II</t>
  </si>
  <si>
    <t>https://jobright.ai/jobs/info/6994fc86e0bddb6acac38272?utm_source=1100&amp;utm_campaign=Software Engineering</t>
  </si>
  <si>
    <t>Texas Tech University Health Sciences Center</t>
  </si>
  <si>
    <t>$5200-$6066.67 /mon</t>
  </si>
  <si>
    <t>1. Bachelor's degree with coursework in computer science, MIS, IT, or other related area plus one (1) year related full-time paid experience OR a combination of related education and/or experience to equal five (5) years.
2. Applicants for this position will be subject to a criminal background check after a conditional offer of employment has been extended, but before employment can be confirmed.
3. In accordance with Texas Executive Order GA-48 and applicable state or federal law, this position may involve access to, work on, or conduct research involving critical infrastructure. It will require background checks, including, but not limited to, criminal history and other security-related screenings. Employment is contingent upon the successful completion of these checks.</t>
  </si>
  <si>
    <t>https://jobright.ai/jobs/info/699945ebe0bddb6acac863af?utm_source=1100&amp;utm_campaign=Software Engineering</t>
  </si>
  <si>
    <t>Pleasanton, CA</t>
  </si>
  <si>
    <t>$61K-$123K /yr</t>
  </si>
  <si>
    <t>1. Bachelors Degree in Computer Science, Information Technology or other relevant field
2. At least 1-3 years of recent experience in Software Engineering, Data Engineering or Big Data
3. Ability to work effectively within a team in a fast-paced changing environment
4. Knowledge of or direct experience with Databricks and/or Spark
5. Software development experience, ideally in Python, PySpark, Kafka or Go, and a willingness to learn new software development languages to meet goals and objectives
...</t>
  </si>
  <si>
    <t>Quality &amp; Support Engineer</t>
  </si>
  <si>
    <t>https://jobright.ai/jobs/info/69994bd6ce78e77b4fde1284?utm_source=1100&amp;utm_campaign=Software Engineering</t>
  </si>
  <si>
    <t>Stanford, CA</t>
  </si>
  <si>
    <t>Stanford University</t>
  </si>
  <si>
    <t>$33-$38 /hr</t>
  </si>
  <si>
    <t>Education, Higher Education</t>
  </si>
  <si>
    <t>1. Bachelor's degree and experience testing or supporting web applications or a combination of education and relevant experience.
2. Strong written communication skills and attention to detail
3. Comfort following structured checklists and procedures
4. Technical fluency with web applications and browsers
5. Familiarity with modern web applications and how frontend and backend systems interact
...</t>
  </si>
  <si>
    <t>https://jobright.ai/jobs/info/699943eace78e77b4fde053d?utm_source=1100&amp;utm_campaign=Software Engineering</t>
  </si>
  <si>
    <t>Multi Location
Denver, CO
San Francisco Bay Area
Austin, Texas Metropolitan Area
Chicago, IL</t>
  </si>
  <si>
    <t>https://jobright.ai/jobs/info/6972c18a9b83b424830ec8e7?utm_source=1100&amp;utm_campaign=Software Engineering</t>
  </si>
  <si>
    <t>Charlotte, NC</t>
  </si>
  <si>
    <t>Ally</t>
  </si>
  <si>
    <t>$65K-$115K /yr</t>
  </si>
  <si>
    <t>Automotive, Finance</t>
  </si>
  <si>
    <t>1. Bachelor’s degree in Information Technology, Computer Science, or related field (or equivalent experience).
2. 1 - 3 years of hands-on ServiceNow development experience (e.g., ITSM, HRSD, SecOps, or custom applications).
3. Strong understanding of ServiceNow data models, flow designer, and configuration options.
4. Proficiency in JavaScript, HTML, CSS, and ServiceNow’s scripting APIs.
5. Ability to create detailed technical documentation, solution designs, and test scripts.
...</t>
  </si>
  <si>
    <t>Network Security Engineer I</t>
  </si>
  <si>
    <t>https://jobright.ai/jobs/info/6999361cce78e77b4fddf0ab?utm_source=1100&amp;utm_campaign=Software Engineering</t>
  </si>
  <si>
    <t>Ryder System, Inc.</t>
  </si>
  <si>
    <t>Fleet Management, Logistics</t>
  </si>
  <si>
    <t>1. Bachelor's degree required in Computer Science, Information Security, or related field and/or equivalent work experience
2. One (1) year or more experience working directly in Information Security, Identity &amp; Access Management, especially in an engineering role.
3. Solid coding and scripting required. Java, C, C++, Python, Powershell intermediate required.
4. Security technologies including encryption, data protection, access privileges intermediate required.
5. Practical experience with database security, content filtering, vulnerability scanning, and anti-malware intermediate required.
...</t>
  </si>
  <si>
    <t>AI Enablement &amp; Automation Analyst</t>
  </si>
  <si>
    <t>https://jobright.ai/jobs/info/699963ab81476f6176b21464?utm_source=1100&amp;utm_campaign=Software Engineering</t>
  </si>
  <si>
    <t>Golden, CO</t>
  </si>
  <si>
    <t>CoorsTek, Inc.</t>
  </si>
  <si>
    <t>$82143-$108429 /yr</t>
  </si>
  <si>
    <t>Electronics, Health Care</t>
  </si>
  <si>
    <t>1. Strong interpersonal and communication skills with the ability to build trust across diverse teams.
2. Hands-on experience using Generative AI tools (e.g., ChatGPT, Gemini, Claude) in a professional context.
3. Demonstrated ability to coach or support users with varying levels of technical proficiency.
4. Applied understanding of AI capabilities, limitations, and responsible-use considerations.
5. Experience with basic scripting or automation (Python or JavaScript preferred).
...</t>
  </si>
  <si>
    <t>AI Developer Technology Engineer, Financial Sector - New College Grad 2026</t>
  </si>
  <si>
    <t>https://jobright.ai/jobs/info/69994c91ce78e77b4fde1498?utm_source=1100&amp;utm_campaign=Software Engineering</t>
  </si>
  <si>
    <t>1. Pursuing or recently completed a BS, MS or PhD in Computer Science, Computer Engineering, or related field (or equivalent experience).
2. Relevant work or research experience.
3. Experience improving the performance of large computational applications used by financial institutions.
4. Understanding of linear algebra.
5. Programming fluency in C/C++ with a deep understanding of algorithms and software design.
...</t>
  </si>
  <si>
    <t>Security Operator - On-site Quincy, MA</t>
  </si>
  <si>
    <t>https://jobright.ai/jobs/info/69990f36ce78e77b4fddaafd?utm_source=1100&amp;utm_campaign=Software Engineering</t>
  </si>
  <si>
    <t>Quincy, MA</t>
  </si>
  <si>
    <t>$45K-$71K /yr</t>
  </si>
  <si>
    <t>1. H.S. Diploma or equivalent work experience: - Required.
2. 1+ Years Prior security experience. - Required.
3. Possess effective written and oral communication and interpersonal skills with ability to deal with all levels of personnel and the general public in a professional and effective manner.
4. Ability to use initiative and independent judgment within established guidelines.
5. Ability to frequently prepare written reports and logs in neat, legible handwriting; may require computer skills.
...</t>
  </si>
  <si>
    <t>Data Engineer I, UTR PLanning Tech</t>
  </si>
  <si>
    <t>https://jobright.ai/jobs/info/69997a70e0bddb6acac8bd1e?utm_source=1100&amp;utm_campaign=Software Engineering</t>
  </si>
  <si>
    <t>$96,200-$160,000 /yr</t>
  </si>
  <si>
    <t>Jr. Software Development Engineer - Sunnyvale, CA, Jr. Developer Program</t>
  </si>
  <si>
    <t>https://jobright.ai/jobs/info/6999409fe0bddb6acac859c1?utm_source=1100&amp;utm_campaign=Software Engineering</t>
  </si>
  <si>
    <t>Multi Location
Sunnyvale, CA
Sunnyvale, California, USA</t>
  </si>
  <si>
    <t>$19-$75 /hr</t>
  </si>
  <si>
    <t>1. Currently enrolled in an accredited college or university Bachelor's or Master's degree program.
2. Graduating June 2028 and beyond.
3. Majoring in Computer Science, Software Engineering, or related STEM field.
4. Ability to work year-round until graduation (part-time during the school year and full-time during the summer).
5. Able to start work in June 2026.
...</t>
  </si>
  <si>
    <t>https://jobright.ai/jobs/info/699911c481476f6176b186a3?utm_source=1100&amp;utm_campaign=Software Engineering</t>
  </si>
  <si>
    <t>Multi Location
Washington - Bellevue
Washington - Seattle
California - Palo Alto
California - San Francisco</t>
  </si>
  <si>
    <t>$110,000-$153,000 /yr</t>
  </si>
  <si>
    <t>Backend Developer [32892]</t>
  </si>
  <si>
    <t>https://jobright.ai/jobs/info/699903b9e0bddb6acac7f966?utm_source=1100&amp;utm_campaign=Software Engineering</t>
  </si>
  <si>
    <t>Multi Location
Atlanta, GA
Seattle, WA
Denver, CO
Phoenix, OR
Washington, DC
Boston, MA
Houston, TX
San Francisco, CA
Miami, FL
Los Angeles County, CA
San Diego, CA
Dallas, TX
Chicago, IL
Austin, TX
NYC Metro Area</t>
  </si>
  <si>
    <t>1. Proficiency with Python.
2. Knowledge of database management (SQL, NoSQL).
3. Familiarity with version control tools like Git.
4. Understanding of security and data protection measures.
5. Strong problem-solving skills and attention to detail.
...</t>
  </si>
  <si>
    <t>Mobile Application Developer</t>
  </si>
  <si>
    <t>https://jobright.ai/jobs/info/6998f59de0bddb6acac7e462?utm_source=1100&amp;utm_campaign=Software Engineering</t>
  </si>
  <si>
    <t>Plano, TX</t>
  </si>
  <si>
    <t>TechStar Group</t>
  </si>
  <si>
    <t>$65-$65 /hr</t>
  </si>
  <si>
    <t>Cloud Management, Cyber Security</t>
  </si>
  <si>
    <t>1. Role: Mobile Application Developer (IOS or Android)
2. Face 2 Face interview is a must
3. Please send your Resume to swamy@techstargroup.com with LinkedIn, Visa Status and location to avoid rejection.
4. Rate $65/Hr on my W2 with no other benefits.
5. Can do H1 transfer (Referral will be paid if anyone can refer a candidate)</t>
  </si>
  <si>
    <t>https://jobright.ai/jobs/info/6998f57a81476f6176b1614d?utm_source=1100&amp;utm_campaign=Software Engineering</t>
  </si>
  <si>
    <t>Multi Location
United States - California - Remote
United States - California - Alameda
United States of America : Remote</t>
  </si>
  <si>
    <t>https://jobright.ai/jobs/info/69991034ce78e77b4fddabeb?utm_source=1100&amp;utm_campaign=Software Engineering</t>
  </si>
  <si>
    <t>DebtBook</t>
  </si>
  <si>
    <t>Debt Collections, Financial Services</t>
  </si>
  <si>
    <t>1. Experience with Ruby or React
2. Some familiarity with front-end and back-end web development
3. Ability to communicate complicated technical concepts well with teammates in all functions, including non-technical roles</t>
  </si>
  <si>
    <t>https://jobright.ai/jobs/info/69996e16ce78e77b4fde51ce?utm_source=1100&amp;utm_campaign=Software Engineering</t>
  </si>
  <si>
    <t>US, NY, New York</t>
  </si>
  <si>
    <t>https://jobright.ai/jobs/info/6998f76fe0bddb6acac7e73b?utm_source=1100&amp;utm_campaign=Software Engineering</t>
  </si>
  <si>
    <t>United States (Remote)</t>
  </si>
  <si>
    <t>Grant Street Group</t>
  </si>
  <si>
    <t>$80000-$180000 /yr</t>
  </si>
  <si>
    <t>Computer, Software</t>
  </si>
  <si>
    <t>1. Strong SQL, including data modeling concepts and ETL best practices
2. Solid programming skills in Python or Go, and willingness to learn other languages as needed (Groovy, Perl)
3. Experience with cloud‑based data engineering (AWS, GCP)
4. Experience with tools for large‑scale data migration (Databricks)
5. TechOps skills that help you support analytics tools, patch and update platforms, and troubleshoot system issues or failures
...</t>
  </si>
  <si>
    <t>Integration Architect</t>
  </si>
  <si>
    <t>https://jobright.ai/jobs/info/6999205be0bddb6acac82213?utm_source=1100&amp;utm_campaign=Software Engineering</t>
  </si>
  <si>
    <t>Detroit, MI</t>
  </si>
  <si>
    <t>Akkodis Group Nordics</t>
  </si>
  <si>
    <t>$92-$107 /hr</t>
  </si>
  <si>
    <t>Embedded Systems, Software</t>
  </si>
  <si>
    <t>1. Bachelor’s degree in computer science, information technology, or a related technical field.
2. 1–3 years of hands‑on experience working with IBM ACE and IBM MQ.
3. Must demonstrate the ability to build and unit‑test integration solutions leveraging IBM ACE and IBM MQ.
4. Candidate must support defect triage, troubleshooting, and deployment validation activities within integration environments.</t>
  </si>
  <si>
    <t>https://jobright.ai/jobs/info/69991461ce78e77b4fddb370?utm_source=1100&amp;utm_campaign=Software Engineering</t>
  </si>
  <si>
    <t>$130K-$250K /yr</t>
  </si>
  <si>
    <t>Python Developer [32888]</t>
  </si>
  <si>
    <t>https://jobright.ai/jobs/info/6998ee8381476f6176b15688?utm_source=1100&amp;utm_campaign=Software Engineering</t>
  </si>
  <si>
    <t>Multi Location
Phoenix, OR
Boston, MA
Washington, DC
Dallas, TX
Miami, FL
Houston, TX
Atlanta, GA
Denver, CO
Chicago, IL
San Diego, CA
Los Angeles, CA
Austin, TX
Seattle, WA
NYC Metro Area</t>
  </si>
  <si>
    <t>1. 0–4 years of professional experience with Python
2. Strong understanding of data structures and algorithms
3. Experience with at least one Python framework (Django, Flask, FastAPI)
4. Familiarity with SQL and relational databases
5. Basic understanding of Git and version control workflows
...</t>
  </si>
  <si>
    <t>Graphics Software QA Tester (Entry Level)</t>
  </si>
  <si>
    <t>https://jobright.ai/jobs/info/69990a8281476f6176b17fb9?utm_source=1100&amp;utm_campaign=Software Engineering</t>
  </si>
  <si>
    <t>TGI Sport</t>
  </si>
  <si>
    <t>Broadcasting, Event Management</t>
  </si>
  <si>
    <t>1. Bachelor's degree in Computer Science, Information Technology, or related field (or equivalent experience)
2. Strong attention to detail and analytical thinking skills
3. Excellent written and verbal communication skills
4. Basic understanding of software development lifecycle (SDLC)
5. Ability to work both independently and as part of a team
...</t>
  </si>
  <si>
    <t>Software QA Engineer 1</t>
  </si>
  <si>
    <t>https://jobright.ai/jobs/info/69991b6bce78e77b4fddc086?utm_source=1100&amp;utm_campaign=Software Engineering</t>
  </si>
  <si>
    <t>Remote Oregon</t>
  </si>
  <si>
    <t>Dexcom</t>
  </si>
  <si>
    <t>$61,900-$103,100 /yr</t>
  </si>
  <si>
    <t>Diabetes, Health Diagnostics</t>
  </si>
  <si>
    <t>1. Strong understanding of, and ability to provide guidance on IEC 62304, 21 CFR 820, and other relevant regulations worldwide
2. Medical Device experience in compliance with the requirements of FDA 21 CFR Part 820, IEC 62304, ISO 13485
3. Knowledge and experience with SDLC processes along with software development methodologies such as Agile Software Development, Waterfall Model, etc.
4. Software Quality or Engineering experience in Requirements Analysis, Design/Development, Product Integration and Test
5. Ability to interpret software design and code to verify implementation of requirements
...</t>
  </si>
  <si>
    <t>https://jobright.ai/jobs/info/6999032b81476f6176b177b4?utm_source=1100&amp;utm_campaign=Software Engineering</t>
  </si>
  <si>
    <t>san_francisco</t>
  </si>
  <si>
    <t>$139,000-$172,000 /yr</t>
  </si>
  <si>
    <t>Firmware/ Embedded Systems Engineer</t>
  </si>
  <si>
    <t>https://jobright.ai/jobs/info/6999166381476f6176b18f39?utm_source=1100&amp;utm_campaign=Software Engineering</t>
  </si>
  <si>
    <t>Skild AI</t>
  </si>
  <si>
    <t>$100K-$300K /yr</t>
  </si>
  <si>
    <t>1. Develop and optimize firmware for BLDC motor control, including advanced control algorithms and system identification.
2. Design, debug, and integrate low-level communication protocols such as RS-485, CAN, UART, and SPI.
3. Implement and maintain real-time systems using RTOS (e.g., FreeRTOS, RT Linux, VxWorks).
4. Collaborate with hardware engineers to design and validate motor driver circuits and power electronics systems.
5. Integrate firmware into higher-level communication frameworks, such as DDS (Distributed Data Service), e.g., ROS.
...</t>
  </si>
  <si>
    <t>https://jobright.ai/jobs/info/6999065dce78e77b4fdda4cd?utm_source=1100&amp;utm_campaign=Software Engineering</t>
  </si>
  <si>
    <t>California Department of Insurance</t>
  </si>
  <si>
    <t>Auto Insurance, Health Insurance</t>
  </si>
  <si>
    <t>1. Experience designing, developing and maintaining enterprise applications using Oracle PL/SQL
2. Experience designing, developing and maintaining enterprise applications using Oracle APEX
3. Experience designing, developing and maintaining enterprise applications using Oracle Forms/Reports
4. Experience designing, developing and maintaining enterprise applications using Microsoft TSQL
5. Attach (upload) all the required documents to verify that you meet the minimum qualifications for this position (i.e., degree, transcript, license, certificate)
...</t>
  </si>
  <si>
    <t>Quality Control Assistant</t>
  </si>
  <si>
    <t>https://jobright.ai/jobs/info/6998e66981476f6176b14b6b?utm_source=1100&amp;utm_campaign=Software Engineering</t>
  </si>
  <si>
    <t>Columbus, OH</t>
  </si>
  <si>
    <t>The Midtown Group</t>
  </si>
  <si>
    <t>$25-$28 /hr</t>
  </si>
  <si>
    <t>Delivery, Human Resources</t>
  </si>
  <si>
    <t>1. Bachelor’s degree in a Statistics, Economics, Educational Measurement, or a related field required.
2. A fine attention to detail
3. Effective problem-solving skills
4. Proven ability to understand technical concepts, including data relationships and software configuration.
5. Must have strong knowledge of Excel.</t>
  </si>
  <si>
    <t>https://jobright.ai/jobs/info/6999537ae0bddb6acac87c41?utm_source=1100&amp;utm_campaign=Software Engineering</t>
  </si>
  <si>
    <t>USA - Miami FL OLD HQ</t>
  </si>
  <si>
    <t>$70000-$80000 /yr</t>
  </si>
  <si>
    <t>https://jobright.ai/jobs/info/6998eecc81476f6176b156dc?utm_source=1100&amp;utm_campaign=Software Engineering</t>
  </si>
  <si>
    <t>$119000-$172000 /yr</t>
  </si>
  <si>
    <t>1. Bachelor’s degree in CS or related field (or equivalent practical experience).
2. Strong programming fundamentals (data structures, debugging, writing maintainable code)
3. Experience building software in at least one modern language and comfort learning new stacks (particularly Javascript or Typescript)
4. Familiarity with web development concepts (APIs, databases, client/server architecture, testing)
5. Clear communicator who follows through and surfaces blockers early. You ask good questions, raise risks early, and help drive toward shared understanding.</t>
  </si>
  <si>
    <t>https://jobright.ai/jobs/info/6999118de0bddb6acac80888?utm_source=1100&amp;utm_campaign=Software Engineering</t>
  </si>
  <si>
    <t>$75,000-$85,000 /yr</t>
  </si>
  <si>
    <t>https://jobright.ai/jobs/info/699910b5e0bddb6acac806f1?utm_source=1100&amp;utm_campaign=Software Engineering</t>
  </si>
  <si>
    <t>1. Bachelor's Degree in IT/Computer Science, Supply Chain, or related field, or equivalent experience
2. 1-3 years of experience in SQL Server development and/or administration
3. Experience in C#, .Net, PHP, or similar object-oriented programming language
4. Solid subject matter expertise on the functional use of technology-based distribution systems: experience with solutions such as Infios / Körber (HighJump) / WMS, Voice and RF WMS equipment or other point-of-pick hardware, ProShip / Parcel management, Conveyor hardware/software interfaces, Databases/reporting tools
5. Understanding of database administration and database modeling concepts.
...</t>
  </si>
  <si>
    <t>Software Engineer - Java</t>
  </si>
  <si>
    <t>https://jobright.ai/jobs/info/699912cae0bddb6acac80adc?utm_source=1100&amp;utm_campaign=Software Engineering</t>
  </si>
  <si>
    <t>1. 1+ years relevant experience and a Bachelor’s degree OR Any equivalent combination of education and experience.
2. Strong foundation in programming concepts, algorithms, and data structures.
3. Experience with backend development using Java and frameworks such as Spring Boot or Micronaut.
4. Understanding of RESTful web services and Service-Oriented Architecture (SOA) principles.
5. Familiarity with relational and NoSQL databases (e.g., MySQL, PostgreSQL, MongoDB, Cassandra).
...</t>
  </si>
  <si>
    <t>https://jobright.ai/jobs/info/6999009781476f6176b17458?utm_source=1100&amp;utm_campaign=Software Engineering</t>
  </si>
  <si>
    <t>Plymouth, MN</t>
  </si>
  <si>
    <t>1. Bachelor’s degree in Electrical Engineering, Computer Engineering, Computer Science or similar.
2. Minimum 0-2 years of hands-on experience in firmware or embedded systems development experience.
3. Proficiency in C and/or C++ for embedded development, and Python for scripting or test automation.
4. Familiarity with embedded systems fundamentals and microcontroller architectures.
5. Experience with debugging tools such as logic analyzers, oscilloscopes, JTAD/SWD debuggers.
...</t>
  </si>
  <si>
    <t>https://jobright.ai/jobs/info/6998f459e0bddb6acac7e283?utm_source=1100&amp;utm_campaign=Software Engineering</t>
  </si>
  <si>
    <t>TabaPay</t>
  </si>
  <si>
    <t>$110000-$110000 /yr</t>
  </si>
  <si>
    <t>1. 1-3 years experience in a production environment
2. Knowledge of PCI/SOC compliance and security best practices.
3. Proficiency in scripting (e.g., Shell) for automation.
4. Strong programming skills in Python or Java or Go
5. Frontend experience with HTML, CSS, JavaScript.
...</t>
  </si>
  <si>
    <t>https://jobright.ai/jobs/info/69991135e0bddb6acac807f0?utm_source=1100&amp;utm_campaign=Software Engineering</t>
  </si>
  <si>
    <t>Taylored Search</t>
  </si>
  <si>
    <t>1. Previous advertising experience
2. Basic to mid-level proficiency in HTML, CSS, and JavaScript
3. Familiar with Veeva (Vault + IRA)
4. Understanding of responsive web design principles
5. Knowledge of version control tools such as Git
...</t>
  </si>
  <si>
    <t>We're Hiring for Our Client: Junior Implementation Specialist</t>
  </si>
  <si>
    <t>https://jobright.ai/jobs/info/69991f07ce78e77b4fddc74c?utm_source=1100&amp;utm_campaign=Software Engineering</t>
  </si>
  <si>
    <t>Fort Smith, AR</t>
  </si>
  <si>
    <t>D-Best Technologies</t>
  </si>
  <si>
    <t>$21-$25 /hr</t>
  </si>
  <si>
    <t>1. Some coding/scripting experience (Python, JavaScript, SQL, or similar); formal education or self-taught
2. Interest or experience working with APIs and system integrations
3. Comfortable learning new software quickly and independently
4. Strong self-starter mentality - you'll figure things out, ask the right questions, and take ownership
5. Ability to work directly with vendors and translate between technical and non-technical stakeholders
...</t>
  </si>
  <si>
    <t>https://jobright.ai/jobs/info/6998df70e0bddb6acac7ca19?utm_source=1100&amp;utm_campaign=Software Engineering</t>
  </si>
  <si>
    <t>1. 1–3 years of experience in data engineering, software engineering, or a related role.
2. Proficiency in Python for data engineering and automation.
3. Familiarity with Apache Airflow for workflow orchestration.
4. Basic understanding of AWS Lambda and serverless design patterns.
5. Exposure to DynamoDB (schema design and performance considerations).
...</t>
  </si>
  <si>
    <t>GPU Machine Learning Engineer</t>
  </si>
  <si>
    <t>https://jobright.ai/jobs/info/6998e4c1ce78e77b4fdd7264?utm_source=1100&amp;utm_campaign=Software Engineering</t>
  </si>
  <si>
    <t>$99K-$148K /yr</t>
  </si>
  <si>
    <t>1. Strong C/C++ programming skills
2. Strong knowledge of Machine Learning Theory
3. Familiarity with a Deep Learning Framework such as Pytorch
4. Familiarity with a GPGPU API such as CUDA or OpenCL.
5. Understanding of data structures and algorithms, including object-oriented programming
...</t>
  </si>
  <si>
    <t>Full Stack UI/UX Designer/Developer</t>
  </si>
  <si>
    <t>https://jobright.ai/jobs/info/6998fc4781476f6176b16d1c?utm_source=1100&amp;utm_campaign=Software Engineering</t>
  </si>
  <si>
    <t>Sudsies Dry Cleaning</t>
  </si>
  <si>
    <t>$50K-$60K /yr</t>
  </si>
  <si>
    <t>Consumer, Delivery</t>
  </si>
  <si>
    <t>1. Mac OS (Daily Use)
2. WordPress (Critical)
3. WordPress Admin (Daily Use): posts/pages, media, menus, users/roles, settings, plugin/theme management, updates, troubleshooting
4. Custom Post Types and taxonomy workflows (creating/editing/maintaining content structures)
5. Common WP plugin ecosystem literacy (SEO, caching, security, forms, redirects, performance)
...</t>
  </si>
  <si>
    <t>Full-Stack Engineer I</t>
  </si>
  <si>
    <t>https://jobright.ai/jobs/info/6998f03881476f6176b158eb?utm_source=1100&amp;utm_campaign=Software Engineering</t>
  </si>
  <si>
    <t>CA</t>
  </si>
  <si>
    <t>Formant</t>
  </si>
  <si>
    <t>Cloud Data Services, Information Services</t>
  </si>
  <si>
    <t>1. 0–3 years of professional software engineering experience (internships, co-ops, and substantial projects count)
2. Pragmatic: you can differentiate between 'ship the fix' and 'refactor the world'
3. Strong fundamentals in computer science and software design
4. Comfortable using modern AI-assisted development tools (e.g., coding copilots, LLMs) to improve productivity and learning
5. Comfortable working on 'unsexy' problems (legacy code, tricky edge cases) to earn leverage and context
...</t>
  </si>
  <si>
    <t>Business Systems Administrator</t>
  </si>
  <si>
    <t>https://jobright.ai/jobs/info/6998ff6e81476f6176b172b3?utm_source=1100&amp;utm_campaign=Software Engineering</t>
  </si>
  <si>
    <t>Oracle Park, SF</t>
  </si>
  <si>
    <t>San Francisco Giants</t>
  </si>
  <si>
    <t>$80000-$90000 /yr</t>
  </si>
  <si>
    <t>Sports</t>
  </si>
  <si>
    <t>1. Outstanding presentation skills, including the proven ability to articulate complex business processes, to drive improved data integrity and productivity.
2. Strong intellectual curiosity with an analytical mind. Must be a quick study in learning new technology capabilities.
3. Knowledge of SQL, Excel and other resources that aid in analytic work.</t>
  </si>
  <si>
    <t>Info Sec Awareness Analyst (Hybrid- Columbus, GA)</t>
  </si>
  <si>
    <t>https://jobright.ai/jobs/info/6998f635e0bddb6acac7e56d?utm_source=1100&amp;utm_campaign=Software Engineering</t>
  </si>
  <si>
    <t>GA, US</t>
  </si>
  <si>
    <t>Aflac</t>
  </si>
  <si>
    <t>$59000-$83000 /yr</t>
  </si>
  <si>
    <t>1. Bachelor's Degree in Risk Management, Information Security, Information Systems, Compliance, Business Administration or Nexus certificate or related
2. 0 - 2+ years of job related work experience in risk management or information security
3. Understanding information security and its associated risks.
4. Project management experience, the ability to plan, manage and maintain a complex, organization wide program over the longer term.
5. Display practical knowledge of different message distribution techniques to ensure end user communities.
...</t>
  </si>
  <si>
    <t>https://jobright.ai/jobs/info/699909c4e0bddb6acac8010a?utm_source=1100&amp;utm_campaign=Software Engineering</t>
  </si>
  <si>
    <t>New York-TONAWANDA</t>
  </si>
  <si>
    <t>Linde</t>
  </si>
  <si>
    <t>$69750-$102300 /yr</t>
  </si>
  <si>
    <t>Health Care, Industrial</t>
  </si>
  <si>
    <t>1. BS in Computer Science or related degree required
2. Strong academic performance with a minimum cumulative GPA of 3.5 (on a 4.0 scale) required
3. Full stack developer with expertise in JavaScript web frameworks, preferably Vue.js
4. Python-based backend development experience, preferably with FastAPI
5. Experience with relational databases
...</t>
  </si>
  <si>
    <t>https://jobright.ai/jobs/info/6998f34081476f6176b15db4?utm_source=1100&amp;utm_campaign=Software Engineering</t>
  </si>
  <si>
    <t>1. Bachelor’s Degree with a focus in Business Administration, Analytics, Computer Science, or Information Technology preferred.
2. Outstanding presentation skills, including the proven ability to articulate complex business processes, to drive improved data integrity and productivity.
3. Strong intellectual curiosity with an analytical mind. Must be a quick study in learning new technology capabilities.
4. Experience with TripleSeat and Salesforce CRM strongly preferred.
5. Exposure to SQL-based databases; experience with Snowflake or similar cloud-based enterprise data warehouse solution is a plus, but not required.
...</t>
  </si>
  <si>
    <t>Software Engineer – AI Applications</t>
  </si>
  <si>
    <t>https://jobright.ai/jobs/info/6998eeca81476f6176b156d5?utm_source=1100&amp;utm_campaign=Software Engineering</t>
  </si>
  <si>
    <t>TrueMeter</t>
  </si>
  <si>
    <t>$120000-$220000 /yr</t>
  </si>
  <si>
    <t>1. 1+ year of experience building production backends or full-stack systems (Python, GCP or AWS infrastructure).
2. AI-native mindset — excited to integrate LLMs and tools like LangChain, OpenAI APIs, or custom agents into real systems.
3. Rapid prototyper — can turn an idea into a running system quickly and iterate based on feedback.
4. Clear communicator — able to explain complex systems to both technical and business teams.
5. Independent executor — scopes work, executes, and delivers without handholding.
...</t>
  </si>
  <si>
    <t>Software Engineer, Autonomy Behavior Validation</t>
  </si>
  <si>
    <t>https://jobright.ai/jobs/info/6998ebecce78e77b4fdd7b6a?utm_source=1100&amp;utm_campaign=Software Engineering</t>
  </si>
  <si>
    <t>General Motors</t>
  </si>
  <si>
    <t>$123K-$189K /yr</t>
  </si>
  <si>
    <t>1. Master's degree in Computer Science, Software Engineering, Data Science, or related fields.
2. 1–3 years of professional software engineering experience (including internships, co-ops, or research engineering roles) building automation, internal tools, or data/analysis pipelines.
3. Using large language models (LLMs) to summarize results, generate reports, or accelerate analysis.
4. Building simple agents or scripts that chain tools together to complete tasks end-to-end.
5. Strong programming skills in Python and experience with SQL.
...</t>
  </si>
  <si>
    <t>https://jobright.ai/jobs/info/6998d753ce78e77b4fdd6798?utm_source=1100&amp;utm_campaign=Software Engineering</t>
  </si>
  <si>
    <t>Developer, Software</t>
  </si>
  <si>
    <t>https://jobright.ai/jobs/info/6998bcdcce78e77b4fdd5191?utm_source=1100&amp;utm_campaign=Software Engineering</t>
  </si>
  <si>
    <t>CAN, Ontario, London</t>
  </si>
  <si>
    <t>First American</t>
  </si>
  <si>
    <t>$CAD76,300-$CAD93,300 /yr</t>
  </si>
  <si>
    <t>1. Minimum 1 years of development experience using SQL and C#
2. Web development using JavaScript frameworks, HTML5, jQuery, JSON, and MVC Architecture.
3. Good understanding of techniques used in application troubleshooting/debugging.
4. Good understanding of database design, development and maintenance practices.
5. Good knowledge of n-tier architecture, Microsoft .NET with C#, ASP.NET, MS SQL Server programming.
...</t>
  </si>
  <si>
    <t>https://jobright.ai/jobs/info/6998f4b8e0bddb6acac7e2fe?utm_source=1100&amp;utm_campaign=Software Engineering</t>
  </si>
  <si>
    <t>San Jose, California, United States of America</t>
  </si>
  <si>
    <t>$116500-$173250 /yr</t>
  </si>
  <si>
    <t>Software Integration Engineer</t>
  </si>
  <si>
    <t>https://jobright.ai/jobs/info/6998b7bbe0bddb6acac7aa42?utm_source=1100&amp;utm_campaign=Software Engineering</t>
  </si>
  <si>
    <t>STERIS</t>
  </si>
  <si>
    <t>$105K-$136K /yr</t>
  </si>
  <si>
    <t>Software Engineer, Robotaxi Simulation, Vehicle Software</t>
  </si>
  <si>
    <t>https://jobright.ai/jobs/info/6998dfa6ce78e77b4fdd6f64?utm_source=1100&amp;utm_campaign=Software Engineering</t>
  </si>
  <si>
    <t>$140,000-$396,000 /yr</t>
  </si>
  <si>
    <t>1. 1+ years of professional software development experience
2. Strong proficiency in at least one of the following: Python, C/C++, or Golang
3. Direct experience building simulation or emulation systems, particularly for distributed or multi-agent environments
4. Hands-on experience designing and maintaining data pipelines for large-scale data processing, querying, and visualization
5. Familiarity with distributed compute orchestration (e.g., Kubernetes or similar frameworks)
...</t>
  </si>
  <si>
    <t>https://jobright.ai/jobs/info/6998f0c6ce78e77b4fdd830e?utm_source=1100&amp;utm_campaign=Software Engineering</t>
  </si>
  <si>
    <t>Sunnyvale, California, United States of America</t>
  </si>
  <si>
    <t>$123200-$189100 /yr</t>
  </si>
  <si>
    <t>https://jobright.ai/jobs/info/6998e353ce78e77b4fdd71b3?utm_source=1100&amp;utm_campaign=Software Engineering</t>
  </si>
  <si>
    <t>United States - Minnesota - Plymouth</t>
  </si>
  <si>
    <t>$50700-$101300 /yr</t>
  </si>
  <si>
    <t>https://jobright.ai/jobs/info/6998cbd081476f6176b13609?utm_source=1100&amp;utm_campaign=Software Engineering</t>
  </si>
  <si>
    <t>Multi Location
Issaquah, WA
United States</t>
  </si>
  <si>
    <t>https://jobright.ai/jobs/info/6998ab15ce78e77b4fdd4609?utm_source=1100&amp;utm_campaign=Software Engineering</t>
  </si>
  <si>
    <t>CHEManager International</t>
  </si>
  <si>
    <t>1. A Ph.D. in biomedical informatics, computer science or a related field.
2. Working experience with large language models, data science using EHRs, machine learning, data mining, and natural language processing.</t>
  </si>
  <si>
    <t>Junior Software Development Engineer - Live Ops</t>
  </si>
  <si>
    <t>https://jobright.ai/jobs/info/6998c14e81476f6176b12d3c?utm_source=1100&amp;utm_campaign=Software Engineering</t>
  </si>
  <si>
    <t>Vancouver</t>
  </si>
  <si>
    <t>A Thinking Ape</t>
  </si>
  <si>
    <t>CAD103750-CAD103750 /yr</t>
  </si>
  <si>
    <t>1. Formal education in computer science or a related field.
2. Basic programming experience, preferably in mobile or game development environments.
3. Interest in quickly and efficiently troubleshooting player-facing issues in the spirit of providing outstanding support.
4. Strong written and verbal communication; comfortable asking questions and giving clear updates during incidents.
5. Demonstrated growth mindset and ownership (examples of learning fast / taking responsibility).
...</t>
  </si>
  <si>
    <t>Jr. Software Dev. Data Science</t>
  </si>
  <si>
    <t>https://jobright.ai/jobs/info/6998aa9ae0bddb6acac7a19d?utm_source=1100&amp;utm_campaign=Software Engineering</t>
  </si>
  <si>
    <t>2000 W Lucent Lane, Naperville, Illinois, 60563-1443, US</t>
  </si>
  <si>
    <t>Nokia</t>
  </si>
  <si>
    <t>$72600-$134828 /yr</t>
  </si>
  <si>
    <t>Electronics, Enterprise Software</t>
  </si>
  <si>
    <t>1. A Master's degree in Computer Science, Computer Engineering, or Data Science, with an emphasis on Data Science.
2. Python proficiency, C++/C language knowledge.
3. Some experience in data classification models, time series, and large language models including some familiarity with 3GPP and 4G/5G specifications.
4. Experience with designing and implementing AI pipelines including langchain, and MCP (Model Context Protocol) for Large Language Model Deployment including embeddings and RAG (Retrieval Augmentation Generation) based modeling.</t>
  </si>
  <si>
    <t>Associate Engineer, Product Support</t>
  </si>
  <si>
    <t>https://jobright.ai/jobs/info/6998ac98e0bddb6acac7a24a?utm_source=1100&amp;utm_campaign=Software Engineering</t>
  </si>
  <si>
    <t>Trinity Life Sciences</t>
  </si>
  <si>
    <t>$70K-$85K /yr</t>
  </si>
  <si>
    <t>1. Bachelor’s degree in Computer Science, Information Technology, or related field
2. 1–2 years of experience in production support, technical operations, or DevOps
3. Basic proficiency in SQL and scripting (e.g., Python, PowerShell)
4. Strong problem-solving skills and eagerness to learn
5. Excellent communication and teamwork abilities
...</t>
  </si>
  <si>
    <t>Developer Analyst I</t>
  </si>
  <si>
    <t>https://jobright.ai/jobs/info/6998e13181476f6176b147a7?utm_source=1100&amp;utm_campaign=Software Engineering</t>
  </si>
  <si>
    <t>Multi Location
Olathe, KS, US
US-KS-Olathe</t>
  </si>
  <si>
    <t>Johnson County Wastewater</t>
  </si>
  <si>
    <t>1. 0–2 years of professional software development experience (or equivalent internships/education)
2. Foundational experience or coursework in .NET technologies
3. Basic understanding of relational databases such as MS SQL
4. Exposure to Visual Basic and/or C# applications
5. Familiarity with APIs and application integrations
...</t>
  </si>
  <si>
    <t>Associate Software Engineer, Baseball Enterprise</t>
  </si>
  <si>
    <t>https://jobright.ai/jobs/info/6944715f50bbaf7650567364?utm_source=1100&amp;utm_campaign=Software Engineering</t>
  </si>
  <si>
    <t>Boulder, CO</t>
  </si>
  <si>
    <t>Major League Baseball (MLB)</t>
  </si>
  <si>
    <t>Association, Baseball</t>
  </si>
  <si>
    <t>1. 0 to 2 years of professional software experience. Internships, co-ops, or substantial personal and open-source projects count
2. Proficiency in at least one modern language such as Java, Python, TypeScript and Node, or Go
3. Understanding of web APIs, Git, and basic testing
4. Familiarity with relational databases such as PostgreSQL and writing simple queries
5. Exposure to containers and cloud concepts, or eagerness to learn quickly
...</t>
  </si>
  <si>
    <t>Software Engineer II, Site Reliability Engineering</t>
  </si>
  <si>
    <t>https://jobright.ai/jobs/info/6998c7c6ce78e77b4fdd59a6?utm_source=1100&amp;utm_campaign=Software Engineering</t>
  </si>
  <si>
    <t>1. Bachelor’s degree in Computer Science, a related field, or equivalent practical experience.
2. 1 year of experience with software development in one or more programming languages during coursework/projects, research, internships, or practical experience in school, work, or Open Source projects.
3. 1 year of experience with data structures and algorithms.</t>
  </si>
  <si>
    <t>https://jobright.ai/jobs/info/6998c758e0bddb6acac7b5a0?utm_source=1100&amp;utm_campaign=Software Engineering</t>
  </si>
  <si>
    <t>Chicago - RAPP</t>
  </si>
  <si>
    <t>$81,000-$97,000 /yr</t>
  </si>
  <si>
    <t>Cybersecurity Analyst</t>
  </si>
  <si>
    <t>https://jobright.ai/jobs/info/699a0c98ce78e77b4fded84e?utm_source=1100&amp;utm_campaign=Software Engineering</t>
  </si>
  <si>
    <t>Deptford Township, NJ 08096, USA</t>
  </si>
  <si>
    <t>First Harvest Credit Union</t>
  </si>
  <si>
    <t>$22.50-$22.50 /hr</t>
  </si>
  <si>
    <t>Banking, Credit</t>
  </si>
  <si>
    <t>1. Associate's or Bachelor's degree in Information Technology, Cybersecurity, Computer Science, or a related field. Equivalent work experience may be considered.
2. At least one entry-level cybersecurity certification such as: CompTIA Security+, CompTIA CySA+, ISACA Cybersecurity Fundamentals, ISACA Cybersecurity Audit
3. 1–2 years of relevant experience in IT support, system administration, or cybersecurity (internships or academic labs may be considered).
4. Familiarity with basic networking concepts, Windows systems, and security principles.
5. Strong analytical and problem-solving skills.
...</t>
  </si>
  <si>
    <t>Software Engineer, Media Services</t>
  </si>
  <si>
    <t>https://jobright.ai/jobs/info/697cac3f137a05102565accd?utm_source=1100&amp;utm_campaign=Software Engineering</t>
  </si>
  <si>
    <t>$120K-$155K /yr</t>
  </si>
  <si>
    <t>1. Bachelor’s degree in Computer Science, Software Engineering, or a related field, or equivalent practical experience
2. Experience delivering backend software and services using JVM-based languages (Python, JavaScript, or frontend experience is a plus)
3. Familiarity with Agile development processes and modern software development tools (IDEs, source control, CI/CD pipelines, testing frameworks)
4. Exposure to distributed systems, event-driven architectures, and client-facing APIs
5. Experience collaborating with senior engineers to support large-scale production systems</t>
  </si>
  <si>
    <t>Full Stack Angular Web Developer</t>
  </si>
  <si>
    <t>https://jobright.ai/jobs/info/6998aaec81476f6176b11caf?utm_source=1100&amp;utm_campaign=Software Engineering</t>
  </si>
  <si>
    <t>Baseline Technologies Inc.</t>
  </si>
  <si>
    <t>1. Have worked on Single Page Application websites, especially in modern Angular or other web frameworks (VueJS, React) for 1-2 years
2. Have experience with NodeJS, NPM, and other frameworks
3. Have created or worked on applications that run in containers
4. Have created or worked on applications that handle light to medium web traffic</t>
  </si>
  <si>
    <t>Associate, Quality Services</t>
  </si>
  <si>
    <t>https://jobright.ai/jobs/info/697c73193f57a33569662651?utm_source=1100&amp;utm_campaign=Software Engineering</t>
  </si>
  <si>
    <t>Arlington, VA</t>
  </si>
  <si>
    <t>$18-$32 /hr</t>
  </si>
  <si>
    <t>1. Knowledge of QA methodology and tools</t>
  </si>
  <si>
    <t>Data Center Security Specialist, DC Security AMER East, DC Security AMER East</t>
  </si>
  <si>
    <t>https://jobright.ai/jobs/info/69607d77a1bbea1d9a7b4f92?utm_source=1100&amp;utm_campaign=Software Engineering</t>
  </si>
  <si>
    <t>Manassas, VA</t>
  </si>
  <si>
    <t>$52K-$112K /yr</t>
  </si>
  <si>
    <t>1. Experience with access control and CCTV systems
2. 6+ months' experience in security roles, preferably in a data center or similar environment.
3. Additional education or training in security-related fields is a plus.</t>
  </si>
  <si>
    <t>https://jobright.ai/jobs/info/6998a9ea81476f6176b1198a?utm_source=1100&amp;utm_campaign=Software Engineering</t>
  </si>
  <si>
    <t>Pittsburgh, PA, USA</t>
  </si>
  <si>
    <t>$118000-$170000 /yr</t>
  </si>
  <si>
    <t>Industry Solutions Consultant, Defined Contribution</t>
  </si>
  <si>
    <t>https://jobright.ai/jobs/info/697bc4c31423772304ebf0dd?utm_source=1100&amp;utm_campaign=Software Engineering</t>
  </si>
  <si>
    <t>Madison, WI</t>
  </si>
  <si>
    <t>Wolters Kluwer</t>
  </si>
  <si>
    <t>$57K-$98K /yr</t>
  </si>
  <si>
    <t>1. ASPPA Credential, Qualified 401(k) Administrator (QKA); (2) Qualified 401(k) Consultant (QKC); and/or (3) Qualified Plan Administrator (QPA)
2. Experience administering defined contribution plans, such as 401(k) or profit-sharing plans.
3. 1 years of experience working in a development QA environment
4. Detail oriented
5. Quick learner and self-starter
...</t>
  </si>
  <si>
    <t>https://jobright.ai/jobs/info/69991bfece78e77b4fddc183?utm_source=1100&amp;utm_campaign=Software Engineering</t>
  </si>
  <si>
    <t>Muncy, PA</t>
  </si>
  <si>
    <t>Tura, Inc.</t>
  </si>
  <si>
    <t>Eyewear, Fashion</t>
  </si>
  <si>
    <t>1. Ability to work both independently and as part of a cross-functional team.
2. Excellent organizational skills, with the ability to prioritize work.
3. Have Proficient or Advanced Universe and Microsoft SQL Server development experience.
4. Experience with writing, queries, reports, and screens.
5. Experience providing desktop and application support.
...</t>
  </si>
  <si>
    <t>https://jobright.ai/jobs/info/69782e0039f7f96cc6d071e3?utm_source=1100&amp;utm_campaign=Software Engineering</t>
  </si>
  <si>
    <t>$100K-$185K /yr</t>
  </si>
  <si>
    <t>Software Engineer I - Ads Demand Enablement</t>
  </si>
  <si>
    <t>https://jobright.ai/jobs/info/69606923a112b402660f2a4f?utm_source=1100&amp;utm_campaign=Software Engineering</t>
  </si>
  <si>
    <t>MS022026 - Network Operations Center Engineer - Addison</t>
  </si>
  <si>
    <t>https://jobright.ai/jobs/info/6998938fe0bddb6acac7936e?utm_source=1100&amp;utm_campaign=Software Engineering</t>
  </si>
  <si>
    <t>Addison, NY</t>
  </si>
  <si>
    <t>Microsolutions</t>
  </si>
  <si>
    <t>$60K-$75K /yr</t>
  </si>
  <si>
    <t>Consulting, Enterprise Resource Planning (ERP)</t>
  </si>
  <si>
    <t>1. Dynamic and highly skilled Network Operations Center (NOC) Engineer
2. Experience in monitoring, maintaining, and supporting client networks and systems in an MSP environment
3. Ability to ensure uptime and resolve incidents promptly
4. Proactive in addressing potential issues to maintain optimal network performance and client satisfaction
5. Perform daily health checks on client infrastructure
...</t>
  </si>
  <si>
    <t>IT SYSTEMS ENGINEER II</t>
  </si>
  <si>
    <t>https://jobright.ai/jobs/info/691d7aa0bcdbf3560c9f137d?utm_source=1100&amp;utm_campaign=Software Engineering</t>
  </si>
  <si>
    <t>Massillon, OH</t>
  </si>
  <si>
    <t>Packaging Corporation of America</t>
  </si>
  <si>
    <t>$74K-$112K /yr</t>
  </si>
  <si>
    <t>Business Development, Manufacturing</t>
  </si>
  <si>
    <t>1. Bachelor’s degree in Information Technology Systems.
2. 0-3 years’ experience in related ITS area.
3. Demonstrated knowledge of the OSI Model and Local and Wide Area Networks.
4. Working knowledge of how to investigate and resolve first echelon help desk service requests related to Network infrastructure.
5. Must be able to travel as necessary and authorized to work in U.S.
...</t>
  </si>
  <si>
    <t>https://jobright.ai/jobs/info/6997ad4081476f6176afd030?utm_source=1100&amp;utm_campaign=Software Engineering</t>
  </si>
  <si>
    <t>$56K-$76K /yr</t>
  </si>
  <si>
    <t>https://jobright.ai/jobs/info/6960408ba1bbea1d9a7b26ce?utm_source=1100&amp;utm_campaign=Software Engineering</t>
  </si>
  <si>
    <t>$188K-$195K /yr</t>
  </si>
  <si>
    <t>1. Master's degree in Computer Science, Computer/Electrical Engineering, Robotics, or related field
2. 1 year of experience in the job offered or in a Software Engineer-related occupation</t>
  </si>
  <si>
    <t>Open World Game Test Analyst</t>
  </si>
  <si>
    <t>https://jobright.ai/jobs/info/694342de94730b739876523b?utm_source=1100&amp;utm_campaign=Software Engineering</t>
  </si>
  <si>
    <t>1. Must be at least 18 years of age
2. Strong analytical and problem solving skills
3. Excellent written and verbal communication (needs to be able to communicate bugs – how did you find them? What exact steps are needed to make it happen again?)
4. Basic to intermediate understanding of networking setup and hardware, as well as how its principles and components apply to modern console, PC, and mobile gaming / functionality
5. Ability to work in both an individual and team environment
...</t>
  </si>
  <si>
    <t>Remote US</t>
  </si>
  <si>
    <t>Compiler Software Engineer</t>
  </si>
  <si>
    <t>https://jobright.ai/jobs/info/6998736f81476f6176b0e5ff?utm_source=1100&amp;utm_campaign=Software Engineering</t>
  </si>
  <si>
    <t>1. Knowledge and/or experience in compiler frameworks such as GCC or LLVM
2. Experience in working with open source communities
3. Programming in C/C++
4. Bachelor’s degree in Engineering, Information Systems, Computer Science, or related field.
5. Bachelor's degree in Computer Science, Engineering, Electrical Engineering, or related field and 2+ years of Software Engineering, Systems Engineering, or related work experience.
...</t>
  </si>
  <si>
    <t>https://jobright.ai/jobs/info/696074417ebc25398eb66a9d?utm_source=1100&amp;utm_campaign=Software Engineering</t>
  </si>
  <si>
    <t>$116000-$174000 /yr</t>
  </si>
  <si>
    <t>1. Bachelor’s or Master’s degree in Computer Science, Computer Engineering, or a related technical field.
2. Strong proficiency in C++: Solid understanding of data structures, algorithms, and memory management (academic or project-based).
3. Hands-on Systems Experience: At least 1–2 years of relevant experience, which can be demonstrated through multiple internships, significant academic research, or professional work involving hardware-software interaction.
4. Linux Fundamentals: Experience working in a Linux environment with an understanding of command-line tools and system basics.
5. Exposure to Networking Protocols: Familiarity with the basics of data transport, such as TCP/IP, UDP, or serial communication.</t>
  </si>
  <si>
    <t>https://jobright.ai/jobs/info/696019e9a112b402660ed00a?utm_source=1100&amp;utm_campaign=Software Engineering</t>
  </si>
  <si>
    <t>MCA Connect</t>
  </si>
  <si>
    <t>$65K-$85K /yr</t>
  </si>
  <si>
    <t>Consumer Electronics, Information Technology</t>
  </si>
  <si>
    <t>1. B.S. or B.A. in Computer Science, MIS or related discipline; or equivalent experience and certification
2. 1-2+ years of professional software/web development experience (internship experience to be considered)
3. Familiarity with one or more of the following (or equivalent): C#, .NET, Java, SQL, or XML
4. Knowledge of standard development techniques (SDLC)
5. Knowledge of Relational Databases and Object-Oriented Programming and Design
...</t>
  </si>
  <si>
    <t>Software Engineer, BCI Applications</t>
  </si>
  <si>
    <t>https://jobright.ai/jobs/info/68cba33b9e3a822f5d249936?utm_source=1100&amp;utm_campaign=Software Engineering</t>
  </si>
  <si>
    <t>Neuralink</t>
  </si>
  <si>
    <t>$150K-$281K /yr</t>
  </si>
  <si>
    <t>Biotechnology, Medical</t>
  </si>
  <si>
    <t>1. Strong experience with full-stack development
2. Strong experience in operating system knowledge in low latency concurrency programming, memory management and networking
3. Fluent in programming languages such as Swift, Objective-C, Kotlin or Java
4. Experience in architecting elegant, maintainable, performant and reliable user facing software applications
5. Evidence in delivering high-impact projects to users or businesses with clear metrics and fast iteration cycle
...</t>
  </si>
  <si>
    <t>1. Minimum 1 year of experience required; 7+ years of experience preferred in Reliability Engineering
2. BS/BA degree in Computer Science or another highly technical, scientific discipline
3. Ability to program (structured and OO) with one or more high level language (such as Python, Java, C++)
4. Proven track record for automating processes combined with an algorithmic approach to solving problems
5. Ability to profile and debug applications in real time
...</t>
  </si>
  <si>
    <t>Software Engineer - Machine Learning</t>
  </si>
  <si>
    <t>https://jobright.ai/jobs/info/6865befce0db1b536368da5c?utm_source=1100&amp;utm_campaign=Software Engineering</t>
  </si>
  <si>
    <t>Celonis</t>
  </si>
  <si>
    <t>$150100-$183350 /yr</t>
  </si>
  <si>
    <t>1. Bachelor’s degree or equivalent practical experience (in Computer Science or related fields), Master’s degree and PhD degree a plus
2. Strong communication and collaboration skills
3. Identify with the Celonis value of customer first, passionate about solving real world customer problems with a focus on finding the right solution regardless of the nature of the solution
4. Passionate about developing scalable and efficient AI/ML solutions
5. Passionate about building high quality AI/ML solutions with clear and repeatable evaluation mechanisms</t>
  </si>
  <si>
    <t>Deep Learning Manipulation Engineer</t>
  </si>
  <si>
    <t>https://jobright.ai/jobs/info/6880c91816ea5743a37330c1?utm_source=1100&amp;utm_campaign=Software Engineering</t>
  </si>
  <si>
    <t>1. Design, implement, and optimize deep learning models for robotic manipulation.
2. Model robotic manipulation processes to enable analysis, simulation, planning, and controls
3. Collaborate with cross-functional teams to develop scalable and generalizable manipulation solutions for deployment in robotic systems.
4. Work with inference, deployment, and application teams to integrate deep learning models seamlessly into robotic platforms.</t>
  </si>
  <si>
    <t>Embedded Software Engineer, Implant Embedded Systems</t>
  </si>
  <si>
    <t>https://jobright.ai/jobs/info/68ce374e1ad6b16f028a30f0?utm_source=1100&amp;utm_campaign=Software Engineering</t>
  </si>
  <si>
    <t>$119K-$281K /yr</t>
  </si>
  <si>
    <t>1. Bachelor's degree in computer science, electrical engineering, related field, or equivalent experience
2. 1+ years of experience with embedded systems (including internships)
3. Proficient in C/C++, and Python
4. Knowledge of MCU architectures, peripherals, and development environments
5. Comfortable reading electrical schematics and datasheets
...</t>
  </si>
  <si>
    <t>Advanced Degree Software Engineer - Global Industries</t>
  </si>
  <si>
    <t>https://jobright.ai/jobs/info/6974392b206da320f49e5a66?utm_source=1100&amp;utm_campaign=Software Engineering</t>
  </si>
  <si>
    <t>$68,500-$158,200 /yr</t>
  </si>
  <si>
    <t>1. Completed a Masters degree in Computer Science, Computer Engineering, or an equivalent science/engineering field between by June 2026.
2. Demonstrated experience (projects, internships, coursework, research) with three or more of the following areas:
3. Have graduated with a Master’s degree or PhD in Computer Science or an equivalent science/engineering field by August 2026.
4. Are proficient (i.e., able to complete coding projects with no assistance) in one or more of these programming languages: Java, Python, C, C#, C++, JavaScript, CSS, HTML, SQL, Scala.
5. Have completed coursework, projects, internships, and or research in 3 or more of the following: Algorithms and Data Structures, Artificial Intelligence, Big Data, Database, Machine Learning, Object-Oriented Programming, Operating Systems, Software Programming, Web Development, Micro-Services Architecture, Container Architectures (e.g., Docker, Kubernetes), User Interface Design.
...</t>
  </si>
  <si>
    <t>https://jobright.ai/jobs/info/68cbf16a128dc347fd91c700?utm_source=1100&amp;utm_campaign=Software Engineering</t>
  </si>
  <si>
    <t>Plaid</t>
  </si>
  <si>
    <t>$149K-$223K /yr</t>
  </si>
  <si>
    <t>1. 1-4 years of software engineering experience (post-internship)
2. Proven ability to ship reliable systems or features at scale
3. Strong problem-solving skills. You turn ideas into practical, maintainable solutions.
4. High ownership. You are excited to roll up your sleeves and figure things out that don’t have precedent at Plaid.
5. Collaborative mindset. You thrive in a fast-paced environment and enjoy working with others to deliver results.
...</t>
  </si>
  <si>
    <t>Machine Learning Scientist I/II, Scientific Reasoning</t>
  </si>
  <si>
    <t>https://jobright.ai/jobs/info/6908ff1ed046ab6061ccff42?utm_source=1100&amp;utm_campaign=Software Engineering</t>
  </si>
  <si>
    <t>$176K-$304K /yr</t>
  </si>
  <si>
    <t>1. PhD (preferred) or equivalent research/industry experience in Computer Science, Machine Learning, AI, Engineering, Materials Science or related fields.
2. Strong programming skills in Python with deep expertise in LLM frameworks (PyTorch, HuggingFace Transformers, LangChain, LlamaIndex, and related toolkits).
3. Expertise in LLM reasoning methods: in-context learning, test-time compute, chain-of-thought, or tool-augmented reasoning.
4. Ability to balance theoretical research with practical ML engineering to deliver scalable solutions.</t>
  </si>
  <si>
    <t>GPU Kernel Development Engineer (Multiple Levels Available)</t>
  </si>
  <si>
    <t>https://jobright.ai/jobs/info/699967a081476f6176b219a3?utm_source=1100&amp;utm_campaign=Software Engineering</t>
  </si>
  <si>
    <t>1. Bachelor's degree in Applied Mathematics, Computer Science, Computer Engineering, Electrical Engineering, Software Engineering, or related field and 2+ years of Software Engineering, Hardware Engineering, Systems Engineering, Electrical Engineering, Game Rendering, or related work experience.
2. OR Master's degree in Applied Mathematics, Computer Science, Computer Engineering, Electrical Engineering, Software Engineering, or related field and 1+ year of Software Engineering, Hardware Engineering, Systems Engineering, Electrical Engineering, Game Rendering, or related work experience.
3. OR PhD in Applied Mathematics, Computer Science, Computer Engineering, Electrical Engineering, Software Engineering, or related field.
4. 1+ year of academic and/or work experience with one or more programming language suitable for graphics (e.g., C++, C).
5. Strong C/C++ programming skills
...</t>
  </si>
  <si>
    <t>Optimization Engineer II, Delivery Marketplace</t>
  </si>
  <si>
    <t>https://jobright.ai/jobs/info/697b676b1423772304eb8b21?utm_source=1100&amp;utm_campaign=Software Engineering</t>
  </si>
  <si>
    <t>Multi Location
New York, NY
Sunnyvale, CA</t>
  </si>
  <si>
    <t>1. Bachelors (or higher) in Computer Science, Engineering, Mathematics or a related field
2. Experience in programming with a language such as Python, C, C++, Java, Go, etc.
3. Experience with SQL and database systems such as Hive, Kafka, Cassandra, etc.</t>
  </si>
  <si>
    <t>Software Engineer I - Open Distribution (New Grad)</t>
  </si>
  <si>
    <t>https://jobright.ai/jobs/info/69600c117ebc25398eb5f513?utm_source=1100&amp;utm_campaign=Software Engineering</t>
  </si>
  <si>
    <t>$120K-$150K /yr</t>
  </si>
  <si>
    <t>1. Recent graduate or software engineer with up to ~2 years of experience (including internships, co-ops, or substantial academic projects)
2. Strong understanding of computer science fundamentals, including data structures and algorithms
3. Familiarity with at least one backend programming language like Java, Python, or Golang
4. Basic experience building or consuming APIs and experience working with LLM frameworks and AI Platforms such as Anthropic or ChatGPT either in school or on side projects
5. Bachelor’s degree in Computer Science, Data Science, Engineering, or a related technical field, or equivalent hands-on experience</t>
  </si>
  <si>
    <t>Associate Artist-Cinematics (Temporary)</t>
  </si>
  <si>
    <t>https://jobright.ai/jobs/info/695fc67ba112b402660e70be?utm_source=1100&amp;utm_campaign=Software Engineering</t>
  </si>
  <si>
    <t>NetherRealm Studios (WB Games)</t>
  </si>
  <si>
    <t>$44K-$81K /yr</t>
  </si>
  <si>
    <t>Media and Entertainment</t>
  </si>
  <si>
    <t>1. Highly detail oriented and organized
2. Some amount of formal art education such as BFA\BS from accredited art or design school or equivalent level of experience required.
3. Familiarity with at least one industry standard 3D package required (Maya, Motion Builder, Unreal Engine, etc.)
4. Ability to take direction well
5. Strong problem solving skills
...</t>
  </si>
  <si>
    <t>Software Engineer - Applications (L3/L4)</t>
  </si>
  <si>
    <t>https://jobright.ai/jobs/info/69262c3fd47de4798ecd53e6?utm_source=1100&amp;utm_campaign=Software Engineering</t>
  </si>
  <si>
    <t>1. Bachelor’s degree in Computer Science, Software Engineering, or a related field (or equivalent experience)
2. 0-4 years of Software engineering experience
3. Strong experience in at least one of: Go, TypeScript, or Python (Python is especially valuable for CV/ML debugging workflows)
4. Experience building or contributing to web applications and working on the application layer (APIs, authentication, access control, data flows)
5. Strong debugging and problem-solving skills across system boundaries
...</t>
  </si>
  <si>
    <t>Cyber Security Operations Analyst - Associate</t>
  </si>
  <si>
    <t>https://jobright.ai/jobs/info/697becd70b88cc7d6422d506?utm_source=1100&amp;utm_campaign=Software Engineering</t>
  </si>
  <si>
    <t>iCapital</t>
  </si>
  <si>
    <t>$80K-$100K /yr</t>
  </si>
  <si>
    <t>Asset Management, Banking</t>
  </si>
  <si>
    <t>1. 1-3 years security related experience or in a similar field
2. Bachelor’s degree in information security, information technology or computer science preferred
3. Experience in Splunk or other SIEM; Search and analysis, log aggregation etc.
4. Basic understanding of Agile Frameworks
5. Knowledge of common cyber threats, attack vectors, and security frameworks (NIST, MITRE ATT&amp;CK)
...</t>
  </si>
  <si>
    <t>Software Developer-Full Stack .NET/C# - Waverly, Iowa/Hybrid</t>
  </si>
  <si>
    <t>https://jobright.ai/jobs/info/694332ff50bbaf7650550a9b?utm_source=1100&amp;utm_campaign=Software Engineering</t>
  </si>
  <si>
    <t>Waverly, IA</t>
  </si>
  <si>
    <t>TruStage</t>
  </si>
  <si>
    <t>1. Bachelor’s degree in computer science, management information systems or equivalent work experience.
2. 1 -3 years recent work experience with demonstrated achievement developing, testing, debugging and documenting program logic in at least one or more in-house programming languages
3. 1 -3 years recent work experience with demonstrated achievement troubleshooting, determining root cause, resolving and documenting system issues
4. Ability to work on a Development Team, and step outside of typical job duties to help the team complete Sprint or Kanban Commitments.
5. Proven ability to problem solve effectively, analyze issues and think through resolution in a logical manner
...</t>
  </si>
  <si>
    <t>Associate Software Developer - Full Stack</t>
  </si>
  <si>
    <t>https://jobright.ai/jobs/info/6998182fce78e77b4fdcbf26?utm_source=1100&amp;utm_campaign=Software Engineering</t>
  </si>
  <si>
    <t>Vancouver, WA</t>
  </si>
  <si>
    <t>CRISALIS LLC</t>
  </si>
  <si>
    <t>$71865-$71865 /yr</t>
  </si>
  <si>
    <t>Database, Medical</t>
  </si>
  <si>
    <t>1. Ability to perform essential job duties with or without reasonable accommodation. Reasonable accommodation may be made to enable individuals with disabilities to perform the essential duties.
2. Strong understanding of Object-oriented development using its inheritance, structures, etc.
3. Solid understanding of the backend Microservices Architecture
4. 1+ years of technical experience in the Microsoft.NET web stack: (C#, VB.NET, .NET Core, ASP.NET)
5. 1+ years of technical experience using web technologies: HTML5, CSS3, JavaScript, Typescript and at least one of the following: Angular, React, Vue.js
...</t>
  </si>
  <si>
    <t>Junior Onderzoeker Computer Vision &amp; Artificial Intelligence</t>
  </si>
  <si>
    <t>https://jobright.ai/jobs/info/699987fee0bddb6acac8cf08?utm_source=1100&amp;utm_campaign=Software Engineering</t>
  </si>
  <si>
    <t>Friesland, WI</t>
  </si>
  <si>
    <t>Werken bij NHL Stenden</t>
  </si>
  <si>
    <t>€3.639,22-€5.699,76 /mon</t>
  </si>
  <si>
    <t>1. Je hebt minimaal een afgeronde Bachelor op het gebied van Computer Science, Data Science of vergelijkbaar.
2. Je hebt enige onderzoekservaring met moderne AI-modellen.
3. Je hebt aantoonbare ervaring in softwareontwikkeling in diverse programmeertalen waaronder Python.
4. Je hebt uitstekende communicatievaardigheden in het Engels.
5. Aangezien ons onderwijs ook in het Nederlands wordt gegeven, beschik je minimaal over basiskennis van de Nederlandse taal (lezen en luisteren) of ben je bereid deze te leren.
...</t>
  </si>
  <si>
    <t>New Grad Software Engineer</t>
  </si>
  <si>
    <t>https://jobright.ai/jobs/info/699a5ab7e0bddb6acac95ecd?utm_source=1100&amp;utm_campaign=Software Engineering</t>
  </si>
  <si>
    <t>Confido</t>
  </si>
  <si>
    <t>Consumer Software, FinTech</t>
  </si>
  <si>
    <t>1. Strong technical background with at least 1 summer of engineering internship experience (Backend or ML /AI experience highly preferred)
2. Scrappiness and interest in learning the ins and outs of the CPG industry</t>
  </si>
  <si>
    <t>AI Developer Technology Engineer, Financial Sector - New College Grad 2026, AI Developer Technology Engineer, Financial Sector - New College Grad 2026</t>
  </si>
  <si>
    <t>https://jobright.ai/jobs/info/699a74bce0bddb6acac98b07?utm_source=1100&amp;utm_campaign=Software Engineering</t>
  </si>
  <si>
    <t>Multi Location
New York, NY
Santa Clara, CA</t>
  </si>
  <si>
    <t>Systems Engineer</t>
  </si>
  <si>
    <t>https://jobright.ai/jobs/info/6999e89ee0bddb6acac9288a?utm_source=1100&amp;utm_campaign=Software Engineering</t>
  </si>
  <si>
    <t>Brooklyn, NY</t>
  </si>
  <si>
    <t>City of New York</t>
  </si>
  <si>
    <t>$77,394-$107,288 /yr</t>
  </si>
  <si>
    <t>Government, Legal</t>
  </si>
  <si>
    <t>1. Only those serving in the permanent civil service title of Computer Associate (Software) will be considered.
2. A baccalaureate degree from an accredited college including or supplemented by 24 semester credits in computer science or a related computer field and one year of satisfactory full-time computer software experience in computer systems development and analysis, applications programming, database administration, maintenance and support, systems programming, data communications, mainframe development, mobile development, web development and design; or
3. A four-year high school diploma or its educational equivalent and five years of satisfactory full-time computer software experience as described in '1' above; or
4. Education and or/or experience equivalent to '1' or '2' above. College education may be substituted for up to two years of the required experience in '2' above on the basis that 60 semester credits from an accredited college is equated to one year of experience. In addition, 24 semester credits from an accredited college or graduate school in computer science or a related field, or a certificate of at least 625 hours in computer programming from an accredited technical school (post high school), may be substituted for one year of experience. However, all candidates must have at least a four-year high school diploma or its educational equivalent and at least one year of satisfactory full-time experience as described in '1' above.
5. Manage Virtualization infrastructure including computer hardware, storage and network integration
...</t>
  </si>
  <si>
    <t>Simulation Engineer</t>
  </si>
  <si>
    <t>https://jobright.ai/jobs/info/699a167581476f6176b2b47b?utm_source=1100&amp;utm_campaign=Software Engineering</t>
  </si>
  <si>
    <t>1. Design visually and physically realistic diverse scenes.
2. Create new, specialized simulators optimized for high throughput, high fidelity data.
3. Work with our ML and research team to deploy and/or improve simulators.</t>
  </si>
  <si>
    <t>ADMIN, GIS DATABASE</t>
  </si>
  <si>
    <t>https://jobright.ai/jobs/info/699a791181476f6176b30b07?utm_source=1100&amp;utm_campaign=Software Engineering</t>
  </si>
  <si>
    <t>Texas City, TX</t>
  </si>
  <si>
    <t>Asplundh Tree Expert, LLC</t>
  </si>
  <si>
    <t>$64K-$106K /yr</t>
  </si>
  <si>
    <t>Infrastructure</t>
  </si>
  <si>
    <t>1. Bachelor's degree from four-year college or university in Computer Science, GIS, Geology, Geography, or related field with one to three years related experience, or equivalent combination of education and/or experience related to the discipline.
2. Some degree in demonstrated proficiency with ERSI products, in particular Workstation ArcInfo and ArcView.
3. Broad knowledge of GIS techniques and cartographic principles gained from formal training and work experience.
4. Ability to read, analyze, and assist in interpreting business periodicals, professional journals, technical procedures, or governmental regulations.
5. Ability to assist in writing reports, business correspondence, and procedure manuals.
...</t>
  </si>
  <si>
    <t>Jr. Automation Developer</t>
  </si>
  <si>
    <t>https://jobright.ai/jobs/info/6999e84be0bddb6acac92873?utm_source=1100&amp;utm_campaign=Software Engineering</t>
  </si>
  <si>
    <t>Bremerton, WA</t>
  </si>
  <si>
    <t>Kitsap Credit Union</t>
  </si>
  <si>
    <t>$80K-$83K /yr</t>
  </si>
  <si>
    <t>1. Familiarity with RPA tools like UiPath, Blue Prism, or Automation Anywhere is a plus.
2. You must get developer certification within 6 months of start date.
3. Strong analytical and problem-solving skills to understand and address business process requirements.
4. Solid understanding of financial processes and regulations.
5. Excellent verbal and written communication skills to interact effectively with team members and stakeholders.</t>
  </si>
  <si>
    <t>https://jobright.ai/jobs/info/6999dc17ce78e77b4fdeb3db?utm_source=1100&amp;utm_campaign=Software Engineering</t>
  </si>
  <si>
    <t>BioSpace</t>
  </si>
  <si>
    <t>Biotechnology, Communities</t>
  </si>
  <si>
    <t>Data Scientist - Agentic AI / ML</t>
  </si>
  <si>
    <t>https://jobright.ai/jobs/info/6999df77e0bddb6acac90e87?utm_source=1100&amp;utm_campaign=Software Engineering</t>
  </si>
  <si>
    <t>$120K-$164K /yr</t>
  </si>
  <si>
    <t>1. Advanced degree (MS or PhD) in a quantitative field (e.g., Statistics, Computer Science, Economics, Operations Research).
2. 0-2 years of industry experience in applied machine learning or related AI work.
3. Hands-on experience building GenAI-focused applications (e.g., agents, reasoning workflows, or RAG) and a solid understanding of how large language models are architected and operated.
4. Can work collaboratively with cross-functional teams.
5. Hands-on experience with building GenAI-focused application and applying LLMs and agentic AI (e.g., agents, reasoning workflows, or RAG).
...</t>
  </si>
  <si>
    <t>1. Master's degree in a related field, such as computer science, information management, software/system engineering, cyber security or mathematics
2. Preferred GPA of 3.0 or above
3. Proficiency in C/C++, .Net, C#, Operating Systems, Networking principles, Algorithms, Multi-threading
4. Python and AI/ML platforms and tools experience a plus
5. Proficiency in Agile development and rapid prototyping
...</t>
  </si>
  <si>
    <t>Design Engineer, Design Intelligence</t>
  </si>
  <si>
    <t>https://jobright.ai/jobs/info/692a1d11fa28370be2696739?utm_source=1100&amp;utm_campaign=Software Engineering</t>
  </si>
  <si>
    <t>Block</t>
  </si>
  <si>
    <t>$217800-$326800 /yr</t>
  </si>
  <si>
    <t>1. Experience shipping software or tools that solve real problems, in professional, academic, or independent settings.
2. Hands-on work in design engineering, design systems, creative tooling, or related hybrid roles.
3. Comfort working with modern front-end technologies.
4. Exposure to AI or ML systems such as working with APIs, LLMs, or agent-based tools at any depth.
5. Familiarity with UI and product workflow tools used by designers and engineers.
...</t>
  </si>
  <si>
    <t>https://jobright.ai/jobs/info/69619d44a112b4026610348c?utm_source=1100&amp;utm_campaign=Software Engineering</t>
  </si>
  <si>
    <t>Multi Location
Rosemont, IL
United States</t>
  </si>
  <si>
    <t>$80K-$120K /yr</t>
  </si>
  <si>
    <t>Health Care, Information Technology</t>
  </si>
  <si>
    <t>1. A relevant technical BA/ BS Degree and one year of experience, or three years of relevant professional experience in web-based software development, ideally full stack RESTful API.
2. At least 1 year experience with at least one of the following general-purpose programming languages, including but not limited to: JavaScript, Angular(16+), Typescript, Python, C#, .NET, GoLang.
3. A willingness to ask for help and able to communicate what you need to do your best work.
4. Any amount of experience working with cloud technologies (AWS preferred).
5. Any amount of experience software construction and principles.
...</t>
  </si>
  <si>
    <t>1. Graduating with a CS or Software Engineering degree in Dec 2025 or by Summer 2026
2. Some industry software engineering experience
3. Problem solver and out-of-the-box thinker
4. Willing to take risks and build product and systems for 1M+ users
5. Capable of building scalable systems
...</t>
  </si>
  <si>
    <t>Software Engineer I, Fullstack, Risk Engineering (New Grad - 2025)</t>
  </si>
  <si>
    <t>https://jobright.ai/jobs/info/6999e7c5e0bddb6acac92847?utm_source=1100&amp;utm_campaign=Software Engineering</t>
  </si>
  <si>
    <t>RemoteHunter</t>
  </si>
  <si>
    <t>$125K-$153K /yr</t>
  </si>
  <si>
    <t>1. Bachelor’s degree in Computer Science or related field or equivalent practical experience.
2. Strong knowledge of Java and object-oriented programming principles.
3. Experience with React or React Native and proficiency in TypeScript.
4. Understanding of data structures, algorithms, and basic system design concepts.
5. Familiarity with REST APIs and service-oriented architectures.
...</t>
  </si>
  <si>
    <t>https://jobright.ai/jobs/info/6945b73163141d18845546b4?utm_source=1100&amp;utm_campaign=Software Engineering</t>
  </si>
  <si>
    <t>Yaskawa Motoman</t>
  </si>
  <si>
    <t>$110K-$137K /yr</t>
  </si>
  <si>
    <t>Industrial Automation, Machinery Manufacturing</t>
  </si>
  <si>
    <t>1. Bachelor of Science degree in Engineering from a four-year college or university
2. Minimum of one (1) year related experience with Microsoft C# .NET development environment
3. Hands-on C/C++, C# .NET software programming of hardware and/or automation devices
4. Solid understanding of unit testing, integration testing and test automation best practices
5. Flexible and adaptable in regard to learning and understanding new technologies
...</t>
  </si>
  <si>
    <t>https://jobright.ai/jobs/info/6999bcdf81476f6176b282ff?utm_source=1100&amp;utm_campaign=Software Engineering</t>
  </si>
  <si>
    <t>$98900-$148300 /yr</t>
  </si>
  <si>
    <t>Apps, Collaboration</t>
  </si>
  <si>
    <t>1. Minimum of 1 year (and up to 3 years) of full-time professional engineering experience, including building world-class product experiences as part of an engineering team.
2. Solid fundamentals in data structures, algorithms, and distributed systems.
3. Product-minded, pragmatic approach to solving problems.
4. Thoughtful problem-solving: approach problems holistically, starting with a clear and accurate understanding of the context.
5. Ability to navigate ambiguity successfully and decompose complex problems into clean solutions.
...</t>
  </si>
  <si>
    <t>https://jobright.ai/jobs/info/697db78c7f40342e15d69e6c?utm_source=1100&amp;utm_campaign=Software Engineering</t>
  </si>
  <si>
    <t>$140K-$160K /yr</t>
  </si>
  <si>
    <t>1. PhD in Mathematics, Physics, Computer Science, Engineering, or another technical field.
2. 1+ years of direct industry work experience in one or more of the following areas: data science, data analytics or data engineering.
3. 1+ years of experience with Machine Learning, statistics and probability, algorithm development, and data analytics.
4. Hands on experience with Large Language Models (LLMs) or Large Multimodal Models (LMMs).
5. Strong proficiency with programming and querying languages like Python and SQL.
...</t>
  </si>
  <si>
    <t>Junior DevOps Engineer</t>
  </si>
  <si>
    <t>https://jobright.ai/jobs/info/697d0030137a05102565f756?utm_source=1100&amp;utm_campaign=Software Engineering</t>
  </si>
  <si>
    <t>$73K-$108K /yr</t>
  </si>
  <si>
    <t>Consumer Electronics, Home Improvement</t>
  </si>
  <si>
    <t>1. Demonstrate the ability to learn and expand your realm of expertise
2. Ability to recognize patterns and forge solutions
3. Curious about debugging both OS and application issues
4. Interested in designing and automating software builds and deployments
5. Desire to bulletproof the scaling of centralized services such as logging and metrics
...</t>
  </si>
  <si>
    <t>https://jobright.ai/jobs/info/6999c01bce78e77b4fdeac47?utm_source=1100&amp;utm_campaign=Software Engineering</t>
  </si>
  <si>
    <t>1. Bachelor's degree in Computer Science, Electrical Engineering, Electronic Engineering, or related field.
2. 1+ years of experience in ISP algorithms and designs, including AE, AWB, and AF
3. 1+ years of experience in image‑quality evaluation tools (e.g., Imatest) and tuning equipment (e.g., light booths)
4. 1+ years of experience in strong programming skills in C and C++
5. 1+ years of experience in software development for mobile or embedded platforms
...</t>
  </si>
  <si>
    <t>Security Engineer I, Security Incident Response Team (SIRT), Security Incident Response Team (SIRT)</t>
  </si>
  <si>
    <t>https://jobright.ai/jobs/info/697dc22ece48107c05420ba5?utm_source=1100&amp;utm_campaign=Software Engineering</t>
  </si>
  <si>
    <t>1. Bachelor's degree in Cybersecurity, Information Security, or a related field
2. Experience working as part of a computer Security Incident Response Team (CSIRT) or Product Security Incident Response Team (PSIRT)
3. Experience with common security monitoring, log analysis and forensic tools</t>
  </si>
  <si>
    <t>https://jobright.ai/jobs/info/6944ba7f50bbaf765056d1cd?utm_source=1100&amp;utm_campaign=Software Engineering</t>
  </si>
  <si>
    <t>Multi Location
San Jose, CA
Las Vegas, NV
Minneapolis, MN
Chicago, IL
Houston, TX
Cleveland, OH
Pittsburgh, PA
Detroit, MI
Richmond, VA
Sioux Falls, SD
Charlotte, NC
San Francisco, CA
Dallas, TX
Boise, ID
Boulder, CO
Denver, CO
Portland, OR
Boston, MA
Seattle, WA
Philadelphia, PA
Raleigh, NC
Salt Lake City, UT
St Louis, MO
Palo Alto, CA
Miami, FL
Washington, DC
New York, NY
Los Angeles, CA
Nashville, TN
Baltimore, MD
Phoenix, AZ
Austin, TX
Madison, WI
Atlanta, GA
San Diego, CA</t>
  </si>
  <si>
    <t>Engineer I, Applied LLM Team</t>
  </si>
  <si>
    <t>https://jobright.ai/jobs/info/697de0867f40342e15d6c87d?utm_source=1100&amp;utm_campaign=Software Engineering</t>
  </si>
  <si>
    <t>Magnite</t>
  </si>
  <si>
    <t>Advertising, Advertising Platforms</t>
  </si>
  <si>
    <t>1. 1 to 2 years of software development experience - internships, research projects, coursework or open-source contributions all count.
2. Strong programming skills in Python or JavaScript/TypeScript.
3. Interest in applied AI or LLMs - experience with APIs like OpenAI, Anthropic or open-source models is a plus.
4. Basic understanding of backend systems - APIs, databases (SQL/Postgres) and cloud platforms (AWS preferred).
5. Curiosity and a growth mindset - you love learning new tools and exploring how AI can solve real problems.
...</t>
  </si>
  <si>
    <t>https://jobright.ai/jobs/info/6999ac18e0bddb6acac8fcaa?utm_source=1100&amp;utm_campaign=Software Engineering</t>
  </si>
  <si>
    <t>Multi Location
Redmond, WA
United States</t>
  </si>
  <si>
    <t>1. Bachelor's Degree in Computer Science, or related technical discipline with proven experience coding in languages including, but not limited to, C, C++, C#, Java, JavaScript, or Python
2. Solid understanding of modern programming languages and frameworks (C#, Java, TypeScript, or equivalent)
3. Demonstrated skills in coding, debugging, design, and problem-solving in large-scale systems
4. Strong written and verbal English communication skills
5. Ability to meet Microsoft, customer and/or government security screening requirements are required for this role</t>
  </si>
  <si>
    <t>Application Developer 1-5 - PeopleSoft (TCU)</t>
  </si>
  <si>
    <t>https://jobright.ai/jobs/info/691cf2e0bcdbf3560c9eb977?utm_source=1100&amp;utm_campaign=Software Engineering</t>
  </si>
  <si>
    <t>Metropolitan Transportation Authority</t>
  </si>
  <si>
    <t>$57K-$99K /yr</t>
  </si>
  <si>
    <t>1. Strong hands-on experience with PeopleSoft development tools: PeopleCode, Application Engine, Application Packages, Component Interfaces, Integration Broker, SQR, and BI Publisher.
2. Proficiency in PeopleSoft HCM modules.
3. Familiarity with SQL/PLSQL.
4. Knowledge of Oracle databases and performance tuning.
5. Basic programming skills in MTA IT-supported languages and software packages; basic knowledge of secure coding techniques is a plus.
...</t>
  </si>
  <si>
    <t>https://jobright.ai/jobs/info/6999c46bce78e77b4fdead01?utm_source=1100&amp;utm_campaign=Software Engineering</t>
  </si>
  <si>
    <t>Multi Location
Lexington, KY
Lexington,KY,US</t>
  </si>
  <si>
    <t>National Association of State Procurement Officials</t>
  </si>
  <si>
    <t>$60000-$72000 /yr</t>
  </si>
  <si>
    <t>Business Intelligence, Non Profit</t>
  </si>
  <si>
    <t>1. Must be able to perform duties accurately and independently.
2. Must be able to prioritize tasks and meet deadlines.
3. Must be able to work with members and associates in person or over the phone, in a courteous, pleasant, professional, and efficient manner.
4. Ability to handle multiple tasks, projects, and priorities effectively and professionally.
5. High school (or equivalent) or applicable Tech certification(s) (hardware/software tech support preferable)</t>
  </si>
  <si>
    <t>Software Engineer in Test - (Mobile)</t>
  </si>
  <si>
    <t>https://jobright.ai/jobs/info/698fbeb06ea51a7610f229aa?utm_source=1100&amp;utm_campaign=Software Engineering</t>
  </si>
  <si>
    <t>Multi Location
San Jose, CA
Austin, TX</t>
  </si>
  <si>
    <t>Venmo</t>
  </si>
  <si>
    <t>1. 1+ years relevant experience and a Bachelor’s degree OR Any equivalent combination of education and experience.
2. Proven experience in mobile app automation for Android and iOS platforms.
3. Proficiency in testing frameworks like Appium, Espresso, and XCTest.
4. Strong programming skills in Python, NodeJS, Kotlin, or Swift.
5. Familiarity with CI/CD tools such as Jenkins, GitHub Actions, or similar.
...</t>
  </si>
  <si>
    <t>https://jobright.ai/jobs/info/6897e5ed73b3a600fe8a112f?utm_source=1100&amp;utm_campaign=Software Engineering</t>
  </si>
  <si>
    <t>1. Have 0-2+ years of experience and a minimum of a BS and/or MS in Computer Science
2. Have excellent knowledge of computer science fundamentals including data structures, algorithms, and coding
3. Professional experience with C++ and/or Java is a plus
4. Experience independently creating and maintaining projects</t>
  </si>
  <si>
    <t>Software Engineer II (Full Time) - United States</t>
  </si>
  <si>
    <t>https://jobright.ai/jobs/info/6986b6398da7a6120461a134?utm_source=1100&amp;utm_campaign=Software Engineering</t>
  </si>
  <si>
    <t>Multi Location
Triangle, NC
San Jose, CA
Washington, DC</t>
  </si>
  <si>
    <t>$109900-$200100 /yr</t>
  </si>
  <si>
    <t>1. Recent graduate or in your final year of studies toward a MBA or a related graduate-level business program in Computer Science, Computer Engineering, or related major such as Cybersecurity.
2. Proficiency in at least one of the following programming or scripting languages: C/C++, Python, or Java, with evidence of recent (within the past 12 months) coursework, projects, or work experience.
3. Experience in QA, testing, and/or debugging.</t>
  </si>
  <si>
    <t>https://jobright.ai/jobs/info/697d35cb137a05102566432f?utm_source=1100&amp;utm_campaign=Software Engineering</t>
  </si>
  <si>
    <t>1. Bachelor of Computer Science or Engineering or experience in related fields
2. Experience with agile development methodologies and Test-Driven Development (TDD)
3. Knowledge of business concepts tools and processes that are needed for making sound decisions in the context of the company's business
4. Excellent problem solving, communication and collaboration skills
5. Experience with the following: Programming Languages: Python, Java or Java Script; working in distributed systems, object oriented programming, design patterns and design methodology; JAVA services using Spring CLI
...</t>
  </si>
  <si>
    <t>Embedded Software Engineer I</t>
  </si>
  <si>
    <t>https://jobright.ai/jobs/info/69997b5781476f6176b23c64?utm_source=1100&amp;utm_campaign=Software Engineering</t>
  </si>
  <si>
    <t>Keurig Dr Pepper Inc.</t>
  </si>
  <si>
    <t>$62K-$90K /yr</t>
  </si>
  <si>
    <t>Coffee, Food and Beverage</t>
  </si>
  <si>
    <t>1. Bachelor’s degree in Computer Science, Computer Engineering, Electrical Engineering, or a related field
2. 0–2 years of relevant experience (internships or co-op experience included)
3. Basic understanding of the software development lifecycle (SDLC)</t>
  </si>
  <si>
    <t>https://jobright.ai/jobs/info/6999766f81476f6176b234ea?utm_source=1100&amp;utm_campaign=Software Engineering</t>
  </si>
  <si>
    <t>https://jobright.ai/jobs/info/6961d3e4f3f4cd132506d312?utm_source=1100&amp;utm_campaign=Software Engineering</t>
  </si>
  <si>
    <t>$77K-$152K /yr</t>
  </si>
  <si>
    <t>1. Employer will accept a Bachelor's/advanced degree in Information Systems Management, Computer Science, Computer Engineering, Information Technology, Software Engineering or related field and 0-1+ years of experience in the job offered or in a Software Development Engineer-related occupation.
2. BS in computer science, MS in computer science preferred.
3. Passion for developing high-quality software applications Analytical thinking and problem-solving skills
4. Good understanding of data structure and algorithms
5. Strong communication to articulate ideas and strategies
...</t>
  </si>
  <si>
    <t>https://jobright.ai/jobs/info/697cfa0d137a05102565f41e?utm_source=1100&amp;utm_campaign=Software Engineering</t>
  </si>
  <si>
    <t>Shoreview, MN</t>
  </si>
  <si>
    <t>$72K-$105K /yr</t>
  </si>
  <si>
    <t>1. Ability to commute to the Shoreview, MN office 2-3 days a week.
2. Hands-on tool development and automation experience with: GitLab, GitHub, Python, Bash, Docker, Kubernetes
3. Experience building and maintaining CI/CD pipelines at scale.
4. Strong troubleshooting skills across distributed systems and SaaS architectures.
5. Familiarity with cloud platforms (Azure or AWS).
...</t>
  </si>
  <si>
    <t>Software Engineer in Test</t>
  </si>
  <si>
    <t>https://jobright.ai/jobs/info/697d7d413f57a33569676699?utm_source=1100&amp;utm_campaign=Software Engineering</t>
  </si>
  <si>
    <t>1. 1+ years relevant experience and a Bachelor’s degree OR Any equivalent combination of education and experience.
2. Proficiency in creating test plans, test cases, and executing E2E test scenarios
3. Strong problem-solving and debugging skills
4. Keen eye for quality, with a passion for preventing issues before they impact user
5. Strong interpersonal and communication skills to work effectively within cross-functional teams</t>
  </si>
  <si>
    <t>https://jobright.ai/jobs/info/69914add0f6f7e7a2ced8c1d?utm_source=1100&amp;utm_campaign=Software Engineering</t>
  </si>
  <si>
    <t>Multi Location
San Jose, CA
Lehi, UT</t>
  </si>
  <si>
    <t>1. Bachelor’s degree or equivalent experience in Computer Science (or related field) with 1–3 years of software engineering experience (including internships and academic projects).
2. Strong programming skills in at least one language such as Java, Python, or Scala.
3. Interest in distributed systems, cloud infrastructure, or large-scale data processing.
4. Problem-solving attitude, curiosity, and a collaborative approach to building solutions.</t>
  </si>
  <si>
    <t>https://jobright.ai/jobs/info/699980dfce78e77b4fde6c6b?utm_source=1100&amp;utm_campaign=Software Engineering</t>
  </si>
  <si>
    <t>Multi Location
Austin, TX
Bellevue, WA
Nashville, TN</t>
  </si>
  <si>
    <t>https://jobright.ai/jobs/info/6960462aa112b402660f13a3?utm_source=1100&amp;utm_campaign=Software Engineering</t>
  </si>
  <si>
    <t>Medpace</t>
  </si>
  <si>
    <t>$70K-$145K /yr</t>
  </si>
  <si>
    <t>Biotechnology, Pharmaceutical</t>
  </si>
  <si>
    <t>1. Bachelor's Degree in Computer Science or closely related.
2. 3.5 GPA or higher
3. Software development experience using C#, Angular or similar JavaScript framework, HTML5, and CSS3.
4. Excellent analytical, written, and oral communication skills.
5. Excellent computer skills.</t>
  </si>
  <si>
    <t>Snapchat</t>
  </si>
  <si>
    <t>Snapchat - Software Engineer Machine Learning - H126SWEMLI2</t>
  </si>
  <si>
    <t>https://wd1.myworkdaysite.com/en-US/recruiting/snapchat/snap/job/Software-Engineer--ML-Infrastructure--Level-4_H126SWEMLI2-1</t>
  </si>
  <si>
    <t xml:space="preserve">Reject </t>
  </si>
  <si>
    <t>Ananya: Mostly i was 2 weeks late for the position</t>
  </si>
  <si>
    <t>Snapchat - Software Engineer Backend - Q126SWEB2</t>
  </si>
  <si>
    <t>sai</t>
  </si>
  <si>
    <t>Snoflake -  Software Engineer -  ASHREQ-5421</t>
  </si>
  <si>
    <t>https://careers.snowflake.com/us/en/job/SNCOUS7791AB6A66D34A20BCE877FFC470EA41EXTERNALENUS5F4AE8D3BF84430D8F9F325F14DDF947/Software-Engineer-APG?utm_source=Q2P9NP2NNP&amp;utm_medium=phenom-feeds&amp;gh_src=ed5543a62</t>
  </si>
  <si>
    <t>Requested</t>
  </si>
  <si>
    <t>Stripe - Software Engineering - New Grad</t>
  </si>
  <si>
    <t>https://stripe.com/jobs/listing/software-engineer-new-grad/7210112?gh_src=73vnei</t>
  </si>
  <si>
    <t>Google - Software Engineering II</t>
  </si>
  <si>
    <t>Amazon SDE</t>
  </si>
  <si>
    <t>Meet*2</t>
  </si>
  <si>
    <t xml:space="preserve">Amazon Software Engineering </t>
  </si>
  <si>
    <t>Sradha</t>
  </si>
  <si>
    <t xml:space="preserve">Cisco - 2007003 Software Engineer 1 </t>
  </si>
  <si>
    <t>Aman Jain</t>
  </si>
  <si>
    <t xml:space="preserve">Software Engineering </t>
  </si>
  <si>
    <t>Ankit Jain</t>
  </si>
  <si>
    <t>Desi Runner Community he said he will reply today a k a 21st of feb</t>
  </si>
  <si>
    <t>Gold Man Sach</t>
  </si>
  <si>
    <t xml:space="preserve">Sai </t>
  </si>
  <si>
    <t>https://www.amazon.jobs/en/jobs/3185058/software-development-engineer?cmpid=SPLICX0248M&amp;utm_source=jobright&amp;utm_campaign=cxro&amp;utm_medium=social_media&amp;utm_content=job_posting&amp;ss=paid</t>
  </si>
  <si>
    <t>Meet</t>
  </si>
  <si>
    <t>https://boards.greenhouse.io/embed/job_app?token=4613319005&amp;utm_source=jobright</t>
  </si>
  <si>
    <t>Software Engineering 2 ID2007168</t>
  </si>
  <si>
    <t>https://careers.cisco.com/global/en/job/2007168/Software-Engineer-II-Full-Time-United-States</t>
  </si>
  <si>
    <t>Pending</t>
  </si>
  <si>
    <t>Yash</t>
  </si>
  <si>
    <t>ID2007168</t>
  </si>
  <si>
    <t>https://internal-careers-rivian.icims.com/jobs/26472/software-engineer-ii%2c-full-stack-%28qms%29/job</t>
  </si>
  <si>
    <t>I hope you're doing well! I previously worked as an SDE2 at Bounteous and am pursuing my Master’s in Data Science from Stony Brook University. I came across the Software Engineer II position with Job ID: 26472 at Rivian, and wanted to check if you’d be open to reviewing my resume or referring me. Thank you!</t>
  </si>
  <si>
    <t>Project Multi Purpose Resume</t>
  </si>
  <si>
    <t xml:space="preserve"> Paypal</t>
  </si>
  <si>
    <t>Software Engineer , Java</t>
  </si>
  <si>
    <t>http://paypal.eightfold.ai/careers/job/274917022927?source=JobBoardIndeed-Organic</t>
  </si>
  <si>
    <t>I hope you're doing well! I previously worked as an SDE2 at Bounteous and am pursuing my Master’s in Data Science from Stony Brook University. I came across the Software Engineer, Java position with Job ID: R0133240 at Paypal, and wanted to check if you’d be open to reviewing my resume or referring me. Thank you!</t>
  </si>
  <si>
    <t>DEC</t>
  </si>
  <si>
    <t>JAN</t>
  </si>
  <si>
    <t>FEB</t>
  </si>
  <si>
    <t>MAR</t>
  </si>
  <si>
    <t>APR</t>
  </si>
  <si>
    <t>MAY</t>
  </si>
  <si>
    <t>JUN</t>
  </si>
  <si>
    <t>JUL</t>
  </si>
  <si>
    <t>AUG</t>
  </si>
  <si>
    <t>SEP</t>
  </si>
  <si>
    <t>OCT</t>
  </si>
  <si>
    <t>NOV</t>
  </si>
  <si>
    <t>P</t>
  </si>
  <si>
    <t>Amazing</t>
  </si>
  <si>
    <t>AP</t>
  </si>
  <si>
    <t>Academic Productive</t>
  </si>
  <si>
    <t>Good</t>
  </si>
  <si>
    <t>Productive</t>
  </si>
  <si>
    <t>Mediocre</t>
  </si>
  <si>
    <t>NP</t>
  </si>
  <si>
    <t>Not at all Productive</t>
  </si>
  <si>
    <t>Poor</t>
  </si>
  <si>
    <t>ILL</t>
  </si>
  <si>
    <t>Literally ILL</t>
  </si>
  <si>
    <t>Nightmare</t>
  </si>
  <si>
    <t>D</t>
  </si>
  <si>
    <t>Demotivated</t>
  </si>
  <si>
    <t>ST</t>
  </si>
  <si>
    <t>Stressed</t>
  </si>
  <si>
    <t>Date</t>
  </si>
  <si>
    <t>Comments</t>
  </si>
  <si>
    <t>29th December</t>
  </si>
  <si>
    <r>
      <rPr>
        <rFont val="Arial"/>
        <b/>
        <color theme="1"/>
        <sz val="10.0"/>
      </rPr>
      <t>Mailroom</t>
    </r>
    <r>
      <rPr>
        <rFont val="Arial"/>
        <color theme="1"/>
        <sz val="10.0"/>
      </rPr>
      <t xml:space="preserve"> 
Total time spent </t>
    </r>
    <r>
      <rPr>
        <rFont val="Arial"/>
        <b/>
        <color theme="1"/>
        <sz val="10.0"/>
      </rPr>
      <t>11AM - 4PM</t>
    </r>
    <r>
      <rPr>
        <rFont val="Arial"/>
        <color theme="1"/>
        <sz val="10.0"/>
      </rPr>
      <t xml:space="preserve"> not alot of work got some time to spend on resume but need to come up with a plan by EOY.
</t>
    </r>
    <r>
      <rPr>
        <rFont val="Arial"/>
        <b/>
        <color theme="1"/>
        <sz val="10.0"/>
      </rPr>
      <t>Good:</t>
    </r>
    <r>
      <rPr>
        <rFont val="Arial"/>
        <color theme="1"/>
        <sz val="10.0"/>
      </rPr>
      <t xml:space="preserve"> Recieved Deskmate (Manifestation works feels like)
</t>
    </r>
    <r>
      <rPr>
        <rFont val="Arial"/>
        <b/>
        <color theme="1"/>
        <sz val="10.0"/>
      </rPr>
      <t>Bad:</t>
    </r>
    <r>
      <rPr>
        <rFont val="Arial"/>
        <color theme="1"/>
        <sz val="10.0"/>
      </rPr>
      <t xml:space="preserve"> Alot of mails, told angelique about the missing timesheet
</t>
    </r>
    <r>
      <rPr>
        <rFont val="Arial"/>
        <b/>
        <color theme="1"/>
        <sz val="10.0"/>
      </rPr>
      <t>Costco:</t>
    </r>
    <r>
      <rPr>
        <rFont val="Arial"/>
        <color theme="1"/>
        <sz val="10.0"/>
      </rPr>
      <t xml:space="preserve">
Sirji got the membership spend around 2 hours store was mid but enjoyed
</t>
    </r>
    <r>
      <rPr>
        <rFont val="Arial"/>
        <b/>
        <color theme="1"/>
        <sz val="10.0"/>
      </rPr>
      <t>Good:</t>
    </r>
    <r>
      <rPr>
        <rFont val="Arial"/>
        <color theme="1"/>
        <sz val="10.0"/>
      </rPr>
      <t xml:space="preserve"> Bought Rice for 20.48$ cheaper then what i was placing order on Amazon same for 15LB 
</t>
    </r>
    <r>
      <rPr>
        <rFont val="Arial"/>
        <b/>
        <color theme="1"/>
        <sz val="10.0"/>
      </rPr>
      <t>Bad:</t>
    </r>
    <r>
      <rPr>
        <rFont val="Arial"/>
        <color theme="1"/>
        <sz val="10.0"/>
      </rPr>
      <t xml:space="preserve"> Was not able to complete task in hand
</t>
    </r>
    <r>
      <rPr>
        <rFont val="Arial"/>
        <b/>
        <color theme="1"/>
        <sz val="10.0"/>
      </rPr>
      <t xml:space="preserve">1 Harriet St:
</t>
    </r>
    <r>
      <rPr>
        <rFont val="Arial"/>
        <color theme="1"/>
        <sz val="10.0"/>
      </rPr>
      <t xml:space="preserve">Need to spend task being more productive, Fees paid by BOB finaily - Indian banking system need better people in this era tbh.
</t>
    </r>
    <r>
      <rPr>
        <rFont val="Arial"/>
        <b/>
        <color theme="1"/>
        <sz val="10.0"/>
      </rPr>
      <t>Good:</t>
    </r>
    <r>
      <rPr>
        <rFont val="Arial"/>
        <color theme="1"/>
        <sz val="10.0"/>
      </rPr>
      <t xml:space="preserve"> Starting of recording days sounds fun, got puma socks for 10 for 10 very good deal.
Tried Spotify's feature to add 8 second of buffer mix between songs curently nuteral feeling to be honest</t>
    </r>
    <r>
      <rPr>
        <rFont val="Arial"/>
        <b/>
        <color theme="1"/>
        <sz val="10.0"/>
      </rPr>
      <t xml:space="preserve">
Bad:</t>
    </r>
    <r>
      <rPr>
        <rFont val="Arial"/>
        <color theme="1"/>
        <sz val="10.0"/>
      </rPr>
      <t xml:space="preserve"> Second time failed to make paneer, beacuse of the onions, need to keep it in mind that i have grid and cook at the same time.
Droped my phone i guess i got a scratch but i still feel like without cover is my style
Getting the feeling like i am becoming more like nanu where he used to record his feeling or daily activty in a dairy and i am using google sheets lol
This feeling is not that i am getting old but more like i am getting more educated about life maybe but definatelty not because i am getting old for sure
Miss you nanu</t>
    </r>
  </si>
  <si>
    <t>30th December</t>
  </si>
  <si>
    <r>
      <rPr>
        <rFont val="Arial"/>
        <b/>
        <color theme="1"/>
        <sz val="10.0"/>
      </rPr>
      <t>Mailroom:</t>
    </r>
    <r>
      <rPr>
        <rFont val="Arial"/>
        <color theme="1"/>
        <sz val="10.0"/>
      </rPr>
      <t xml:space="preserve"> Total Time spent </t>
    </r>
    <r>
      <rPr>
        <rFont val="Arial"/>
        <b/>
        <color theme="1"/>
        <sz val="10.0"/>
      </rPr>
      <t>11AM - 4PM</t>
    </r>
    <r>
      <rPr>
        <rFont val="Arial"/>
        <color theme="1"/>
        <sz val="10.0"/>
      </rPr>
      <t xml:space="preserve"> was tired because i didnt got a good amount of sleep yesterday mike point out 2 mistake, 
one in mail hunt and second one was non TBA scan then when i was talking to heather on phone i flaged one locker too, 
not my day at mailroom for sure.
</t>
    </r>
    <r>
      <rPr>
        <rFont val="Arial"/>
        <b/>
        <color theme="1"/>
        <sz val="10.0"/>
      </rPr>
      <t>1 Harriet St:</t>
    </r>
    <r>
      <rPr>
        <rFont val="Arial"/>
        <color theme="1"/>
        <sz val="10.0"/>
      </rPr>
      <t xml:space="preserve">
</t>
    </r>
    <r>
      <rPr>
        <rFont val="Arial"/>
        <b/>
        <color theme="1"/>
        <sz val="10.0"/>
      </rPr>
      <t>Good:</t>
    </r>
    <r>
      <rPr>
        <rFont val="Arial"/>
        <color theme="1"/>
        <sz val="10.0"/>
      </rPr>
      <t xml:space="preserve"> Fees think for Fall 2025 got resolved, got to eat watermaleon after years for sure, filled petrol for car 48$</t>
    </r>
    <r>
      <rPr>
        <rFont val="Arial"/>
        <b/>
        <color theme="1"/>
        <sz val="10.0"/>
      </rPr>
      <t xml:space="preserve">
Bad: </t>
    </r>
    <r>
      <rPr>
        <rFont val="Arial"/>
        <color theme="1"/>
        <sz val="10.0"/>
      </rPr>
      <t>Slept at 4 AM, Reached home at 5:30PM and slept till 8:30PM watched Demons Slayer and didnt have mood to do anything</t>
    </r>
  </si>
  <si>
    <t>31st December</t>
  </si>
  <si>
    <r>
      <rPr>
        <rFont val="Arial"/>
        <b/>
        <color theme="1"/>
        <sz val="10.0"/>
      </rPr>
      <t>Mailroom: Reached exact 9AM today total time spent was 9:00AM - 1:00PM, did literally nothing till the time i am filling this daily notes.</t>
    </r>
    <r>
      <rPr>
        <rFont val="Arial"/>
        <color theme="1"/>
        <sz val="10.0"/>
      </rPr>
      <t xml:space="preserve">
Hopefully i will be able to compelte the new sheet by eod today, need to think about the reusme format, need to apply for the RA posistion as well damn.
</t>
    </r>
    <r>
      <rPr>
        <rFont val="Arial"/>
        <b/>
        <color theme="1"/>
        <sz val="10.0"/>
      </rPr>
      <t>1 Harriet St:</t>
    </r>
    <r>
      <rPr>
        <rFont val="Arial"/>
        <color theme="1"/>
        <sz val="10.0"/>
      </rPr>
      <t xml:space="preserve">
</t>
    </r>
    <r>
      <rPr>
        <rFont val="Arial"/>
        <b/>
        <color theme="1"/>
        <sz val="10.0"/>
      </rPr>
      <t>Good: It snowed for a while, mooraish flight got cancel sad, need to complete the sheet.</t>
    </r>
    <r>
      <rPr>
        <rFont val="Arial"/>
        <color theme="1"/>
        <sz val="10.0"/>
      </rPr>
      <t xml:space="preserve">
</t>
    </r>
    <r>
      <rPr>
        <rFont val="Arial"/>
        <b/>
        <color theme="1"/>
        <sz val="10.0"/>
      </rPr>
      <t>Bad: Need to be more productive</t>
    </r>
  </si>
  <si>
    <t>Expectation for the Month of January 2026:
1. Need to be more productive when it comes to job applications 
2. You are gonna be turning 27 this year act like one take responsibilites make better decissions
3. Control your diet 
4.
5.</t>
  </si>
  <si>
    <t>Month</t>
  </si>
  <si>
    <t>Week</t>
  </si>
  <si>
    <t>Day</t>
  </si>
  <si>
    <t>OA</t>
  </si>
  <si>
    <t>Referral</t>
  </si>
  <si>
    <t>Application Applied Time</t>
  </si>
  <si>
    <t>Number of Applicant</t>
  </si>
  <si>
    <t>OA Deadline</t>
  </si>
  <si>
    <t>Referral Count</t>
  </si>
  <si>
    <t>Requested Referral Person Name</t>
  </si>
  <si>
    <t>Response</t>
  </si>
  <si>
    <t>Week Number</t>
  </si>
  <si>
    <t>Week Start Date</t>
  </si>
  <si>
    <t>Day Number</t>
  </si>
  <si>
    <t>Oct 2025</t>
  </si>
  <si>
    <t>Fri</t>
  </si>
  <si>
    <t>2025-W44</t>
  </si>
  <si>
    <t>2025-10</t>
  </si>
  <si>
    <t>Yes</t>
  </si>
  <si>
    <t>2nd Jan 3:18PM</t>
  </si>
  <si>
    <t>Nov 2025</t>
  </si>
  <si>
    <t>Sat</t>
  </si>
  <si>
    <t>2025-11</t>
  </si>
  <si>
    <t>Sun</t>
  </si>
  <si>
    <t>Reject</t>
  </si>
  <si>
    <t>Mon</t>
  </si>
  <si>
    <t>2025-W45</t>
  </si>
  <si>
    <t>Tue</t>
  </si>
  <si>
    <t>Ipsita, Sakshi</t>
  </si>
  <si>
    <t xml:space="preserve">Need to ask for Refferal </t>
  </si>
  <si>
    <t>Vamsi Krishna Sundaraneedi</t>
  </si>
  <si>
    <t>Automoted OA * 6</t>
  </si>
  <si>
    <t>Wed</t>
  </si>
  <si>
    <t>Thu</t>
  </si>
  <si>
    <t>Min Zou</t>
  </si>
  <si>
    <t>2025-W46</t>
  </si>
  <si>
    <t>No rows marked done</t>
  </si>
  <si>
    <t>Under Consideration</t>
  </si>
  <si>
    <t>2025-W47</t>
  </si>
  <si>
    <t>Review</t>
  </si>
  <si>
    <t>OA Done</t>
  </si>
  <si>
    <t>Done</t>
  </si>
  <si>
    <t>@r.applicant-tracking.com</t>
  </si>
  <si>
    <t>2025-W48</t>
  </si>
  <si>
    <t>Dec 2025</t>
  </si>
  <si>
    <t>2025-W49</t>
  </si>
  <si>
    <t>2025-12</t>
  </si>
  <si>
    <t>2025-W50</t>
  </si>
  <si>
    <t>2025-W51</t>
  </si>
  <si>
    <t>2025-W52</t>
  </si>
  <si>
    <t>Jan 2026</t>
  </si>
  <si>
    <t>2026-W01</t>
  </si>
  <si>
    <t>2026-01</t>
  </si>
  <si>
    <t>2026-W02</t>
  </si>
  <si>
    <t>2026-W03</t>
  </si>
  <si>
    <t>2026-W04</t>
  </si>
  <si>
    <t>2026-W05</t>
  </si>
  <si>
    <t>Feb 2026</t>
  </si>
  <si>
    <t>2026-W06</t>
  </si>
  <si>
    <t>2026-02</t>
  </si>
  <si>
    <t>2026-W07</t>
  </si>
  <si>
    <t>2026-W08</t>
  </si>
  <si>
    <t xml:space="preserve">Job Application Link </t>
  </si>
  <si>
    <t>Job Id</t>
  </si>
  <si>
    <t>Date of Posting</t>
  </si>
  <si>
    <t>Referral Request Count</t>
  </si>
  <si>
    <t xml:space="preserve">Response </t>
  </si>
  <si>
    <t>Referral Date</t>
  </si>
  <si>
    <t>Red Hat</t>
  </si>
  <si>
    <t>https://redhat.wd5.myworkdayjobs.com/en-US/jobs/details/Senior-Software-Engineer_R-044266-1?e=3afab13eadf301a2eaafadcc15425800&amp;d=c18026e77576010f6ef6126f4e43ec4a&amp;d=c18026e7757601cf6eb0136f4e43f04a</t>
  </si>
  <si>
    <t>R-044266</t>
  </si>
  <si>
    <t>No</t>
  </si>
  <si>
    <t>https://redhat.wd5.myworkdayjobs.com/jobs/job/Boston/Machine-Learning-Engineer--llamacpp_R-046441-1?%2526%253Fmode=job&amp;%2526iis=Job%252BBoard&amp;%2526iisn=LinkedIn%252BPosting&amp;source=LinkedIn</t>
  </si>
  <si>
    <t xml:space="preserve"> R-046441</t>
  </si>
  <si>
    <t>Toshiba</t>
  </si>
  <si>
    <t>https://job-boards.greenhouse.io/toshibaglobalcommercesolutions/jobs/4970015007?gh_src=bb8171247us</t>
  </si>
  <si>
    <t>IBM</t>
  </si>
  <si>
    <t>https://ibmglobal.avature.net/en_US/careers/JobDetail?jobId=54777&amp;source=SN_LinkedIn</t>
  </si>
  <si>
    <t>https://jobs.ashbyhq.com/reducto/b04a0e49-6231-4267-a5f4-87b9ee4a9b3e?src=Linkedin</t>
  </si>
  <si>
    <t>N/a</t>
  </si>
  <si>
    <t xml:space="preserve">For all the link i have to attach his email address </t>
  </si>
  <si>
    <t>For All</t>
  </si>
  <si>
    <t>jaysingh@adobe.com</t>
  </si>
  <si>
    <t>https://jobs.intuit.com/job/-/-/27595/88102807904?cid=pjob_li_click_us_swe-other-fy25_cn_text_job_int-tm&amp;iis=pjob&amp;iisn=li&amp;p_sid=CmoQqvb&amp;p_uid=IMLe0OBKZo&amp;ss=paid&amp;utm_campaign=&amp;utm_content=pj_board&amp;utm_medium=jobad&amp;utm_source=linkedin+slots+%28intuit%29</t>
  </si>
  <si>
    <t>https://jobs.cvshealth.com/us/en/job/R0745530/Software-Development-Engineer-for-iPad</t>
  </si>
  <si>
    <t>R0717413</t>
  </si>
  <si>
    <t>https://jobs.cvshealth.com/us/en/job/R0717413/Development-Data-Engineer</t>
  </si>
  <si>
    <t>R0745530</t>
  </si>
  <si>
    <t>https://jobs.cvshealth.com/us/en/job/R0761012/Full-Stack-Software-Engineer</t>
  </si>
  <si>
    <t>R0761012</t>
  </si>
  <si>
    <t>Name</t>
  </si>
  <si>
    <t>Career</t>
  </si>
  <si>
    <t>Fidelity Investment</t>
  </si>
  <si>
    <t>HCL America</t>
  </si>
  <si>
    <t>JPMorgan</t>
  </si>
  <si>
    <t>Intel</t>
  </si>
  <si>
    <t>EY</t>
  </si>
  <si>
    <t>Boston Consulting Group</t>
  </si>
  <si>
    <t>McKinsey</t>
  </si>
  <si>
    <t>Bank of America</t>
  </si>
  <si>
    <t>Texas Instruments</t>
  </si>
  <si>
    <t>SAP America</t>
  </si>
  <si>
    <t>Dropbox</t>
  </si>
  <si>
    <t>Linkedin</t>
  </si>
  <si>
    <t>Zoom Video Communications</t>
  </si>
  <si>
    <t>Lockhead Martin</t>
  </si>
  <si>
    <t>General Electric GE</t>
  </si>
  <si>
    <t>Paypal</t>
  </si>
  <si>
    <t>Siemens</t>
  </si>
  <si>
    <t>Honeywell</t>
  </si>
  <si>
    <t>ABB Inc</t>
  </si>
  <si>
    <t>Ernst and Young LLP</t>
  </si>
  <si>
    <t>VMware</t>
  </si>
  <si>
    <t>Dell Tech</t>
  </si>
  <si>
    <t>Citi</t>
  </si>
  <si>
    <t>Wells Fargo</t>
  </si>
  <si>
    <t>UnitedHealth Group</t>
  </si>
  <si>
    <t>Boeing</t>
  </si>
  <si>
    <t>HPE</t>
  </si>
  <si>
    <t>Capital One</t>
  </si>
  <si>
    <t>AECOM</t>
  </si>
  <si>
    <t>Fluor Corporation</t>
  </si>
  <si>
    <t xml:space="preserve">OA </t>
  </si>
  <si>
    <t xml:space="preserve">Location </t>
  </si>
  <si>
    <t>Application Count</t>
  </si>
  <si>
    <t>-87.5%</t>
  </si>
  <si>
    <t>188.2%</t>
  </si>
  <si>
    <t>1825%</t>
  </si>
  <si>
    <t>Carrollton, TX</t>
  </si>
  <si>
    <t>15 minutes ago</t>
  </si>
  <si>
    <t>700%</t>
  </si>
  <si>
    <t>-73.5%</t>
  </si>
  <si>
    <t>-70.1%</t>
  </si>
  <si>
    <t>Milwaukee, WI</t>
  </si>
  <si>
    <t>Reposted 51 minutes ago</t>
  </si>
  <si>
    <t>50%</t>
  </si>
  <si>
    <t>369.2%</t>
  </si>
  <si>
    <t>139.1%</t>
  </si>
  <si>
    <t>Greater Philadelphia</t>
  </si>
  <si>
    <t>38 minutes ago</t>
  </si>
  <si>
    <t>75%</t>
  </si>
  <si>
    <t>-63.9%</t>
  </si>
  <si>
    <t>105.5%</t>
  </si>
  <si>
    <t>Minneapolis, NC</t>
  </si>
  <si>
    <t>3 hours ago</t>
  </si>
  <si>
    <t>-95.2%</t>
  </si>
  <si>
    <t>-86.4%</t>
  </si>
  <si>
    <t/>
  </si>
  <si>
    <t>49 minutes ago</t>
  </si>
  <si>
    <t>1000%</t>
  </si>
  <si>
    <t>1200%</t>
  </si>
  <si>
    <t>Reposted 54 minutes ago</t>
  </si>
  <si>
    <t>-72.7%</t>
  </si>
  <si>
    <t>-92.3%</t>
  </si>
  <si>
    <t>Reposted 42 minutes ago</t>
  </si>
  <si>
    <t>-66.7%</t>
  </si>
  <si>
    <t>Wheatland, PA</t>
  </si>
  <si>
    <t>42 minutes ago</t>
  </si>
  <si>
    <t>0%</t>
  </si>
  <si>
    <t>900%</t>
  </si>
  <si>
    <t>Reposted 10 minutes ago</t>
  </si>
  <si>
    <t>480%</t>
  </si>
  <si>
    <t>Reposted 1 hour ago</t>
  </si>
  <si>
    <t>-75%</t>
  </si>
  <si>
    <t>-96.6%</t>
  </si>
  <si>
    <t>Bethpage, NY</t>
  </si>
  <si>
    <t>Reposted 28 minutes ago</t>
  </si>
  <si>
    <t>-50%</t>
  </si>
  <si>
    <t>Reposted 2 hours ago</t>
  </si>
  <si>
    <t>600%</t>
  </si>
  <si>
    <t>3900%</t>
  </si>
  <si>
    <t>12 minutes ago</t>
  </si>
  <si>
    <t>-35.7%</t>
  </si>
  <si>
    <t>42.5%</t>
  </si>
  <si>
    <t>Reposted 7 minutes ago</t>
  </si>
  <si>
    <t>11.1%</t>
  </si>
  <si>
    <t>73.7%</t>
  </si>
  <si>
    <t>Bentonville, AR</t>
  </si>
  <si>
    <t>Reposted 8 minutes ago</t>
  </si>
  <si>
    <t>-20%</t>
  </si>
  <si>
    <t>-30.3%</t>
  </si>
  <si>
    <t>Charleston, SC</t>
  </si>
  <si>
    <t>Reposted 11 minutes ago</t>
  </si>
  <si>
    <t>137.5%</t>
  </si>
  <si>
    <t>Reposted 9 minutes ago</t>
  </si>
  <si>
    <t>-94.7%</t>
  </si>
  <si>
    <t>East Windsor, NJ</t>
  </si>
  <si>
    <t>Reposted 35 minutes ago</t>
  </si>
  <si>
    <t>400%</t>
  </si>
  <si>
    <t>1 hour ago</t>
  </si>
  <si>
    <t>-80%</t>
  </si>
  <si>
    <t>Jacksonville, FL</t>
  </si>
  <si>
    <t>Reposted 19 minutes ago</t>
  </si>
  <si>
    <t>100%</t>
  </si>
  <si>
    <t>Reposted 36 minutes ago</t>
  </si>
  <si>
    <t>Irving, TX</t>
  </si>
  <si>
    <t>7 minutes ago</t>
  </si>
  <si>
    <t>-92.9%</t>
  </si>
  <si>
    <t>Southfield, MI</t>
  </si>
  <si>
    <t>2 minutes ago</t>
  </si>
  <si>
    <t>Raleigh, NC</t>
  </si>
  <si>
    <t>32 minutes ago</t>
  </si>
  <si>
    <t>1100%</t>
  </si>
  <si>
    <t>29 minutes ago</t>
  </si>
  <si>
    <t>-37.5%</t>
  </si>
  <si>
    <t>57 minutes ago</t>
  </si>
  <si>
    <t>-93.3%</t>
  </si>
  <si>
    <t>Orlando, FL</t>
  </si>
  <si>
    <t>16 minutes ago</t>
  </si>
  <si>
    <t>5 hours ago</t>
  </si>
  <si>
    <t>Reposted 6 minutes ago</t>
  </si>
  <si>
    <t>21 minutes ago</t>
  </si>
  <si>
    <t>500%</t>
  </si>
  <si>
    <t>20 minutes ago</t>
  </si>
  <si>
    <t>-83.3%</t>
  </si>
  <si>
    <t>Downey, CA</t>
  </si>
  <si>
    <t>Reposted 15 minutes ago</t>
  </si>
  <si>
    <t>200%</t>
  </si>
  <si>
    <t>Del Mar, CA</t>
  </si>
  <si>
    <t>27 minutes ago</t>
  </si>
  <si>
    <t>1033.3%</t>
  </si>
  <si>
    <t>Farmington Hills, MI</t>
  </si>
  <si>
    <t>9 minutes ago</t>
  </si>
  <si>
    <t>-79.4%</t>
  </si>
  <si>
    <t>Portland, ME</t>
  </si>
  <si>
    <t>128.6%</t>
  </si>
  <si>
    <t>Salem, OR</t>
  </si>
  <si>
    <t>55 minutes ago</t>
  </si>
  <si>
    <t>-93.8%</t>
  </si>
  <si>
    <t>58 minutes ago</t>
  </si>
  <si>
    <t>1 month ago</t>
  </si>
  <si>
    <t>Reposted 7 hours ago</t>
  </si>
  <si>
    <t>New Jersey, United States</t>
  </si>
  <si>
    <t>1 minute ago</t>
  </si>
  <si>
    <t>300%</t>
  </si>
  <si>
    <t>19 minutes ago</t>
  </si>
  <si>
    <t>Frederick, MD</t>
  </si>
  <si>
    <t>46 minutes ago</t>
  </si>
  <si>
    <t>375%</t>
  </si>
  <si>
    <t>47 minutes ago</t>
  </si>
  <si>
    <t>-42.1%</t>
  </si>
  <si>
    <t>1 day ago</t>
  </si>
  <si>
    <t>-90.9%</t>
  </si>
  <si>
    <t>1 week ago</t>
  </si>
  <si>
    <t>9 hours ago</t>
  </si>
  <si>
    <t>22 minutes ago</t>
  </si>
  <si>
    <t>Westbury, NY</t>
  </si>
  <si>
    <t>Reposted 21 minutes ago</t>
  </si>
  <si>
    <t>150%</t>
  </si>
  <si>
    <t>Fulton, MD</t>
  </si>
  <si>
    <t>33 minutes ago</t>
  </si>
  <si>
    <t>90%</t>
  </si>
  <si>
    <t>Reposted 6 hours ago</t>
  </si>
  <si>
    <t>-15.8%</t>
  </si>
  <si>
    <t>25 minutes ago</t>
  </si>
  <si>
    <t>-81.3%</t>
  </si>
  <si>
    <t>4 minutes ago</t>
  </si>
  <si>
    <t>40 minutes ago</t>
  </si>
  <si>
    <t>Illinois, United States</t>
  </si>
  <si>
    <t>2 hours ago</t>
  </si>
  <si>
    <t>166.7%</t>
  </si>
  <si>
    <t>Reposted 5 hours ago</t>
  </si>
  <si>
    <t>-16.7%</t>
  </si>
  <si>
    <t>State College, PA</t>
  </si>
  <si>
    <t>Reposted 4 hours ago</t>
  </si>
  <si>
    <t>-70%</t>
  </si>
  <si>
    <t>Jersey City, NJ</t>
  </si>
  <si>
    <t>4 hours ago</t>
  </si>
  <si>
    <t>116.7%</t>
  </si>
  <si>
    <t>Reposted 12 minutes ago</t>
  </si>
  <si>
    <t>Canada</t>
  </si>
  <si>
    <t>45 minutes ago</t>
  </si>
  <si>
    <t>7.7%</t>
  </si>
  <si>
    <t>53 minutes ago</t>
  </si>
  <si>
    <t>42.9%</t>
  </si>
  <si>
    <t>Reposted 53 minutes ago</t>
  </si>
  <si>
    <t>95%</t>
  </si>
  <si>
    <t>Reposted 26 minutes ago</t>
  </si>
  <si>
    <t>-84.6%</t>
  </si>
  <si>
    <t>Meyer Camp, HI</t>
  </si>
  <si>
    <t>36 minutes ago</t>
  </si>
  <si>
    <t>-33.3%</t>
  </si>
  <si>
    <t>Lexington, KY</t>
  </si>
  <si>
    <t>Reposted 27 minutes ago</t>
  </si>
  <si>
    <t>6 hours ago</t>
  </si>
  <si>
    <t>11 hours ago</t>
  </si>
  <si>
    <t>Providence, RI</t>
  </si>
  <si>
    <t>10 hours ago</t>
  </si>
  <si>
    <t>13 hours ago</t>
  </si>
  <si>
    <t>Beaverton, OR</t>
  </si>
  <si>
    <t>12 hours ago</t>
  </si>
  <si>
    <t>Reposted 34 minutes ago</t>
  </si>
  <si>
    <t>Acton, MA</t>
  </si>
  <si>
    <t>Reposted 3 hours ago</t>
  </si>
  <si>
    <t>Minneapolis, MN</t>
  </si>
  <si>
    <t>Reposted 40 minutes ago</t>
  </si>
  <si>
    <t>Cleveland, OH</t>
  </si>
  <si>
    <t>Reposted 43 minutes ago</t>
  </si>
  <si>
    <t>Woodstock, CT</t>
  </si>
  <si>
    <t>28 minutes ago</t>
  </si>
  <si>
    <t>11 minutes ago</t>
  </si>
  <si>
    <t>Reposted 3 days ago</t>
  </si>
  <si>
    <t>Reposted 1 day ago</t>
  </si>
  <si>
    <t>Reposted 1 week ago</t>
  </si>
  <si>
    <t>Reposted 2 days ago</t>
  </si>
  <si>
    <t>Billings, MT</t>
  </si>
  <si>
    <t>Reposted 2 weeks ago</t>
  </si>
  <si>
    <t>Dover, PA</t>
  </si>
  <si>
    <t>Reposted 32 minutes ago</t>
  </si>
  <si>
    <t>St Louis, MO</t>
  </si>
  <si>
    <t>Reposted 17 minutes ago</t>
  </si>
  <si>
    <t>Reposted 46 minutes ago</t>
  </si>
  <si>
    <t>Hillsboro, OR</t>
  </si>
  <si>
    <t>Reposted 52 minutes ago</t>
  </si>
  <si>
    <t>Roseville, CA</t>
  </si>
  <si>
    <t>Reposted 57 minutes ago</t>
  </si>
  <si>
    <t>Lake Mary, FL</t>
  </si>
  <si>
    <t>24 minutes ago</t>
  </si>
  <si>
    <t>Jupiter, FL</t>
  </si>
  <si>
    <t>Reposted 49 minutes ago</t>
  </si>
  <si>
    <t>Reposted 37 minutes ago</t>
  </si>
  <si>
    <t>Malvern, PA</t>
  </si>
  <si>
    <t>Reposted 50 minutes ago</t>
  </si>
  <si>
    <t>Stamford, CT</t>
  </si>
  <si>
    <t>Reposted 25 minutes ago</t>
  </si>
  <si>
    <t>56 minutes ago</t>
  </si>
  <si>
    <t>Reposted 22 minutes ago</t>
  </si>
  <si>
    <t>Torrance, CA</t>
  </si>
  <si>
    <t>30 minutes ago</t>
  </si>
  <si>
    <t>Tysons Corner, VA</t>
  </si>
  <si>
    <t>59 minutes ago</t>
  </si>
  <si>
    <t>Greater Pittsburgh Region</t>
  </si>
  <si>
    <t>5 days ago</t>
  </si>
  <si>
    <t>34 minutes ago</t>
  </si>
  <si>
    <t>Cranford, NJ</t>
  </si>
  <si>
    <t>8 hours ago</t>
  </si>
  <si>
    <t>Lone Tree, CO</t>
  </si>
  <si>
    <t>3 days ago</t>
  </si>
  <si>
    <t>Lenexa, KS</t>
  </si>
  <si>
    <t>Lawrence, KS</t>
  </si>
  <si>
    <t>Omaha, NE</t>
  </si>
  <si>
    <t>Virginia Beach, VA</t>
  </si>
  <si>
    <t>Brea, CA</t>
  </si>
  <si>
    <t>Hudson, NH</t>
  </si>
  <si>
    <t>Norfolk, VA</t>
  </si>
  <si>
    <t>Cottage Grove, MN</t>
  </si>
  <si>
    <t>Phoenix, AZ</t>
  </si>
  <si>
    <t>Maple Grove, MN</t>
  </si>
  <si>
    <t>Gaithersburg, MD</t>
  </si>
  <si>
    <t>Cedar Rapids, IA</t>
  </si>
  <si>
    <t>McLean, VA</t>
  </si>
  <si>
    <t>Richmond, VA</t>
  </si>
  <si>
    <t>New York City Metropolitan Area</t>
  </si>
  <si>
    <t>Roanoke, TX</t>
  </si>
  <si>
    <t>Draper, UT</t>
  </si>
  <si>
    <t>Los Angeles, California, United States</t>
  </si>
  <si>
    <t>Start Time</t>
  </si>
  <si>
    <t>Position</t>
  </si>
  <si>
    <t>End Time</t>
  </si>
  <si>
    <t>Total time</t>
  </si>
  <si>
    <t>Referral Comment</t>
  </si>
  <si>
    <t>Engineering-Focused Task Breakdown (Resume → Software View)</t>
  </si>
  <si>
    <t>Research Assistant – Stony Brook College of Business</t>
  </si>
  <si>
    <t>Feature / Task</t>
  </si>
  <si>
    <t>Problem Statement</t>
  </si>
  <si>
    <t>Implementation</t>
  </si>
  <si>
    <t>Tools / Tech</t>
  </si>
  <si>
    <t>Outcome / Metric</t>
  </si>
  <si>
    <t>FOMC Signal Parsing Pipeline</t>
  </si>
  <si>
    <t>Manual &amp; inconsistent signal extraction</t>
  </si>
  <si>
    <t>Built Linux-based automated pipelines with model-driven actions</t>
  </si>
  <si>
    <t>GitLab CI, Linux, Python</t>
  </si>
  <si>
    <t>Improved signal-driven action accuracy by 10%</t>
  </si>
  <si>
    <t>Cloud Test Infrastructure</t>
  </si>
  <si>
    <t>Non-repeatable cloud testing</t>
  </si>
  <si>
    <t>Automated infra provisioning with IaC</t>
  </si>
  <si>
    <t>GCP, Terraform, Ansible</t>
  </si>
  <si>
    <t>Stable, repeatable pipelines at scale</t>
  </si>
  <si>
    <t>Scalable Inference Evaluation</t>
  </si>
  <si>
    <t>Slow multi-GPU inference cycles</t>
  </si>
  <si>
    <t>Parallelized backend evaluation across multi-GPU systems</t>
  </si>
  <si>
    <t>GitLab, Linux, CUDA</t>
  </si>
  <si>
    <t>Reduced inference cycles by 42%</t>
  </si>
  <si>
    <t>Vector Search Validation</t>
  </si>
  <si>
    <t>Unreliable retrieval quality</t>
  </si>
  <si>
    <t>Added validation + monitoring for vector search</t>
  </si>
  <si>
    <t>SQL Server, Prometheus, Grafana</t>
  </si>
  <si>
    <t>Retrieval reliability improved by 28%</t>
  </si>
  <si>
    <t>AI / ML Engineer – Atrium Health (Wake Forest)</t>
  </si>
  <si>
    <t>MRI Radiomics Modeling</t>
  </si>
  <si>
    <t>Low diagnostic accuracy</t>
  </si>
  <si>
    <t>Built ML models on multiparametric MRI radiomic features</t>
  </si>
  <si>
    <t>Python, ML, MRI Radiomics</t>
  </si>
  <si>
    <t>Achieved 87% prediction accuracy</t>
  </si>
  <si>
    <t>RAG Interpretability Pipeline</t>
  </si>
  <si>
    <t>Limited explainability in predictions</t>
  </si>
  <si>
    <t>Designed RAG pipeline integrating structured + unstructured data</t>
  </si>
  <si>
    <t>LangChain, Vertex AI, GCP, APIs</t>
  </si>
  <si>
    <t>Accuracy &amp; interpretability ↑ by 32%</t>
  </si>
  <si>
    <t>Texture Analysis Pipeline</t>
  </si>
  <si>
    <t>Low precision in MRI texture features</t>
  </si>
  <si>
    <t>Built Python + MATLAB multimodal pipeline</t>
  </si>
  <si>
    <t>Python, MATLAB, Voice &amp; Text Models</t>
  </si>
  <si>
    <t>Precision improved by 80%</t>
  </si>
  <si>
    <t>Data Ingestion &amp; Storage</t>
  </si>
  <si>
    <t>Slow MRI data processing</t>
  </si>
  <si>
    <t>Built serverless ingestion pipeline</t>
  </si>
  <si>
    <t>AWS Lambda, PostgreSQL, NoSQL</t>
  </si>
  <si>
    <t>Processing time reduced by 35%</t>
  </si>
  <si>
    <t>Senior Software Engineer – Fidelity Investments (via Bounteous)</t>
  </si>
  <si>
    <t>Enterprise Platform Delivery</t>
  </si>
  <si>
    <t>Slow release cycles</t>
  </si>
  <si>
    <t>Led agile delivery across multiple teams</t>
  </si>
  <si>
    <t>Agile, Leadership, QA</t>
  </si>
  <si>
    <t>Release velocity increased by 38%</t>
  </si>
  <si>
    <t>Microservices Performance</t>
  </si>
  <si>
    <t>High API latency</t>
  </si>
  <si>
    <t>Optimized Spring Boot APIs with caching &amp; DI</t>
  </si>
  <si>
    <t>Java, Spring Boot, AWS</t>
  </si>
  <si>
    <t>Latency reduced by 20%</t>
  </si>
  <si>
    <t>API Security</t>
  </si>
  <si>
    <t>Unauthorized access risks</t>
  </si>
  <si>
    <t>Implemented OAuth2-based auth for APIs</t>
  </si>
  <si>
    <t>OAuth2, REST, GraphQL</t>
  </si>
  <si>
    <t>Unauthorized access reduced by 30%</t>
  </si>
  <si>
    <t>Frontend Feature Development</t>
  </si>
  <si>
    <t>Low user engagement</t>
  </si>
  <si>
    <t>Built UI features across web apps</t>
  </si>
  <si>
    <t>React, Redux, Node.js</t>
  </si>
  <si>
    <t>User delight increased by 20%</t>
  </si>
  <si>
    <t>CI/CD Optimization</t>
  </si>
  <si>
    <t>Manual deployment failures</t>
  </si>
  <si>
    <t>Automated CI/CD pipelines</t>
  </si>
  <si>
    <t>Jenkins, Docker, Kubernetes</t>
  </si>
  <si>
    <t>Manual issues reduced by 30%</t>
  </si>
  <si>
    <t>Software Engineer Intern – Shriffle</t>
  </si>
  <si>
    <t>Full-Stack Application Suite</t>
  </si>
  <si>
    <t>Slow &amp; unscalable web apps</t>
  </si>
  <si>
    <t>Built 20+ secure full-stack applications</t>
  </si>
  <si>
    <t>JS, Backend APIs, Web Tech</t>
  </si>
  <si>
    <t>Responsiveness improved by 25%</t>
  </si>
  <si>
    <t>Communication Microservice</t>
  </si>
  <si>
    <t>High inter-service coupling</t>
  </si>
  <si>
    <t>Designed centralized microservice</t>
  </si>
  <si>
    <t>Java, Maven</t>
  </si>
  <si>
    <t>Integration overhead reduced by 40%</t>
  </si>
  <si>
    <t>Dev Environment Standardization</t>
  </si>
  <si>
    <t>Long setup time for devs</t>
  </si>
  <si>
    <t>Containerized environments</t>
  </si>
  <si>
    <t>Docker</t>
  </si>
  <si>
    <t>Setup time reduced by 50%</t>
  </si>
  <si>
    <t>Projects – Cloud Automation &amp; Monitoring Platform</t>
  </si>
  <si>
    <t>Monitoring &amp; Alerting</t>
  </si>
  <si>
    <t>Late issue detection</t>
  </si>
  <si>
    <t>Implemented monitoring dashboards</t>
  </si>
  <si>
    <t>GitLab, Grafana, Prometheus</t>
  </si>
  <si>
    <t>Issue detection improved by 27%</t>
  </si>
  <si>
    <t>Workflow Automation</t>
  </si>
  <si>
    <t>Recurring system failures</t>
  </si>
  <si>
    <t>Automated Linux-based workflows</t>
  </si>
  <si>
    <t>GitLab, RabbitMQ</t>
  </si>
  <si>
    <t>Failures reduced by 32%</t>
  </si>
  <si>
    <t>DB Deployment Automation</t>
  </si>
  <si>
    <t>Manual database deployments</t>
  </si>
  <si>
    <t>Built IaC-based DB pipelines</t>
  </si>
  <si>
    <t>PostgreSQL, SQL Server, Terraform, Ansible</t>
  </si>
  <si>
    <t>Manual work reduced by 45%</t>
  </si>
  <si>
    <t>Production System Ownership</t>
  </si>
  <si>
    <t>Fragile and poorly owned production services</t>
  </si>
  <si>
    <t>Designed, built, and maintained end to end production systems with clear ownership, monitoring, and reliability practices</t>
  </si>
  <si>
    <t>Cloud Platforms, Linux, CI/CD, Observability</t>
  </si>
  <si>
    <t>Improved system stability and reduced production incidents</t>
  </si>
  <si>
    <t>Distributed System Architecture</t>
  </si>
  <si>
    <t>Scalability and maintainability bottlenecks</t>
  </si>
  <si>
    <t>Led architectural design for distributed services with clear trade offs and long term scalability considerations</t>
  </si>
  <si>
    <t>Microservices, APIs, Databases, Cloud</t>
  </si>
  <si>
    <t>Increased scalability and improved long term maintainability</t>
  </si>
  <si>
    <t>Performance Optimization</t>
  </si>
  <si>
    <t>High latency and inefficient workflows</t>
  </si>
  <si>
    <t>Optimized backend services, data access patterns, and execution paths</t>
  </si>
  <si>
    <t>Backend Frameworks, Caching, Profiling Tools</t>
  </si>
  <si>
    <t>Reduced latency and improved throughput</t>
  </si>
  <si>
    <t>Cross Functional Delivery</t>
  </si>
  <si>
    <t>Misalignment between business and engineering</t>
  </si>
  <si>
    <t>Partnered with product, design, and data teams to translate requirements into technical execution</t>
  </si>
  <si>
    <t>Agile, Cross Team Collaboration</t>
  </si>
  <si>
    <t>Faster delivery and improved stakeholder alignment</t>
  </si>
  <si>
    <t>Engineering Leadership &amp; Mentorship</t>
  </si>
  <si>
    <t>Inconsistent code quality and engineering practices</t>
  </si>
  <si>
    <t>Led code reviews, design discussions, and mentored junior engineers</t>
  </si>
  <si>
    <t>Code Reviews, Design Docs, Best Practices</t>
  </si>
  <si>
    <t>Improved code quality and team engineering standards</t>
  </si>
  <si>
    <t>Monday</t>
  </si>
  <si>
    <t>Tuesday</t>
  </si>
  <si>
    <t>Wednesday</t>
  </si>
  <si>
    <t>Thursday</t>
  </si>
  <si>
    <t>Friday</t>
  </si>
  <si>
    <t>Saturday</t>
  </si>
  <si>
    <t>Sunday</t>
  </si>
  <si>
    <t>Total</t>
  </si>
  <si>
    <t>Simpler alternative (if the expression is too complex)</t>
  </si>
  <si>
    <t>Use multiple conditions instead:</t>
  </si>
  <si>
    <t>Delete the current conditions</t>
  </si>
  <si>
    <t>Click "Add condition"</t>
  </si>
  <si>
    <t>Add these conditions (click "And" between each):</t>
  </si>
  <si>
    <t>Field: URI Path → Operator: does not start with → Value: /static</t>
  </si>
  <si>
    <t>Field: URI Path → Operator: does not start with → Value: /resume</t>
  </si>
  <si>
    <t>Field: URI Path → Operator: does not start with → Value: /documents</t>
  </si>
  <si>
    <t>Field: URI Path → Operator: does not match regex → Value: \.(js|css|png|jpg|jpeg|gif|svg|ico|pdf|json|xml|txt|map)$</t>
  </si>
  <si>
    <t>Then: Path → "Rewrite to..." → /index.html</t>
  </si>
  <si>
    <t>Deploy</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</si>
</sst>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m/d/yyyy, h:mm:ss am/pm"/>
    <numFmt numFmtId="165" formatCode="yyyy-mm-dd"/>
    <numFmt numFmtId="166" formatCode="m-d"/>
    <numFmt numFmtId="167" formatCode="mm/dd/yyyy"/>
    <numFmt numFmtId="168" formatCode="mmmm yyyy"/>
    <numFmt numFmtId="169" formatCode="M/d/yyyy"/>
    <numFmt numFmtId="170" formatCode="mmm dd"/>
  </numFmts>
  <fonts count="32">
    <font>
      <sz val="10.0"/>
      <color rgb="FF000000"/>
      <name val="Arial"/>
      <scheme val="minor"/>
    </font>
    <font>
      <color theme="1"/>
      <name val="Arial"/>
      <scheme val="minor"/>
    </font>
    <font>
      <b/>
      <color theme="1"/>
      <name val="Arial"/>
      <scheme val="minor"/>
    </font>
    <font/>
    <font>
      <b/>
      <u/>
      <color rgb="FF0000FF"/>
    </font>
    <font>
      <sz val="10.0"/>
      <color theme="1"/>
      <name val="Arial"/>
      <scheme val="minor"/>
    </font>
    <font>
      <b/>
      <sz val="10.0"/>
      <color theme="1"/>
      <name val="Arial"/>
      <scheme val="minor"/>
    </font>
    <font>
      <u/>
      <sz val="10.0"/>
      <color rgb="FF0000FF"/>
    </font>
    <font>
      <u/>
      <sz val="10.0"/>
      <color rgb="FF0000FF"/>
    </font>
    <font>
      <u/>
      <color rgb="FF1155CC"/>
    </font>
    <font>
      <b/>
      <u/>
      <sz val="10.0"/>
      <color rgb="FF0000FF"/>
    </font>
    <font>
      <color theme="1"/>
      <name val="Arial"/>
    </font>
    <font>
      <u/>
      <color rgb="FF0000FF"/>
    </font>
    <font>
      <u/>
      <color rgb="FF0000FF"/>
    </font>
    <font>
      <u/>
      <color rgb="FF0000FF"/>
    </font>
    <font>
      <u/>
      <color rgb="FF0000FF"/>
    </font>
    <font>
      <u/>
      <sz val="10.0"/>
      <color rgb="FF0000FF"/>
    </font>
    <font>
      <b/>
      <color theme="1"/>
      <name val="Arial"/>
    </font>
    <font>
      <u/>
      <color rgb="FF0000FF"/>
    </font>
    <font>
      <u/>
      <color rgb="FF0000FF"/>
    </font>
    <font>
      <u/>
      <color rgb="FF0000FF"/>
    </font>
    <font>
      <u/>
      <color rgb="FF0000FF"/>
    </font>
    <font>
      <u/>
      <color rgb="FF0000FF"/>
    </font>
    <font>
      <u/>
      <color rgb="FF0000FF"/>
    </font>
    <font>
      <sz val="9.0"/>
      <color theme="1"/>
      <name val="Google Sans Mono"/>
    </font>
    <font>
      <b/>
      <sz val="11.0"/>
      <color theme="1"/>
      <name val="Times New Roman"/>
    </font>
    <font>
      <sz val="11.0"/>
      <color theme="1"/>
      <name val="Times New Roman"/>
    </font>
    <font>
      <u/>
      <sz val="11.0"/>
      <color rgb="FF0000FF"/>
      <name val="Times New Roman"/>
    </font>
    <font>
      <u/>
      <sz val="11.0"/>
      <color theme="1"/>
      <name val="Times New Roman"/>
    </font>
    <font>
      <b/>
      <sz val="11.0"/>
      <color theme="1"/>
      <name val="Arial"/>
      <scheme val="minor"/>
    </font>
    <font>
      <sz val="11.0"/>
      <color theme="1"/>
      <name val="Arial"/>
      <scheme val="minor"/>
    </font>
    <font>
      <sz val="13.0"/>
      <color theme="1"/>
      <name val="Arial"/>
      <scheme val="minor"/>
    </font>
  </fonts>
  <fills count="11">
    <fill>
      <patternFill patternType="none"/>
    </fill>
    <fill>
      <patternFill patternType="lightGray"/>
    </fill>
    <fill>
      <patternFill patternType="solid">
        <fgColor rgb="FFF1C232"/>
        <bgColor rgb="FFF1C232"/>
      </patternFill>
    </fill>
    <fill>
      <patternFill patternType="solid">
        <fgColor rgb="FF93C47D"/>
        <bgColor rgb="FF93C47D"/>
      </patternFill>
    </fill>
    <fill>
      <patternFill patternType="solid">
        <fgColor rgb="FF6AA84F"/>
        <bgColor rgb="FF6AA84F"/>
      </patternFill>
    </fill>
    <fill>
      <patternFill patternType="solid">
        <fgColor rgb="FFCC0000"/>
        <bgColor rgb="FFCC0000"/>
      </patternFill>
    </fill>
    <fill>
      <patternFill patternType="solid">
        <fgColor rgb="FF000000"/>
        <bgColor rgb="FF000000"/>
      </patternFill>
    </fill>
    <fill>
      <patternFill patternType="solid">
        <fgColor rgb="FFF4CCCC"/>
        <bgColor rgb="FFF4CCCC"/>
      </patternFill>
    </fill>
    <fill>
      <patternFill patternType="solid">
        <fgColor rgb="FFFCE5CD"/>
        <bgColor rgb="FFFCE5CD"/>
      </patternFill>
    </fill>
    <fill>
      <patternFill patternType="solid">
        <fgColor rgb="FFEFEFEF"/>
        <bgColor rgb="FFEFEFEF"/>
      </patternFill>
    </fill>
    <fill>
      <patternFill patternType="solid">
        <fgColor theme="5"/>
        <bgColor theme="5"/>
      </patternFill>
    </fill>
  </fills>
  <borders count="7">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20">
    <xf borderId="0" fillId="0" fontId="0" numFmtId="0" xfId="0" applyAlignment="1" applyFont="1">
      <alignment readingOrder="0" shrinkToFit="0" vertical="bottom" wrapText="0"/>
    </xf>
    <xf borderId="0" fillId="0" fontId="1" numFmtId="0" xfId="0" applyAlignment="1" applyFont="1">
      <alignment horizontal="left" readingOrder="0"/>
    </xf>
    <xf borderId="0" fillId="0" fontId="1" numFmtId="0" xfId="0" applyAlignment="1" applyFont="1">
      <alignment horizontal="left"/>
    </xf>
    <xf borderId="0" fillId="0" fontId="1" numFmtId="0" xfId="0" applyAlignment="1" applyFont="1">
      <alignment horizontal="left" readingOrder="0" shrinkToFit="0" wrapText="1"/>
    </xf>
    <xf borderId="0" fillId="0" fontId="1" numFmtId="0" xfId="0" applyAlignment="1" applyFont="1">
      <alignment horizontal="left" readingOrder="0" shrinkToFit="0" wrapText="0"/>
    </xf>
    <xf borderId="1" fillId="0" fontId="2" numFmtId="0" xfId="0" applyAlignment="1" applyBorder="1" applyFont="1">
      <alignment horizontal="left" readingOrder="0" shrinkToFit="0" wrapText="0"/>
    </xf>
    <xf borderId="2" fillId="0" fontId="3" numFmtId="0" xfId="0" applyBorder="1" applyFont="1"/>
    <xf borderId="0" fillId="0" fontId="1" numFmtId="0" xfId="0" applyAlignment="1" applyFont="1">
      <alignment horizontal="left" shrinkToFit="0" wrapText="1"/>
    </xf>
    <xf borderId="3" fillId="0" fontId="2" numFmtId="0" xfId="0" applyAlignment="1" applyBorder="1" applyFont="1">
      <alignment horizontal="left" readingOrder="0"/>
    </xf>
    <xf borderId="3" fillId="0" fontId="4" numFmtId="0" xfId="0" applyAlignment="1" applyBorder="1" applyFont="1">
      <alignment horizontal="left" readingOrder="0"/>
    </xf>
    <xf borderId="0" fillId="0" fontId="1" numFmtId="0" xfId="0" applyAlignment="1" applyFont="1">
      <alignment horizontal="left" shrinkToFit="0" wrapText="0"/>
    </xf>
    <xf borderId="3" fillId="0" fontId="2" numFmtId="0" xfId="0" applyAlignment="1" applyBorder="1" applyFont="1">
      <alignment readingOrder="0"/>
    </xf>
    <xf borderId="0" fillId="0" fontId="1" numFmtId="0" xfId="0" applyAlignment="1" applyFont="1">
      <alignment shrinkToFit="0" wrapText="1"/>
    </xf>
    <xf borderId="0" fillId="0" fontId="5" numFmtId="0" xfId="0" applyAlignment="1" applyFont="1">
      <alignment horizontal="left"/>
    </xf>
    <xf borderId="0" fillId="0" fontId="6" numFmtId="0" xfId="0" applyAlignment="1" applyFont="1">
      <alignment horizontal="left"/>
    </xf>
    <xf borderId="0" fillId="0" fontId="5" numFmtId="164" xfId="0" applyAlignment="1" applyFont="1" applyNumberFormat="1">
      <alignment horizontal="left"/>
    </xf>
    <xf borderId="0" fillId="0" fontId="5" numFmtId="0" xfId="0" applyAlignment="1" applyFont="1">
      <alignment horizontal="left"/>
    </xf>
    <xf borderId="0" fillId="0" fontId="7" numFmtId="0" xfId="0" applyAlignment="1" applyFont="1">
      <alignment horizontal="left"/>
    </xf>
    <xf borderId="0" fillId="0" fontId="5" numFmtId="14" xfId="0" applyAlignment="1" applyFont="1" applyNumberFormat="1">
      <alignment horizontal="left"/>
    </xf>
    <xf borderId="0" fillId="0" fontId="5" numFmtId="165" xfId="0" applyAlignment="1" applyFont="1" applyNumberFormat="1">
      <alignment horizontal="left"/>
    </xf>
    <xf borderId="0" fillId="0" fontId="5" numFmtId="0" xfId="0" applyAlignment="1" applyFont="1">
      <alignment horizontal="left" vertical="bottom"/>
    </xf>
    <xf borderId="0" fillId="0" fontId="5" numFmtId="165" xfId="0" applyAlignment="1" applyFont="1" applyNumberFormat="1">
      <alignment horizontal="left" readingOrder="0"/>
    </xf>
    <xf borderId="0" fillId="0" fontId="5" numFmtId="0" xfId="0" applyAlignment="1" applyFont="1">
      <alignment horizontal="left" readingOrder="0"/>
    </xf>
    <xf borderId="0" fillId="0" fontId="5" numFmtId="164" xfId="0" applyAlignment="1" applyFont="1" applyNumberFormat="1">
      <alignment horizontal="left" readingOrder="0"/>
    </xf>
    <xf borderId="0" fillId="0" fontId="8" numFmtId="0" xfId="0" applyAlignment="1" applyFont="1">
      <alignment horizontal="left" readingOrder="0"/>
    </xf>
    <xf borderId="0" fillId="0" fontId="5" numFmtId="165" xfId="0" applyAlignment="1" applyFont="1" applyNumberFormat="1">
      <alignment horizontal="left" vertical="bottom"/>
    </xf>
    <xf borderId="0" fillId="0" fontId="1" numFmtId="165" xfId="0" applyAlignment="1" applyFont="1" applyNumberFormat="1">
      <alignment horizontal="left" vertical="bottom"/>
    </xf>
    <xf borderId="0" fillId="0" fontId="1" numFmtId="0" xfId="0" applyAlignment="1" applyFont="1">
      <alignment horizontal="left" vertical="bottom"/>
    </xf>
    <xf borderId="0" fillId="0" fontId="1" numFmtId="166" xfId="0" applyAlignment="1" applyFont="1" applyNumberFormat="1">
      <alignment horizontal="left" vertical="bottom"/>
    </xf>
    <xf borderId="0" fillId="0" fontId="5" numFmtId="166" xfId="0" applyAlignment="1" applyFont="1" applyNumberFormat="1">
      <alignment horizontal="left" readingOrder="0"/>
    </xf>
    <xf borderId="0" fillId="0" fontId="9" numFmtId="0" xfId="0" applyAlignment="1" applyFont="1">
      <alignment horizontal="left" vertical="bottom"/>
    </xf>
    <xf borderId="0" fillId="0" fontId="5" numFmtId="0" xfId="0" applyAlignment="1" applyFont="1">
      <alignment horizontal="left" readingOrder="0" vertical="bottom"/>
    </xf>
    <xf borderId="0" fillId="0" fontId="6" numFmtId="165" xfId="0" applyAlignment="1" applyFont="1" applyNumberFormat="1">
      <alignment horizontal="left" readingOrder="0"/>
    </xf>
    <xf borderId="0" fillId="0" fontId="6" numFmtId="0" xfId="0" applyAlignment="1" applyFont="1">
      <alignment horizontal="left" readingOrder="0"/>
    </xf>
    <xf borderId="0" fillId="0" fontId="5" numFmtId="166" xfId="0" applyAlignment="1" applyFont="1" applyNumberFormat="1">
      <alignment horizontal="left"/>
    </xf>
    <xf borderId="0" fillId="0" fontId="1" numFmtId="165" xfId="0" applyAlignment="1" applyFont="1" applyNumberFormat="1">
      <alignment horizontal="left" readingOrder="0"/>
    </xf>
    <xf borderId="0" fillId="0" fontId="10" numFmtId="0" xfId="0" applyAlignment="1" applyFont="1">
      <alignment horizontal="left" readingOrder="0"/>
    </xf>
    <xf borderId="0" fillId="0" fontId="5" numFmtId="0" xfId="0" applyFont="1"/>
    <xf borderId="0" fillId="0" fontId="11" numFmtId="165" xfId="0" applyAlignment="1" applyFont="1" applyNumberFormat="1">
      <alignment horizontal="right" vertical="bottom"/>
    </xf>
    <xf borderId="0" fillId="0" fontId="11" numFmtId="165" xfId="0" applyAlignment="1" applyFont="1" applyNumberFormat="1">
      <alignment vertical="bottom"/>
    </xf>
    <xf borderId="0" fillId="0" fontId="11" numFmtId="0" xfId="0" applyAlignment="1" applyFont="1">
      <alignment vertical="bottom"/>
    </xf>
    <xf borderId="0" fillId="0" fontId="2" numFmtId="0" xfId="0" applyAlignment="1" applyFont="1">
      <alignment horizontal="left" readingOrder="0"/>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0" fontId="2" numFmtId="0" xfId="0" applyAlignment="1" applyFont="1">
      <alignment horizontal="left"/>
    </xf>
    <xf borderId="0" fillId="0" fontId="1" numFmtId="14" xfId="0" applyAlignment="1" applyFont="1" applyNumberFormat="1">
      <alignment horizontal="left" readingOrder="0"/>
    </xf>
    <xf borderId="0" fillId="0" fontId="12" numFmtId="0" xfId="0" applyAlignment="1" applyFont="1">
      <alignment horizontal="left" readingOrder="0" shrinkToFit="0" wrapText="0"/>
    </xf>
    <xf borderId="0" fillId="0" fontId="13" numFmtId="0" xfId="0" applyAlignment="1" applyFont="1">
      <alignment horizontal="left" readingOrder="0"/>
    </xf>
    <xf borderId="0" fillId="0" fontId="5" numFmtId="165" xfId="0" applyAlignment="1" applyFont="1" applyNumberFormat="1">
      <alignment readingOrder="0"/>
    </xf>
    <xf borderId="0" fillId="0" fontId="5" numFmtId="0" xfId="0" applyAlignment="1" applyFont="1">
      <alignment readingOrder="0"/>
    </xf>
    <xf borderId="0" fillId="0" fontId="5" numFmtId="166" xfId="0" applyAlignment="1" applyFont="1" applyNumberFormat="1">
      <alignment readingOrder="0"/>
    </xf>
    <xf borderId="0" fillId="0" fontId="1" numFmtId="165" xfId="0" applyAlignment="1" applyFont="1" applyNumberFormat="1">
      <alignment readingOrder="0"/>
    </xf>
    <xf borderId="0" fillId="0" fontId="1" numFmtId="0" xfId="0" applyAlignment="1" applyFont="1">
      <alignment readingOrder="0"/>
    </xf>
    <xf borderId="0" fillId="0" fontId="14" numFmtId="0" xfId="0" applyAlignment="1" applyFont="1">
      <alignment readingOrder="0"/>
    </xf>
    <xf borderId="0" fillId="0" fontId="15" numFmtId="0" xfId="0" applyAlignment="1" applyFont="1">
      <alignment horizontal="left" readingOrder="0"/>
    </xf>
    <xf borderId="0" fillId="0" fontId="16" numFmtId="0" xfId="0" applyAlignment="1" applyFont="1">
      <alignment readingOrder="0"/>
    </xf>
    <xf borderId="0" fillId="0" fontId="2" numFmtId="0" xfId="0" applyAlignment="1" applyFont="1">
      <alignment horizontal="left" readingOrder="0" shrinkToFit="0" wrapText="0"/>
    </xf>
    <xf borderId="0" fillId="0" fontId="2" numFmtId="0" xfId="0" applyFont="1"/>
    <xf borderId="0" fillId="0" fontId="1" numFmtId="167" xfId="0" applyAlignment="1" applyFont="1" applyNumberFormat="1">
      <alignment horizontal="left" readingOrder="0"/>
    </xf>
    <xf borderId="0" fillId="0" fontId="1" numFmtId="0" xfId="0" applyAlignment="1" applyFont="1">
      <alignment horizontal="left" readingOrder="0" shrinkToFit="0" wrapText="0"/>
    </xf>
    <xf borderId="0" fillId="0" fontId="1" numFmtId="14" xfId="0" applyAlignment="1" applyFont="1" applyNumberFormat="1">
      <alignment horizontal="left" readingOrder="0" shrinkToFit="0" wrapText="0"/>
    </xf>
    <xf borderId="0" fillId="0" fontId="17" numFmtId="0" xfId="0" applyAlignment="1" applyFont="1">
      <alignment vertical="bottom"/>
    </xf>
    <xf borderId="0" fillId="0" fontId="1" numFmtId="14" xfId="0" applyAlignment="1" applyFont="1" applyNumberFormat="1">
      <alignment horizontal="left" readingOrder="0" shrinkToFit="0" wrapText="0"/>
    </xf>
    <xf borderId="0" fillId="0" fontId="18" numFmtId="0" xfId="0" applyAlignment="1" applyFont="1">
      <alignment horizontal="left" readingOrder="0" shrinkToFit="0" wrapText="0"/>
    </xf>
    <xf borderId="3" fillId="0" fontId="2" numFmtId="0" xfId="0" applyBorder="1" applyFont="1"/>
    <xf borderId="4" fillId="0" fontId="2" numFmtId="0" xfId="0" applyBorder="1" applyFont="1"/>
    <xf borderId="0" fillId="2" fontId="2" numFmtId="0" xfId="0" applyAlignment="1" applyFill="1" applyFont="1">
      <alignment readingOrder="0"/>
    </xf>
    <xf borderId="5" fillId="0" fontId="2" numFmtId="0" xfId="0" applyBorder="1" applyFont="1"/>
    <xf borderId="6" fillId="0" fontId="2" numFmtId="0" xfId="0" applyBorder="1" applyFont="1"/>
    <xf borderId="0" fillId="3" fontId="1" numFmtId="0" xfId="0" applyFill="1" applyFont="1"/>
    <xf borderId="0" fillId="4" fontId="1" numFmtId="0" xfId="0" applyFill="1" applyFont="1"/>
    <xf borderId="0" fillId="2" fontId="1" numFmtId="0" xfId="0" applyFont="1"/>
    <xf borderId="0" fillId="5" fontId="1" numFmtId="0" xfId="0" applyFill="1" applyFont="1"/>
    <xf borderId="0" fillId="6" fontId="1" numFmtId="0" xfId="0" applyFill="1" applyFont="1"/>
    <xf borderId="0" fillId="0" fontId="6" numFmtId="168" xfId="0" applyAlignment="1" applyFont="1" applyNumberFormat="1">
      <alignment readingOrder="0"/>
    </xf>
    <xf borderId="0" fillId="0" fontId="6" numFmtId="168" xfId="0" applyAlignment="1" applyFont="1" applyNumberFormat="1">
      <alignment horizontal="left" readingOrder="0"/>
    </xf>
    <xf borderId="0" fillId="0" fontId="2" numFmtId="169" xfId="0" applyAlignment="1" applyFont="1" applyNumberFormat="1">
      <alignment horizontal="left" readingOrder="0"/>
    </xf>
    <xf borderId="0" fillId="0" fontId="2" numFmtId="0" xfId="0" applyAlignment="1" applyFont="1">
      <alignment readingOrder="0"/>
    </xf>
    <xf borderId="0" fillId="0" fontId="1" numFmtId="164" xfId="0" applyAlignment="1" applyFont="1" applyNumberFormat="1">
      <alignment horizontal="left"/>
    </xf>
    <xf borderId="0" fillId="0" fontId="19" numFmtId="0" xfId="0" applyAlignment="1" applyFont="1">
      <alignment horizontal="left"/>
    </xf>
    <xf borderId="0" fillId="0" fontId="1" numFmtId="169" xfId="0" applyAlignment="1" applyFont="1" applyNumberFormat="1">
      <alignment horizontal="left"/>
    </xf>
    <xf borderId="0" fillId="0" fontId="1" numFmtId="169" xfId="0" applyFont="1" applyNumberFormat="1"/>
    <xf borderId="0" fillId="0" fontId="1" numFmtId="4" xfId="0" applyFont="1" applyNumberFormat="1"/>
    <xf borderId="0" fillId="7" fontId="1" numFmtId="164" xfId="0" applyAlignment="1" applyFill="1" applyFont="1" applyNumberFormat="1">
      <alignment horizontal="left"/>
    </xf>
    <xf borderId="0" fillId="7" fontId="1" numFmtId="0" xfId="0" applyAlignment="1" applyFont="1">
      <alignment horizontal="left"/>
    </xf>
    <xf borderId="0" fillId="7" fontId="20" numFmtId="0" xfId="0" applyAlignment="1" applyFont="1">
      <alignment horizontal="left"/>
    </xf>
    <xf borderId="0" fillId="7" fontId="1" numFmtId="169" xfId="0" applyAlignment="1" applyFont="1" applyNumberFormat="1">
      <alignment horizontal="left"/>
    </xf>
    <xf borderId="0" fillId="7" fontId="1" numFmtId="0" xfId="0" applyAlignment="1" applyFont="1">
      <alignment horizontal="left" readingOrder="0"/>
    </xf>
    <xf borderId="0" fillId="0" fontId="3" numFmtId="0" xfId="0" applyAlignment="1" applyFont="1">
      <alignment horizontal="left"/>
    </xf>
    <xf borderId="0" fillId="0" fontId="1" numFmtId="0" xfId="0" applyFont="1"/>
    <xf borderId="0" fillId="0" fontId="21" numFmtId="0" xfId="0" applyFont="1"/>
    <xf borderId="0" fillId="7" fontId="1" numFmtId="164" xfId="0" applyFont="1" applyNumberFormat="1"/>
    <xf borderId="0" fillId="7" fontId="1" numFmtId="0" xfId="0" applyFont="1"/>
    <xf borderId="0" fillId="7" fontId="22" numFmtId="0" xfId="0" applyFont="1"/>
    <xf borderId="0" fillId="7" fontId="1" numFmtId="169" xfId="0" applyFont="1" applyNumberFormat="1"/>
    <xf borderId="0" fillId="7" fontId="1" numFmtId="0" xfId="0" applyAlignment="1" applyFont="1">
      <alignment readingOrder="0"/>
    </xf>
    <xf borderId="0" fillId="0" fontId="1" numFmtId="164" xfId="0" applyFont="1" applyNumberFormat="1"/>
    <xf borderId="0" fillId="8" fontId="1" numFmtId="164" xfId="0" applyFill="1" applyFont="1" applyNumberFormat="1"/>
    <xf borderId="0" fillId="8" fontId="1" numFmtId="0" xfId="0" applyFont="1"/>
    <xf borderId="0" fillId="8" fontId="23" numFmtId="0" xfId="0" applyFont="1"/>
    <xf borderId="0" fillId="8" fontId="1" numFmtId="169" xfId="0" applyFont="1" applyNumberFormat="1"/>
    <xf borderId="0" fillId="8" fontId="1" numFmtId="0" xfId="0" applyAlignment="1" applyFont="1">
      <alignment readingOrder="0"/>
    </xf>
    <xf borderId="0" fillId="7" fontId="24" numFmtId="0" xfId="0" applyAlignment="1" applyFont="1">
      <alignment readingOrder="0"/>
    </xf>
    <xf borderId="0" fillId="0" fontId="1" numFmtId="14" xfId="0" applyFont="1" applyNumberFormat="1"/>
    <xf borderId="0" fillId="0" fontId="1" numFmtId="165" xfId="0" applyFont="1" applyNumberFormat="1"/>
    <xf borderId="0" fillId="9" fontId="25" numFmtId="0" xfId="0" applyAlignment="1" applyFill="1" applyFont="1">
      <alignment readingOrder="0"/>
    </xf>
    <xf borderId="0" fillId="9" fontId="25" numFmtId="170" xfId="0" applyAlignment="1" applyFont="1" applyNumberFormat="1">
      <alignment readingOrder="0"/>
    </xf>
    <xf borderId="0" fillId="0" fontId="26" numFmtId="0" xfId="0" applyAlignment="1" applyFont="1">
      <alignment readingOrder="0"/>
    </xf>
    <xf borderId="0" fillId="0" fontId="27" numFmtId="0" xfId="0" applyAlignment="1" applyFont="1">
      <alignment readingOrder="0"/>
    </xf>
    <xf borderId="0" fillId="10" fontId="26" numFmtId="0" xfId="0" applyFill="1" applyFont="1"/>
    <xf borderId="0" fillId="0" fontId="26" numFmtId="0" xfId="0" applyFont="1"/>
    <xf borderId="0" fillId="0" fontId="28" numFmtId="0" xfId="0" applyAlignment="1" applyFont="1">
      <alignment readingOrder="0"/>
    </xf>
    <xf borderId="0" fillId="0" fontId="29" numFmtId="169" xfId="0" applyAlignment="1" applyFont="1" applyNumberFormat="1">
      <alignment horizontal="left"/>
    </xf>
    <xf borderId="0" fillId="0" fontId="29" numFmtId="0" xfId="0" applyAlignment="1" applyFont="1">
      <alignment horizontal="left"/>
    </xf>
    <xf borderId="0" fillId="0" fontId="30" numFmtId="0" xfId="0" applyAlignment="1" applyFont="1">
      <alignment horizontal="left"/>
    </xf>
    <xf borderId="0" fillId="0" fontId="30" numFmtId="0" xfId="0" applyAlignment="1" applyFont="1">
      <alignment horizontal="left" readingOrder="0"/>
    </xf>
    <xf borderId="0" fillId="0" fontId="2" numFmtId="169" xfId="0" applyAlignment="1" applyFont="1" applyNumberFormat="1">
      <alignment horizontal="left"/>
    </xf>
    <xf borderId="0" fillId="0" fontId="30" numFmtId="0" xfId="0" applyAlignment="1" applyFont="1">
      <alignment readingOrder="0"/>
    </xf>
    <xf borderId="0" fillId="0" fontId="31" numFmtId="0" xfId="0" applyFont="1"/>
    <xf borderId="0" fillId="0" fontId="2" numFmtId="0" xfId="0" applyAlignment="1" applyFont="1">
      <alignment horizontal="center" readingOrder="0"/>
    </xf>
  </cellXfs>
  <cellStyles count="1">
    <cellStyle xfId="0" name="Normal" builtinId="0"/>
  </cellStyles>
  <dxfs count="2">
    <dxf>
      <font/>
      <fill>
        <patternFill patternType="solid">
          <fgColor rgb="FFB7E1CD"/>
          <bgColor rgb="FFB7E1CD"/>
        </patternFill>
      </fill>
      <border/>
    </dxf>
    <dxf>
      <font>
        <b/>
        <color rgb="FF000000"/>
      </font>
      <fill>
        <patternFill patternType="solid">
          <fgColor rgb="FF93C47D"/>
          <bgColor rgb="FF93C47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400">
                <a:solidFill>
                  <a:srgbClr val="757575"/>
                </a:solidFill>
                <a:latin typeface="+mn-lt"/>
              </a:defRPr>
            </a:pPr>
            <a:r>
              <a:rPr b="0" sz="1400">
                <a:solidFill>
                  <a:srgbClr val="757575"/>
                </a:solidFill>
                <a:latin typeface="+mn-lt"/>
              </a:rPr>
              <a:t>Weekly Count</a:t>
            </a:r>
          </a:p>
        </c:rich>
      </c:tx>
      <c:overlay val="0"/>
    </c:title>
    <c:plotArea>
      <c:layout/>
      <c:areaChart>
        <c:axId val="1896539958"/>
        <c:axId val="958724417"/>
      </c:areaChart>
      <c:catAx>
        <c:axId val="189653995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958724417"/>
      </c:catAx>
      <c:valAx>
        <c:axId val="95872441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96539958"/>
      </c:valAx>
    </c:plotArea>
    <c:legend>
      <c:legendPos val="t"/>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400">
                <a:solidFill>
                  <a:srgbClr val="757575"/>
                </a:solidFill>
                <a:latin typeface="+mn-lt"/>
              </a:defRPr>
            </a:pPr>
            <a:r>
              <a:rPr b="0" sz="1400">
                <a:solidFill>
                  <a:srgbClr val="757575"/>
                </a:solidFill>
                <a:latin typeface="+mn-lt"/>
              </a:rPr>
              <a:t>Application count each month</a:t>
            </a:r>
          </a:p>
        </c:rich>
      </c:tx>
      <c:overlay val="0"/>
    </c:title>
    <c:plotArea>
      <c:layout/>
      <c:doughnutChart>
        <c:varyColors val="1"/>
        <c:ser>
          <c:idx val="0"/>
          <c:order val="0"/>
          <c:tx>
            <c:strRef>
              <c:f>'Summary Dashboard'!$H$1</c:f>
            </c:strRef>
          </c:tx>
          <c:dPt>
            <c:idx val="0"/>
            <c:spPr>
              <a:solidFill>
                <a:schemeClr val="accent5"/>
              </a:solidFill>
            </c:spPr>
          </c:dPt>
          <c:dPt>
            <c:idx val="1"/>
            <c:explosion val="0"/>
            <c:spPr>
              <a:solidFill>
                <a:schemeClr val="accent6"/>
              </a:solidFill>
            </c:spPr>
          </c:dPt>
          <c:dPt>
            <c:idx val="2"/>
            <c:spPr>
              <a:solidFill>
                <a:srgbClr val="FBBC04"/>
              </a:solidFill>
            </c:spPr>
          </c:dPt>
          <c:dPt>
            <c:idx val="3"/>
            <c:spPr>
              <a:solidFill>
                <a:srgbClr val="34A853"/>
              </a:solidFill>
            </c:spPr>
          </c:dPt>
          <c:dPt>
            <c:idx val="4"/>
            <c:spPr>
              <a:solidFill>
                <a:srgbClr val="C27BA0"/>
              </a:solidFill>
            </c:spPr>
          </c:dPt>
          <c:dLbls>
            <c:showLegendKey val="0"/>
            <c:showVal val="0"/>
            <c:showCatName val="0"/>
            <c:showSerName val="0"/>
            <c:showPercent val="0"/>
            <c:showBubbleSize val="0"/>
            <c:showLeaderLines val="1"/>
          </c:dLbls>
          <c:cat>
            <c:strRef>
              <c:f>'Summary Dashboard'!$G$2:$G$6</c:f>
            </c:strRef>
          </c:cat>
          <c:val>
            <c:numRef>
              <c:f>'Summary Dashboard'!$H$2:$H$6</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400">
                <a:solidFill>
                  <a:srgbClr val="757575"/>
                </a:solidFill>
                <a:latin typeface="+mn-lt"/>
              </a:defRPr>
            </a:pPr>
            <a:r>
              <a:rPr b="0" sz="1400">
                <a:solidFill>
                  <a:srgbClr val="757575"/>
                </a:solidFill>
                <a:latin typeface="+mn-lt"/>
              </a:rPr>
              <a:t>OA and Referral Count Tracker</a:t>
            </a:r>
          </a:p>
        </c:rich>
      </c:tx>
      <c:overlay val="0"/>
    </c:title>
    <c:plotArea>
      <c:layout/>
      <c:lineChart>
        <c:ser>
          <c:idx val="0"/>
          <c:order val="0"/>
          <c:tx>
            <c:v>OA Count</c:v>
          </c:tx>
          <c:spPr>
            <a:ln cmpd="sng">
              <a:solidFill>
                <a:srgbClr val="4285F4"/>
              </a:solidFill>
            </a:ln>
          </c:spPr>
          <c:marker>
            <c:symbol val="none"/>
          </c:marker>
          <c:dPt>
            <c:idx val="0"/>
            <c:marker>
              <c:symbol val="none"/>
            </c:marker>
          </c:dPt>
          <c:dLbls>
            <c:numFmt formatCode="General" sourceLinked="1"/>
            <c:txPr>
              <a:bodyPr/>
              <a:lstStyle/>
              <a:p>
                <a:pPr lvl="0">
                  <a:defRPr/>
                </a:pPr>
              </a:p>
            </c:txPr>
            <c:showLegendKey val="0"/>
            <c:showVal val="1"/>
            <c:showCatName val="0"/>
            <c:showSerName val="0"/>
            <c:showPercent val="0"/>
            <c:showBubbleSize val="0"/>
          </c:dLbls>
          <c:trendline>
            <c:name/>
            <c:spPr>
              <a:ln w="19050">
                <a:solidFill>
                  <a:srgbClr val="000000"/>
                </a:solidFill>
              </a:ln>
            </c:spPr>
            <c:trendlineType val="linear"/>
            <c:dispRSqr val="0"/>
            <c:dispEq val="0"/>
          </c:trendline>
          <c:errBars>
            <c:errDir val="y"/>
            <c:errBarType val="both"/>
            <c:errValType val="percentage"/>
            <c:noEndCap val="0"/>
            <c:val val="10.0"/>
          </c:errBars>
          <c:cat>
            <c:strRef>
              <c:f>'Summary Dashboard'!$J$2:$J$4</c:f>
            </c:strRef>
          </c:cat>
          <c:val>
            <c:numRef>
              <c:f>'Summary Dashboard'!$K$2:$K$4</c:f>
              <c:numCache/>
            </c:numRef>
          </c:val>
          <c:smooth val="1"/>
        </c:ser>
        <c:ser>
          <c:idx val="1"/>
          <c:order val="1"/>
          <c:tx>
            <c:v>Referral Count</c:v>
          </c:tx>
          <c:spPr>
            <a:ln cmpd="sng">
              <a:solidFill>
                <a:srgbClr val="EA4335"/>
              </a:solidFill>
            </a:ln>
          </c:spPr>
          <c:marker>
            <c:symbol val="circle"/>
            <c:size val="10"/>
            <c:spPr>
              <a:solidFill>
                <a:srgbClr val="EA4335"/>
              </a:solidFill>
              <a:ln cmpd="sng">
                <a:solidFill>
                  <a:srgbClr val="EA4335"/>
                </a:solidFill>
              </a:ln>
            </c:spPr>
          </c:marker>
          <c:dPt>
            <c:idx val="0"/>
            <c:marker>
              <c:symbol val="none"/>
            </c:marker>
          </c:dPt>
          <c:dPt>
            <c:idx val="1"/>
            <c:marker>
              <c:symbol val="none"/>
            </c:marker>
          </c:dPt>
          <c:dPt>
            <c:idx val="2"/>
            <c:marker>
              <c:symbol val="none"/>
            </c:marker>
          </c:dPt>
          <c:dLbls>
            <c:numFmt formatCode="General" sourceLinked="0"/>
            <c:txPr>
              <a:bodyPr/>
              <a:lstStyle/>
              <a:p>
                <a:pPr lvl="0">
                  <a:defRPr/>
                </a:pPr>
              </a:p>
            </c:txPr>
            <c:showLegendKey val="0"/>
            <c:showVal val="1"/>
            <c:showCatName val="0"/>
            <c:showSerName val="0"/>
            <c:showPercent val="0"/>
            <c:showBubbleSize val="0"/>
          </c:dLbls>
          <c:trendline>
            <c:name>Trendline for Referral Count</c:name>
            <c:spPr>
              <a:ln w="19050">
                <a:solidFill>
                  <a:srgbClr val="000000"/>
                </a:solidFill>
              </a:ln>
            </c:spPr>
            <c:trendlineType val="linear"/>
            <c:dispRSqr val="0"/>
            <c:dispEq val="0"/>
          </c:trendline>
          <c:errBars>
            <c:errDir val="y"/>
            <c:errBarType val="both"/>
            <c:errValType val="percentage"/>
            <c:noEndCap val="0"/>
            <c:val val="10.0"/>
          </c:errBars>
          <c:cat>
            <c:strRef>
              <c:f>'Summary Dashboard'!$J$2:$J$4</c:f>
            </c:strRef>
          </c:cat>
          <c:val>
            <c:numRef>
              <c:f>'Summary Dashboard'!$L$2:$L$4</c:f>
              <c:numCache/>
            </c:numRef>
          </c:val>
          <c:smooth val="1"/>
        </c:ser>
        <c:axId val="1177189218"/>
        <c:axId val="74841757"/>
      </c:lineChart>
      <c:catAx>
        <c:axId val="117718921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cross"/>
        <c:minorTickMark val="none"/>
        <c:spPr/>
        <c:txPr>
          <a:bodyPr/>
          <a:lstStyle/>
          <a:p>
            <a:pPr lvl="0">
              <a:defRPr b="0">
                <a:solidFill>
                  <a:srgbClr val="000000"/>
                </a:solidFill>
                <a:latin typeface="+mn-lt"/>
              </a:defRPr>
            </a:pPr>
          </a:p>
        </c:txPr>
        <c:crossAx val="74841757"/>
      </c:catAx>
      <c:valAx>
        <c:axId val="7484175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cross"/>
        <c:minorTickMark val="cross"/>
        <c:tickLblPos val="nextTo"/>
        <c:spPr>
          <a:ln/>
        </c:spPr>
        <c:txPr>
          <a:bodyPr/>
          <a:lstStyle/>
          <a:p>
            <a:pPr lvl="0">
              <a:defRPr b="0">
                <a:solidFill>
                  <a:srgbClr val="000000"/>
                </a:solidFill>
                <a:latin typeface="+mn-lt"/>
              </a:defRPr>
            </a:pPr>
          </a:p>
        </c:txPr>
        <c:crossAx val="1177189218"/>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2025-W44, 2025-W45, 2025-W46, 2025-W47 and 2025-W48</a:t>
            </a:r>
          </a:p>
        </c:rich>
      </c:tx>
      <c:overlay val="0"/>
    </c:title>
    <c:plotArea>
      <c:layout/>
      <c:areaChart>
        <c:ser>
          <c:idx val="0"/>
          <c:order val="0"/>
          <c:tx>
            <c:strRef>
              <c:f>'Weekly Count Chart'!$A$2</c:f>
            </c:strRef>
          </c:tx>
          <c:spPr>
            <a:solidFill>
              <a:srgbClr val="4285F4">
                <a:alpha val="30000"/>
              </a:srgbClr>
            </a:solidFill>
            <a:ln cmpd="sng">
              <a:solidFill>
                <a:srgbClr val="4285F4"/>
              </a:solidFill>
            </a:ln>
          </c:spPr>
          <c:cat>
            <c:strRef>
              <c:f>'Weekly Count Chart'!$B$1:$H$1</c:f>
            </c:strRef>
          </c:cat>
          <c:val>
            <c:numRef>
              <c:f>'Weekly Count Chart'!$B$2:$H$2</c:f>
              <c:numCache/>
            </c:numRef>
          </c:val>
        </c:ser>
        <c:ser>
          <c:idx val="1"/>
          <c:order val="1"/>
          <c:tx>
            <c:strRef>
              <c:f>'Weekly Count Chart'!$A$3</c:f>
            </c:strRef>
          </c:tx>
          <c:spPr>
            <a:solidFill>
              <a:srgbClr val="EA4335">
                <a:alpha val="30000"/>
              </a:srgbClr>
            </a:solidFill>
            <a:ln cmpd="sng">
              <a:solidFill>
                <a:srgbClr val="EA4335"/>
              </a:solidFill>
            </a:ln>
          </c:spPr>
          <c:cat>
            <c:strRef>
              <c:f>'Weekly Count Chart'!$B$1:$H$1</c:f>
            </c:strRef>
          </c:cat>
          <c:val>
            <c:numRef>
              <c:f>'Weekly Count Chart'!$B$3:$H$3</c:f>
              <c:numCache/>
            </c:numRef>
          </c:val>
        </c:ser>
        <c:ser>
          <c:idx val="2"/>
          <c:order val="2"/>
          <c:tx>
            <c:strRef>
              <c:f>'Weekly Count Chart'!$A$4</c:f>
            </c:strRef>
          </c:tx>
          <c:spPr>
            <a:solidFill>
              <a:srgbClr val="FBBC04">
                <a:alpha val="30000"/>
              </a:srgbClr>
            </a:solidFill>
            <a:ln cmpd="sng">
              <a:solidFill>
                <a:srgbClr val="FBBC04"/>
              </a:solidFill>
            </a:ln>
          </c:spPr>
          <c:cat>
            <c:strRef>
              <c:f>'Weekly Count Chart'!$B$1:$H$1</c:f>
            </c:strRef>
          </c:cat>
          <c:val>
            <c:numRef>
              <c:f>'Weekly Count Chart'!$B$4:$H$4</c:f>
              <c:numCache/>
            </c:numRef>
          </c:val>
        </c:ser>
        <c:ser>
          <c:idx val="3"/>
          <c:order val="3"/>
          <c:tx>
            <c:strRef>
              <c:f>'Weekly Count Chart'!$A$5</c:f>
            </c:strRef>
          </c:tx>
          <c:spPr>
            <a:solidFill>
              <a:srgbClr val="34A853">
                <a:alpha val="30000"/>
              </a:srgbClr>
            </a:solidFill>
            <a:ln cmpd="sng">
              <a:solidFill>
                <a:srgbClr val="34A853"/>
              </a:solidFill>
            </a:ln>
          </c:spPr>
          <c:cat>
            <c:strRef>
              <c:f>'Weekly Count Chart'!$B$1:$H$1</c:f>
            </c:strRef>
          </c:cat>
          <c:val>
            <c:numRef>
              <c:f>'Weekly Count Chart'!$B$5:$H$5</c:f>
              <c:numCache/>
            </c:numRef>
          </c:val>
        </c:ser>
        <c:ser>
          <c:idx val="4"/>
          <c:order val="4"/>
          <c:tx>
            <c:strRef>
              <c:f>'Weekly Count Chart'!$A$6</c:f>
            </c:strRef>
          </c:tx>
          <c:spPr>
            <a:solidFill>
              <a:srgbClr val="FF6D01">
                <a:alpha val="30000"/>
              </a:srgbClr>
            </a:solidFill>
            <a:ln cmpd="sng">
              <a:solidFill>
                <a:srgbClr val="FF6D01"/>
              </a:solidFill>
            </a:ln>
          </c:spPr>
          <c:cat>
            <c:strRef>
              <c:f>'Weekly Count Chart'!$B$1:$H$1</c:f>
            </c:strRef>
          </c:cat>
          <c:val>
            <c:numRef>
              <c:f>'Weekly Count Chart'!$B$6:$H$6</c:f>
              <c:numCache/>
            </c:numRef>
          </c:val>
        </c:ser>
        <c:axId val="2022439129"/>
        <c:axId val="1123094359"/>
      </c:areaChart>
      <c:catAx>
        <c:axId val="202243912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Week</a:t>
                </a:r>
              </a:p>
            </c:rich>
          </c:tx>
          <c:overlay val="0"/>
        </c:title>
        <c:numFmt formatCode="General" sourceLinked="1"/>
        <c:majorTickMark val="none"/>
        <c:minorTickMark val="none"/>
        <c:spPr/>
        <c:txPr>
          <a:bodyPr/>
          <a:lstStyle/>
          <a:p>
            <a:pPr lvl="0">
              <a:defRPr b="0">
                <a:solidFill>
                  <a:srgbClr val="000000"/>
                </a:solidFill>
                <a:latin typeface="+mn-lt"/>
              </a:defRPr>
            </a:pPr>
          </a:p>
        </c:txPr>
        <c:crossAx val="1123094359"/>
      </c:catAx>
      <c:valAx>
        <c:axId val="112309435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22439129"/>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image" Target="../media/Chart4.png"/><Relationship Id="rId5" Type="http://schemas.openxmlformats.org/officeDocument/2006/relationships/image" Target="../media/Chart5.png"/></Relationships>
</file>

<file path=xl/drawings/_rels/drawing1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504825</xdr:colOff>
      <xdr:row>34</xdr:row>
      <xdr:rowOff>171450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504825</xdr:colOff>
      <xdr:row>14</xdr:row>
      <xdr:rowOff>76200</xdr:rowOff>
    </xdr:from>
    <xdr:ext cx="5010150" cy="308610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6</xdr:col>
      <xdr:colOff>9525</xdr:colOff>
      <xdr:row>14</xdr:row>
      <xdr:rowOff>76200</xdr:rowOff>
    </xdr:from>
    <xdr:ext cx="4867275" cy="308610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504825</xdr:colOff>
      <xdr:row>0</xdr:row>
      <xdr:rowOff>114300</xdr:rowOff>
    </xdr:from>
    <xdr:ext cx="13506450" cy="3009900"/>
    <xdr:pic>
      <xdr:nvPicPr>
        <xdr:cNvPr id="509983491" name="Chart4"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952500</xdr:colOff>
      <xdr:row>34</xdr:row>
      <xdr:rowOff>171450</xdr:rowOff>
    </xdr:from>
    <xdr:ext cx="5715000" cy="3533775"/>
    <xdr:pic>
      <xdr:nvPicPr>
        <xdr:cNvPr id="267371257" name="Chart5"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323850</xdr:colOff>
      <xdr:row>7</xdr:row>
      <xdr:rowOff>114300</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iyafuFbKxY4hPYXeLvJ0e-mzDB9wLxFTPNw3Nbcknko/edit?tab=t.0" TargetMode="External"/><Relationship Id="rId2" Type="http://schemas.openxmlformats.org/officeDocument/2006/relationships/hyperlink" Target="https://docs.google.com/document/d/1-vecGiL0Q4HazhcL3PV6PDyXEKBa-TpzQdw9Em15cTc/edit?tab=t.0" TargetMode="External"/><Relationship Id="rId3" Type="http://schemas.openxmlformats.org/officeDocument/2006/relationships/hyperlink" Target="https://docs.google.com/document/d/1Kd7snEMHmXjtGqIyTNMwth5NDwQNwHF_7N09qTUYxsY/edit?tab=t.0" TargetMode="External"/><Relationship Id="rId4" Type="http://schemas.openxmlformats.org/officeDocument/2006/relationships/hyperlink" Target="https://docs.google.com/document/d/1ZddLtuSmeM2jirqiI7YQeBOWziHi2d-fmXyWFnahnfw/edit?tab=t.0" TargetMode="External"/><Relationship Id="rId5" Type="http://schemas.openxmlformats.org/officeDocument/2006/relationships/hyperlink" Target="https://docs.google.com/document/d/1PepnlJmia088fH_eGYZkag8Q51A3Uqbd1zxIFP8pM58/edit?tab=t.0" TargetMode="External"/><Relationship Id="rId6" Type="http://schemas.openxmlformats.org/officeDocument/2006/relationships/hyperlink" Target="https://docs.google.com/document/d/1hK4CLbhOgaOgiB54fLk-tJPopsKOBFiSueXEK_Tzb9Y/edit?tab=t.0"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www.linkedin.com/jobs/view/4298782129/" TargetMode="External"/><Relationship Id="rId190" Type="http://schemas.openxmlformats.org/officeDocument/2006/relationships/hyperlink" Target="https://www.linkedin.com/jobs/view/4342657759/" TargetMode="External"/><Relationship Id="rId42" Type="http://schemas.openxmlformats.org/officeDocument/2006/relationships/hyperlink" Target="https://www.linkedin.com/jobs/view/4334173239/" TargetMode="External"/><Relationship Id="rId41" Type="http://schemas.openxmlformats.org/officeDocument/2006/relationships/hyperlink" Target="https://www.linkedin.com/jobs/view/4337718627/" TargetMode="External"/><Relationship Id="rId44" Type="http://schemas.openxmlformats.org/officeDocument/2006/relationships/hyperlink" Target="https://www.linkedin.com/jobs/view/4334272664/" TargetMode="External"/><Relationship Id="rId194" Type="http://schemas.openxmlformats.org/officeDocument/2006/relationships/hyperlink" Target="https://www.linkedin.com/jobs/view/4342988061/" TargetMode="External"/><Relationship Id="rId43" Type="http://schemas.openxmlformats.org/officeDocument/2006/relationships/hyperlink" Target="https://www.linkedin.com/jobs/view/4311153416/" TargetMode="External"/><Relationship Id="rId193" Type="http://schemas.openxmlformats.org/officeDocument/2006/relationships/hyperlink" Target="https://www.linkedin.com/jobs/view/4309511324/" TargetMode="External"/><Relationship Id="rId46" Type="http://schemas.openxmlformats.org/officeDocument/2006/relationships/hyperlink" Target="https://www.linkedin.com/jobs/view/4334352218/" TargetMode="External"/><Relationship Id="rId192" Type="http://schemas.openxmlformats.org/officeDocument/2006/relationships/hyperlink" Target="https://www.linkedin.com/jobs/view/4311763116/" TargetMode="External"/><Relationship Id="rId45" Type="http://schemas.openxmlformats.org/officeDocument/2006/relationships/hyperlink" Target="https://www.linkedin.com/jobs/view/4334173362/" TargetMode="External"/><Relationship Id="rId191" Type="http://schemas.openxmlformats.org/officeDocument/2006/relationships/hyperlink" Target="https://www.linkedin.com/jobs/view/4348875222/" TargetMode="External"/><Relationship Id="rId48" Type="http://schemas.openxmlformats.org/officeDocument/2006/relationships/hyperlink" Target="https://www.linkedin.com/jobs/view/4334322099/" TargetMode="External"/><Relationship Id="rId187" Type="http://schemas.openxmlformats.org/officeDocument/2006/relationships/hyperlink" Target="https://www.linkedin.com/jobs/view/4326266040/" TargetMode="External"/><Relationship Id="rId47" Type="http://schemas.openxmlformats.org/officeDocument/2006/relationships/hyperlink" Target="https://www.linkedin.com/jobs/view/4331308619/" TargetMode="External"/><Relationship Id="rId186" Type="http://schemas.openxmlformats.org/officeDocument/2006/relationships/hyperlink" Target="https://www.linkedin.com/jobs/view/4342777380/" TargetMode="External"/><Relationship Id="rId185" Type="http://schemas.openxmlformats.org/officeDocument/2006/relationships/hyperlink" Target="https://www.linkedin.com/jobs/view/4342697461/" TargetMode="External"/><Relationship Id="rId49" Type="http://schemas.openxmlformats.org/officeDocument/2006/relationships/hyperlink" Target="https://www.linkedin.com/jobs/view/4334302426/" TargetMode="External"/><Relationship Id="rId184" Type="http://schemas.openxmlformats.org/officeDocument/2006/relationships/hyperlink" Target="https://www.linkedin.com/jobs/view/4342786882/" TargetMode="External"/><Relationship Id="rId189" Type="http://schemas.openxmlformats.org/officeDocument/2006/relationships/hyperlink" Target="https://www.linkedin.com/jobs/view/4342617779/" TargetMode="External"/><Relationship Id="rId188" Type="http://schemas.openxmlformats.org/officeDocument/2006/relationships/hyperlink" Target="https://www.linkedin.com/jobs/view/4349050419/" TargetMode="External"/><Relationship Id="rId31" Type="http://schemas.openxmlformats.org/officeDocument/2006/relationships/hyperlink" Target="https://www.linkedin.com/jobs/view/4320479332/" TargetMode="External"/><Relationship Id="rId30" Type="http://schemas.openxmlformats.org/officeDocument/2006/relationships/hyperlink" Target="https://www.linkedin.com/jobs/view/4320528197/" TargetMode="External"/><Relationship Id="rId33" Type="http://schemas.openxmlformats.org/officeDocument/2006/relationships/hyperlink" Target="http://executiveplacements.com" TargetMode="External"/><Relationship Id="rId183" Type="http://schemas.openxmlformats.org/officeDocument/2006/relationships/hyperlink" Target="https://www.linkedin.com/jobs/view/4342707707/" TargetMode="External"/><Relationship Id="rId32" Type="http://schemas.openxmlformats.org/officeDocument/2006/relationships/hyperlink" Target="https://www.linkedin.com/jobs/view/4337427172/" TargetMode="External"/><Relationship Id="rId182" Type="http://schemas.openxmlformats.org/officeDocument/2006/relationships/hyperlink" Target="https://www.linkedin.com/jobs/view/4342697468/" TargetMode="External"/><Relationship Id="rId35" Type="http://schemas.openxmlformats.org/officeDocument/2006/relationships/hyperlink" Target="https://www.linkedin.com/jobs/view/4320782797/" TargetMode="External"/><Relationship Id="rId181" Type="http://schemas.openxmlformats.org/officeDocument/2006/relationships/hyperlink" Target="https://www.linkedin.com/jobs/view/4342667947/" TargetMode="External"/><Relationship Id="rId34" Type="http://schemas.openxmlformats.org/officeDocument/2006/relationships/hyperlink" Target="https://www.linkedin.com/jobs/view/4334035367/" TargetMode="External"/><Relationship Id="rId180" Type="http://schemas.openxmlformats.org/officeDocument/2006/relationships/hyperlink" Target="https://www.linkedin.com/jobs/view/4325308202/" TargetMode="External"/><Relationship Id="rId37" Type="http://schemas.openxmlformats.org/officeDocument/2006/relationships/hyperlink" Target="https://www.linkedin.com/jobs/view/4320663000/" TargetMode="External"/><Relationship Id="rId176" Type="http://schemas.openxmlformats.org/officeDocument/2006/relationships/hyperlink" Target="https://nvidia.wd5.myworkdayjobs.com/en-US/NVIDIAExternalCareerSite/userHome" TargetMode="External"/><Relationship Id="rId36" Type="http://schemas.openxmlformats.org/officeDocument/2006/relationships/hyperlink" Target="https://www.linkedin.com/jobs/view/4320782742/" TargetMode="External"/><Relationship Id="rId175" Type="http://schemas.openxmlformats.org/officeDocument/2006/relationships/hyperlink" Target="https://www.linkedin.com/jobs/view/4324872849/" TargetMode="External"/><Relationship Id="rId39" Type="http://schemas.openxmlformats.org/officeDocument/2006/relationships/hyperlink" Target="https://www.linkedin.com/jobs/view/4333928645/" TargetMode="External"/><Relationship Id="rId174" Type="http://schemas.openxmlformats.org/officeDocument/2006/relationships/hyperlink" Target="https://www.linkedin.com/jobs/view/4321104804/" TargetMode="External"/><Relationship Id="rId38" Type="http://schemas.openxmlformats.org/officeDocument/2006/relationships/hyperlink" Target="https://www.linkedin.com/jobs/view/4333948404/" TargetMode="External"/><Relationship Id="rId173" Type="http://schemas.openxmlformats.org/officeDocument/2006/relationships/hyperlink" Target="https://www.linkedin.com/jobs/view/4312190696/" TargetMode="External"/><Relationship Id="rId179" Type="http://schemas.openxmlformats.org/officeDocument/2006/relationships/hyperlink" Target="https://www.linkedin.com/jobs/view/4342588218/" TargetMode="External"/><Relationship Id="rId178" Type="http://schemas.openxmlformats.org/officeDocument/2006/relationships/hyperlink" Target="https://www.linkedin.com/jobs/view/4348389382/" TargetMode="External"/><Relationship Id="rId177" Type="http://schemas.openxmlformats.org/officeDocument/2006/relationships/hyperlink" Target="https://www.linkedin.com/in/shaun-blair-25621812/" TargetMode="External"/><Relationship Id="rId20" Type="http://schemas.openxmlformats.org/officeDocument/2006/relationships/hyperlink" Target="https://www.linkedin.com/jobs/view/4301098096/" TargetMode="External"/><Relationship Id="rId22" Type="http://schemas.openxmlformats.org/officeDocument/2006/relationships/hyperlink" Target="https://www.linkedin.com/jobs/view/4315410648/" TargetMode="External"/><Relationship Id="rId21" Type="http://schemas.openxmlformats.org/officeDocument/2006/relationships/hyperlink" Target="https://www.linkedin.com/jobs/view/4303401301/" TargetMode="External"/><Relationship Id="rId24" Type="http://schemas.openxmlformats.org/officeDocument/2006/relationships/hyperlink" Target="https://www.linkedin.com/jobs/view/4309572283/" TargetMode="External"/><Relationship Id="rId23" Type="http://schemas.openxmlformats.org/officeDocument/2006/relationships/hyperlink" Target="https://www.linkedin.com/jobs/view/4266998367/" TargetMode="External"/><Relationship Id="rId26" Type="http://schemas.openxmlformats.org/officeDocument/2006/relationships/hyperlink" Target="https://www.linkedin.com/jobs/view/4269082937/" TargetMode="External"/><Relationship Id="rId25" Type="http://schemas.openxmlformats.org/officeDocument/2006/relationships/hyperlink" Target="https://www.linkedin.com/jobs/view/4307842196/" TargetMode="External"/><Relationship Id="rId28" Type="http://schemas.openxmlformats.org/officeDocument/2006/relationships/hyperlink" Target="https://www.linkedin.com/jobs/view/4333532799/" TargetMode="External"/><Relationship Id="rId27" Type="http://schemas.openxmlformats.org/officeDocument/2006/relationships/hyperlink" Target="https://www.linkedin.com/jobs/view/4320344393/" TargetMode="External"/><Relationship Id="rId29" Type="http://schemas.openxmlformats.org/officeDocument/2006/relationships/hyperlink" Target="https://www.linkedin.com/jobs/view/4314145584/" TargetMode="External"/><Relationship Id="rId11" Type="http://schemas.openxmlformats.org/officeDocument/2006/relationships/hyperlink" Target="https://www.linkedin.com/jobs/view/4309207109/" TargetMode="External"/><Relationship Id="rId10" Type="http://schemas.openxmlformats.org/officeDocument/2006/relationships/hyperlink" Target="https://www.linkedin.com/jobs/view/4332188017/" TargetMode="External"/><Relationship Id="rId13" Type="http://schemas.openxmlformats.org/officeDocument/2006/relationships/hyperlink" Target="https://www.linkedin.com/jobs/view/4319099936/" TargetMode="External"/><Relationship Id="rId12" Type="http://schemas.openxmlformats.org/officeDocument/2006/relationships/hyperlink" Target="https://www.linkedin.com/jobs/view/4177889291/" TargetMode="External"/><Relationship Id="rId15" Type="http://schemas.openxmlformats.org/officeDocument/2006/relationships/hyperlink" Target="https://www.linkedin.com/jobs/view/4242967875/" TargetMode="External"/><Relationship Id="rId198" Type="http://schemas.openxmlformats.org/officeDocument/2006/relationships/hyperlink" Target="https://www.linkedin.com/jobs/view/4326527051/" TargetMode="External"/><Relationship Id="rId14" Type="http://schemas.openxmlformats.org/officeDocument/2006/relationships/hyperlink" Target="https://www.linkedin.com/jobs/view/4292870840/" TargetMode="External"/><Relationship Id="rId197" Type="http://schemas.openxmlformats.org/officeDocument/2006/relationships/hyperlink" Target="https://www.linkedin.com/jobs/view/4332085651/" TargetMode="External"/><Relationship Id="rId17" Type="http://schemas.openxmlformats.org/officeDocument/2006/relationships/hyperlink" Target="https://www.linkedin.com/jobs/view/4333891398/" TargetMode="External"/><Relationship Id="rId196" Type="http://schemas.openxmlformats.org/officeDocument/2006/relationships/hyperlink" Target="https://www.linkedin.com/jobs/view/4341119223/" TargetMode="External"/><Relationship Id="rId16" Type="http://schemas.openxmlformats.org/officeDocument/2006/relationships/hyperlink" Target="https://www.linkedin.com/jobs/view/4255482699/" TargetMode="External"/><Relationship Id="rId195" Type="http://schemas.openxmlformats.org/officeDocument/2006/relationships/hyperlink" Target="https://www.linkedin.com/jobs/view/4184536076/" TargetMode="External"/><Relationship Id="rId19" Type="http://schemas.openxmlformats.org/officeDocument/2006/relationships/hyperlink" Target="https://www.linkedin.com/jobs/view/4309215421/" TargetMode="External"/><Relationship Id="rId18" Type="http://schemas.openxmlformats.org/officeDocument/2006/relationships/hyperlink" Target="https://www.linkedin.com/jobs/view/4333847443/" TargetMode="External"/><Relationship Id="rId199" Type="http://schemas.openxmlformats.org/officeDocument/2006/relationships/hyperlink" Target="https://www.linkedin.com/jobs/view/4319264435/" TargetMode="External"/><Relationship Id="rId84" Type="http://schemas.openxmlformats.org/officeDocument/2006/relationships/hyperlink" Target="https://www.linkedin.com/jobs/view/3986116449/" TargetMode="External"/><Relationship Id="rId83" Type="http://schemas.openxmlformats.org/officeDocument/2006/relationships/hyperlink" Target="https://www.linkedin.com/jobs/view/4317102285/" TargetMode="External"/><Relationship Id="rId86" Type="http://schemas.openxmlformats.org/officeDocument/2006/relationships/hyperlink" Target="https://www.linkedin.com/jobs/view/4320743044/" TargetMode="External"/><Relationship Id="rId85" Type="http://schemas.openxmlformats.org/officeDocument/2006/relationships/hyperlink" Target="https://www.linkedin.com/jobs/view/4341123256/" TargetMode="External"/><Relationship Id="rId88" Type="http://schemas.openxmlformats.org/officeDocument/2006/relationships/hyperlink" Target="https://www.linkedin.com/jobs/view/4336602991/" TargetMode="External"/><Relationship Id="rId150" Type="http://schemas.openxmlformats.org/officeDocument/2006/relationships/hyperlink" Target="https://www.linkedin.com/jobs/view/4339864805/" TargetMode="External"/><Relationship Id="rId87" Type="http://schemas.openxmlformats.org/officeDocument/2006/relationships/hyperlink" Target="https://www.linkedin.com/jobs/view/4310860245/" TargetMode="External"/><Relationship Id="rId89" Type="http://schemas.openxmlformats.org/officeDocument/2006/relationships/hyperlink" Target="https://www.linkedin.com/jobs/view/4336713425/" TargetMode="External"/><Relationship Id="rId80" Type="http://schemas.openxmlformats.org/officeDocument/2006/relationships/hyperlink" Target="https://optiver.com/working-at-optiver/career-opportunities/7986419002/?gh_jid=7986419002&amp;gh_src=hk2so9u22us" TargetMode="External"/><Relationship Id="rId82" Type="http://schemas.openxmlformats.org/officeDocument/2006/relationships/hyperlink" Target="https://www.linkedin.com/jobs/view/4340943315/" TargetMode="External"/><Relationship Id="rId81" Type="http://schemas.openxmlformats.org/officeDocument/2006/relationships/hyperlink" Target="https://www.linkedin.com/jobs/view/4336780888/" TargetMode="External"/><Relationship Id="rId1" Type="http://schemas.openxmlformats.org/officeDocument/2006/relationships/hyperlink" Target="https://www.linkedin.com/jobs/view/4320212741/" TargetMode="External"/><Relationship Id="rId2" Type="http://schemas.openxmlformats.org/officeDocument/2006/relationships/hyperlink" Target="https://www.linkedin.com/jobs/view/4320312705/" TargetMode="External"/><Relationship Id="rId3" Type="http://schemas.openxmlformats.org/officeDocument/2006/relationships/hyperlink" Target="https://www.linkedin.com/jobs/view/4314022965/" TargetMode="External"/><Relationship Id="rId149" Type="http://schemas.openxmlformats.org/officeDocument/2006/relationships/hyperlink" Target="https://www.linkedin.com/jobs/view/4339864805/" TargetMode="External"/><Relationship Id="rId4" Type="http://schemas.openxmlformats.org/officeDocument/2006/relationships/hyperlink" Target="https://www.linkedin.com/jobs/view/4320152787/" TargetMode="External"/><Relationship Id="rId148" Type="http://schemas.openxmlformats.org/officeDocument/2006/relationships/hyperlink" Target="https://jobs.ashbyhq.com/bestow/58482071-59a3-4890-99c8-812b20aacabc/application?utm_source=dMvJ1M2JzV&amp;lever-source=Indeed" TargetMode="External"/><Relationship Id="rId9" Type="http://schemas.openxmlformats.org/officeDocument/2006/relationships/hyperlink" Target="https://www.linkedin.com/jobs/view/4313443958/" TargetMode="External"/><Relationship Id="rId143" Type="http://schemas.openxmlformats.org/officeDocument/2006/relationships/hyperlink" Target="https://www.linkedin.com/jobs/view/4196591921/" TargetMode="External"/><Relationship Id="rId142" Type="http://schemas.openxmlformats.org/officeDocument/2006/relationships/hyperlink" Target="https://www.linkedin.com/jobs/view/4319854030/" TargetMode="External"/><Relationship Id="rId141" Type="http://schemas.openxmlformats.org/officeDocument/2006/relationships/hyperlink" Target="https://www.linkedin.com/jobs/view/4338401458/" TargetMode="External"/><Relationship Id="rId140" Type="http://schemas.openxmlformats.org/officeDocument/2006/relationships/hyperlink" Target="https://www.linkedin.com/jobs/view/4341974796/" TargetMode="External"/><Relationship Id="rId5" Type="http://schemas.openxmlformats.org/officeDocument/2006/relationships/hyperlink" Target="https://www.linkedin.com/jobs/view/4320212736/" TargetMode="External"/><Relationship Id="rId147" Type="http://schemas.openxmlformats.org/officeDocument/2006/relationships/hyperlink" Target="https://www.linkedin.com/jobs/view/4338633677/" TargetMode="External"/><Relationship Id="rId6" Type="http://schemas.openxmlformats.org/officeDocument/2006/relationships/hyperlink" Target="https://www.linkedin.com/jobs/view/4333328595/" TargetMode="External"/><Relationship Id="rId146" Type="http://schemas.openxmlformats.org/officeDocument/2006/relationships/hyperlink" Target="https://www.linkedin.com/jobs/view/4281489538/" TargetMode="External"/><Relationship Id="rId7" Type="http://schemas.openxmlformats.org/officeDocument/2006/relationships/hyperlink" Target="https://www.linkedin.com/jobs/view/4333369385/" TargetMode="External"/><Relationship Id="rId145" Type="http://schemas.openxmlformats.org/officeDocument/2006/relationships/hyperlink" Target="https://www.linkedin.com/jobs/view/4338883286/" TargetMode="External"/><Relationship Id="rId8" Type="http://schemas.openxmlformats.org/officeDocument/2006/relationships/hyperlink" Target="https://www.linkedin.com/jobs/view/4315044235/" TargetMode="External"/><Relationship Id="rId144" Type="http://schemas.openxmlformats.org/officeDocument/2006/relationships/hyperlink" Target="https://www.linkedin.com/jobs/view/4337381674/" TargetMode="External"/><Relationship Id="rId73" Type="http://schemas.openxmlformats.org/officeDocument/2006/relationships/hyperlink" Target="https://www.linkedin.com/jobs/view/4340833443/" TargetMode="External"/><Relationship Id="rId72" Type="http://schemas.openxmlformats.org/officeDocument/2006/relationships/hyperlink" Target="https://www.linkedin.com/jobs/view/4336294749/" TargetMode="External"/><Relationship Id="rId75" Type="http://schemas.openxmlformats.org/officeDocument/2006/relationships/hyperlink" Target="https://www.linkedin.com/jobs/view/4340554040/" TargetMode="External"/><Relationship Id="rId74" Type="http://schemas.openxmlformats.org/officeDocument/2006/relationships/hyperlink" Target="https://www.linkedin.com/jobs/view/4322675546/" TargetMode="External"/><Relationship Id="rId77" Type="http://schemas.openxmlformats.org/officeDocument/2006/relationships/hyperlink" Target="https://www.linkedin.com/jobs/view/4335949863/" TargetMode="External"/><Relationship Id="rId76" Type="http://schemas.openxmlformats.org/officeDocument/2006/relationships/hyperlink" Target="https://www.linkedin.com/jobs/view/4336284362/" TargetMode="External"/><Relationship Id="rId79" Type="http://schemas.openxmlformats.org/officeDocument/2006/relationships/hyperlink" Target="https://www.linkedin.com/jobs/view/4322941297/" TargetMode="External"/><Relationship Id="rId78" Type="http://schemas.openxmlformats.org/officeDocument/2006/relationships/hyperlink" Target="https://www.linkedin.com/jobs/view/4334860779/" TargetMode="External"/><Relationship Id="rId71" Type="http://schemas.openxmlformats.org/officeDocument/2006/relationships/hyperlink" Target="https://www.linkedin.com/jobs/view/4336231580/" TargetMode="External"/><Relationship Id="rId70" Type="http://schemas.openxmlformats.org/officeDocument/2006/relationships/hyperlink" Target="https://www.linkedin.com/jobs/view/4306806143/" TargetMode="External"/><Relationship Id="rId139" Type="http://schemas.openxmlformats.org/officeDocument/2006/relationships/hyperlink" Target="https://www.linkedin.com/jobs/view/4337069474/" TargetMode="External"/><Relationship Id="rId138" Type="http://schemas.openxmlformats.org/officeDocument/2006/relationships/hyperlink" Target="https://www.linkedin.com/jobs/view/4338442217/" TargetMode="External"/><Relationship Id="rId137" Type="http://schemas.openxmlformats.org/officeDocument/2006/relationships/hyperlink" Target="https://www.linkedin.com/jobs/view/4338410213/" TargetMode="External"/><Relationship Id="rId132" Type="http://schemas.openxmlformats.org/officeDocument/2006/relationships/hyperlink" Target="https://www.linkedin.com/jobs/view/4338362301/" TargetMode="External"/><Relationship Id="rId131" Type="http://schemas.openxmlformats.org/officeDocument/2006/relationships/hyperlink" Target="https://www.linkedin.com/jobs/view/4338362950/" TargetMode="External"/><Relationship Id="rId130" Type="http://schemas.openxmlformats.org/officeDocument/2006/relationships/hyperlink" Target="https://www.linkedin.com/jobs/view/4338392771/" TargetMode="External"/><Relationship Id="rId136" Type="http://schemas.openxmlformats.org/officeDocument/2006/relationships/hyperlink" Target="https://www.linkedin.com/jobs/view/4323485088/" TargetMode="External"/><Relationship Id="rId135" Type="http://schemas.openxmlformats.org/officeDocument/2006/relationships/hyperlink" Target="https://www.linkedin.com/jobs/view/4323554397/" TargetMode="External"/><Relationship Id="rId134" Type="http://schemas.openxmlformats.org/officeDocument/2006/relationships/hyperlink" Target="https://www.linkedin.com/jobs/view/4338381932/" TargetMode="External"/><Relationship Id="rId133" Type="http://schemas.openxmlformats.org/officeDocument/2006/relationships/hyperlink" Target="https://www.linkedin.com/jobs/view/4323606053/" TargetMode="External"/><Relationship Id="rId62" Type="http://schemas.openxmlformats.org/officeDocument/2006/relationships/hyperlink" Target="https://www.linkedin.com/jobs/view/4334568052/" TargetMode="External"/><Relationship Id="rId61" Type="http://schemas.openxmlformats.org/officeDocument/2006/relationships/hyperlink" Target="https://www.linkedin.com/jobs/view/4337866056/" TargetMode="External"/><Relationship Id="rId64" Type="http://schemas.openxmlformats.org/officeDocument/2006/relationships/hyperlink" Target="https://www.linkedin.com/jobs/view/4334713570/" TargetMode="External"/><Relationship Id="rId63" Type="http://schemas.openxmlformats.org/officeDocument/2006/relationships/hyperlink" Target="https://aah.wd5.myworkdayjobs.com/en-US/External/job/Database-Programmer---NCCT-CTMC-Informatics_R190441" TargetMode="External"/><Relationship Id="rId66" Type="http://schemas.openxmlformats.org/officeDocument/2006/relationships/hyperlink" Target="https://www.linkedin.com/jobs/view/4333908596/" TargetMode="External"/><Relationship Id="rId172" Type="http://schemas.openxmlformats.org/officeDocument/2006/relationships/hyperlink" Target="https://www.linkedin.com/jobs/view/4322694465/" TargetMode="External"/><Relationship Id="rId65" Type="http://schemas.openxmlformats.org/officeDocument/2006/relationships/hyperlink" Target="https://www.linkedin.com/jobs/view/4337992338/" TargetMode="External"/><Relationship Id="rId171" Type="http://schemas.openxmlformats.org/officeDocument/2006/relationships/hyperlink" Target="https://www.linkedin.com/jobs/view/4304800987/" TargetMode="External"/><Relationship Id="rId68" Type="http://schemas.openxmlformats.org/officeDocument/2006/relationships/hyperlink" Target="https://millercooper.atsondemand.com/" TargetMode="External"/><Relationship Id="rId170" Type="http://schemas.openxmlformats.org/officeDocument/2006/relationships/hyperlink" Target="https://www.linkedin.com/jobs/view/4271803246/" TargetMode="External"/><Relationship Id="rId67" Type="http://schemas.openxmlformats.org/officeDocument/2006/relationships/hyperlink" Target="https://www.linkedin.com/jobs/view/4310415694/" TargetMode="External"/><Relationship Id="rId60" Type="http://schemas.openxmlformats.org/officeDocument/2006/relationships/hyperlink" Target="https://www.linkedin.com/jobs/view/4337955185/" TargetMode="External"/><Relationship Id="rId165" Type="http://schemas.openxmlformats.org/officeDocument/2006/relationships/hyperlink" Target="https://www.linkedin.com/jobs/view/4325104515/" TargetMode="External"/><Relationship Id="rId69" Type="http://schemas.openxmlformats.org/officeDocument/2006/relationships/hyperlink" Target="https://www.linkedin.com/jobs/view/4297746037/" TargetMode="External"/><Relationship Id="rId164" Type="http://schemas.openxmlformats.org/officeDocument/2006/relationships/hyperlink" Target="https://www.linkedin.com/jobs/view/4347386956/" TargetMode="External"/><Relationship Id="rId163" Type="http://schemas.openxmlformats.org/officeDocument/2006/relationships/hyperlink" Target="https://www.linkedin.com/jobs/view/4325114232/" TargetMode="External"/><Relationship Id="rId162" Type="http://schemas.openxmlformats.org/officeDocument/2006/relationships/hyperlink" Target="https://www.linkedin.com/jobs/view/4309780786/" TargetMode="External"/><Relationship Id="rId169" Type="http://schemas.openxmlformats.org/officeDocument/2006/relationships/hyperlink" Target="https://www.linkedin.com/jobs/view/4318631577/" TargetMode="External"/><Relationship Id="rId168" Type="http://schemas.openxmlformats.org/officeDocument/2006/relationships/hyperlink" Target="https://www.linkedin.com/jobs/view/4307068536/" TargetMode="External"/><Relationship Id="rId167" Type="http://schemas.openxmlformats.org/officeDocument/2006/relationships/hyperlink" Target="https://www.linkedin.com/jobs/view/4342427825/" TargetMode="External"/><Relationship Id="rId166" Type="http://schemas.openxmlformats.org/officeDocument/2006/relationships/hyperlink" Target="https://www.linkedin.com/jobs/view/4342348137/" TargetMode="External"/><Relationship Id="rId51" Type="http://schemas.openxmlformats.org/officeDocument/2006/relationships/hyperlink" Target="https://www.linkedin.com/jobs/view/4320830587/" TargetMode="External"/><Relationship Id="rId50" Type="http://schemas.openxmlformats.org/officeDocument/2006/relationships/hyperlink" Target="https://www.linkedin.com/jobs/view/4334272463/" TargetMode="External"/><Relationship Id="rId53" Type="http://schemas.openxmlformats.org/officeDocument/2006/relationships/hyperlink" Target="https://www.linkedin.com/jobs/view/4337954703/" TargetMode="External"/><Relationship Id="rId52" Type="http://schemas.openxmlformats.org/officeDocument/2006/relationships/hyperlink" Target="https://www.linkedin.com/jobs/view/4337874133/" TargetMode="External"/><Relationship Id="rId55" Type="http://schemas.openxmlformats.org/officeDocument/2006/relationships/hyperlink" Target="https://www.linkedin.com/jobs/view/4337885105/" TargetMode="External"/><Relationship Id="rId161" Type="http://schemas.openxmlformats.org/officeDocument/2006/relationships/hyperlink" Target="https://www.linkedin.com/jobs/view/4337128475/" TargetMode="External"/><Relationship Id="rId54" Type="http://schemas.openxmlformats.org/officeDocument/2006/relationships/hyperlink" Target="https://www.linkedin.com/jobs/view/4337875028/" TargetMode="External"/><Relationship Id="rId160" Type="http://schemas.openxmlformats.org/officeDocument/2006/relationships/hyperlink" Target="https://www.linkedin.com/jobs/view/4339819841/" TargetMode="External"/><Relationship Id="rId57" Type="http://schemas.openxmlformats.org/officeDocument/2006/relationships/hyperlink" Target="https://www.linkedin.com/jobs/view/4337885244/" TargetMode="External"/><Relationship Id="rId56" Type="http://schemas.openxmlformats.org/officeDocument/2006/relationships/hyperlink" Target="https://www.linkedin.com/jobs/view/4337965058/" TargetMode="External"/><Relationship Id="rId159" Type="http://schemas.openxmlformats.org/officeDocument/2006/relationships/hyperlink" Target="https://www.linkedin.com/jobs/view/4315829440/" TargetMode="External"/><Relationship Id="rId59" Type="http://schemas.openxmlformats.org/officeDocument/2006/relationships/hyperlink" Target="https://www.linkedin.com/jobs/view/4337925163/" TargetMode="External"/><Relationship Id="rId154" Type="http://schemas.openxmlformats.org/officeDocument/2006/relationships/hyperlink" Target="https://www.linkedin.com/jobs/view/4325044417/" TargetMode="External"/><Relationship Id="rId58" Type="http://schemas.openxmlformats.org/officeDocument/2006/relationships/hyperlink" Target="https://www.linkedin.com/jobs/view/4337935174/" TargetMode="External"/><Relationship Id="rId153" Type="http://schemas.openxmlformats.org/officeDocument/2006/relationships/hyperlink" Target="https://www.linkedin.com/jobs/view/4331182588/" TargetMode="External"/><Relationship Id="rId152" Type="http://schemas.openxmlformats.org/officeDocument/2006/relationships/hyperlink" Target="https://www.linkedin.com/jobs/view/4324672994/" TargetMode="External"/><Relationship Id="rId151" Type="http://schemas.openxmlformats.org/officeDocument/2006/relationships/hyperlink" Target="https://apply.careers.microsoft.com/careers/apply/success?domain=microsoft.com&amp;pid=1970393556630658&amp;hl=en" TargetMode="External"/><Relationship Id="rId158" Type="http://schemas.openxmlformats.org/officeDocument/2006/relationships/hyperlink" Target="https://www.linkedin.com/jobs/view/4324410047/" TargetMode="External"/><Relationship Id="rId157" Type="http://schemas.openxmlformats.org/officeDocument/2006/relationships/hyperlink" Target="https://www.linkedin.com/jobs/view/4339489650/" TargetMode="External"/><Relationship Id="rId156" Type="http://schemas.openxmlformats.org/officeDocument/2006/relationships/hyperlink" Target="https://www.linkedin.com/jobs/view/4348029232/" TargetMode="External"/><Relationship Id="rId155" Type="http://schemas.openxmlformats.org/officeDocument/2006/relationships/hyperlink" Target="https://www.linkedin.com/jobs/view/4348100237/" TargetMode="External"/><Relationship Id="rId107" Type="http://schemas.openxmlformats.org/officeDocument/2006/relationships/hyperlink" Target="https://www.linkedin.com/jobs/view/4341690026/" TargetMode="External"/><Relationship Id="rId228" Type="http://schemas.openxmlformats.org/officeDocument/2006/relationships/hyperlink" Target="http://pony.ai" TargetMode="External"/><Relationship Id="rId106" Type="http://schemas.openxmlformats.org/officeDocument/2006/relationships/hyperlink" Target="https://www.linkedin.com/jobs/view/4323272964/" TargetMode="External"/><Relationship Id="rId227" Type="http://schemas.openxmlformats.org/officeDocument/2006/relationships/hyperlink" Target="http://vast.ai" TargetMode="External"/><Relationship Id="rId105" Type="http://schemas.openxmlformats.org/officeDocument/2006/relationships/hyperlink" Target="https://www.linkedin.com/jobs/view/4336945888/" TargetMode="External"/><Relationship Id="rId226" Type="http://schemas.openxmlformats.org/officeDocument/2006/relationships/hyperlink" Target="http://vast.ai" TargetMode="External"/><Relationship Id="rId104" Type="http://schemas.openxmlformats.org/officeDocument/2006/relationships/hyperlink" Target="https://www.linkedin.com/jobs/view/4299273021/" TargetMode="External"/><Relationship Id="rId225" Type="http://schemas.openxmlformats.org/officeDocument/2006/relationships/hyperlink" Target="https://www.linkedin.com/jobs/view/3667832892/" TargetMode="External"/><Relationship Id="rId109" Type="http://schemas.openxmlformats.org/officeDocument/2006/relationships/hyperlink" Target="https://www.linkedin.com/jobs/view/4315767474/" TargetMode="External"/><Relationship Id="rId108" Type="http://schemas.openxmlformats.org/officeDocument/2006/relationships/hyperlink" Target="https://www.linkedin.com/jobs/view/4336846348/" TargetMode="External"/><Relationship Id="rId229" Type="http://schemas.openxmlformats.org/officeDocument/2006/relationships/hyperlink" Target="http://pony.ai" TargetMode="External"/><Relationship Id="rId220" Type="http://schemas.openxmlformats.org/officeDocument/2006/relationships/hyperlink" Target="https://www.linkedin.com/jobs/view/4366994421/" TargetMode="External"/><Relationship Id="rId103" Type="http://schemas.openxmlformats.org/officeDocument/2006/relationships/hyperlink" Target="https://www.linkedin.com/jobs/view/4286726808/" TargetMode="External"/><Relationship Id="rId224" Type="http://schemas.openxmlformats.org/officeDocument/2006/relationships/hyperlink" Target="https://www.linkedin.com/jobs/view/4357514978/" TargetMode="External"/><Relationship Id="rId102" Type="http://schemas.openxmlformats.org/officeDocument/2006/relationships/hyperlink" Target="https://www.linkedin.com/jobs/view/4281683678/" TargetMode="External"/><Relationship Id="rId223" Type="http://schemas.openxmlformats.org/officeDocument/2006/relationships/hyperlink" Target="https://www.linkedin.com/jobs/view/4345022455/" TargetMode="External"/><Relationship Id="rId101" Type="http://schemas.openxmlformats.org/officeDocument/2006/relationships/hyperlink" Target="http://you.com" TargetMode="External"/><Relationship Id="rId222" Type="http://schemas.openxmlformats.org/officeDocument/2006/relationships/hyperlink" Target="https://www.linkedin.com/jobs/view/4367481163/" TargetMode="External"/><Relationship Id="rId100" Type="http://schemas.openxmlformats.org/officeDocument/2006/relationships/hyperlink" Target="https://www.linkedin.com/jobs/view/4336605759/" TargetMode="External"/><Relationship Id="rId221" Type="http://schemas.openxmlformats.org/officeDocument/2006/relationships/hyperlink" Target="http://axon.ai" TargetMode="External"/><Relationship Id="rId217" Type="http://schemas.openxmlformats.org/officeDocument/2006/relationships/hyperlink" Target="https://www.linkedin.com/jobs/view/4361551460/" TargetMode="External"/><Relationship Id="rId216" Type="http://schemas.openxmlformats.org/officeDocument/2006/relationships/hyperlink" Target="https://www.linkedin.com/jobs/view/4329962289/" TargetMode="External"/><Relationship Id="rId215" Type="http://schemas.openxmlformats.org/officeDocument/2006/relationships/hyperlink" Target="https://stripe.com/jobs/listing/software-engineer-new-grad/7210112/apply?gh_src=Simplify" TargetMode="External"/><Relationship Id="rId214" Type="http://schemas.openxmlformats.org/officeDocument/2006/relationships/hyperlink" Target="https://www.linkedin.com/jobs/view/4351961649/" TargetMode="External"/><Relationship Id="rId219" Type="http://schemas.openxmlformats.org/officeDocument/2006/relationships/hyperlink" Target="https://www.linkedin.com/jobs/view/4364365955/" TargetMode="External"/><Relationship Id="rId218" Type="http://schemas.openxmlformats.org/officeDocument/2006/relationships/hyperlink" Target="https://www.linkedin.com/jobs/view/4363849934/" TargetMode="External"/><Relationship Id="rId213" Type="http://schemas.openxmlformats.org/officeDocument/2006/relationships/hyperlink" Target="https://www.linkedin.com/jobs/view/4344093651/" TargetMode="External"/><Relationship Id="rId212" Type="http://schemas.openxmlformats.org/officeDocument/2006/relationships/hyperlink" Target="http://axon.ai" TargetMode="External"/><Relationship Id="rId211" Type="http://schemas.openxmlformats.org/officeDocument/2006/relationships/hyperlink" Target="https://www.linkedin.com/jobs/view/4329562815/" TargetMode="External"/><Relationship Id="rId210" Type="http://schemas.openxmlformats.org/officeDocument/2006/relationships/hyperlink" Target="https://www.linkedin.com/jobs/view/4346310957/" TargetMode="External"/><Relationship Id="rId129" Type="http://schemas.openxmlformats.org/officeDocument/2006/relationships/hyperlink" Target="https://www.linkedin.com/jobs/view/4338283179/" TargetMode="External"/><Relationship Id="rId128" Type="http://schemas.openxmlformats.org/officeDocument/2006/relationships/hyperlink" Target="https://www.linkedin.com/jobs/view/4341967408/" TargetMode="External"/><Relationship Id="rId127" Type="http://schemas.openxmlformats.org/officeDocument/2006/relationships/hyperlink" Target="https://www.linkedin.com/jobs/view/4323627210/" TargetMode="External"/><Relationship Id="rId126" Type="http://schemas.openxmlformats.org/officeDocument/2006/relationships/hyperlink" Target="https://www.linkedin.com/jobs/view/4316592772/" TargetMode="External"/><Relationship Id="rId121" Type="http://schemas.openxmlformats.org/officeDocument/2006/relationships/hyperlink" Target="https://www.linkedin.com/jobs/view/4323613210/" TargetMode="External"/><Relationship Id="rId120" Type="http://schemas.openxmlformats.org/officeDocument/2006/relationships/hyperlink" Target="https://www.linkedin.com/jobs/view/4332952161/" TargetMode="External"/><Relationship Id="rId125" Type="http://schemas.openxmlformats.org/officeDocument/2006/relationships/hyperlink" Target="https://www.linkedin.com/jobs/view/4338332791/" TargetMode="External"/><Relationship Id="rId124" Type="http://schemas.openxmlformats.org/officeDocument/2006/relationships/hyperlink" Target="https://www.linkedin.com/jobs/view/4323587069/" TargetMode="External"/><Relationship Id="rId123" Type="http://schemas.openxmlformats.org/officeDocument/2006/relationships/hyperlink" Target="https://www.linkedin.com/jobs/view/4341927377/" TargetMode="External"/><Relationship Id="rId122" Type="http://schemas.openxmlformats.org/officeDocument/2006/relationships/hyperlink" Target="https://www.linkedin.com/jobs/view/4301571627/" TargetMode="External"/><Relationship Id="rId95" Type="http://schemas.openxmlformats.org/officeDocument/2006/relationships/hyperlink" Target="https://www.linkedin.com/jobs/view/4341185605/" TargetMode="External"/><Relationship Id="rId94" Type="http://schemas.openxmlformats.org/officeDocument/2006/relationships/hyperlink" Target="https://www.linkedin.com/jobs/view/4323131657/" TargetMode="External"/><Relationship Id="rId97" Type="http://schemas.openxmlformats.org/officeDocument/2006/relationships/hyperlink" Target="https://www.linkedin.com/jobs/view/4336575505/" TargetMode="External"/><Relationship Id="rId96" Type="http://schemas.openxmlformats.org/officeDocument/2006/relationships/hyperlink" Target="https://www.linkedin.com/jobs/view/4336645524/" TargetMode="External"/><Relationship Id="rId99" Type="http://schemas.openxmlformats.org/officeDocument/2006/relationships/hyperlink" Target="https://www.linkedin.com/jobs/view/4336744137/" TargetMode="External"/><Relationship Id="rId98" Type="http://schemas.openxmlformats.org/officeDocument/2006/relationships/hyperlink" Target="https://www.linkedin.com/jobs/view/4323130696/" TargetMode="External"/><Relationship Id="rId91" Type="http://schemas.openxmlformats.org/officeDocument/2006/relationships/hyperlink" Target="https://www.linkedin.com/jobs/view/4341364391/" TargetMode="External"/><Relationship Id="rId90" Type="http://schemas.openxmlformats.org/officeDocument/2006/relationships/hyperlink" Target="https://www.linkedin.com/jobs/view/4341324918/" TargetMode="External"/><Relationship Id="rId93" Type="http://schemas.openxmlformats.org/officeDocument/2006/relationships/hyperlink" Target="https://lnkd.in/gk6VDneS" TargetMode="External"/><Relationship Id="rId92" Type="http://schemas.openxmlformats.org/officeDocument/2006/relationships/hyperlink" Target="https://www.linkedin.com/jobs/view/4336673196/" TargetMode="External"/><Relationship Id="rId118" Type="http://schemas.openxmlformats.org/officeDocument/2006/relationships/hyperlink" Target="https://www.linkedin.com/jobs/view/4337197786/" TargetMode="External"/><Relationship Id="rId117" Type="http://schemas.openxmlformats.org/officeDocument/2006/relationships/hyperlink" Target="https://www.linkedin.com/jobs/view/4301592927/" TargetMode="External"/><Relationship Id="rId116" Type="http://schemas.openxmlformats.org/officeDocument/2006/relationships/hyperlink" Target="https://www.linkedin.com/jobs/view/4337098265/" TargetMode="External"/><Relationship Id="rId115" Type="http://schemas.openxmlformats.org/officeDocument/2006/relationships/hyperlink" Target="https://www.linkedin.com/jobs/view/4323458468/" TargetMode="External"/><Relationship Id="rId119" Type="http://schemas.openxmlformats.org/officeDocument/2006/relationships/hyperlink" Target="https://www.linkedin.com/jobs/view/4323903448/" TargetMode="External"/><Relationship Id="rId110" Type="http://schemas.openxmlformats.org/officeDocument/2006/relationships/hyperlink" Target="https://www.linkedin.com/jobs/view/4336886142/" TargetMode="External"/><Relationship Id="rId231" Type="http://schemas.openxmlformats.org/officeDocument/2006/relationships/hyperlink" Target="https://careers.cisco.com/global/en/applythankyou?status=success&amp;jobSeqNo=CISCISGLOBAL2007003EXTERNALENGLOBAL&amp;jobTitle=Software%20Engineer%20I%20(Full%20Time)%20-%20United%20States&amp;jobId=2007003&amp;jobApplicationId=27d61a0ceb959001220518cf2ac70001" TargetMode="External"/><Relationship Id="rId230" Type="http://schemas.openxmlformats.org/officeDocument/2006/relationships/hyperlink" Target="https://jobs.lever.co/imo-online/28f3bd46-aa6d-40ae-a6eb-54074192e96a/thanks" TargetMode="External"/><Relationship Id="rId114" Type="http://schemas.openxmlformats.org/officeDocument/2006/relationships/hyperlink" Target="https://www.linkedin.com/jobs/view/4323383144/" TargetMode="External"/><Relationship Id="rId113" Type="http://schemas.openxmlformats.org/officeDocument/2006/relationships/hyperlink" Target="https://www.linkedin.com/jobs/view/4323442788/" TargetMode="External"/><Relationship Id="rId112" Type="http://schemas.openxmlformats.org/officeDocument/2006/relationships/hyperlink" Target="https://www.linkedin.com/jobs/view/4323363482/" TargetMode="External"/><Relationship Id="rId111" Type="http://schemas.openxmlformats.org/officeDocument/2006/relationships/hyperlink" Target="https://www.linkedin.com/jobs/view/4336596754/" TargetMode="External"/><Relationship Id="rId232" Type="http://schemas.openxmlformats.org/officeDocument/2006/relationships/drawing" Target="../drawings/drawing2.xml"/><Relationship Id="rId206" Type="http://schemas.openxmlformats.org/officeDocument/2006/relationships/hyperlink" Target="https://www.linkedin.com/jobs/view/4323450549/" TargetMode="External"/><Relationship Id="rId205" Type="http://schemas.openxmlformats.org/officeDocument/2006/relationships/hyperlink" Target="https://www.linkedin.com/jobs/view/4343035299/" TargetMode="External"/><Relationship Id="rId204" Type="http://schemas.openxmlformats.org/officeDocument/2006/relationships/hyperlink" Target="https://www.linkedin.com/jobs/view/4332933524/" TargetMode="External"/><Relationship Id="rId203" Type="http://schemas.openxmlformats.org/officeDocument/2006/relationships/hyperlink" Target="https://www.linkedin.com/jobs/view/4341189157/" TargetMode="External"/><Relationship Id="rId209" Type="http://schemas.openxmlformats.org/officeDocument/2006/relationships/hyperlink" Target="https://www.linkedin.com/jobs/view/4328655386/" TargetMode="External"/><Relationship Id="rId208" Type="http://schemas.openxmlformats.org/officeDocument/2006/relationships/hyperlink" Target="https://www.linkedin.com/jobs/view/4328581547/" TargetMode="External"/><Relationship Id="rId207" Type="http://schemas.openxmlformats.org/officeDocument/2006/relationships/hyperlink" Target="https://www.linkedin.com/jobs/view/4345435168/" TargetMode="External"/><Relationship Id="rId202" Type="http://schemas.openxmlformats.org/officeDocument/2006/relationships/hyperlink" Target="https://www.linkedin.com/jobs/view/4336934125/" TargetMode="External"/><Relationship Id="rId201" Type="http://schemas.openxmlformats.org/officeDocument/2006/relationships/hyperlink" Target="https://www.linkedin.com/jobs/view/4341692681/" TargetMode="External"/><Relationship Id="rId200" Type="http://schemas.openxmlformats.org/officeDocument/2006/relationships/hyperlink" Target="https://www.linkedin.com/jobs/view/4311331444/"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nvidia.wd5.myworkdayjobs.com/NVIDIAExternalCareerSite/job/US-CA-Santa-Clara/Solutions-Architect--Worldwide-Field-Operations---New-College-Graduate-2026_JR2004686?source=Eightfold" TargetMode="External"/><Relationship Id="rId2" Type="http://schemas.openxmlformats.org/officeDocument/2006/relationships/hyperlink" Target="https://www.linkedin.com/in/bhavani-nkrishna/"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you.com" TargetMode="External"/><Relationship Id="rId2" Type="http://schemas.openxmlformats.org/officeDocument/2006/relationships/hyperlink" Target="http://you.com" TargetMode="External"/><Relationship Id="rId3" Type="http://schemas.openxmlformats.org/officeDocument/2006/relationships/hyperlink" Target="http://horizon3.ai" TargetMode="External"/><Relationship Id="rId4" Type="http://schemas.openxmlformats.org/officeDocument/2006/relationships/hyperlink" Target="http://horizon3.ai" TargetMode="External"/><Relationship Id="rId5" Type="http://schemas.openxmlformats.org/officeDocument/2006/relationships/hyperlink" Target="http://americaneagle.com" TargetMode="External"/><Relationship Id="rId6"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d1.myworkdaysite.com/en-US/recruiting/snapchat/snap/job/Software-Engineer--ML-Infrastructure--Level-4_H126SWEMLI2-1" TargetMode="External"/><Relationship Id="rId2" Type="http://schemas.openxmlformats.org/officeDocument/2006/relationships/hyperlink" Target="https://careers.snowflake.com/us/en/job/SNCOUS7791AB6A66D34A20BCE877FFC470EA41EXTERNALENUS5F4AE8D3BF84430D8F9F325F14DDF947/Software-Engineer-APG?utm_source=Q2P9NP2NNP&amp;utm_medium=phenom-feeds&amp;gh_src=ed5543a62" TargetMode="External"/><Relationship Id="rId3" Type="http://schemas.openxmlformats.org/officeDocument/2006/relationships/hyperlink" Target="https://stripe.com/jobs/listing/software-engineer-new-grad/7210112?gh_src=73vnei" TargetMode="External"/><Relationship Id="rId4" Type="http://schemas.openxmlformats.org/officeDocument/2006/relationships/hyperlink" Target="https://www.amazon.jobs/en/jobs/3185058/software-development-engineer?cmpid=SPLICX0248M&amp;utm_source=jobright&amp;utm_campaign=cxro&amp;utm_medium=social_media&amp;utm_content=job_posting&amp;ss=paid" TargetMode="External"/><Relationship Id="rId9" Type="http://schemas.openxmlformats.org/officeDocument/2006/relationships/drawing" Target="../drawings/drawing5.xml"/><Relationship Id="rId5" Type="http://schemas.openxmlformats.org/officeDocument/2006/relationships/hyperlink" Target="https://boards.greenhouse.io/embed/job_app?token=4613319005&amp;utm_source=jobright" TargetMode="External"/><Relationship Id="rId6" Type="http://schemas.openxmlformats.org/officeDocument/2006/relationships/hyperlink" Target="https://careers.cisco.com/global/en/job/2007168/Software-Engineer-II-Full-Time-United-States" TargetMode="External"/><Relationship Id="rId7" Type="http://schemas.openxmlformats.org/officeDocument/2006/relationships/hyperlink" Target="https://internal-careers-rivian.icims.com/jobs/26472/software-engineer-ii%2c-full-stack-%28qms%29/job" TargetMode="External"/><Relationship Id="rId8" Type="http://schemas.openxmlformats.org/officeDocument/2006/relationships/hyperlink" Target="http://paypal.eightfold.ai/careers/job/274917022927?source=JobBoardIndeed-Organic"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40" Type="http://schemas.openxmlformats.org/officeDocument/2006/relationships/hyperlink" Target="https://www.linkedin.com/jobs/view/4298782129/" TargetMode="External"/><Relationship Id="rId190" Type="http://schemas.openxmlformats.org/officeDocument/2006/relationships/hyperlink" Target="https://www.linkedin.com/jobs/view/4342657759/" TargetMode="External"/><Relationship Id="rId42" Type="http://schemas.openxmlformats.org/officeDocument/2006/relationships/hyperlink" Target="https://www.linkedin.com/jobs/view/4334173239/" TargetMode="External"/><Relationship Id="rId41" Type="http://schemas.openxmlformats.org/officeDocument/2006/relationships/hyperlink" Target="https://www.linkedin.com/jobs/view/4337718627/" TargetMode="External"/><Relationship Id="rId44" Type="http://schemas.openxmlformats.org/officeDocument/2006/relationships/hyperlink" Target="https://www.linkedin.com/jobs/view/4334272664/" TargetMode="External"/><Relationship Id="rId194" Type="http://schemas.openxmlformats.org/officeDocument/2006/relationships/hyperlink" Target="https://www.linkedin.com/jobs/view/4342988061/" TargetMode="External"/><Relationship Id="rId43" Type="http://schemas.openxmlformats.org/officeDocument/2006/relationships/hyperlink" Target="https://www.linkedin.com/jobs/view/4311153416/" TargetMode="External"/><Relationship Id="rId193" Type="http://schemas.openxmlformats.org/officeDocument/2006/relationships/hyperlink" Target="https://www.linkedin.com/jobs/view/4309511324/" TargetMode="External"/><Relationship Id="rId46" Type="http://schemas.openxmlformats.org/officeDocument/2006/relationships/hyperlink" Target="https://www.linkedin.com/jobs/view/4334352218/" TargetMode="External"/><Relationship Id="rId192" Type="http://schemas.openxmlformats.org/officeDocument/2006/relationships/hyperlink" Target="https://www.linkedin.com/jobs/view/4311763116/" TargetMode="External"/><Relationship Id="rId45" Type="http://schemas.openxmlformats.org/officeDocument/2006/relationships/hyperlink" Target="https://www.linkedin.com/jobs/view/4334173362/" TargetMode="External"/><Relationship Id="rId191" Type="http://schemas.openxmlformats.org/officeDocument/2006/relationships/hyperlink" Target="https://www.linkedin.com/jobs/view/4348875222/" TargetMode="External"/><Relationship Id="rId48" Type="http://schemas.openxmlformats.org/officeDocument/2006/relationships/hyperlink" Target="https://www.linkedin.com/jobs/view/4334322099/" TargetMode="External"/><Relationship Id="rId187" Type="http://schemas.openxmlformats.org/officeDocument/2006/relationships/hyperlink" Target="https://www.linkedin.com/jobs/view/4326266040/" TargetMode="External"/><Relationship Id="rId47" Type="http://schemas.openxmlformats.org/officeDocument/2006/relationships/hyperlink" Target="https://www.linkedin.com/jobs/view/4331308619/" TargetMode="External"/><Relationship Id="rId186" Type="http://schemas.openxmlformats.org/officeDocument/2006/relationships/hyperlink" Target="https://www.linkedin.com/jobs/view/4342777380/" TargetMode="External"/><Relationship Id="rId185" Type="http://schemas.openxmlformats.org/officeDocument/2006/relationships/hyperlink" Target="https://www.linkedin.com/jobs/view/4342697461/" TargetMode="External"/><Relationship Id="rId49" Type="http://schemas.openxmlformats.org/officeDocument/2006/relationships/hyperlink" Target="https://www.linkedin.com/jobs/view/4334302426/" TargetMode="External"/><Relationship Id="rId184" Type="http://schemas.openxmlformats.org/officeDocument/2006/relationships/hyperlink" Target="https://www.linkedin.com/jobs/view/4342786882/" TargetMode="External"/><Relationship Id="rId189" Type="http://schemas.openxmlformats.org/officeDocument/2006/relationships/hyperlink" Target="https://www.linkedin.com/jobs/view/4342617779/" TargetMode="External"/><Relationship Id="rId188" Type="http://schemas.openxmlformats.org/officeDocument/2006/relationships/hyperlink" Target="https://www.linkedin.com/jobs/view/4349050419/" TargetMode="External"/><Relationship Id="rId31" Type="http://schemas.openxmlformats.org/officeDocument/2006/relationships/hyperlink" Target="https://www.linkedin.com/jobs/view/4320479332/" TargetMode="External"/><Relationship Id="rId30" Type="http://schemas.openxmlformats.org/officeDocument/2006/relationships/hyperlink" Target="https://www.linkedin.com/jobs/view/4320528197/" TargetMode="External"/><Relationship Id="rId33" Type="http://schemas.openxmlformats.org/officeDocument/2006/relationships/hyperlink" Target="http://executiveplacements.com" TargetMode="External"/><Relationship Id="rId183" Type="http://schemas.openxmlformats.org/officeDocument/2006/relationships/hyperlink" Target="https://www.linkedin.com/jobs/view/4342707707/" TargetMode="External"/><Relationship Id="rId32" Type="http://schemas.openxmlformats.org/officeDocument/2006/relationships/hyperlink" Target="https://www.linkedin.com/jobs/view/4337427172/" TargetMode="External"/><Relationship Id="rId182" Type="http://schemas.openxmlformats.org/officeDocument/2006/relationships/hyperlink" Target="https://www.linkedin.com/jobs/view/4342697468/" TargetMode="External"/><Relationship Id="rId35" Type="http://schemas.openxmlformats.org/officeDocument/2006/relationships/hyperlink" Target="https://www.linkedin.com/jobs/view/4320782797/" TargetMode="External"/><Relationship Id="rId181" Type="http://schemas.openxmlformats.org/officeDocument/2006/relationships/hyperlink" Target="https://www.linkedin.com/jobs/view/4342667947/" TargetMode="External"/><Relationship Id="rId34" Type="http://schemas.openxmlformats.org/officeDocument/2006/relationships/hyperlink" Target="https://www.linkedin.com/jobs/view/4334035367/" TargetMode="External"/><Relationship Id="rId180" Type="http://schemas.openxmlformats.org/officeDocument/2006/relationships/hyperlink" Target="https://www.linkedin.com/jobs/view/4325308202/" TargetMode="External"/><Relationship Id="rId37" Type="http://schemas.openxmlformats.org/officeDocument/2006/relationships/hyperlink" Target="https://www.linkedin.com/jobs/view/4320663000/" TargetMode="External"/><Relationship Id="rId176" Type="http://schemas.openxmlformats.org/officeDocument/2006/relationships/hyperlink" Target="https://nvidia.wd5.myworkdayjobs.com/en-US/NVIDIAExternalCareerSite/userHome" TargetMode="External"/><Relationship Id="rId36" Type="http://schemas.openxmlformats.org/officeDocument/2006/relationships/hyperlink" Target="https://www.linkedin.com/jobs/view/4320782742/" TargetMode="External"/><Relationship Id="rId175" Type="http://schemas.openxmlformats.org/officeDocument/2006/relationships/hyperlink" Target="https://www.linkedin.com/jobs/view/4324872849/" TargetMode="External"/><Relationship Id="rId39" Type="http://schemas.openxmlformats.org/officeDocument/2006/relationships/hyperlink" Target="https://www.linkedin.com/jobs/view/4333928645/" TargetMode="External"/><Relationship Id="rId174" Type="http://schemas.openxmlformats.org/officeDocument/2006/relationships/hyperlink" Target="https://www.linkedin.com/jobs/view/4321104804/" TargetMode="External"/><Relationship Id="rId38" Type="http://schemas.openxmlformats.org/officeDocument/2006/relationships/hyperlink" Target="https://www.linkedin.com/jobs/view/4333948404/" TargetMode="External"/><Relationship Id="rId173" Type="http://schemas.openxmlformats.org/officeDocument/2006/relationships/hyperlink" Target="https://www.linkedin.com/jobs/view/4312190696/" TargetMode="External"/><Relationship Id="rId179" Type="http://schemas.openxmlformats.org/officeDocument/2006/relationships/hyperlink" Target="https://www.linkedin.com/jobs/view/4342588218/" TargetMode="External"/><Relationship Id="rId178" Type="http://schemas.openxmlformats.org/officeDocument/2006/relationships/hyperlink" Target="https://www.linkedin.com/jobs/view/4348389382/" TargetMode="External"/><Relationship Id="rId177" Type="http://schemas.openxmlformats.org/officeDocument/2006/relationships/hyperlink" Target="https://www.linkedin.com/in/shaun-blair-25621812/" TargetMode="External"/><Relationship Id="rId20" Type="http://schemas.openxmlformats.org/officeDocument/2006/relationships/hyperlink" Target="https://www.linkedin.com/jobs/view/4301098096/" TargetMode="External"/><Relationship Id="rId22" Type="http://schemas.openxmlformats.org/officeDocument/2006/relationships/hyperlink" Target="https://www.linkedin.com/jobs/view/4315410648/" TargetMode="External"/><Relationship Id="rId21" Type="http://schemas.openxmlformats.org/officeDocument/2006/relationships/hyperlink" Target="https://www.linkedin.com/jobs/view/4303401301/" TargetMode="External"/><Relationship Id="rId24" Type="http://schemas.openxmlformats.org/officeDocument/2006/relationships/hyperlink" Target="https://www.linkedin.com/jobs/view/4309572283/" TargetMode="External"/><Relationship Id="rId23" Type="http://schemas.openxmlformats.org/officeDocument/2006/relationships/hyperlink" Target="https://www.linkedin.com/jobs/view/4266998367/" TargetMode="External"/><Relationship Id="rId26" Type="http://schemas.openxmlformats.org/officeDocument/2006/relationships/hyperlink" Target="https://www.linkedin.com/jobs/view/4269082937/" TargetMode="External"/><Relationship Id="rId25" Type="http://schemas.openxmlformats.org/officeDocument/2006/relationships/hyperlink" Target="https://www.linkedin.com/jobs/view/4307842196/" TargetMode="External"/><Relationship Id="rId28" Type="http://schemas.openxmlformats.org/officeDocument/2006/relationships/hyperlink" Target="https://www.linkedin.com/jobs/view/4333532799/" TargetMode="External"/><Relationship Id="rId27" Type="http://schemas.openxmlformats.org/officeDocument/2006/relationships/hyperlink" Target="https://www.linkedin.com/jobs/view/4320344393/" TargetMode="External"/><Relationship Id="rId29" Type="http://schemas.openxmlformats.org/officeDocument/2006/relationships/hyperlink" Target="https://www.linkedin.com/jobs/view/4314145584/" TargetMode="External"/><Relationship Id="rId11" Type="http://schemas.openxmlformats.org/officeDocument/2006/relationships/hyperlink" Target="https://www.linkedin.com/jobs/view/4309207109/" TargetMode="External"/><Relationship Id="rId10" Type="http://schemas.openxmlformats.org/officeDocument/2006/relationships/hyperlink" Target="https://www.linkedin.com/jobs/view/4332188017/" TargetMode="External"/><Relationship Id="rId13" Type="http://schemas.openxmlformats.org/officeDocument/2006/relationships/hyperlink" Target="https://www.linkedin.com/jobs/view/4319099936/" TargetMode="External"/><Relationship Id="rId12" Type="http://schemas.openxmlformats.org/officeDocument/2006/relationships/hyperlink" Target="https://www.linkedin.com/jobs/view/4177889291/" TargetMode="External"/><Relationship Id="rId15" Type="http://schemas.openxmlformats.org/officeDocument/2006/relationships/hyperlink" Target="https://www.linkedin.com/jobs/view/4242967875/" TargetMode="External"/><Relationship Id="rId198" Type="http://schemas.openxmlformats.org/officeDocument/2006/relationships/hyperlink" Target="https://www.linkedin.com/jobs/view/4326527051/" TargetMode="External"/><Relationship Id="rId14" Type="http://schemas.openxmlformats.org/officeDocument/2006/relationships/hyperlink" Target="https://www.linkedin.com/jobs/view/4292870840/" TargetMode="External"/><Relationship Id="rId197" Type="http://schemas.openxmlformats.org/officeDocument/2006/relationships/hyperlink" Target="https://www.linkedin.com/jobs/view/4332085651/" TargetMode="External"/><Relationship Id="rId17" Type="http://schemas.openxmlformats.org/officeDocument/2006/relationships/hyperlink" Target="https://www.linkedin.com/jobs/view/4333891398/" TargetMode="External"/><Relationship Id="rId196" Type="http://schemas.openxmlformats.org/officeDocument/2006/relationships/hyperlink" Target="https://www.linkedin.com/jobs/view/4341119223/" TargetMode="External"/><Relationship Id="rId16" Type="http://schemas.openxmlformats.org/officeDocument/2006/relationships/hyperlink" Target="https://www.linkedin.com/jobs/view/4255482699/" TargetMode="External"/><Relationship Id="rId195" Type="http://schemas.openxmlformats.org/officeDocument/2006/relationships/hyperlink" Target="https://www.linkedin.com/jobs/view/4184536076/" TargetMode="External"/><Relationship Id="rId19" Type="http://schemas.openxmlformats.org/officeDocument/2006/relationships/hyperlink" Target="https://www.linkedin.com/jobs/view/4309215421/" TargetMode="External"/><Relationship Id="rId18" Type="http://schemas.openxmlformats.org/officeDocument/2006/relationships/hyperlink" Target="https://www.linkedin.com/jobs/view/4333847443/" TargetMode="External"/><Relationship Id="rId199" Type="http://schemas.openxmlformats.org/officeDocument/2006/relationships/hyperlink" Target="https://www.linkedin.com/jobs/view/4319264435/" TargetMode="External"/><Relationship Id="rId84" Type="http://schemas.openxmlformats.org/officeDocument/2006/relationships/hyperlink" Target="https://www.linkedin.com/jobs/view/3986116449/" TargetMode="External"/><Relationship Id="rId83" Type="http://schemas.openxmlformats.org/officeDocument/2006/relationships/hyperlink" Target="https://www.linkedin.com/jobs/view/4317102285/" TargetMode="External"/><Relationship Id="rId86" Type="http://schemas.openxmlformats.org/officeDocument/2006/relationships/hyperlink" Target="https://www.linkedin.com/jobs/view/4320743044/" TargetMode="External"/><Relationship Id="rId85" Type="http://schemas.openxmlformats.org/officeDocument/2006/relationships/hyperlink" Target="https://www.linkedin.com/jobs/view/4341123256/" TargetMode="External"/><Relationship Id="rId88" Type="http://schemas.openxmlformats.org/officeDocument/2006/relationships/hyperlink" Target="https://www.linkedin.com/jobs/view/4336602991/" TargetMode="External"/><Relationship Id="rId150" Type="http://schemas.openxmlformats.org/officeDocument/2006/relationships/hyperlink" Target="https://www.linkedin.com/jobs/view/4339864805/" TargetMode="External"/><Relationship Id="rId87" Type="http://schemas.openxmlformats.org/officeDocument/2006/relationships/hyperlink" Target="https://www.linkedin.com/jobs/view/4310860245/" TargetMode="External"/><Relationship Id="rId89" Type="http://schemas.openxmlformats.org/officeDocument/2006/relationships/hyperlink" Target="https://www.linkedin.com/jobs/view/4336713425/" TargetMode="External"/><Relationship Id="rId80" Type="http://schemas.openxmlformats.org/officeDocument/2006/relationships/hyperlink" Target="https://optiver.com/working-at-optiver/career-opportunities/7986419002/?gh_jid=7986419002&amp;gh_src=hk2so9u22us" TargetMode="External"/><Relationship Id="rId82" Type="http://schemas.openxmlformats.org/officeDocument/2006/relationships/hyperlink" Target="https://www.linkedin.com/jobs/view/4340943315/" TargetMode="External"/><Relationship Id="rId81" Type="http://schemas.openxmlformats.org/officeDocument/2006/relationships/hyperlink" Target="https://www.linkedin.com/jobs/view/4336780888/" TargetMode="External"/><Relationship Id="rId1" Type="http://schemas.openxmlformats.org/officeDocument/2006/relationships/hyperlink" Target="https://www.linkedin.com/jobs/view/4320212741/" TargetMode="External"/><Relationship Id="rId2" Type="http://schemas.openxmlformats.org/officeDocument/2006/relationships/hyperlink" Target="https://www.linkedin.com/jobs/view/4320312705/" TargetMode="External"/><Relationship Id="rId3" Type="http://schemas.openxmlformats.org/officeDocument/2006/relationships/hyperlink" Target="https://www.linkedin.com/jobs/view/4314022965/" TargetMode="External"/><Relationship Id="rId149" Type="http://schemas.openxmlformats.org/officeDocument/2006/relationships/hyperlink" Target="https://www.linkedin.com/jobs/view/4339864805/" TargetMode="External"/><Relationship Id="rId4" Type="http://schemas.openxmlformats.org/officeDocument/2006/relationships/hyperlink" Target="https://www.linkedin.com/jobs/view/4320152787/" TargetMode="External"/><Relationship Id="rId148" Type="http://schemas.openxmlformats.org/officeDocument/2006/relationships/hyperlink" Target="https://jobs.ashbyhq.com/bestow/58482071-59a3-4890-99c8-812b20aacabc/application?utm_source=dMvJ1M2JzV&amp;lever-source=Indeed" TargetMode="External"/><Relationship Id="rId9" Type="http://schemas.openxmlformats.org/officeDocument/2006/relationships/hyperlink" Target="https://www.linkedin.com/jobs/view/4313443958/" TargetMode="External"/><Relationship Id="rId143" Type="http://schemas.openxmlformats.org/officeDocument/2006/relationships/hyperlink" Target="https://www.linkedin.com/jobs/view/4196591921/" TargetMode="External"/><Relationship Id="rId142" Type="http://schemas.openxmlformats.org/officeDocument/2006/relationships/hyperlink" Target="https://www.linkedin.com/jobs/view/4319854030/" TargetMode="External"/><Relationship Id="rId141" Type="http://schemas.openxmlformats.org/officeDocument/2006/relationships/hyperlink" Target="https://www.linkedin.com/jobs/view/4338401458/" TargetMode="External"/><Relationship Id="rId140" Type="http://schemas.openxmlformats.org/officeDocument/2006/relationships/hyperlink" Target="https://www.linkedin.com/jobs/view/4341974796/" TargetMode="External"/><Relationship Id="rId5" Type="http://schemas.openxmlformats.org/officeDocument/2006/relationships/hyperlink" Target="https://www.linkedin.com/jobs/view/4320212736/" TargetMode="External"/><Relationship Id="rId147" Type="http://schemas.openxmlformats.org/officeDocument/2006/relationships/hyperlink" Target="https://www.linkedin.com/jobs/view/4338633677/" TargetMode="External"/><Relationship Id="rId6" Type="http://schemas.openxmlformats.org/officeDocument/2006/relationships/hyperlink" Target="https://www.linkedin.com/jobs/view/4333328595/" TargetMode="External"/><Relationship Id="rId146" Type="http://schemas.openxmlformats.org/officeDocument/2006/relationships/hyperlink" Target="https://www.linkedin.com/jobs/view/4281489538/" TargetMode="External"/><Relationship Id="rId7" Type="http://schemas.openxmlformats.org/officeDocument/2006/relationships/hyperlink" Target="https://www.linkedin.com/jobs/view/4333369385/" TargetMode="External"/><Relationship Id="rId145" Type="http://schemas.openxmlformats.org/officeDocument/2006/relationships/hyperlink" Target="https://www.linkedin.com/jobs/view/4338883286/" TargetMode="External"/><Relationship Id="rId8" Type="http://schemas.openxmlformats.org/officeDocument/2006/relationships/hyperlink" Target="https://www.linkedin.com/jobs/view/4315044235/" TargetMode="External"/><Relationship Id="rId144" Type="http://schemas.openxmlformats.org/officeDocument/2006/relationships/hyperlink" Target="https://www.linkedin.com/jobs/view/4337381674/" TargetMode="External"/><Relationship Id="rId73" Type="http://schemas.openxmlformats.org/officeDocument/2006/relationships/hyperlink" Target="https://www.linkedin.com/jobs/view/4340833443/" TargetMode="External"/><Relationship Id="rId72" Type="http://schemas.openxmlformats.org/officeDocument/2006/relationships/hyperlink" Target="https://www.linkedin.com/jobs/view/4336294749/" TargetMode="External"/><Relationship Id="rId75" Type="http://schemas.openxmlformats.org/officeDocument/2006/relationships/hyperlink" Target="https://www.linkedin.com/jobs/view/4340554040/" TargetMode="External"/><Relationship Id="rId74" Type="http://schemas.openxmlformats.org/officeDocument/2006/relationships/hyperlink" Target="https://www.linkedin.com/jobs/view/4322675546/" TargetMode="External"/><Relationship Id="rId77" Type="http://schemas.openxmlformats.org/officeDocument/2006/relationships/hyperlink" Target="https://www.linkedin.com/jobs/view/4335949863/" TargetMode="External"/><Relationship Id="rId76" Type="http://schemas.openxmlformats.org/officeDocument/2006/relationships/hyperlink" Target="https://www.linkedin.com/jobs/view/4336284362/" TargetMode="External"/><Relationship Id="rId79" Type="http://schemas.openxmlformats.org/officeDocument/2006/relationships/hyperlink" Target="https://www.linkedin.com/jobs/view/4322941297/" TargetMode="External"/><Relationship Id="rId78" Type="http://schemas.openxmlformats.org/officeDocument/2006/relationships/hyperlink" Target="https://www.linkedin.com/jobs/view/4334860779/" TargetMode="External"/><Relationship Id="rId71" Type="http://schemas.openxmlformats.org/officeDocument/2006/relationships/hyperlink" Target="https://www.linkedin.com/jobs/view/4336231580/" TargetMode="External"/><Relationship Id="rId70" Type="http://schemas.openxmlformats.org/officeDocument/2006/relationships/hyperlink" Target="https://www.linkedin.com/jobs/view/4306806143/" TargetMode="External"/><Relationship Id="rId139" Type="http://schemas.openxmlformats.org/officeDocument/2006/relationships/hyperlink" Target="https://www.linkedin.com/jobs/view/4337069474/" TargetMode="External"/><Relationship Id="rId138" Type="http://schemas.openxmlformats.org/officeDocument/2006/relationships/hyperlink" Target="https://www.linkedin.com/jobs/view/4338442217/" TargetMode="External"/><Relationship Id="rId137" Type="http://schemas.openxmlformats.org/officeDocument/2006/relationships/hyperlink" Target="https://www.linkedin.com/jobs/view/4338410213/" TargetMode="External"/><Relationship Id="rId132" Type="http://schemas.openxmlformats.org/officeDocument/2006/relationships/hyperlink" Target="https://www.linkedin.com/jobs/view/4338362301/" TargetMode="External"/><Relationship Id="rId131" Type="http://schemas.openxmlformats.org/officeDocument/2006/relationships/hyperlink" Target="https://www.linkedin.com/jobs/view/4338362950/" TargetMode="External"/><Relationship Id="rId130" Type="http://schemas.openxmlformats.org/officeDocument/2006/relationships/hyperlink" Target="https://www.linkedin.com/jobs/view/4338392771/" TargetMode="External"/><Relationship Id="rId136" Type="http://schemas.openxmlformats.org/officeDocument/2006/relationships/hyperlink" Target="https://www.linkedin.com/jobs/view/4323485088/" TargetMode="External"/><Relationship Id="rId135" Type="http://schemas.openxmlformats.org/officeDocument/2006/relationships/hyperlink" Target="https://www.linkedin.com/jobs/view/4323554397/" TargetMode="External"/><Relationship Id="rId134" Type="http://schemas.openxmlformats.org/officeDocument/2006/relationships/hyperlink" Target="https://www.linkedin.com/jobs/view/4338381932/" TargetMode="External"/><Relationship Id="rId133" Type="http://schemas.openxmlformats.org/officeDocument/2006/relationships/hyperlink" Target="https://www.linkedin.com/jobs/view/4323606053/" TargetMode="External"/><Relationship Id="rId62" Type="http://schemas.openxmlformats.org/officeDocument/2006/relationships/hyperlink" Target="https://www.linkedin.com/jobs/view/4334568052/" TargetMode="External"/><Relationship Id="rId61" Type="http://schemas.openxmlformats.org/officeDocument/2006/relationships/hyperlink" Target="https://www.linkedin.com/jobs/view/4337866056/" TargetMode="External"/><Relationship Id="rId64" Type="http://schemas.openxmlformats.org/officeDocument/2006/relationships/hyperlink" Target="https://www.linkedin.com/jobs/view/4334713570/" TargetMode="External"/><Relationship Id="rId63" Type="http://schemas.openxmlformats.org/officeDocument/2006/relationships/hyperlink" Target="https://aah.wd5.myworkdayjobs.com/en-US/External/job/Database-Programmer---NCCT-CTMC-Informatics_R190441" TargetMode="External"/><Relationship Id="rId66" Type="http://schemas.openxmlformats.org/officeDocument/2006/relationships/hyperlink" Target="https://www.linkedin.com/jobs/view/4333908596/" TargetMode="External"/><Relationship Id="rId172" Type="http://schemas.openxmlformats.org/officeDocument/2006/relationships/hyperlink" Target="https://www.linkedin.com/jobs/view/4322694465/" TargetMode="External"/><Relationship Id="rId65" Type="http://schemas.openxmlformats.org/officeDocument/2006/relationships/hyperlink" Target="https://www.linkedin.com/jobs/view/4337992338/" TargetMode="External"/><Relationship Id="rId171" Type="http://schemas.openxmlformats.org/officeDocument/2006/relationships/hyperlink" Target="https://www.linkedin.com/jobs/view/4304800987/" TargetMode="External"/><Relationship Id="rId68" Type="http://schemas.openxmlformats.org/officeDocument/2006/relationships/hyperlink" Target="https://millercooper.atsondemand.com/" TargetMode="External"/><Relationship Id="rId170" Type="http://schemas.openxmlformats.org/officeDocument/2006/relationships/hyperlink" Target="https://www.linkedin.com/jobs/view/4271803246/" TargetMode="External"/><Relationship Id="rId67" Type="http://schemas.openxmlformats.org/officeDocument/2006/relationships/hyperlink" Target="https://www.linkedin.com/jobs/view/4310415694/" TargetMode="External"/><Relationship Id="rId60" Type="http://schemas.openxmlformats.org/officeDocument/2006/relationships/hyperlink" Target="https://www.linkedin.com/jobs/view/4337955185/" TargetMode="External"/><Relationship Id="rId165" Type="http://schemas.openxmlformats.org/officeDocument/2006/relationships/hyperlink" Target="https://www.linkedin.com/jobs/view/4325104515/" TargetMode="External"/><Relationship Id="rId69" Type="http://schemas.openxmlformats.org/officeDocument/2006/relationships/hyperlink" Target="https://www.linkedin.com/jobs/view/4297746037/" TargetMode="External"/><Relationship Id="rId164" Type="http://schemas.openxmlformats.org/officeDocument/2006/relationships/hyperlink" Target="https://www.linkedin.com/jobs/view/4347386956/" TargetMode="External"/><Relationship Id="rId163" Type="http://schemas.openxmlformats.org/officeDocument/2006/relationships/hyperlink" Target="https://www.linkedin.com/jobs/view/4325114232/" TargetMode="External"/><Relationship Id="rId162" Type="http://schemas.openxmlformats.org/officeDocument/2006/relationships/hyperlink" Target="https://www.linkedin.com/jobs/view/4309780786/" TargetMode="External"/><Relationship Id="rId169" Type="http://schemas.openxmlformats.org/officeDocument/2006/relationships/hyperlink" Target="https://www.linkedin.com/jobs/view/4318631577/" TargetMode="External"/><Relationship Id="rId168" Type="http://schemas.openxmlformats.org/officeDocument/2006/relationships/hyperlink" Target="https://www.linkedin.com/jobs/view/4307068536/" TargetMode="External"/><Relationship Id="rId167" Type="http://schemas.openxmlformats.org/officeDocument/2006/relationships/hyperlink" Target="https://www.linkedin.com/jobs/view/4342427825/" TargetMode="External"/><Relationship Id="rId166" Type="http://schemas.openxmlformats.org/officeDocument/2006/relationships/hyperlink" Target="https://www.linkedin.com/jobs/view/4342348137/" TargetMode="External"/><Relationship Id="rId51" Type="http://schemas.openxmlformats.org/officeDocument/2006/relationships/hyperlink" Target="https://www.linkedin.com/jobs/view/4320830587/" TargetMode="External"/><Relationship Id="rId50" Type="http://schemas.openxmlformats.org/officeDocument/2006/relationships/hyperlink" Target="https://www.linkedin.com/jobs/view/4334272463/" TargetMode="External"/><Relationship Id="rId53" Type="http://schemas.openxmlformats.org/officeDocument/2006/relationships/hyperlink" Target="https://www.linkedin.com/jobs/view/4337954703/" TargetMode="External"/><Relationship Id="rId52" Type="http://schemas.openxmlformats.org/officeDocument/2006/relationships/hyperlink" Target="https://www.linkedin.com/jobs/view/4337874133/" TargetMode="External"/><Relationship Id="rId55" Type="http://schemas.openxmlformats.org/officeDocument/2006/relationships/hyperlink" Target="https://www.linkedin.com/jobs/view/4337885105/" TargetMode="External"/><Relationship Id="rId161" Type="http://schemas.openxmlformats.org/officeDocument/2006/relationships/hyperlink" Target="https://www.linkedin.com/jobs/view/4337128475/" TargetMode="External"/><Relationship Id="rId54" Type="http://schemas.openxmlformats.org/officeDocument/2006/relationships/hyperlink" Target="https://www.linkedin.com/jobs/view/4337875028/" TargetMode="External"/><Relationship Id="rId160" Type="http://schemas.openxmlformats.org/officeDocument/2006/relationships/hyperlink" Target="https://www.linkedin.com/jobs/view/4339819841/" TargetMode="External"/><Relationship Id="rId57" Type="http://schemas.openxmlformats.org/officeDocument/2006/relationships/hyperlink" Target="https://www.linkedin.com/jobs/view/4337885244/" TargetMode="External"/><Relationship Id="rId56" Type="http://schemas.openxmlformats.org/officeDocument/2006/relationships/hyperlink" Target="https://www.linkedin.com/jobs/view/4337965058/" TargetMode="External"/><Relationship Id="rId159" Type="http://schemas.openxmlformats.org/officeDocument/2006/relationships/hyperlink" Target="https://www.linkedin.com/jobs/view/4315829440/" TargetMode="External"/><Relationship Id="rId59" Type="http://schemas.openxmlformats.org/officeDocument/2006/relationships/hyperlink" Target="https://www.linkedin.com/jobs/view/4337925163/" TargetMode="External"/><Relationship Id="rId154" Type="http://schemas.openxmlformats.org/officeDocument/2006/relationships/hyperlink" Target="https://www.linkedin.com/jobs/view/4325044417/" TargetMode="External"/><Relationship Id="rId58" Type="http://schemas.openxmlformats.org/officeDocument/2006/relationships/hyperlink" Target="https://www.linkedin.com/jobs/view/4337935174/" TargetMode="External"/><Relationship Id="rId153" Type="http://schemas.openxmlformats.org/officeDocument/2006/relationships/hyperlink" Target="https://www.linkedin.com/jobs/view/4331182588/" TargetMode="External"/><Relationship Id="rId152" Type="http://schemas.openxmlformats.org/officeDocument/2006/relationships/hyperlink" Target="https://www.linkedin.com/jobs/view/4324672994/" TargetMode="External"/><Relationship Id="rId151" Type="http://schemas.openxmlformats.org/officeDocument/2006/relationships/hyperlink" Target="https://apply.careers.microsoft.com/careers/apply/success?domain=microsoft.com&amp;pid=1970393556630658&amp;hl=en" TargetMode="External"/><Relationship Id="rId158" Type="http://schemas.openxmlformats.org/officeDocument/2006/relationships/hyperlink" Target="https://www.linkedin.com/jobs/view/4324410047/" TargetMode="External"/><Relationship Id="rId157" Type="http://schemas.openxmlformats.org/officeDocument/2006/relationships/hyperlink" Target="https://www.linkedin.com/jobs/view/4339489650/" TargetMode="External"/><Relationship Id="rId156" Type="http://schemas.openxmlformats.org/officeDocument/2006/relationships/hyperlink" Target="https://www.linkedin.com/jobs/view/4348029232/" TargetMode="External"/><Relationship Id="rId155" Type="http://schemas.openxmlformats.org/officeDocument/2006/relationships/hyperlink" Target="https://www.linkedin.com/jobs/view/4348100237/" TargetMode="External"/><Relationship Id="rId107" Type="http://schemas.openxmlformats.org/officeDocument/2006/relationships/hyperlink" Target="https://www.linkedin.com/jobs/view/4341690026/" TargetMode="External"/><Relationship Id="rId228" Type="http://schemas.openxmlformats.org/officeDocument/2006/relationships/hyperlink" Target="http://pony.ai" TargetMode="External"/><Relationship Id="rId106" Type="http://schemas.openxmlformats.org/officeDocument/2006/relationships/hyperlink" Target="https://www.linkedin.com/jobs/view/4323272964/" TargetMode="External"/><Relationship Id="rId227" Type="http://schemas.openxmlformats.org/officeDocument/2006/relationships/hyperlink" Target="http://vast.ai" TargetMode="External"/><Relationship Id="rId105" Type="http://schemas.openxmlformats.org/officeDocument/2006/relationships/hyperlink" Target="https://www.linkedin.com/jobs/view/4336945888/" TargetMode="External"/><Relationship Id="rId226" Type="http://schemas.openxmlformats.org/officeDocument/2006/relationships/hyperlink" Target="http://vast.ai" TargetMode="External"/><Relationship Id="rId104" Type="http://schemas.openxmlformats.org/officeDocument/2006/relationships/hyperlink" Target="https://www.linkedin.com/jobs/view/4299273021/" TargetMode="External"/><Relationship Id="rId225" Type="http://schemas.openxmlformats.org/officeDocument/2006/relationships/hyperlink" Target="https://www.linkedin.com/jobs/view/3667832892/" TargetMode="External"/><Relationship Id="rId109" Type="http://schemas.openxmlformats.org/officeDocument/2006/relationships/hyperlink" Target="https://www.linkedin.com/jobs/view/4315767474/" TargetMode="External"/><Relationship Id="rId108" Type="http://schemas.openxmlformats.org/officeDocument/2006/relationships/hyperlink" Target="https://www.linkedin.com/jobs/view/4336846348/" TargetMode="External"/><Relationship Id="rId229" Type="http://schemas.openxmlformats.org/officeDocument/2006/relationships/hyperlink" Target="http://pony.ai" TargetMode="External"/><Relationship Id="rId220" Type="http://schemas.openxmlformats.org/officeDocument/2006/relationships/hyperlink" Target="https://www.linkedin.com/jobs/view/4366994421/" TargetMode="External"/><Relationship Id="rId103" Type="http://schemas.openxmlformats.org/officeDocument/2006/relationships/hyperlink" Target="https://www.linkedin.com/jobs/view/4286726808/" TargetMode="External"/><Relationship Id="rId224" Type="http://schemas.openxmlformats.org/officeDocument/2006/relationships/hyperlink" Target="https://www.linkedin.com/jobs/view/4357514978/" TargetMode="External"/><Relationship Id="rId102" Type="http://schemas.openxmlformats.org/officeDocument/2006/relationships/hyperlink" Target="https://www.linkedin.com/jobs/view/4281683678/" TargetMode="External"/><Relationship Id="rId223" Type="http://schemas.openxmlformats.org/officeDocument/2006/relationships/hyperlink" Target="https://www.linkedin.com/jobs/view/4345022455/" TargetMode="External"/><Relationship Id="rId101" Type="http://schemas.openxmlformats.org/officeDocument/2006/relationships/hyperlink" Target="http://you.com" TargetMode="External"/><Relationship Id="rId222" Type="http://schemas.openxmlformats.org/officeDocument/2006/relationships/hyperlink" Target="https://www.linkedin.com/jobs/view/4367481163/" TargetMode="External"/><Relationship Id="rId100" Type="http://schemas.openxmlformats.org/officeDocument/2006/relationships/hyperlink" Target="https://www.linkedin.com/jobs/view/4336605759/" TargetMode="External"/><Relationship Id="rId221" Type="http://schemas.openxmlformats.org/officeDocument/2006/relationships/hyperlink" Target="http://axon.ai" TargetMode="External"/><Relationship Id="rId217" Type="http://schemas.openxmlformats.org/officeDocument/2006/relationships/hyperlink" Target="https://www.linkedin.com/jobs/view/4361551460/" TargetMode="External"/><Relationship Id="rId216" Type="http://schemas.openxmlformats.org/officeDocument/2006/relationships/hyperlink" Target="https://www.linkedin.com/jobs/view/4329962289/" TargetMode="External"/><Relationship Id="rId215" Type="http://schemas.openxmlformats.org/officeDocument/2006/relationships/hyperlink" Target="https://stripe.com/jobs/listing/software-engineer-new-grad/7210112/apply?gh_src=Simplify" TargetMode="External"/><Relationship Id="rId214" Type="http://schemas.openxmlformats.org/officeDocument/2006/relationships/hyperlink" Target="https://www.linkedin.com/jobs/view/4351961649/" TargetMode="External"/><Relationship Id="rId219" Type="http://schemas.openxmlformats.org/officeDocument/2006/relationships/hyperlink" Target="https://www.linkedin.com/jobs/view/4364365955/" TargetMode="External"/><Relationship Id="rId218" Type="http://schemas.openxmlformats.org/officeDocument/2006/relationships/hyperlink" Target="https://www.linkedin.com/jobs/view/4363849934/" TargetMode="External"/><Relationship Id="rId213" Type="http://schemas.openxmlformats.org/officeDocument/2006/relationships/hyperlink" Target="https://www.linkedin.com/jobs/view/4344093651/" TargetMode="External"/><Relationship Id="rId212" Type="http://schemas.openxmlformats.org/officeDocument/2006/relationships/hyperlink" Target="http://axon.ai" TargetMode="External"/><Relationship Id="rId211" Type="http://schemas.openxmlformats.org/officeDocument/2006/relationships/hyperlink" Target="https://www.linkedin.com/jobs/view/4329562815/" TargetMode="External"/><Relationship Id="rId210" Type="http://schemas.openxmlformats.org/officeDocument/2006/relationships/hyperlink" Target="https://www.linkedin.com/jobs/view/4346310957/" TargetMode="External"/><Relationship Id="rId129" Type="http://schemas.openxmlformats.org/officeDocument/2006/relationships/hyperlink" Target="https://www.linkedin.com/jobs/view/4338283179/" TargetMode="External"/><Relationship Id="rId128" Type="http://schemas.openxmlformats.org/officeDocument/2006/relationships/hyperlink" Target="https://www.linkedin.com/jobs/view/4341967408/" TargetMode="External"/><Relationship Id="rId127" Type="http://schemas.openxmlformats.org/officeDocument/2006/relationships/hyperlink" Target="https://www.linkedin.com/jobs/view/4323627210/" TargetMode="External"/><Relationship Id="rId126" Type="http://schemas.openxmlformats.org/officeDocument/2006/relationships/hyperlink" Target="https://www.linkedin.com/jobs/view/4316592772/" TargetMode="External"/><Relationship Id="rId121" Type="http://schemas.openxmlformats.org/officeDocument/2006/relationships/hyperlink" Target="https://www.linkedin.com/jobs/view/4323613210/" TargetMode="External"/><Relationship Id="rId120" Type="http://schemas.openxmlformats.org/officeDocument/2006/relationships/hyperlink" Target="https://www.linkedin.com/jobs/view/4332952161/" TargetMode="External"/><Relationship Id="rId125" Type="http://schemas.openxmlformats.org/officeDocument/2006/relationships/hyperlink" Target="https://www.linkedin.com/jobs/view/4338332791/" TargetMode="External"/><Relationship Id="rId124" Type="http://schemas.openxmlformats.org/officeDocument/2006/relationships/hyperlink" Target="https://www.linkedin.com/jobs/view/4323587069/" TargetMode="External"/><Relationship Id="rId123" Type="http://schemas.openxmlformats.org/officeDocument/2006/relationships/hyperlink" Target="https://www.linkedin.com/jobs/view/4341927377/" TargetMode="External"/><Relationship Id="rId122" Type="http://schemas.openxmlformats.org/officeDocument/2006/relationships/hyperlink" Target="https://www.linkedin.com/jobs/view/4301571627/" TargetMode="External"/><Relationship Id="rId95" Type="http://schemas.openxmlformats.org/officeDocument/2006/relationships/hyperlink" Target="https://www.linkedin.com/jobs/view/4341185605/" TargetMode="External"/><Relationship Id="rId94" Type="http://schemas.openxmlformats.org/officeDocument/2006/relationships/hyperlink" Target="https://www.linkedin.com/jobs/view/4323131657/" TargetMode="External"/><Relationship Id="rId97" Type="http://schemas.openxmlformats.org/officeDocument/2006/relationships/hyperlink" Target="https://www.linkedin.com/jobs/view/4336575505/" TargetMode="External"/><Relationship Id="rId96" Type="http://schemas.openxmlformats.org/officeDocument/2006/relationships/hyperlink" Target="https://www.linkedin.com/jobs/view/4336645524/" TargetMode="External"/><Relationship Id="rId99" Type="http://schemas.openxmlformats.org/officeDocument/2006/relationships/hyperlink" Target="https://www.linkedin.com/jobs/view/4336744137/" TargetMode="External"/><Relationship Id="rId98" Type="http://schemas.openxmlformats.org/officeDocument/2006/relationships/hyperlink" Target="https://www.linkedin.com/jobs/view/4323130696/" TargetMode="External"/><Relationship Id="rId91" Type="http://schemas.openxmlformats.org/officeDocument/2006/relationships/hyperlink" Target="https://www.linkedin.com/jobs/view/4341364391/" TargetMode="External"/><Relationship Id="rId90" Type="http://schemas.openxmlformats.org/officeDocument/2006/relationships/hyperlink" Target="https://www.linkedin.com/jobs/view/4341324918/" TargetMode="External"/><Relationship Id="rId93" Type="http://schemas.openxmlformats.org/officeDocument/2006/relationships/hyperlink" Target="https://lnkd.in/gk6VDneS" TargetMode="External"/><Relationship Id="rId92" Type="http://schemas.openxmlformats.org/officeDocument/2006/relationships/hyperlink" Target="https://www.linkedin.com/jobs/view/4336673196/" TargetMode="External"/><Relationship Id="rId118" Type="http://schemas.openxmlformats.org/officeDocument/2006/relationships/hyperlink" Target="https://www.linkedin.com/jobs/view/4337197786/" TargetMode="External"/><Relationship Id="rId117" Type="http://schemas.openxmlformats.org/officeDocument/2006/relationships/hyperlink" Target="https://www.linkedin.com/jobs/view/4301592927/" TargetMode="External"/><Relationship Id="rId116" Type="http://schemas.openxmlformats.org/officeDocument/2006/relationships/hyperlink" Target="https://www.linkedin.com/jobs/view/4337098265/" TargetMode="External"/><Relationship Id="rId115" Type="http://schemas.openxmlformats.org/officeDocument/2006/relationships/hyperlink" Target="https://www.linkedin.com/jobs/view/4323458468/" TargetMode="External"/><Relationship Id="rId119" Type="http://schemas.openxmlformats.org/officeDocument/2006/relationships/hyperlink" Target="https://www.linkedin.com/jobs/view/4323903448/" TargetMode="External"/><Relationship Id="rId110" Type="http://schemas.openxmlformats.org/officeDocument/2006/relationships/hyperlink" Target="https://www.linkedin.com/jobs/view/4336886142/" TargetMode="External"/><Relationship Id="rId231" Type="http://schemas.openxmlformats.org/officeDocument/2006/relationships/hyperlink" Target="https://jobs.lever.co/imo-online/28f3bd46-aa6d-40ae-a6eb-54074192e96a/thanks" TargetMode="External"/><Relationship Id="rId230" Type="http://schemas.openxmlformats.org/officeDocument/2006/relationships/hyperlink" Target="https://jobs.lever.co/imo-online/28f3bd46-aa6d-40ae-a6eb-54074192e96a/thanks" TargetMode="External"/><Relationship Id="rId114" Type="http://schemas.openxmlformats.org/officeDocument/2006/relationships/hyperlink" Target="https://www.linkedin.com/jobs/view/4323383144/" TargetMode="External"/><Relationship Id="rId113" Type="http://schemas.openxmlformats.org/officeDocument/2006/relationships/hyperlink" Target="https://www.linkedin.com/jobs/view/4323442788/" TargetMode="External"/><Relationship Id="rId234" Type="http://schemas.openxmlformats.org/officeDocument/2006/relationships/drawing" Target="../drawings/drawing8.xml"/><Relationship Id="rId112" Type="http://schemas.openxmlformats.org/officeDocument/2006/relationships/hyperlink" Target="https://www.linkedin.com/jobs/view/4323363482/" TargetMode="External"/><Relationship Id="rId233" Type="http://schemas.openxmlformats.org/officeDocument/2006/relationships/hyperlink" Target="https://careers.cisco.com/global/en/applythankyou?status=success&amp;jobSeqNo=CISCISGLOBAL2007003EXTERNALENGLOBAL&amp;jobTitle=Software%20Engineer%20I%20(Full%20Time)%20-%20United%20States&amp;jobId=2007003&amp;jobApplicationId=27d61a0ceb959001220518cf2ac70001" TargetMode="External"/><Relationship Id="rId111" Type="http://schemas.openxmlformats.org/officeDocument/2006/relationships/hyperlink" Target="https://www.linkedin.com/jobs/view/4336596754/" TargetMode="External"/><Relationship Id="rId232" Type="http://schemas.openxmlformats.org/officeDocument/2006/relationships/hyperlink" Target="https://careers.cisco.com/global/en/applythankyou?status=success&amp;jobSeqNo=CISCISGLOBAL2007003EXTERNALENGLOBAL&amp;jobTitle=Software%20Engineer%20I%20(Full%20Time)%20-%20United%20States&amp;jobId=2007003&amp;jobApplicationId=27d61a0ceb959001220518cf2ac70001" TargetMode="External"/><Relationship Id="rId206" Type="http://schemas.openxmlformats.org/officeDocument/2006/relationships/hyperlink" Target="https://www.linkedin.com/jobs/view/4323450549/" TargetMode="External"/><Relationship Id="rId205" Type="http://schemas.openxmlformats.org/officeDocument/2006/relationships/hyperlink" Target="https://www.linkedin.com/jobs/view/4343035299/" TargetMode="External"/><Relationship Id="rId204" Type="http://schemas.openxmlformats.org/officeDocument/2006/relationships/hyperlink" Target="https://www.linkedin.com/jobs/view/4332933524/" TargetMode="External"/><Relationship Id="rId203" Type="http://schemas.openxmlformats.org/officeDocument/2006/relationships/hyperlink" Target="https://www.linkedin.com/jobs/view/4341189157/" TargetMode="External"/><Relationship Id="rId209" Type="http://schemas.openxmlformats.org/officeDocument/2006/relationships/hyperlink" Target="https://www.linkedin.com/jobs/view/4328655386/" TargetMode="External"/><Relationship Id="rId208" Type="http://schemas.openxmlformats.org/officeDocument/2006/relationships/hyperlink" Target="https://www.linkedin.com/jobs/view/4328581547/" TargetMode="External"/><Relationship Id="rId207" Type="http://schemas.openxmlformats.org/officeDocument/2006/relationships/hyperlink" Target="https://www.linkedin.com/jobs/view/4345435168/" TargetMode="External"/><Relationship Id="rId202" Type="http://schemas.openxmlformats.org/officeDocument/2006/relationships/hyperlink" Target="https://www.linkedin.com/jobs/view/4336934125/" TargetMode="External"/><Relationship Id="rId201" Type="http://schemas.openxmlformats.org/officeDocument/2006/relationships/hyperlink" Target="https://www.linkedin.com/jobs/view/4341692681/" TargetMode="External"/><Relationship Id="rId200" Type="http://schemas.openxmlformats.org/officeDocument/2006/relationships/hyperlink" Target="https://www.linkedin.com/jobs/view/4311331444/" TargetMode="External"/></Relationships>
</file>

<file path=xl/worksheets/_rels/sheet9.xml.rels><?xml version="1.0" encoding="UTF-8" standalone="yes"?><Relationships xmlns="http://schemas.openxmlformats.org/package/2006/relationships"><Relationship Id="rId10" Type="http://schemas.openxmlformats.org/officeDocument/2006/relationships/drawing" Target="../drawings/drawing9.xml"/><Relationship Id="rId1" Type="http://schemas.openxmlformats.org/officeDocument/2006/relationships/hyperlink" Target="https://redhat.wd5.myworkdayjobs.com/en-US/jobs/details/Senior-Software-Engineer_R-044266-1?e=3afab13eadf301a2eaafadcc15425800&amp;d=c18026e77576010f6ef6126f4e43ec4a&amp;d=c18026e7757601cf6eb0136f4e43f04a" TargetMode="External"/><Relationship Id="rId2" Type="http://schemas.openxmlformats.org/officeDocument/2006/relationships/hyperlink" Target="https://redhat.wd5.myworkdayjobs.com/jobs/job/Boston/Machine-Learning-Engineer--llamacpp_R-046441-1?%2526%253Fmode=job&amp;%2526iis=Job%252BBoard&amp;%2526iisn=LinkedIn%252BPosting&amp;source=LinkedIn" TargetMode="External"/><Relationship Id="rId3" Type="http://schemas.openxmlformats.org/officeDocument/2006/relationships/hyperlink" Target="https://job-boards.greenhouse.io/toshibaglobalcommercesolutions/jobs/4970015007?gh_src=bb8171247us" TargetMode="External"/><Relationship Id="rId4" Type="http://schemas.openxmlformats.org/officeDocument/2006/relationships/hyperlink" Target="https://ibmglobal.avature.net/en_US/careers/JobDetail?jobId=54777&amp;source=SN_LinkedIn" TargetMode="External"/><Relationship Id="rId9" Type="http://schemas.openxmlformats.org/officeDocument/2006/relationships/hyperlink" Target="https://jobs.cvshealth.com/us/en/job/R0761012/Full-Stack-Software-Engineer" TargetMode="External"/><Relationship Id="rId5" Type="http://schemas.openxmlformats.org/officeDocument/2006/relationships/hyperlink" Target="https://jobs.ashbyhq.com/reducto/b04a0e49-6231-4267-a5f4-87b9ee4a9b3e?src=Linkedin" TargetMode="External"/><Relationship Id="rId6" Type="http://schemas.openxmlformats.org/officeDocument/2006/relationships/hyperlink" Target="https://jobs.intuit.com/job/-/-/27595/88102807904?cid=pjob_li_click_us_swe-other-fy25_cn_text_job_int-tm&amp;iis=pjob&amp;iisn=li&amp;p_sid=CmoQqvb&amp;p_uid=IMLe0OBKZo&amp;ss=paid&amp;utm_campaign=&amp;utm_content=pj_board&amp;utm_medium=jobad&amp;utm_source=linkedin+slots+%28intuit%29" TargetMode="External"/><Relationship Id="rId7" Type="http://schemas.openxmlformats.org/officeDocument/2006/relationships/hyperlink" Target="https://jobs.cvshealth.com/us/en/job/R0745530/Software-Development-Engineer-for-iPad" TargetMode="External"/><Relationship Id="rId8" Type="http://schemas.openxmlformats.org/officeDocument/2006/relationships/hyperlink" Target="https://jobs.cvshealth.com/us/en/job/R0717413/Development-Data-Engineer"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google.com/about/careers/applications/jobs/results/?hl=en&amp;target_level=EARLY&amp;employment_type=FULL_TIME&amp;sort_by=date&amp;location=United%20States&amp;q=%22Software%20Engineer%22%2C%20Software%20Engineering" TargetMode="External"/><Relationship Id="rId2" Type="http://schemas.openxmlformats.org/officeDocument/2006/relationships/hyperlink" Target="https://amazon.jobs/content/en/artificial-intelligence-ai?city%5B%5D=New+York&amp;cmpid=SA_GOAA200132C&amp;ccuid=CjwKCAiAjc7KBhBvEiwAE2BDObEImYYPz7-84CakrZ2GhP5_yEGVNxUOG4Q3CKedO5KbP-1rONKrPxoC1JIQAvD_BwE%7CCkEKCQiA6sjKBhDhARIwACH7ckB9kG9klh1Zs1NDsSaskzYAYDd-ZYDvlHAT5AToN4R4yR7KYFZ87O6ImkVeGgI3Ug%7C0AAAAACtXheDFfSES6cusiOoFRCAvVDnuN&amp;gad_source=1&amp;gad_campaignid=23148488539&amp;gbraid=0AAAAACtXheDFfSES6cusiOoFRCAvVDnuN&amp;gclid=CjwKCAiAjc7KBhBvEiwAE2BDObEImYYPz7-84CakrZ2GhP5_yEGVNxUOG4Q3CKedO5KbP-1rONKrPxoC1JIQAvD_BwE&amp;country%5B%5D=US&amp;employment-type%5B%5D=Full+time&amp;category%5B%5D=Machine+Learning+Science&amp;category%5B%5D=Software+Development&amp;category%5B%5D=Data+Science&amp;category%5B%5D=Systems%2C+Quality%2C+%26+Security+Engineering&amp;keyword%5B%5D=Software" TargetMode="External"/><Relationship Id="rId3" Type="http://schemas.openxmlformats.org/officeDocument/2006/relationships/hyperlink" Target="https://www.metacareers.com/jobsearch/?teams%5B0%5D=University%20Grad%20-%20Business&amp;teams%5B1%5D=University%20Grad%20-%20Engineering%2C%20Tech%20%26%20Design&amp;teams%5B2%5D=University%20Grad%20-%20PhD%20%26%20Postdoc&amp;sort_by_new=true&amp;roles%5B0%5D=Full%20time%20employment" TargetMode="External"/><Relationship Id="rId4" Type="http://schemas.openxmlformats.org/officeDocument/2006/relationships/hyperlink" Target="https://www.rokt.com/company/careers" TargetMode="External"/><Relationship Id="rId9" Type="http://schemas.openxmlformats.org/officeDocument/2006/relationships/drawing" Target="../drawings/drawing10.xml"/><Relationship Id="rId5" Type="http://schemas.openxmlformats.org/officeDocument/2006/relationships/hyperlink" Target="https://jobs.fidelity.com/en/jobs/?search=&amp;team=Technology&amp;team=Product+Development+%26+Management&amp;team=Operations&amp;team=Business+Analysis+%26+Project+Management&amp;level=Associate&amp;pagesize=20&amp;origin=filtered" TargetMode="External"/><Relationship Id="rId6" Type="http://schemas.openxmlformats.org/officeDocument/2006/relationships/hyperlink" Target="https://apply.careers.microsoft.com/careers/dashboard?domain=microsoft.com" TargetMode="External"/><Relationship Id="rId7" Type="http://schemas.openxmlformats.org/officeDocument/2006/relationships/hyperlink" Target="https://jobs.apple.com/en-us/search?location=united-states-USA" TargetMode="External"/><Relationship Id="rId8" Type="http://schemas.openxmlformats.org/officeDocument/2006/relationships/hyperlink" Target="https://salesforce.wd12.myworkdayjobs.com/en-US/External_Career_Site/userHome"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jobs.lever.co/imo-online/28f3bd46-aa6d-40ae-a6eb-54074192e96a/thanks" TargetMode="External"/><Relationship Id="rId2" Type="http://schemas.openxmlformats.org/officeDocument/2006/relationships/hyperlink" Target="https://careers.cisco.com/global/en/applythankyou?status=success&amp;jobSeqNo=CISCISGLOBAL2007003EXTERNALENGLOBAL&amp;jobTitle=Software%20Engineer%20I%20(Full%20Time)%20-%20United%20States&amp;jobId=2007003&amp;jobApplicationId=27d61a0ceb959001220518cf2ac70001" TargetMode="External"/><Relationship Id="rId3"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3" max="13" width="26.63"/>
    <col customWidth="1" min="14" max="14" width="5.5"/>
    <col customWidth="1" min="16" max="16" width="17.13"/>
    <col customWidth="1" min="17" max="17" width="5.5"/>
    <col customWidth="1" min="18" max="18" width="17.25"/>
    <col customWidth="1" min="19" max="19" width="28.63"/>
    <col customWidth="1" min="20" max="20" width="11.25"/>
    <col customWidth="1" min="21" max="21" width="22.75"/>
    <col customWidth="1" min="22" max="22" width="14.38"/>
    <col customWidth="1" min="23" max="23" width="14.75"/>
    <col customWidth="1" min="24" max="24" width="57.75"/>
    <col customWidth="1" min="25" max="25" width="17.88"/>
  </cols>
  <sheetData>
    <row r="1">
      <c r="A1" s="1" t="s">
        <v>0</v>
      </c>
      <c r="B1" s="2"/>
      <c r="C1" s="2"/>
      <c r="D1" s="2"/>
      <c r="E1" s="2"/>
      <c r="F1" s="2"/>
      <c r="G1" s="2"/>
      <c r="H1" s="2"/>
      <c r="I1" s="2"/>
      <c r="J1" s="2"/>
      <c r="K1" s="2"/>
      <c r="L1" s="2"/>
      <c r="M1" s="2"/>
      <c r="N1" s="2"/>
      <c r="O1" s="2"/>
      <c r="P1" s="2"/>
      <c r="Q1" s="1" t="s">
        <v>1</v>
      </c>
      <c r="R1" s="1" t="s">
        <v>2</v>
      </c>
      <c r="S1" s="3" t="s">
        <v>3</v>
      </c>
      <c r="T1" s="1" t="s">
        <v>4</v>
      </c>
      <c r="U1" s="4" t="s">
        <v>5</v>
      </c>
      <c r="V1" s="1" t="s">
        <v>6</v>
      </c>
      <c r="W1" s="3" t="s">
        <v>7</v>
      </c>
      <c r="X1" s="3" t="s">
        <v>8</v>
      </c>
      <c r="Y1" s="1" t="s">
        <v>9</v>
      </c>
      <c r="Z1" s="2"/>
      <c r="AA1" s="2"/>
    </row>
    <row r="2">
      <c r="A2" s="2"/>
      <c r="B2" s="2"/>
      <c r="C2" s="2"/>
      <c r="D2" s="2"/>
      <c r="E2" s="2"/>
      <c r="F2" s="2"/>
      <c r="G2" s="2"/>
      <c r="H2" s="2"/>
      <c r="I2" s="2"/>
      <c r="J2" s="2"/>
      <c r="K2" s="2"/>
      <c r="L2" s="2"/>
      <c r="M2" s="2"/>
      <c r="N2" s="2"/>
      <c r="O2" s="2"/>
      <c r="Z2" s="2"/>
      <c r="AA2" s="2"/>
    </row>
    <row r="3">
      <c r="A3" s="2"/>
      <c r="B3" s="2"/>
      <c r="C3" s="2"/>
      <c r="D3" s="2"/>
      <c r="E3" s="2"/>
      <c r="F3" s="2"/>
      <c r="G3" s="2"/>
      <c r="H3" s="2"/>
      <c r="I3" s="2"/>
      <c r="J3" s="2"/>
      <c r="K3" s="2"/>
      <c r="L3" s="2"/>
      <c r="M3" s="2"/>
      <c r="N3" s="2"/>
      <c r="O3" s="2"/>
      <c r="Z3" s="2"/>
      <c r="AA3" s="2"/>
    </row>
    <row r="4">
      <c r="A4" s="2"/>
      <c r="B4" s="2"/>
      <c r="C4" s="2"/>
      <c r="D4" s="2"/>
      <c r="E4" s="2"/>
      <c r="F4" s="2"/>
      <c r="G4" s="2"/>
      <c r="H4" s="2"/>
      <c r="I4" s="2"/>
      <c r="J4" s="2"/>
      <c r="K4" s="2"/>
      <c r="L4" s="2"/>
      <c r="M4" s="2"/>
      <c r="N4" s="2"/>
      <c r="O4" s="2"/>
      <c r="Z4" s="2"/>
      <c r="AA4" s="2"/>
    </row>
    <row r="5">
      <c r="A5" s="2"/>
      <c r="B5" s="2"/>
      <c r="C5" s="2"/>
      <c r="D5" s="2"/>
      <c r="E5" s="2"/>
      <c r="F5" s="2"/>
      <c r="G5" s="2"/>
      <c r="H5" s="2"/>
      <c r="I5" s="2"/>
      <c r="J5" s="2"/>
      <c r="K5" s="2"/>
      <c r="L5" s="2"/>
      <c r="M5" s="2"/>
      <c r="N5" s="2"/>
      <c r="O5" s="2"/>
      <c r="Z5" s="2"/>
      <c r="AA5" s="2"/>
    </row>
    <row r="6">
      <c r="A6" s="2"/>
      <c r="B6" s="2"/>
      <c r="C6" s="2"/>
      <c r="D6" s="2"/>
      <c r="E6" s="2"/>
      <c r="F6" s="2"/>
      <c r="G6" s="2"/>
      <c r="H6" s="2"/>
      <c r="I6" s="2"/>
      <c r="J6" s="2"/>
      <c r="K6" s="2"/>
      <c r="L6" s="2"/>
      <c r="M6" s="2"/>
      <c r="N6" s="2"/>
      <c r="O6" s="2"/>
      <c r="Z6" s="2"/>
      <c r="AA6" s="2"/>
    </row>
    <row r="7">
      <c r="A7" s="2"/>
      <c r="B7" s="2"/>
      <c r="C7" s="2"/>
      <c r="D7" s="2"/>
      <c r="E7" s="2"/>
      <c r="F7" s="2"/>
      <c r="G7" s="2"/>
      <c r="H7" s="2"/>
      <c r="I7" s="2"/>
      <c r="J7" s="2"/>
      <c r="K7" s="2"/>
      <c r="L7" s="2"/>
      <c r="M7" s="2"/>
      <c r="N7" s="2"/>
      <c r="O7" s="2"/>
      <c r="Z7" s="2"/>
      <c r="AA7" s="2"/>
    </row>
    <row r="8">
      <c r="A8" s="2"/>
      <c r="B8" s="2"/>
      <c r="C8" s="2"/>
      <c r="D8" s="2"/>
      <c r="E8" s="2"/>
      <c r="F8" s="2"/>
      <c r="G8" s="2"/>
      <c r="H8" s="2"/>
      <c r="I8" s="2"/>
      <c r="J8" s="2"/>
      <c r="K8" s="2"/>
      <c r="L8" s="2"/>
      <c r="M8" s="2"/>
      <c r="N8" s="2"/>
      <c r="O8" s="2"/>
      <c r="Z8" s="2"/>
      <c r="AA8" s="2"/>
    </row>
    <row r="9">
      <c r="A9" s="2"/>
      <c r="B9" s="2"/>
      <c r="C9" s="2"/>
      <c r="D9" s="2"/>
      <c r="E9" s="2"/>
      <c r="F9" s="2"/>
      <c r="G9" s="2"/>
      <c r="H9" s="2"/>
      <c r="I9" s="2"/>
      <c r="J9" s="2"/>
      <c r="K9" s="2"/>
      <c r="L9" s="2"/>
      <c r="M9" s="2"/>
      <c r="N9" s="2"/>
      <c r="O9" s="2"/>
      <c r="P9" s="2"/>
      <c r="Z9" s="2"/>
      <c r="AA9" s="2"/>
    </row>
    <row r="10">
      <c r="A10" s="2"/>
      <c r="B10" s="2"/>
      <c r="C10" s="2"/>
      <c r="D10" s="2"/>
      <c r="E10" s="2"/>
      <c r="F10" s="2"/>
      <c r="G10" s="2"/>
      <c r="H10" s="2"/>
      <c r="I10" s="2"/>
      <c r="J10" s="2"/>
      <c r="K10" s="2"/>
      <c r="L10" s="2"/>
      <c r="M10" s="2"/>
      <c r="N10" s="2"/>
      <c r="O10" s="2"/>
      <c r="P10" s="2"/>
      <c r="Z10" s="2"/>
      <c r="AA10" s="2"/>
    </row>
    <row r="11">
      <c r="A11" s="2"/>
      <c r="B11" s="2"/>
      <c r="C11" s="2"/>
      <c r="D11" s="2"/>
      <c r="E11" s="2"/>
      <c r="F11" s="2"/>
      <c r="G11" s="2"/>
      <c r="H11" s="2"/>
      <c r="I11" s="2"/>
      <c r="J11" s="2"/>
      <c r="K11" s="2"/>
      <c r="L11" s="2"/>
      <c r="M11" s="2"/>
      <c r="N11" s="2"/>
      <c r="O11" s="2"/>
      <c r="P11" s="2"/>
      <c r="Z11" s="2"/>
      <c r="AA11" s="2"/>
    </row>
    <row r="12">
      <c r="A12" s="2"/>
      <c r="B12" s="2"/>
      <c r="C12" s="2"/>
      <c r="D12" s="2"/>
      <c r="E12" s="2"/>
      <c r="F12" s="2"/>
      <c r="G12" s="2"/>
      <c r="H12" s="2"/>
      <c r="I12" s="2"/>
      <c r="J12" s="2"/>
      <c r="K12" s="2"/>
      <c r="L12" s="2"/>
      <c r="M12" s="2"/>
      <c r="N12" s="2"/>
      <c r="O12" s="2"/>
      <c r="P12" s="2"/>
      <c r="Z12" s="2"/>
      <c r="AA12" s="2"/>
    </row>
    <row r="13">
      <c r="A13" s="2"/>
      <c r="B13" s="2"/>
      <c r="C13" s="2"/>
      <c r="D13" s="2"/>
      <c r="E13" s="2"/>
      <c r="F13" s="2"/>
      <c r="G13" s="2"/>
      <c r="H13" s="2"/>
      <c r="I13" s="2"/>
      <c r="J13" s="2"/>
      <c r="K13" s="2"/>
      <c r="L13" s="2"/>
      <c r="M13" s="2"/>
      <c r="N13" s="2"/>
      <c r="O13" s="2"/>
      <c r="P13" s="2"/>
      <c r="Z13" s="2"/>
      <c r="AA13" s="2"/>
    </row>
    <row r="14">
      <c r="A14" s="2"/>
      <c r="B14" s="2"/>
      <c r="C14" s="2"/>
      <c r="D14" s="2"/>
      <c r="E14" s="2"/>
      <c r="F14" s="2"/>
      <c r="G14" s="2"/>
      <c r="H14" s="2"/>
      <c r="I14" s="2"/>
      <c r="J14" s="2"/>
      <c r="K14" s="2"/>
      <c r="L14" s="2"/>
      <c r="M14" s="2"/>
      <c r="N14" s="2"/>
      <c r="O14" s="2"/>
      <c r="P14" s="2"/>
      <c r="Z14" s="2"/>
      <c r="AA14" s="2"/>
    </row>
    <row r="15">
      <c r="A15" s="2"/>
      <c r="B15" s="2"/>
      <c r="C15" s="2"/>
      <c r="D15" s="2"/>
      <c r="E15" s="2"/>
      <c r="F15" s="2"/>
      <c r="G15" s="2"/>
      <c r="H15" s="2"/>
      <c r="I15" s="2"/>
      <c r="J15" s="2"/>
      <c r="K15" s="2"/>
      <c r="L15" s="2"/>
      <c r="M15" s="2"/>
      <c r="N15" s="2"/>
      <c r="O15" s="2"/>
      <c r="P15" s="2"/>
      <c r="Z15" s="2"/>
      <c r="AA15" s="2"/>
    </row>
    <row r="16" ht="62.25" customHeight="1">
      <c r="A16" s="2"/>
      <c r="B16" s="2"/>
      <c r="C16" s="2"/>
      <c r="D16" s="2"/>
      <c r="E16" s="2"/>
      <c r="F16" s="2"/>
      <c r="G16" s="2"/>
      <c r="H16" s="2"/>
      <c r="I16" s="2"/>
      <c r="J16" s="2"/>
      <c r="K16" s="2"/>
      <c r="L16" s="2"/>
      <c r="M16" s="2"/>
      <c r="N16" s="2"/>
      <c r="O16" s="2"/>
      <c r="P16" s="1"/>
      <c r="Z16" s="2"/>
      <c r="AA16" s="2"/>
    </row>
    <row r="17">
      <c r="A17" s="2"/>
      <c r="B17" s="2"/>
      <c r="C17" s="2"/>
      <c r="D17" s="2"/>
      <c r="E17" s="2"/>
      <c r="F17" s="2"/>
      <c r="G17" s="2"/>
      <c r="H17" s="2"/>
      <c r="I17" s="2"/>
      <c r="J17" s="2"/>
      <c r="K17" s="2"/>
      <c r="L17" s="2"/>
      <c r="M17" s="2"/>
      <c r="N17" s="2"/>
      <c r="O17" s="2"/>
      <c r="P17" s="2"/>
      <c r="Z17" s="2"/>
      <c r="AA17" s="2"/>
    </row>
    <row r="18">
      <c r="A18" s="2"/>
      <c r="B18" s="2"/>
      <c r="C18" s="2"/>
      <c r="D18" s="2"/>
      <c r="E18" s="2"/>
      <c r="F18" s="2"/>
      <c r="G18" s="2"/>
      <c r="H18" s="2"/>
      <c r="I18" s="2"/>
      <c r="J18" s="2"/>
      <c r="K18" s="2"/>
      <c r="L18" s="2"/>
      <c r="M18" s="2"/>
      <c r="N18" s="2"/>
      <c r="O18" s="2"/>
      <c r="P18" s="2"/>
    </row>
    <row r="19">
      <c r="A19" s="2"/>
      <c r="B19" s="2"/>
      <c r="C19" s="2"/>
      <c r="D19" s="2"/>
      <c r="E19" s="2"/>
      <c r="F19" s="2"/>
      <c r="G19" s="2"/>
      <c r="H19" s="2"/>
      <c r="I19" s="2"/>
      <c r="J19" s="2"/>
      <c r="K19" s="2"/>
      <c r="L19" s="2"/>
      <c r="M19" s="5" t="s">
        <v>10</v>
      </c>
      <c r="N19" s="6"/>
      <c r="O19" s="2"/>
      <c r="P19" s="2"/>
      <c r="Q19" s="1"/>
      <c r="R19" s="1"/>
      <c r="S19" s="7"/>
      <c r="T19" s="2"/>
      <c r="U19" s="4"/>
      <c r="V19" s="2"/>
      <c r="W19" s="7"/>
      <c r="X19" s="7"/>
      <c r="Y19" s="2"/>
      <c r="Z19" s="2"/>
      <c r="AA19" s="2"/>
    </row>
    <row r="20">
      <c r="A20" s="2"/>
      <c r="B20" s="2"/>
      <c r="C20" s="2"/>
      <c r="D20" s="2"/>
      <c r="E20" s="2"/>
      <c r="F20" s="2"/>
      <c r="G20" s="2"/>
      <c r="H20" s="2"/>
      <c r="I20" s="2"/>
      <c r="J20" s="2"/>
      <c r="K20" s="2"/>
      <c r="L20" s="2"/>
      <c r="M20" s="8" t="s">
        <v>11</v>
      </c>
      <c r="N20" s="9" t="s">
        <v>12</v>
      </c>
      <c r="O20" s="2"/>
      <c r="Q20" s="1"/>
      <c r="R20" s="1"/>
      <c r="S20" s="7"/>
      <c r="T20" s="2"/>
      <c r="U20" s="10"/>
      <c r="V20" s="2"/>
      <c r="W20" s="7"/>
      <c r="X20" s="7"/>
      <c r="Y20" s="2"/>
      <c r="Z20" s="2"/>
      <c r="AA20" s="2"/>
    </row>
    <row r="21">
      <c r="A21" s="2"/>
      <c r="B21" s="2"/>
      <c r="C21" s="2"/>
      <c r="D21" s="2"/>
      <c r="E21" s="2"/>
      <c r="F21" s="2"/>
      <c r="G21" s="2"/>
      <c r="H21" s="2"/>
      <c r="I21" s="2"/>
      <c r="J21" s="2"/>
      <c r="K21" s="2"/>
      <c r="L21" s="2"/>
      <c r="M21" s="8" t="s">
        <v>13</v>
      </c>
      <c r="N21" s="9" t="s">
        <v>12</v>
      </c>
      <c r="O21" s="2"/>
      <c r="P21" s="2"/>
      <c r="Q21" s="1"/>
      <c r="R21" s="1"/>
      <c r="S21" s="7"/>
      <c r="T21" s="2"/>
      <c r="U21" s="10"/>
      <c r="V21" s="2"/>
      <c r="W21" s="7"/>
      <c r="X21" s="7"/>
      <c r="Y21" s="2"/>
      <c r="Z21" s="2"/>
      <c r="AA21" s="2"/>
    </row>
    <row r="22">
      <c r="A22" s="2"/>
      <c r="B22" s="2"/>
      <c r="C22" s="2"/>
      <c r="D22" s="2"/>
      <c r="E22" s="2"/>
      <c r="F22" s="2"/>
      <c r="G22" s="2"/>
      <c r="H22" s="2"/>
      <c r="I22" s="2"/>
      <c r="J22" s="2"/>
      <c r="K22" s="2"/>
      <c r="L22" s="2"/>
      <c r="M22" s="8" t="s">
        <v>14</v>
      </c>
      <c r="N22" s="9" t="s">
        <v>12</v>
      </c>
      <c r="O22" s="2"/>
      <c r="P22" s="2"/>
      <c r="Q22" s="1"/>
      <c r="R22" s="1"/>
      <c r="S22" s="7"/>
      <c r="T22" s="2"/>
      <c r="U22" s="10"/>
      <c r="V22" s="2"/>
      <c r="W22" s="7"/>
      <c r="X22" s="7"/>
      <c r="Y22" s="2"/>
      <c r="Z22" s="2"/>
      <c r="AA22" s="2"/>
    </row>
    <row r="23">
      <c r="A23" s="2"/>
      <c r="B23" s="2"/>
      <c r="C23" s="2"/>
      <c r="D23" s="2"/>
      <c r="E23" s="2"/>
      <c r="F23" s="2"/>
      <c r="G23" s="2"/>
      <c r="H23" s="2"/>
      <c r="I23" s="2"/>
      <c r="J23" s="2"/>
      <c r="K23" s="2"/>
      <c r="L23" s="2"/>
      <c r="M23" s="11" t="s">
        <v>15</v>
      </c>
      <c r="N23" s="9" t="s">
        <v>12</v>
      </c>
      <c r="O23" s="2"/>
      <c r="P23" s="2"/>
      <c r="Q23" s="1"/>
      <c r="R23" s="1"/>
      <c r="S23" s="7"/>
      <c r="T23" s="2"/>
      <c r="U23" s="10"/>
      <c r="V23" s="2"/>
      <c r="W23" s="7"/>
      <c r="X23" s="7"/>
      <c r="Y23" s="2"/>
      <c r="Z23" s="2"/>
      <c r="AA23" s="2"/>
    </row>
    <row r="24">
      <c r="A24" s="2"/>
      <c r="B24" s="2"/>
      <c r="C24" s="2"/>
      <c r="D24" s="2"/>
      <c r="E24" s="2"/>
      <c r="F24" s="2"/>
      <c r="G24" s="2"/>
      <c r="H24" s="2"/>
      <c r="I24" s="2"/>
      <c r="J24" s="2"/>
      <c r="K24" s="2"/>
      <c r="L24" s="2"/>
      <c r="M24" s="8" t="s">
        <v>16</v>
      </c>
      <c r="N24" s="9" t="s">
        <v>12</v>
      </c>
      <c r="O24" s="2"/>
      <c r="P24" s="2"/>
      <c r="Q24" s="1"/>
      <c r="R24" s="1"/>
      <c r="S24" s="7"/>
      <c r="T24" s="2"/>
      <c r="U24" s="10"/>
      <c r="V24" s="2"/>
      <c r="W24" s="7"/>
      <c r="X24" s="7"/>
      <c r="Y24" s="2"/>
      <c r="Z24" s="2"/>
      <c r="AA24" s="2"/>
    </row>
    <row r="25">
      <c r="A25" s="2"/>
      <c r="B25" s="2"/>
      <c r="C25" s="2"/>
      <c r="D25" s="2"/>
      <c r="E25" s="2"/>
      <c r="F25" s="2"/>
      <c r="G25" s="2"/>
      <c r="H25" s="2"/>
      <c r="I25" s="2"/>
      <c r="J25" s="2"/>
      <c r="K25" s="2"/>
      <c r="L25" s="2"/>
      <c r="M25" s="8" t="s">
        <v>17</v>
      </c>
      <c r="N25" s="9" t="s">
        <v>12</v>
      </c>
      <c r="O25" s="2"/>
      <c r="P25" s="2"/>
      <c r="Q25" s="1"/>
      <c r="R25" s="1"/>
      <c r="S25" s="7"/>
      <c r="T25" s="2"/>
      <c r="U25" s="10"/>
      <c r="V25" s="2"/>
      <c r="W25" s="7"/>
      <c r="X25" s="7"/>
      <c r="Y25" s="2"/>
      <c r="Z25" s="2"/>
      <c r="AA25" s="2"/>
    </row>
    <row r="26">
      <c r="A26" s="2"/>
      <c r="B26" s="2"/>
      <c r="C26" s="2"/>
      <c r="D26" s="2"/>
      <c r="E26" s="2"/>
      <c r="F26" s="2"/>
      <c r="G26" s="2"/>
      <c r="H26" s="2"/>
      <c r="I26" s="2"/>
      <c r="J26" s="2"/>
      <c r="K26" s="2"/>
      <c r="L26" s="2"/>
      <c r="M26" s="2"/>
      <c r="N26" s="2"/>
      <c r="O26" s="2"/>
      <c r="P26" s="2"/>
      <c r="Q26" s="1"/>
      <c r="R26" s="1"/>
      <c r="S26" s="7"/>
      <c r="T26" s="2"/>
      <c r="U26" s="10"/>
      <c r="V26" s="2"/>
      <c r="W26" s="7"/>
      <c r="X26" s="7"/>
      <c r="Y26" s="2"/>
      <c r="Z26" s="2"/>
      <c r="AA26" s="2"/>
    </row>
    <row r="27">
      <c r="A27" s="2"/>
      <c r="B27" s="2"/>
      <c r="C27" s="2"/>
      <c r="D27" s="2"/>
      <c r="E27" s="2"/>
      <c r="F27" s="2"/>
      <c r="G27" s="2"/>
      <c r="H27" s="2"/>
      <c r="I27" s="2"/>
      <c r="J27" s="2"/>
      <c r="K27" s="2"/>
      <c r="L27" s="2"/>
      <c r="M27" s="2"/>
      <c r="N27" s="2"/>
      <c r="O27" s="2"/>
      <c r="P27" s="2"/>
      <c r="Q27" s="2"/>
      <c r="R27" s="2"/>
      <c r="S27" s="7"/>
      <c r="T27" s="2"/>
      <c r="U27" s="10"/>
      <c r="V27" s="2"/>
      <c r="W27" s="7"/>
      <c r="X27" s="7"/>
      <c r="Y27" s="2"/>
      <c r="Z27" s="2"/>
      <c r="AA27" s="2"/>
    </row>
    <row r="28">
      <c r="A28" s="2"/>
      <c r="B28" s="2"/>
      <c r="C28" s="2"/>
      <c r="D28" s="2"/>
      <c r="E28" s="2"/>
      <c r="F28" s="2"/>
      <c r="G28" s="2"/>
      <c r="H28" s="2"/>
      <c r="I28" s="2"/>
      <c r="J28" s="2"/>
      <c r="K28" s="2"/>
      <c r="L28" s="2"/>
      <c r="M28" s="2"/>
      <c r="N28" s="2"/>
      <c r="O28" s="2"/>
      <c r="P28" s="2"/>
      <c r="Q28" s="2"/>
      <c r="R28" s="2"/>
      <c r="S28" s="7"/>
      <c r="T28" s="2"/>
      <c r="U28" s="10"/>
      <c r="V28" s="2"/>
      <c r="W28" s="7"/>
      <c r="X28" s="7"/>
      <c r="Y28" s="2"/>
      <c r="Z28" s="2"/>
      <c r="AA28" s="2"/>
    </row>
    <row r="29">
      <c r="A29" s="2"/>
      <c r="B29" s="2"/>
      <c r="C29" s="2"/>
      <c r="D29" s="2"/>
      <c r="E29" s="2"/>
      <c r="F29" s="2"/>
      <c r="G29" s="2"/>
      <c r="H29" s="2"/>
      <c r="I29" s="2"/>
      <c r="J29" s="2"/>
      <c r="K29" s="2"/>
      <c r="L29" s="2"/>
      <c r="M29" s="2"/>
      <c r="N29" s="2"/>
      <c r="O29" s="2"/>
      <c r="P29" s="2"/>
      <c r="Q29" s="2"/>
      <c r="R29" s="2"/>
      <c r="S29" s="7"/>
      <c r="T29" s="2"/>
      <c r="U29" s="10"/>
      <c r="V29" s="2"/>
      <c r="W29" s="7"/>
      <c r="X29" s="7"/>
      <c r="Y29" s="2"/>
      <c r="Z29" s="2"/>
      <c r="AA29" s="2"/>
    </row>
    <row r="30">
      <c r="A30" s="2"/>
      <c r="B30" s="2"/>
      <c r="C30" s="2"/>
      <c r="D30" s="2"/>
      <c r="E30" s="2"/>
      <c r="F30" s="2"/>
      <c r="G30" s="2"/>
      <c r="H30" s="2"/>
      <c r="I30" s="2"/>
      <c r="J30" s="2"/>
      <c r="K30" s="2"/>
      <c r="L30" s="2"/>
      <c r="M30" s="2"/>
      <c r="N30" s="2"/>
      <c r="O30" s="2"/>
      <c r="P30" s="2"/>
      <c r="Q30" s="2"/>
      <c r="R30" s="2"/>
      <c r="S30" s="7"/>
      <c r="T30" s="2"/>
      <c r="U30" s="10"/>
      <c r="V30" s="2"/>
      <c r="W30" s="7"/>
      <c r="X30" s="7"/>
      <c r="Y30" s="2"/>
      <c r="Z30" s="2"/>
      <c r="AA30" s="2"/>
    </row>
    <row r="31">
      <c r="A31" s="2"/>
      <c r="B31" s="2"/>
      <c r="C31" s="2"/>
      <c r="D31" s="2"/>
      <c r="E31" s="2"/>
      <c r="F31" s="2"/>
      <c r="G31" s="2"/>
      <c r="H31" s="2"/>
      <c r="I31" s="2"/>
      <c r="J31" s="2"/>
      <c r="K31" s="2"/>
      <c r="L31" s="2"/>
      <c r="M31" s="2"/>
      <c r="N31" s="2"/>
      <c r="O31" s="2"/>
      <c r="P31" s="2"/>
      <c r="Q31" s="2"/>
      <c r="S31" s="7"/>
      <c r="T31" s="2"/>
      <c r="U31" s="10"/>
      <c r="V31" s="2"/>
      <c r="W31" s="7"/>
      <c r="X31" s="7"/>
      <c r="Y31" s="2"/>
      <c r="Z31" s="2"/>
      <c r="AA31" s="2"/>
    </row>
    <row r="32">
      <c r="A32" s="2"/>
      <c r="B32" s="2"/>
      <c r="C32" s="2"/>
      <c r="D32" s="2"/>
      <c r="E32" s="2"/>
      <c r="F32" s="2"/>
      <c r="G32" s="2"/>
      <c r="H32" s="2"/>
      <c r="I32" s="2"/>
      <c r="J32" s="2"/>
      <c r="K32" s="2"/>
      <c r="L32" s="2"/>
      <c r="M32" s="2"/>
      <c r="N32" s="2"/>
      <c r="O32" s="2"/>
      <c r="P32" s="2"/>
      <c r="Q32" s="2"/>
      <c r="R32" s="2"/>
      <c r="S32" s="7"/>
      <c r="T32" s="2"/>
      <c r="U32" s="10"/>
      <c r="V32" s="2"/>
      <c r="W32" s="7"/>
      <c r="X32" s="7"/>
      <c r="Y32" s="2"/>
      <c r="Z32" s="2"/>
      <c r="AA32" s="2"/>
    </row>
    <row r="33">
      <c r="A33" s="2"/>
      <c r="B33" s="2"/>
      <c r="C33" s="2"/>
      <c r="D33" s="2"/>
      <c r="E33" s="2"/>
      <c r="F33" s="2"/>
      <c r="G33" s="2"/>
      <c r="H33" s="2"/>
      <c r="I33" s="2"/>
      <c r="J33" s="2"/>
      <c r="K33" s="2"/>
      <c r="L33" s="2"/>
      <c r="M33" s="2"/>
      <c r="N33" s="2"/>
      <c r="O33" s="2"/>
      <c r="P33" s="2"/>
      <c r="Q33" s="2"/>
      <c r="R33" s="2"/>
      <c r="S33" s="7"/>
      <c r="T33" s="2"/>
      <c r="U33" s="10"/>
      <c r="V33" s="2"/>
      <c r="W33" s="7"/>
      <c r="X33" s="7"/>
      <c r="Y33" s="2"/>
      <c r="Z33" s="2"/>
      <c r="AA33" s="2"/>
    </row>
    <row r="34">
      <c r="A34" s="2"/>
      <c r="B34" s="2"/>
      <c r="C34" s="2"/>
      <c r="D34" s="2"/>
      <c r="E34" s="2"/>
      <c r="F34" s="2"/>
      <c r="G34" s="2"/>
      <c r="H34" s="2"/>
      <c r="I34" s="2"/>
      <c r="J34" s="2"/>
      <c r="K34" s="2"/>
      <c r="L34" s="2"/>
      <c r="M34" s="2"/>
      <c r="N34" s="2"/>
      <c r="O34" s="2"/>
      <c r="P34" s="2"/>
      <c r="Q34" s="2"/>
      <c r="R34" s="2"/>
      <c r="S34" s="7"/>
      <c r="T34" s="2"/>
      <c r="U34" s="10"/>
      <c r="V34" s="2"/>
      <c r="W34" s="7"/>
      <c r="X34" s="7"/>
      <c r="Y34" s="2"/>
      <c r="Z34" s="2"/>
      <c r="AA34" s="2"/>
    </row>
    <row r="35">
      <c r="A35" s="2"/>
      <c r="B35" s="2"/>
      <c r="C35" s="2"/>
      <c r="D35" s="2"/>
      <c r="E35" s="2"/>
      <c r="F35" s="2"/>
      <c r="G35" s="2"/>
      <c r="H35" s="2"/>
      <c r="I35" s="2"/>
      <c r="J35" s="2"/>
      <c r="K35" s="2"/>
      <c r="L35" s="2"/>
      <c r="M35" s="2"/>
      <c r="N35" s="2"/>
      <c r="O35" s="2"/>
      <c r="P35" s="2"/>
      <c r="Q35" s="2"/>
      <c r="R35" s="2"/>
      <c r="S35" s="7"/>
      <c r="T35" s="2"/>
      <c r="U35" s="10"/>
      <c r="V35" s="2"/>
      <c r="W35" s="7"/>
      <c r="X35" s="7"/>
      <c r="Y35" s="2"/>
      <c r="Z35" s="2"/>
      <c r="AA35" s="2"/>
    </row>
    <row r="36">
      <c r="A36" s="2"/>
      <c r="B36" s="2"/>
      <c r="C36" s="2"/>
      <c r="D36" s="2"/>
      <c r="E36" s="2"/>
      <c r="F36" s="2"/>
      <c r="G36" s="2"/>
      <c r="H36" s="2"/>
      <c r="I36" s="2"/>
      <c r="J36" s="2"/>
      <c r="K36" s="2"/>
      <c r="L36" s="2"/>
      <c r="M36" s="2"/>
      <c r="N36" s="2"/>
      <c r="O36" s="2"/>
      <c r="P36" s="2"/>
      <c r="Q36" s="2"/>
      <c r="R36" s="2"/>
      <c r="S36" s="7"/>
      <c r="T36" s="2"/>
      <c r="U36" s="10"/>
      <c r="V36" s="2"/>
      <c r="W36" s="7"/>
      <c r="X36" s="7"/>
      <c r="Y36" s="2"/>
      <c r="Z36" s="2"/>
      <c r="AA36" s="2"/>
    </row>
    <row r="37">
      <c r="A37" s="2"/>
      <c r="B37" s="2"/>
      <c r="C37" s="2"/>
      <c r="D37" s="2"/>
      <c r="E37" s="2"/>
      <c r="F37" s="2"/>
      <c r="G37" s="2"/>
      <c r="H37" s="2"/>
      <c r="I37" s="2"/>
      <c r="J37" s="2"/>
      <c r="K37" s="2"/>
      <c r="L37" s="2"/>
      <c r="M37" s="2"/>
      <c r="N37" s="2"/>
      <c r="O37" s="2"/>
      <c r="P37" s="2"/>
      <c r="Q37" s="2"/>
      <c r="R37" s="2"/>
      <c r="S37" s="7"/>
      <c r="T37" s="2"/>
      <c r="U37" s="10"/>
      <c r="V37" s="2"/>
      <c r="W37" s="7"/>
      <c r="X37" s="7"/>
      <c r="Y37" s="2"/>
      <c r="Z37" s="2"/>
      <c r="AA37" s="2"/>
    </row>
    <row r="38">
      <c r="A38" s="2"/>
      <c r="B38" s="2"/>
      <c r="C38" s="2"/>
      <c r="D38" s="2"/>
      <c r="E38" s="2"/>
      <c r="F38" s="2"/>
      <c r="G38" s="2"/>
      <c r="H38" s="2"/>
      <c r="I38" s="2"/>
      <c r="J38" s="2"/>
      <c r="K38" s="2"/>
      <c r="L38" s="2"/>
      <c r="M38" s="2"/>
      <c r="N38" s="2"/>
      <c r="O38" s="2"/>
      <c r="P38" s="2"/>
      <c r="Q38" s="2"/>
      <c r="R38" s="2"/>
      <c r="S38" s="7"/>
      <c r="T38" s="2"/>
      <c r="U38" s="10"/>
      <c r="V38" s="2"/>
      <c r="W38" s="7"/>
      <c r="X38" s="7"/>
      <c r="Y38" s="2"/>
      <c r="Z38" s="2"/>
      <c r="AA38" s="2"/>
    </row>
    <row r="39">
      <c r="A39" s="2"/>
      <c r="B39" s="2"/>
      <c r="C39" s="2"/>
      <c r="D39" s="2"/>
      <c r="E39" s="2"/>
      <c r="F39" s="2"/>
      <c r="G39" s="2"/>
      <c r="H39" s="2"/>
      <c r="I39" s="2"/>
      <c r="J39" s="2"/>
      <c r="K39" s="2"/>
      <c r="L39" s="2"/>
      <c r="M39" s="2"/>
      <c r="N39" s="2"/>
      <c r="O39" s="2"/>
      <c r="P39" s="2"/>
      <c r="Q39" s="2"/>
      <c r="R39" s="2"/>
      <c r="S39" s="7"/>
      <c r="T39" s="2"/>
      <c r="U39" s="10"/>
      <c r="V39" s="2"/>
      <c r="W39" s="7"/>
      <c r="X39" s="7"/>
      <c r="Y39" s="2"/>
      <c r="Z39" s="2"/>
      <c r="AA39" s="2"/>
    </row>
    <row r="40">
      <c r="A40" s="2"/>
      <c r="B40" s="2"/>
      <c r="C40" s="2"/>
      <c r="D40" s="2"/>
      <c r="E40" s="2"/>
      <c r="F40" s="2"/>
      <c r="G40" s="2"/>
      <c r="H40" s="2"/>
      <c r="I40" s="2"/>
      <c r="J40" s="2"/>
      <c r="K40" s="2"/>
      <c r="L40" s="2"/>
      <c r="M40" s="2"/>
      <c r="N40" s="2"/>
      <c r="O40" s="2"/>
      <c r="P40" s="2"/>
      <c r="Q40" s="2"/>
      <c r="R40" s="2"/>
      <c r="S40" s="7"/>
      <c r="T40" s="2"/>
      <c r="U40" s="10"/>
      <c r="V40" s="2"/>
      <c r="W40" s="7"/>
      <c r="X40" s="7"/>
      <c r="Y40" s="2"/>
      <c r="Z40" s="2"/>
      <c r="AA40" s="2"/>
    </row>
    <row r="41">
      <c r="A41" s="2"/>
      <c r="B41" s="2"/>
      <c r="C41" s="2"/>
      <c r="D41" s="2"/>
      <c r="E41" s="2"/>
      <c r="F41" s="2"/>
      <c r="G41" s="2"/>
      <c r="H41" s="2"/>
      <c r="I41" s="2"/>
      <c r="J41" s="2"/>
      <c r="K41" s="2"/>
      <c r="L41" s="2"/>
      <c r="M41" s="2"/>
      <c r="N41" s="2"/>
      <c r="O41" s="2"/>
      <c r="P41" s="2"/>
      <c r="Q41" s="2"/>
      <c r="R41" s="2"/>
      <c r="S41" s="7"/>
      <c r="T41" s="2"/>
      <c r="U41" s="10"/>
      <c r="V41" s="2"/>
      <c r="W41" s="7"/>
      <c r="X41" s="7"/>
      <c r="Y41" s="2"/>
      <c r="Z41" s="2"/>
      <c r="AA41" s="2"/>
    </row>
    <row r="42">
      <c r="A42" s="2"/>
      <c r="B42" s="2"/>
      <c r="C42" s="2"/>
      <c r="D42" s="2"/>
      <c r="E42" s="2"/>
      <c r="F42" s="2"/>
      <c r="G42" s="2"/>
      <c r="H42" s="2"/>
      <c r="I42" s="2"/>
      <c r="J42" s="2"/>
      <c r="K42" s="2"/>
      <c r="L42" s="2"/>
      <c r="M42" s="2"/>
      <c r="N42" s="2"/>
      <c r="O42" s="2"/>
      <c r="P42" s="2"/>
      <c r="Q42" s="2"/>
      <c r="R42" s="2"/>
      <c r="S42" s="7"/>
      <c r="T42" s="2"/>
      <c r="U42" s="10"/>
      <c r="V42" s="2"/>
      <c r="W42" s="7"/>
      <c r="X42" s="7"/>
      <c r="Y42" s="2"/>
      <c r="Z42" s="2"/>
      <c r="AA42" s="2"/>
    </row>
    <row r="43">
      <c r="A43" s="2"/>
      <c r="B43" s="2"/>
      <c r="C43" s="2"/>
      <c r="D43" s="2"/>
      <c r="E43" s="2"/>
      <c r="F43" s="2"/>
      <c r="G43" s="2"/>
      <c r="H43" s="2"/>
      <c r="I43" s="2"/>
      <c r="J43" s="2"/>
      <c r="K43" s="2"/>
      <c r="L43" s="2"/>
      <c r="M43" s="2"/>
      <c r="N43" s="2"/>
      <c r="O43" s="2"/>
      <c r="P43" s="2"/>
      <c r="Q43" s="2"/>
      <c r="R43" s="2"/>
      <c r="S43" s="7"/>
      <c r="T43" s="2"/>
      <c r="U43" s="10"/>
      <c r="V43" s="2"/>
      <c r="W43" s="7"/>
      <c r="X43" s="7"/>
      <c r="Y43" s="2"/>
      <c r="Z43" s="2"/>
      <c r="AA43" s="2"/>
    </row>
    <row r="44">
      <c r="A44" s="2"/>
      <c r="B44" s="2"/>
      <c r="C44" s="2"/>
      <c r="D44" s="2"/>
      <c r="E44" s="2"/>
      <c r="F44" s="2"/>
      <c r="G44" s="2"/>
      <c r="H44" s="2"/>
      <c r="I44" s="2"/>
      <c r="J44" s="2"/>
      <c r="K44" s="2"/>
      <c r="L44" s="2"/>
      <c r="M44" s="2"/>
      <c r="N44" s="2"/>
      <c r="O44" s="2"/>
      <c r="P44" s="2"/>
      <c r="Q44" s="2"/>
      <c r="R44" s="2"/>
      <c r="S44" s="7"/>
      <c r="T44" s="2"/>
      <c r="U44" s="10"/>
      <c r="V44" s="2"/>
      <c r="W44" s="7"/>
      <c r="X44" s="7"/>
      <c r="Y44" s="2"/>
      <c r="Z44" s="2"/>
      <c r="AA44" s="2"/>
    </row>
    <row r="45">
      <c r="A45" s="2"/>
      <c r="B45" s="2"/>
      <c r="C45" s="2"/>
      <c r="D45" s="2"/>
      <c r="E45" s="2"/>
      <c r="F45" s="2"/>
      <c r="G45" s="2"/>
      <c r="H45" s="2"/>
      <c r="I45" s="2"/>
      <c r="J45" s="2"/>
      <c r="K45" s="2"/>
      <c r="L45" s="2"/>
      <c r="M45" s="2"/>
      <c r="N45" s="2"/>
      <c r="O45" s="2"/>
      <c r="P45" s="2"/>
      <c r="Q45" s="2"/>
      <c r="R45" s="2"/>
      <c r="S45" s="7"/>
      <c r="T45" s="2"/>
      <c r="U45" s="10"/>
      <c r="V45" s="2"/>
      <c r="W45" s="7"/>
      <c r="X45" s="7"/>
      <c r="Y45" s="2"/>
      <c r="Z45" s="2"/>
      <c r="AA45" s="2"/>
    </row>
    <row r="46">
      <c r="A46" s="2"/>
      <c r="B46" s="2"/>
      <c r="C46" s="2"/>
      <c r="D46" s="2"/>
      <c r="E46" s="2"/>
      <c r="F46" s="2"/>
      <c r="G46" s="2"/>
      <c r="H46" s="2"/>
      <c r="I46" s="2"/>
      <c r="J46" s="2"/>
      <c r="K46" s="2"/>
      <c r="L46" s="2"/>
      <c r="M46" s="2"/>
      <c r="N46" s="2"/>
      <c r="O46" s="2"/>
      <c r="P46" s="2"/>
      <c r="Q46" s="2"/>
      <c r="R46" s="2"/>
      <c r="S46" s="7"/>
      <c r="T46" s="2"/>
      <c r="U46" s="10"/>
      <c r="V46" s="2"/>
      <c r="W46" s="7"/>
      <c r="X46" s="7"/>
      <c r="Y46" s="2"/>
      <c r="Z46" s="2"/>
      <c r="AA46" s="2"/>
    </row>
    <row r="47">
      <c r="A47" s="2"/>
      <c r="B47" s="2"/>
      <c r="C47" s="2"/>
      <c r="D47" s="2"/>
      <c r="E47" s="2"/>
      <c r="F47" s="2"/>
      <c r="G47" s="2"/>
      <c r="H47" s="2"/>
      <c r="I47" s="2"/>
      <c r="J47" s="2"/>
      <c r="K47" s="2"/>
      <c r="L47" s="2"/>
      <c r="M47" s="2"/>
      <c r="N47" s="2"/>
      <c r="O47" s="2"/>
      <c r="P47" s="2"/>
      <c r="Q47" s="2"/>
      <c r="R47" s="2"/>
      <c r="S47" s="7"/>
      <c r="T47" s="2"/>
      <c r="U47" s="10"/>
      <c r="V47" s="2"/>
      <c r="W47" s="7"/>
      <c r="X47" s="7"/>
      <c r="Y47" s="2"/>
      <c r="Z47" s="2"/>
      <c r="AA47" s="2"/>
    </row>
    <row r="48">
      <c r="A48" s="2"/>
      <c r="B48" s="2"/>
      <c r="C48" s="2"/>
      <c r="D48" s="2"/>
      <c r="E48" s="2"/>
      <c r="F48" s="2"/>
      <c r="G48" s="2"/>
      <c r="H48" s="2"/>
      <c r="I48" s="2"/>
      <c r="J48" s="2"/>
      <c r="K48" s="2"/>
      <c r="L48" s="2"/>
      <c r="M48" s="2"/>
      <c r="N48" s="2"/>
      <c r="P48" s="2"/>
      <c r="Q48" s="2"/>
      <c r="R48" s="2"/>
      <c r="S48" s="7"/>
      <c r="T48" s="2"/>
      <c r="U48" s="10"/>
      <c r="V48" s="2"/>
      <c r="W48" s="7"/>
      <c r="X48" s="7"/>
      <c r="Y48" s="2"/>
      <c r="Z48" s="2"/>
      <c r="AA48" s="2"/>
    </row>
    <row r="49">
      <c r="A49" s="2"/>
      <c r="B49" s="2"/>
      <c r="C49" s="2"/>
      <c r="D49" s="2"/>
      <c r="E49" s="2"/>
      <c r="F49" s="2"/>
      <c r="G49" s="2"/>
      <c r="H49" s="2"/>
      <c r="I49" s="2"/>
      <c r="J49" s="2"/>
      <c r="K49" s="2"/>
      <c r="L49" s="2"/>
      <c r="M49" s="2"/>
      <c r="N49" s="2"/>
      <c r="O49" s="2"/>
      <c r="P49" s="2"/>
      <c r="Q49" s="2"/>
      <c r="R49" s="2"/>
      <c r="S49" s="7"/>
      <c r="T49" s="2"/>
      <c r="U49" s="10"/>
      <c r="V49" s="2"/>
      <c r="W49" s="7"/>
      <c r="X49" s="7"/>
      <c r="Y49" s="2"/>
      <c r="Z49" s="2"/>
      <c r="AA49" s="2"/>
    </row>
    <row r="50">
      <c r="A50" s="2"/>
      <c r="B50" s="2"/>
      <c r="C50" s="2"/>
      <c r="D50" s="2"/>
      <c r="E50" s="2"/>
      <c r="F50" s="2"/>
      <c r="G50" s="2"/>
      <c r="H50" s="2"/>
      <c r="I50" s="2"/>
      <c r="J50" s="2"/>
      <c r="K50" s="2"/>
      <c r="L50" s="2"/>
      <c r="M50" s="2"/>
      <c r="N50" s="2"/>
      <c r="O50" s="2"/>
      <c r="P50" s="2"/>
      <c r="Q50" s="2"/>
      <c r="R50" s="2"/>
      <c r="S50" s="7"/>
      <c r="T50" s="2"/>
      <c r="U50" s="10"/>
      <c r="V50" s="2"/>
      <c r="W50" s="7"/>
      <c r="X50" s="7"/>
      <c r="Y50" s="2"/>
      <c r="Z50" s="2"/>
      <c r="AA50" s="2"/>
    </row>
    <row r="51">
      <c r="A51" s="2"/>
      <c r="B51" s="2"/>
      <c r="C51" s="2"/>
      <c r="D51" s="2"/>
      <c r="E51" s="2"/>
      <c r="F51" s="2"/>
      <c r="G51" s="2"/>
      <c r="H51" s="2"/>
      <c r="I51" s="2"/>
      <c r="J51" s="2"/>
      <c r="K51" s="2"/>
      <c r="L51" s="2"/>
      <c r="M51" s="2"/>
      <c r="N51" s="2"/>
      <c r="O51" s="2"/>
      <c r="P51" s="2"/>
      <c r="Q51" s="2"/>
      <c r="R51" s="2"/>
      <c r="S51" s="7"/>
      <c r="T51" s="2"/>
      <c r="U51" s="10"/>
      <c r="V51" s="2"/>
      <c r="W51" s="7"/>
      <c r="X51" s="7"/>
      <c r="Y51" s="2"/>
      <c r="Z51" s="2"/>
      <c r="AA51" s="2"/>
    </row>
    <row r="52">
      <c r="A52" s="2"/>
      <c r="B52" s="2"/>
      <c r="C52" s="2"/>
      <c r="D52" s="2"/>
      <c r="E52" s="2"/>
      <c r="F52" s="2"/>
      <c r="G52" s="2"/>
      <c r="H52" s="2"/>
      <c r="I52" s="2"/>
      <c r="J52" s="2"/>
      <c r="K52" s="2"/>
      <c r="L52" s="2"/>
      <c r="M52" s="2"/>
      <c r="N52" s="2"/>
      <c r="O52" s="2"/>
      <c r="P52" s="2"/>
      <c r="Q52" s="2"/>
      <c r="R52" s="2"/>
      <c r="S52" s="7"/>
      <c r="T52" s="2"/>
      <c r="U52" s="10"/>
      <c r="V52" s="2"/>
      <c r="W52" s="7"/>
      <c r="X52" s="7"/>
      <c r="Y52" s="2"/>
      <c r="Z52" s="2"/>
      <c r="AA52" s="2"/>
    </row>
    <row r="53">
      <c r="A53" s="2"/>
      <c r="B53" s="2"/>
      <c r="C53" s="2"/>
      <c r="D53" s="2"/>
      <c r="E53" s="2"/>
      <c r="F53" s="2"/>
      <c r="G53" s="2"/>
      <c r="H53" s="2"/>
      <c r="I53" s="2"/>
      <c r="J53" s="2"/>
      <c r="K53" s="2"/>
      <c r="L53" s="2"/>
      <c r="M53" s="2"/>
      <c r="N53" s="2"/>
      <c r="O53" s="2"/>
      <c r="P53" s="2"/>
      <c r="Q53" s="2"/>
      <c r="R53" s="2"/>
      <c r="S53" s="7"/>
      <c r="T53" s="2"/>
      <c r="U53" s="10"/>
      <c r="V53" s="2"/>
      <c r="W53" s="7"/>
      <c r="X53" s="7"/>
      <c r="Y53" s="2"/>
      <c r="Z53" s="2"/>
      <c r="AA53" s="2"/>
    </row>
    <row r="54">
      <c r="A54" s="2"/>
      <c r="B54" s="2"/>
      <c r="C54" s="2"/>
      <c r="D54" s="2"/>
      <c r="E54" s="2"/>
      <c r="F54" s="2"/>
      <c r="G54" s="2"/>
      <c r="H54" s="2"/>
      <c r="I54" s="2"/>
      <c r="J54" s="2"/>
      <c r="K54" s="2"/>
      <c r="L54" s="2"/>
      <c r="M54" s="2"/>
      <c r="N54" s="2"/>
      <c r="O54" s="2"/>
      <c r="P54" s="2"/>
      <c r="Q54" s="2"/>
      <c r="R54" s="2"/>
      <c r="S54" s="7"/>
      <c r="T54" s="2"/>
      <c r="U54" s="10"/>
      <c r="V54" s="2"/>
      <c r="W54" s="7"/>
      <c r="X54" s="7"/>
      <c r="Y54" s="2"/>
      <c r="Z54" s="2"/>
      <c r="AA54" s="2"/>
    </row>
    <row r="55">
      <c r="A55" s="2"/>
      <c r="B55" s="2"/>
      <c r="C55" s="2"/>
      <c r="D55" s="2"/>
      <c r="E55" s="2"/>
      <c r="F55" s="2"/>
      <c r="G55" s="2"/>
      <c r="H55" s="2"/>
      <c r="I55" s="2"/>
      <c r="J55" s="2"/>
      <c r="K55" s="2"/>
      <c r="L55" s="2"/>
      <c r="M55" s="2"/>
      <c r="N55" s="2"/>
      <c r="O55" s="2"/>
      <c r="P55" s="2"/>
      <c r="Q55" s="2"/>
      <c r="R55" s="2"/>
      <c r="S55" s="7"/>
      <c r="T55" s="2"/>
      <c r="U55" s="10"/>
      <c r="V55" s="2"/>
      <c r="W55" s="7"/>
      <c r="X55" s="7"/>
      <c r="Y55" s="2"/>
      <c r="Z55" s="2"/>
      <c r="AA55" s="2"/>
    </row>
    <row r="56">
      <c r="A56" s="2"/>
      <c r="B56" s="2"/>
      <c r="C56" s="2"/>
      <c r="D56" s="2"/>
      <c r="E56" s="2"/>
      <c r="F56" s="2"/>
      <c r="G56" s="2"/>
      <c r="H56" s="2"/>
      <c r="I56" s="2"/>
      <c r="J56" s="2"/>
      <c r="K56" s="2"/>
      <c r="L56" s="2"/>
      <c r="M56" s="2"/>
      <c r="N56" s="2"/>
      <c r="O56" s="2"/>
      <c r="P56" s="2"/>
      <c r="Q56" s="2"/>
      <c r="R56" s="2"/>
      <c r="S56" s="7"/>
      <c r="T56" s="2"/>
      <c r="U56" s="10"/>
      <c r="V56" s="2"/>
      <c r="W56" s="7"/>
      <c r="X56" s="7"/>
      <c r="Y56" s="2"/>
      <c r="Z56" s="2"/>
      <c r="AA56" s="2"/>
    </row>
    <row r="57">
      <c r="A57" s="2"/>
      <c r="B57" s="2"/>
      <c r="C57" s="2"/>
      <c r="D57" s="2"/>
      <c r="E57" s="2"/>
      <c r="F57" s="2"/>
      <c r="G57" s="2"/>
      <c r="H57" s="2"/>
      <c r="I57" s="2"/>
      <c r="J57" s="2"/>
      <c r="K57" s="2"/>
      <c r="L57" s="2"/>
      <c r="M57" s="2"/>
      <c r="N57" s="2"/>
      <c r="O57" s="2"/>
      <c r="P57" s="2"/>
      <c r="Q57" s="2"/>
      <c r="R57" s="2"/>
      <c r="S57" s="7"/>
      <c r="T57" s="2"/>
      <c r="U57" s="10"/>
      <c r="V57" s="2"/>
      <c r="W57" s="7"/>
      <c r="X57" s="7"/>
      <c r="Y57" s="2"/>
      <c r="Z57" s="2"/>
      <c r="AA57" s="2"/>
    </row>
    <row r="58">
      <c r="A58" s="2"/>
      <c r="B58" s="2"/>
      <c r="C58" s="2"/>
      <c r="D58" s="2"/>
      <c r="E58" s="2"/>
      <c r="F58" s="2"/>
      <c r="G58" s="2"/>
      <c r="H58" s="2"/>
      <c r="I58" s="2"/>
      <c r="J58" s="2"/>
      <c r="K58" s="2"/>
      <c r="L58" s="2"/>
      <c r="M58" s="2"/>
      <c r="N58" s="2"/>
      <c r="O58" s="2"/>
      <c r="P58" s="2"/>
      <c r="Q58" s="2"/>
      <c r="R58" s="2"/>
      <c r="S58" s="7"/>
      <c r="T58" s="2"/>
      <c r="U58" s="10"/>
      <c r="V58" s="2"/>
      <c r="W58" s="7"/>
      <c r="X58" s="7"/>
      <c r="Y58" s="2"/>
      <c r="Z58" s="2"/>
      <c r="AA58" s="2"/>
    </row>
    <row r="59">
      <c r="A59" s="2"/>
      <c r="B59" s="2"/>
      <c r="C59" s="2"/>
      <c r="D59" s="2"/>
      <c r="E59" s="2"/>
      <c r="F59" s="2"/>
      <c r="G59" s="2"/>
      <c r="H59" s="2"/>
      <c r="I59" s="2"/>
      <c r="J59" s="2"/>
      <c r="K59" s="2"/>
      <c r="L59" s="2"/>
      <c r="M59" s="2"/>
      <c r="N59" s="2"/>
      <c r="O59" s="2"/>
      <c r="P59" s="2"/>
      <c r="Q59" s="2"/>
      <c r="R59" s="2"/>
      <c r="S59" s="7"/>
      <c r="T59" s="2"/>
      <c r="U59" s="10"/>
      <c r="V59" s="2"/>
      <c r="W59" s="7"/>
      <c r="X59" s="7"/>
      <c r="Y59" s="2"/>
      <c r="Z59" s="2"/>
      <c r="AA59" s="2"/>
    </row>
    <row r="60">
      <c r="A60" s="2"/>
      <c r="B60" s="2"/>
      <c r="C60" s="2"/>
      <c r="D60" s="2"/>
      <c r="E60" s="2"/>
      <c r="F60" s="2"/>
      <c r="G60" s="2"/>
      <c r="H60" s="2"/>
      <c r="I60" s="2"/>
      <c r="J60" s="2"/>
      <c r="K60" s="2"/>
      <c r="L60" s="2"/>
      <c r="M60" s="1"/>
      <c r="N60" s="2"/>
      <c r="O60" s="2"/>
      <c r="P60" s="2"/>
      <c r="Q60" s="2"/>
      <c r="R60" s="2"/>
      <c r="S60" s="7"/>
      <c r="T60" s="2"/>
      <c r="U60" s="10"/>
      <c r="V60" s="2"/>
      <c r="W60" s="7"/>
      <c r="X60" s="7"/>
      <c r="Y60" s="2"/>
      <c r="Z60" s="2"/>
      <c r="AA60" s="2"/>
    </row>
    <row r="61">
      <c r="A61" s="2"/>
      <c r="B61" s="2"/>
      <c r="C61" s="2"/>
      <c r="D61" s="2"/>
      <c r="E61" s="2"/>
      <c r="F61" s="2"/>
      <c r="G61" s="2"/>
      <c r="H61" s="2"/>
      <c r="I61" s="2"/>
      <c r="J61" s="2"/>
      <c r="K61" s="2"/>
      <c r="L61" s="2"/>
      <c r="M61" s="2"/>
      <c r="N61" s="2"/>
      <c r="O61" s="2"/>
      <c r="P61" s="2"/>
      <c r="Q61" s="2"/>
      <c r="R61" s="2"/>
      <c r="S61" s="7"/>
      <c r="T61" s="2"/>
      <c r="U61" s="10"/>
      <c r="V61" s="2"/>
      <c r="W61" s="7"/>
      <c r="X61" s="7"/>
      <c r="Y61" s="2"/>
      <c r="Z61" s="2"/>
      <c r="AA61" s="2"/>
    </row>
    <row r="62">
      <c r="A62" s="2"/>
      <c r="B62" s="2"/>
      <c r="C62" s="2"/>
      <c r="D62" s="2"/>
      <c r="E62" s="2"/>
      <c r="F62" s="2"/>
      <c r="G62" s="2"/>
      <c r="H62" s="2"/>
      <c r="I62" s="2"/>
      <c r="J62" s="2"/>
      <c r="K62" s="2"/>
      <c r="L62" s="2"/>
      <c r="M62" s="3" t="s">
        <v>18</v>
      </c>
      <c r="N62" s="2"/>
      <c r="O62" s="2"/>
      <c r="P62" s="2"/>
      <c r="Q62" s="2"/>
      <c r="R62" s="2"/>
      <c r="S62" s="7"/>
      <c r="T62" s="2"/>
      <c r="U62" s="10"/>
      <c r="V62" s="2"/>
      <c r="W62" s="7"/>
      <c r="X62" s="7"/>
      <c r="Y62" s="2"/>
      <c r="Z62" s="2"/>
      <c r="AA62" s="2"/>
    </row>
    <row r="63">
      <c r="A63" s="2"/>
      <c r="B63" s="2"/>
      <c r="C63" s="2"/>
      <c r="D63" s="2"/>
      <c r="E63" s="2"/>
      <c r="F63" s="2"/>
      <c r="G63" s="2"/>
      <c r="H63" s="2"/>
      <c r="I63" s="2"/>
      <c r="J63" s="2"/>
      <c r="K63" s="2"/>
      <c r="L63" s="2"/>
      <c r="M63" s="2"/>
      <c r="N63" s="2"/>
      <c r="O63" s="2"/>
      <c r="P63" s="2"/>
      <c r="Q63" s="2"/>
      <c r="R63" s="2"/>
      <c r="S63" s="7"/>
      <c r="T63" s="2"/>
      <c r="U63" s="10"/>
      <c r="V63" s="2"/>
      <c r="W63" s="7"/>
      <c r="X63" s="7"/>
      <c r="Y63" s="2"/>
      <c r="Z63" s="2"/>
      <c r="AA63" s="2"/>
    </row>
    <row r="64">
      <c r="A64" s="2"/>
      <c r="B64" s="2"/>
      <c r="C64" s="2"/>
      <c r="D64" s="2"/>
      <c r="E64" s="2"/>
      <c r="F64" s="2"/>
      <c r="G64" s="2"/>
      <c r="H64" s="2"/>
      <c r="I64" s="2"/>
      <c r="J64" s="2"/>
      <c r="K64" s="2"/>
      <c r="L64" s="2"/>
      <c r="M64" s="1"/>
      <c r="N64" s="2"/>
      <c r="O64" s="2"/>
      <c r="P64" s="2"/>
      <c r="Q64" s="2"/>
      <c r="R64" s="2"/>
      <c r="S64" s="7"/>
      <c r="T64" s="2"/>
      <c r="U64" s="10"/>
      <c r="V64" s="2"/>
      <c r="W64" s="7"/>
      <c r="X64" s="7"/>
      <c r="Y64" s="2"/>
      <c r="Z64" s="2"/>
      <c r="AA64" s="2"/>
    </row>
    <row r="65">
      <c r="A65" s="2"/>
      <c r="B65" s="2"/>
      <c r="C65" s="2"/>
      <c r="D65" s="2"/>
      <c r="E65" s="2"/>
      <c r="F65" s="2"/>
      <c r="G65" s="2"/>
      <c r="H65" s="2"/>
      <c r="I65" s="2"/>
      <c r="J65" s="2"/>
      <c r="K65" s="2"/>
      <c r="L65" s="2"/>
      <c r="M65" s="2"/>
      <c r="N65" s="2"/>
      <c r="O65" s="2"/>
      <c r="P65" s="2"/>
      <c r="Q65" s="2"/>
      <c r="R65" s="2"/>
      <c r="S65" s="7"/>
      <c r="T65" s="2"/>
      <c r="U65" s="10"/>
      <c r="V65" s="2"/>
      <c r="W65" s="7"/>
      <c r="X65" s="7"/>
      <c r="Y65" s="2"/>
      <c r="Z65" s="2"/>
      <c r="AA65" s="2"/>
    </row>
    <row r="66">
      <c r="A66" s="2"/>
      <c r="B66" s="2"/>
      <c r="C66" s="2"/>
      <c r="D66" s="2"/>
      <c r="E66" s="2"/>
      <c r="F66" s="2"/>
      <c r="G66" s="2"/>
      <c r="H66" s="2"/>
      <c r="I66" s="2"/>
      <c r="J66" s="2"/>
      <c r="K66" s="2"/>
      <c r="L66" s="2"/>
      <c r="M66" s="2"/>
      <c r="N66" s="2"/>
      <c r="O66" s="2"/>
      <c r="P66" s="2"/>
      <c r="Q66" s="2"/>
      <c r="R66" s="2"/>
      <c r="S66" s="7"/>
      <c r="T66" s="2"/>
      <c r="U66" s="10"/>
      <c r="V66" s="2"/>
      <c r="W66" s="7"/>
      <c r="X66" s="7"/>
      <c r="Y66" s="2"/>
      <c r="Z66" s="2"/>
      <c r="AA66" s="2"/>
    </row>
    <row r="67">
      <c r="A67" s="2"/>
      <c r="B67" s="2"/>
      <c r="C67" s="2"/>
      <c r="D67" s="2"/>
      <c r="E67" s="2"/>
      <c r="F67" s="2"/>
      <c r="G67" s="2"/>
      <c r="H67" s="2"/>
      <c r="I67" s="2"/>
      <c r="J67" s="2"/>
      <c r="K67" s="2"/>
      <c r="L67" s="2"/>
      <c r="M67" s="2"/>
      <c r="N67" s="2"/>
      <c r="O67" s="2"/>
      <c r="P67" s="2"/>
      <c r="Q67" s="2"/>
      <c r="R67" s="2"/>
      <c r="S67" s="7"/>
      <c r="T67" s="2"/>
      <c r="U67" s="10"/>
      <c r="V67" s="2"/>
      <c r="W67" s="7"/>
      <c r="X67" s="7"/>
      <c r="Y67" s="2"/>
      <c r="Z67" s="2"/>
      <c r="AA67" s="2"/>
    </row>
    <row r="68">
      <c r="A68" s="2"/>
      <c r="B68" s="2"/>
      <c r="C68" s="2"/>
      <c r="D68" s="2"/>
      <c r="E68" s="2"/>
      <c r="F68" s="2"/>
      <c r="G68" s="2"/>
      <c r="H68" s="2"/>
      <c r="I68" s="2"/>
      <c r="J68" s="2"/>
      <c r="K68" s="2"/>
      <c r="L68" s="2"/>
      <c r="M68" s="2"/>
      <c r="N68" s="2"/>
      <c r="O68" s="2"/>
      <c r="P68" s="2"/>
      <c r="Q68" s="2"/>
      <c r="R68" s="2"/>
      <c r="S68" s="7"/>
      <c r="T68" s="2"/>
      <c r="U68" s="10"/>
      <c r="V68" s="2"/>
      <c r="W68" s="7"/>
      <c r="X68" s="7"/>
      <c r="Y68" s="2"/>
      <c r="Z68" s="2"/>
      <c r="AA68" s="2"/>
    </row>
    <row r="69">
      <c r="A69" s="2"/>
      <c r="B69" s="2"/>
      <c r="C69" s="2"/>
      <c r="D69" s="2"/>
      <c r="E69" s="2"/>
      <c r="F69" s="2"/>
      <c r="G69" s="2"/>
      <c r="H69" s="2"/>
      <c r="I69" s="2"/>
      <c r="J69" s="2"/>
      <c r="K69" s="2"/>
      <c r="L69" s="2"/>
      <c r="M69" s="2"/>
      <c r="N69" s="2"/>
      <c r="O69" s="2"/>
      <c r="P69" s="2"/>
      <c r="Q69" s="2"/>
      <c r="R69" s="2"/>
      <c r="S69" s="7"/>
      <c r="T69" s="2"/>
      <c r="U69" s="10"/>
      <c r="V69" s="2"/>
      <c r="W69" s="7"/>
      <c r="X69" s="7"/>
      <c r="Y69" s="2"/>
      <c r="Z69" s="2"/>
      <c r="AA69" s="2"/>
    </row>
    <row r="70">
      <c r="A70" s="2"/>
      <c r="B70" s="2"/>
      <c r="C70" s="2"/>
      <c r="D70" s="2"/>
      <c r="E70" s="2"/>
      <c r="F70" s="2"/>
      <c r="G70" s="2"/>
      <c r="H70" s="2"/>
      <c r="I70" s="2"/>
      <c r="J70" s="2"/>
      <c r="K70" s="2"/>
      <c r="L70" s="2"/>
      <c r="M70" s="2"/>
      <c r="N70" s="2"/>
      <c r="O70" s="2"/>
      <c r="P70" s="2"/>
      <c r="Q70" s="2"/>
      <c r="R70" s="2"/>
      <c r="S70" s="7"/>
      <c r="T70" s="2"/>
      <c r="U70" s="10"/>
      <c r="V70" s="2"/>
      <c r="W70" s="7"/>
      <c r="X70" s="7"/>
      <c r="Y70" s="2"/>
      <c r="Z70" s="2"/>
      <c r="AA70" s="2"/>
    </row>
    <row r="71">
      <c r="A71" s="2"/>
      <c r="B71" s="2"/>
      <c r="C71" s="2"/>
      <c r="D71" s="2"/>
      <c r="E71" s="2"/>
      <c r="F71" s="2"/>
      <c r="G71" s="2"/>
      <c r="H71" s="2"/>
      <c r="I71" s="2"/>
      <c r="J71" s="2"/>
      <c r="K71" s="2"/>
      <c r="L71" s="2"/>
      <c r="M71" s="2"/>
      <c r="N71" s="2"/>
      <c r="O71" s="2"/>
      <c r="P71" s="2"/>
      <c r="Q71" s="2"/>
      <c r="R71" s="2"/>
      <c r="S71" s="7"/>
      <c r="T71" s="2"/>
      <c r="U71" s="10"/>
      <c r="V71" s="2"/>
      <c r="W71" s="7"/>
      <c r="X71" s="7"/>
      <c r="Y71" s="2"/>
      <c r="Z71" s="2"/>
      <c r="AA71" s="2"/>
    </row>
    <row r="72">
      <c r="A72" s="2"/>
      <c r="B72" s="2"/>
      <c r="C72" s="2"/>
      <c r="D72" s="2"/>
      <c r="E72" s="2"/>
      <c r="F72" s="2"/>
      <c r="G72" s="2"/>
      <c r="H72" s="2"/>
      <c r="I72" s="2"/>
      <c r="J72" s="2"/>
      <c r="K72" s="2"/>
      <c r="L72" s="2"/>
      <c r="M72" s="2"/>
      <c r="N72" s="2"/>
      <c r="O72" s="2"/>
      <c r="P72" s="2"/>
      <c r="Q72" s="2"/>
      <c r="R72" s="2"/>
      <c r="S72" s="7"/>
      <c r="T72" s="2"/>
      <c r="U72" s="10"/>
      <c r="V72" s="2"/>
      <c r="W72" s="7"/>
      <c r="X72" s="7"/>
      <c r="Y72" s="2"/>
      <c r="Z72" s="2"/>
      <c r="AA72" s="2"/>
    </row>
    <row r="73">
      <c r="A73" s="2"/>
      <c r="B73" s="2"/>
      <c r="C73" s="2"/>
      <c r="D73" s="2"/>
      <c r="E73" s="2"/>
      <c r="F73" s="2"/>
      <c r="G73" s="2"/>
      <c r="H73" s="2"/>
      <c r="I73" s="2"/>
      <c r="J73" s="2"/>
      <c r="K73" s="2"/>
      <c r="L73" s="2"/>
      <c r="M73" s="2"/>
      <c r="N73" s="2"/>
      <c r="O73" s="2"/>
      <c r="P73" s="2"/>
      <c r="Q73" s="2"/>
      <c r="R73" s="2"/>
      <c r="S73" s="7"/>
      <c r="T73" s="2"/>
      <c r="U73" s="10"/>
      <c r="V73" s="2"/>
      <c r="W73" s="7"/>
      <c r="X73" s="7"/>
      <c r="Y73" s="2"/>
      <c r="Z73" s="2"/>
      <c r="AA73" s="2"/>
    </row>
    <row r="74">
      <c r="A74" s="2"/>
      <c r="B74" s="2"/>
      <c r="C74" s="2"/>
      <c r="D74" s="2"/>
      <c r="E74" s="2"/>
      <c r="F74" s="2"/>
      <c r="G74" s="2"/>
      <c r="H74" s="2"/>
      <c r="I74" s="2"/>
      <c r="J74" s="2"/>
      <c r="K74" s="2"/>
      <c r="L74" s="2"/>
      <c r="M74" s="2"/>
      <c r="N74" s="2"/>
      <c r="O74" s="2"/>
      <c r="P74" s="2"/>
      <c r="Q74" s="2"/>
      <c r="R74" s="2"/>
      <c r="S74" s="7"/>
      <c r="T74" s="2"/>
      <c r="U74" s="10"/>
      <c r="V74" s="2"/>
      <c r="W74" s="7"/>
      <c r="X74" s="7"/>
      <c r="Y74" s="2"/>
      <c r="Z74" s="2"/>
      <c r="AA74" s="2"/>
    </row>
    <row r="75">
      <c r="A75" s="2"/>
      <c r="B75" s="2"/>
      <c r="C75" s="2"/>
      <c r="D75" s="2"/>
      <c r="E75" s="2"/>
      <c r="F75" s="2"/>
      <c r="G75" s="2"/>
      <c r="H75" s="2"/>
      <c r="I75" s="2"/>
      <c r="J75" s="2"/>
      <c r="K75" s="2"/>
      <c r="L75" s="2"/>
      <c r="M75" s="2"/>
      <c r="N75" s="2"/>
      <c r="O75" s="2"/>
      <c r="P75" s="2"/>
      <c r="Q75" s="2"/>
      <c r="R75" s="2"/>
      <c r="S75" s="7"/>
      <c r="T75" s="2"/>
      <c r="U75" s="10"/>
      <c r="V75" s="2"/>
      <c r="W75" s="7"/>
      <c r="X75" s="7"/>
      <c r="Y75" s="2"/>
      <c r="Z75" s="2"/>
      <c r="AA75" s="2"/>
    </row>
    <row r="76">
      <c r="A76" s="2"/>
      <c r="B76" s="2"/>
      <c r="C76" s="2"/>
      <c r="D76" s="2"/>
      <c r="E76" s="2"/>
      <c r="F76" s="2"/>
      <c r="G76" s="2"/>
      <c r="H76" s="2"/>
      <c r="I76" s="2"/>
      <c r="J76" s="2"/>
      <c r="K76" s="2"/>
      <c r="L76" s="2"/>
      <c r="M76" s="2"/>
      <c r="N76" s="2"/>
      <c r="O76" s="2"/>
      <c r="P76" s="2"/>
      <c r="Q76" s="2"/>
      <c r="R76" s="2"/>
      <c r="S76" s="7"/>
      <c r="T76" s="2"/>
      <c r="U76" s="10"/>
      <c r="V76" s="2"/>
      <c r="W76" s="7"/>
      <c r="X76" s="7"/>
      <c r="Y76" s="2"/>
      <c r="Z76" s="2"/>
      <c r="AA76" s="2"/>
    </row>
    <row r="77">
      <c r="A77" s="2"/>
      <c r="B77" s="2"/>
      <c r="C77" s="2"/>
      <c r="D77" s="2"/>
      <c r="E77" s="2"/>
      <c r="F77" s="2"/>
      <c r="G77" s="2"/>
      <c r="H77" s="2"/>
      <c r="I77" s="2"/>
      <c r="J77" s="2"/>
      <c r="K77" s="2"/>
      <c r="L77" s="2"/>
      <c r="M77" s="2"/>
      <c r="N77" s="2"/>
      <c r="O77" s="2"/>
      <c r="P77" s="2"/>
      <c r="Q77" s="2"/>
      <c r="R77" s="2"/>
      <c r="S77" s="7"/>
      <c r="T77" s="2"/>
      <c r="U77" s="10"/>
      <c r="V77" s="2"/>
      <c r="W77" s="7"/>
      <c r="X77" s="7"/>
      <c r="Y77" s="2"/>
      <c r="Z77" s="2"/>
      <c r="AA77" s="2"/>
    </row>
    <row r="78">
      <c r="A78" s="2"/>
      <c r="B78" s="2"/>
      <c r="C78" s="2"/>
      <c r="D78" s="2"/>
      <c r="E78" s="2"/>
      <c r="F78" s="2"/>
      <c r="G78" s="2"/>
      <c r="H78" s="2"/>
      <c r="I78" s="2"/>
      <c r="J78" s="2"/>
      <c r="K78" s="2"/>
      <c r="L78" s="2"/>
      <c r="M78" s="2"/>
      <c r="N78" s="2"/>
      <c r="O78" s="2"/>
      <c r="P78" s="2"/>
      <c r="Q78" s="2"/>
      <c r="R78" s="2"/>
      <c r="S78" s="7"/>
      <c r="T78" s="2"/>
      <c r="U78" s="10"/>
      <c r="V78" s="2"/>
      <c r="W78" s="7"/>
      <c r="X78" s="7"/>
      <c r="Y78" s="2"/>
      <c r="Z78" s="2"/>
      <c r="AA78" s="2"/>
    </row>
    <row r="79">
      <c r="A79" s="2"/>
      <c r="B79" s="2"/>
      <c r="C79" s="2"/>
      <c r="D79" s="2"/>
      <c r="E79" s="2"/>
      <c r="F79" s="2"/>
      <c r="G79" s="2"/>
      <c r="H79" s="2"/>
      <c r="I79" s="2"/>
      <c r="J79" s="2"/>
      <c r="K79" s="2"/>
      <c r="L79" s="2"/>
      <c r="M79" s="2"/>
      <c r="N79" s="2"/>
      <c r="O79" s="2"/>
      <c r="P79" s="2"/>
      <c r="Q79" s="2"/>
      <c r="R79" s="2"/>
      <c r="S79" s="7"/>
      <c r="T79" s="2"/>
      <c r="U79" s="10"/>
      <c r="V79" s="2"/>
      <c r="W79" s="7"/>
      <c r="X79" s="7"/>
      <c r="Y79" s="2"/>
      <c r="Z79" s="2"/>
      <c r="AA79" s="2"/>
    </row>
    <row r="80">
      <c r="A80" s="2"/>
      <c r="B80" s="2"/>
      <c r="C80" s="2"/>
      <c r="D80" s="2"/>
      <c r="E80" s="2"/>
      <c r="F80" s="2"/>
      <c r="G80" s="2"/>
      <c r="H80" s="2"/>
      <c r="I80" s="2"/>
      <c r="J80" s="2"/>
      <c r="K80" s="2"/>
      <c r="L80" s="2"/>
      <c r="M80" s="2"/>
      <c r="N80" s="2"/>
      <c r="O80" s="2"/>
      <c r="P80" s="2"/>
      <c r="Q80" s="2"/>
      <c r="R80" s="2"/>
      <c r="S80" s="7"/>
      <c r="T80" s="2"/>
      <c r="U80" s="10"/>
      <c r="V80" s="2"/>
      <c r="W80" s="7"/>
      <c r="X80" s="7"/>
      <c r="Y80" s="2"/>
      <c r="Z80" s="2"/>
      <c r="AA80" s="2"/>
    </row>
    <row r="81">
      <c r="A81" s="2"/>
      <c r="B81" s="2"/>
      <c r="C81" s="2"/>
      <c r="D81" s="2"/>
      <c r="E81" s="2"/>
      <c r="F81" s="2"/>
      <c r="G81" s="2"/>
      <c r="H81" s="2"/>
      <c r="I81" s="2"/>
      <c r="J81" s="2"/>
      <c r="K81" s="2"/>
      <c r="L81" s="2"/>
      <c r="M81" s="2"/>
      <c r="N81" s="2"/>
      <c r="O81" s="2"/>
      <c r="P81" s="2"/>
      <c r="Q81" s="2"/>
      <c r="R81" s="2"/>
      <c r="S81" s="7"/>
      <c r="T81" s="2"/>
      <c r="U81" s="10"/>
      <c r="V81" s="2"/>
      <c r="W81" s="7"/>
      <c r="X81" s="7"/>
      <c r="Y81" s="2"/>
      <c r="Z81" s="2"/>
      <c r="AA81" s="2"/>
    </row>
    <row r="82">
      <c r="A82" s="2"/>
      <c r="B82" s="2"/>
      <c r="C82" s="2"/>
      <c r="D82" s="2"/>
      <c r="E82" s="2"/>
      <c r="F82" s="2"/>
      <c r="G82" s="2"/>
      <c r="H82" s="2"/>
      <c r="I82" s="2"/>
      <c r="J82" s="2"/>
      <c r="K82" s="2"/>
      <c r="L82" s="2"/>
      <c r="M82" s="2"/>
      <c r="N82" s="2"/>
      <c r="O82" s="2"/>
      <c r="P82" s="2"/>
      <c r="Q82" s="2"/>
      <c r="R82" s="2"/>
      <c r="S82" s="7"/>
      <c r="T82" s="2"/>
      <c r="U82" s="10"/>
      <c r="V82" s="2"/>
      <c r="W82" s="7"/>
      <c r="X82" s="7"/>
      <c r="Y82" s="2"/>
      <c r="Z82" s="2"/>
      <c r="AA82" s="2"/>
    </row>
    <row r="83">
      <c r="A83" s="2"/>
      <c r="B83" s="2"/>
      <c r="C83" s="2"/>
      <c r="D83" s="2"/>
      <c r="E83" s="2"/>
      <c r="F83" s="2"/>
      <c r="G83" s="2"/>
      <c r="H83" s="2"/>
      <c r="I83" s="2"/>
      <c r="J83" s="2"/>
      <c r="K83" s="2"/>
      <c r="L83" s="2"/>
      <c r="M83" s="2"/>
      <c r="N83" s="2"/>
      <c r="O83" s="2"/>
      <c r="P83" s="2"/>
      <c r="Q83" s="2"/>
      <c r="R83" s="2"/>
      <c r="S83" s="7"/>
      <c r="T83" s="2"/>
      <c r="U83" s="10"/>
      <c r="V83" s="2"/>
      <c r="W83" s="7"/>
      <c r="X83" s="7"/>
      <c r="Y83" s="2"/>
      <c r="Z83" s="2"/>
      <c r="AA83" s="2"/>
    </row>
    <row r="84">
      <c r="A84" s="2"/>
      <c r="B84" s="2"/>
      <c r="C84" s="2"/>
      <c r="D84" s="2"/>
      <c r="E84" s="2"/>
      <c r="F84" s="2"/>
      <c r="G84" s="2"/>
      <c r="H84" s="2"/>
      <c r="I84" s="2"/>
      <c r="J84" s="2"/>
      <c r="K84" s="2"/>
      <c r="L84" s="2"/>
      <c r="M84" s="2"/>
      <c r="N84" s="2"/>
      <c r="O84" s="2"/>
      <c r="P84" s="2"/>
      <c r="Q84" s="2"/>
      <c r="R84" s="2"/>
      <c r="S84" s="7"/>
      <c r="T84" s="2"/>
      <c r="U84" s="10"/>
      <c r="V84" s="2"/>
      <c r="W84" s="7"/>
      <c r="X84" s="7"/>
      <c r="Y84" s="2"/>
      <c r="Z84" s="2"/>
      <c r="AA84" s="2"/>
    </row>
    <row r="85">
      <c r="A85" s="2"/>
      <c r="B85" s="2"/>
      <c r="C85" s="2"/>
      <c r="D85" s="2"/>
      <c r="E85" s="2"/>
      <c r="F85" s="2"/>
      <c r="G85" s="2"/>
      <c r="H85" s="2"/>
      <c r="I85" s="2"/>
      <c r="J85" s="2"/>
      <c r="K85" s="2"/>
      <c r="L85" s="2"/>
      <c r="M85" s="2"/>
      <c r="N85" s="2"/>
      <c r="O85" s="2"/>
      <c r="P85" s="2"/>
      <c r="Q85" s="2"/>
      <c r="R85" s="2"/>
      <c r="S85" s="7"/>
      <c r="T85" s="2"/>
      <c r="U85" s="10"/>
      <c r="V85" s="2"/>
      <c r="W85" s="7"/>
      <c r="X85" s="7"/>
      <c r="Y85" s="2"/>
      <c r="Z85" s="2"/>
      <c r="AA85" s="2"/>
    </row>
    <row r="86">
      <c r="A86" s="2"/>
      <c r="B86" s="2"/>
      <c r="C86" s="2"/>
      <c r="D86" s="2"/>
      <c r="E86" s="2"/>
      <c r="F86" s="2"/>
      <c r="G86" s="2"/>
      <c r="H86" s="2"/>
      <c r="I86" s="2"/>
      <c r="J86" s="2"/>
      <c r="K86" s="2"/>
      <c r="L86" s="2"/>
      <c r="M86" s="2"/>
      <c r="N86" s="2"/>
      <c r="O86" s="2"/>
      <c r="P86" s="2"/>
      <c r="Q86" s="2"/>
      <c r="R86" s="2"/>
      <c r="S86" s="7"/>
      <c r="T86" s="2"/>
      <c r="U86" s="10"/>
      <c r="V86" s="2"/>
      <c r="W86" s="7"/>
      <c r="X86" s="7"/>
      <c r="Y86" s="2"/>
      <c r="Z86" s="2"/>
      <c r="AA86" s="2"/>
    </row>
    <row r="87">
      <c r="A87" s="2"/>
      <c r="B87" s="2"/>
      <c r="C87" s="2"/>
      <c r="D87" s="2"/>
      <c r="E87" s="2"/>
      <c r="F87" s="2"/>
      <c r="G87" s="2"/>
      <c r="H87" s="2"/>
      <c r="I87" s="2"/>
      <c r="J87" s="2"/>
      <c r="K87" s="2"/>
      <c r="L87" s="2"/>
      <c r="M87" s="2"/>
      <c r="N87" s="2"/>
      <c r="O87" s="2"/>
      <c r="P87" s="2"/>
      <c r="Q87" s="2"/>
      <c r="S87" s="12" t="e">
        <v>#REF!</v>
      </c>
      <c r="U87" s="10"/>
      <c r="V87" s="2"/>
      <c r="W87" s="7"/>
      <c r="X87" s="7"/>
      <c r="Y87" s="2"/>
      <c r="Z87" s="2"/>
      <c r="AA87" s="2"/>
    </row>
    <row r="88">
      <c r="A88" s="2"/>
      <c r="B88" s="2"/>
      <c r="C88" s="2"/>
      <c r="D88" s="2"/>
      <c r="E88" s="2"/>
      <c r="F88" s="2"/>
      <c r="G88" s="2"/>
      <c r="H88" s="2"/>
      <c r="I88" s="2"/>
      <c r="J88" s="2"/>
      <c r="K88" s="2"/>
      <c r="L88" s="2"/>
      <c r="M88" s="2"/>
      <c r="N88" s="2"/>
      <c r="O88" s="2"/>
      <c r="P88" s="2"/>
      <c r="Q88" s="2"/>
      <c r="S88" s="12"/>
      <c r="U88" s="10"/>
      <c r="V88" s="2"/>
      <c r="W88" s="7"/>
      <c r="X88" s="7"/>
      <c r="Y88" s="2"/>
      <c r="Z88" s="2"/>
      <c r="AA88" s="2"/>
    </row>
    <row r="89">
      <c r="A89" s="2"/>
      <c r="B89" s="2"/>
      <c r="C89" s="2"/>
      <c r="D89" s="2"/>
      <c r="E89" s="2"/>
      <c r="F89" s="2"/>
      <c r="G89" s="2"/>
      <c r="H89" s="2"/>
      <c r="I89" s="2"/>
      <c r="J89" s="2"/>
      <c r="K89" s="2"/>
      <c r="L89" s="2"/>
      <c r="M89" s="2"/>
      <c r="N89" s="2"/>
      <c r="O89" s="2"/>
      <c r="P89" s="2"/>
      <c r="Q89" s="2"/>
      <c r="S89" s="12"/>
      <c r="U89" s="10"/>
      <c r="V89" s="2"/>
      <c r="W89" s="7"/>
      <c r="X89" s="7"/>
      <c r="Y89" s="2"/>
      <c r="Z89" s="2"/>
      <c r="AA89" s="2"/>
    </row>
    <row r="90">
      <c r="A90" s="2"/>
      <c r="B90" s="2"/>
      <c r="C90" s="2"/>
      <c r="D90" s="2"/>
      <c r="E90" s="2"/>
      <c r="F90" s="2"/>
      <c r="G90" s="2"/>
      <c r="H90" s="2"/>
      <c r="I90" s="2"/>
      <c r="J90" s="2"/>
      <c r="K90" s="2"/>
      <c r="L90" s="2"/>
      <c r="M90" s="2"/>
      <c r="N90" s="2"/>
      <c r="O90" s="2"/>
      <c r="P90" s="2"/>
      <c r="Q90" s="2"/>
      <c r="S90" s="12"/>
      <c r="U90" s="10"/>
      <c r="V90" s="2"/>
      <c r="W90" s="7"/>
      <c r="X90" s="7"/>
      <c r="Y90" s="2"/>
      <c r="Z90" s="2"/>
      <c r="AA90" s="2"/>
    </row>
    <row r="91">
      <c r="A91" s="2"/>
      <c r="B91" s="2"/>
      <c r="C91" s="2"/>
      <c r="D91" s="2"/>
      <c r="E91" s="2"/>
      <c r="F91" s="2"/>
      <c r="G91" s="2"/>
      <c r="H91" s="2"/>
      <c r="I91" s="2"/>
      <c r="J91" s="2"/>
      <c r="K91" s="2"/>
      <c r="L91" s="2"/>
      <c r="M91" s="2"/>
      <c r="N91" s="2"/>
      <c r="O91" s="2"/>
      <c r="P91" s="2"/>
      <c r="Q91" s="2"/>
      <c r="S91" s="12"/>
      <c r="U91" s="10"/>
      <c r="V91" s="2"/>
      <c r="W91" s="7"/>
      <c r="X91" s="7"/>
      <c r="Y91" s="2"/>
      <c r="Z91" s="2"/>
      <c r="AA91" s="2"/>
    </row>
    <row r="92">
      <c r="A92" s="2"/>
      <c r="B92" s="2"/>
      <c r="C92" s="2"/>
      <c r="D92" s="2"/>
      <c r="E92" s="2"/>
      <c r="F92" s="2"/>
      <c r="G92" s="2"/>
      <c r="H92" s="2"/>
      <c r="I92" s="2"/>
      <c r="J92" s="2"/>
      <c r="K92" s="2"/>
      <c r="L92" s="2"/>
      <c r="M92" s="2"/>
      <c r="N92" s="2"/>
      <c r="O92" s="2"/>
      <c r="P92" s="2"/>
      <c r="Q92" s="2"/>
      <c r="S92" s="12"/>
      <c r="U92" s="10"/>
      <c r="V92" s="2"/>
      <c r="W92" s="7"/>
      <c r="X92" s="7"/>
      <c r="Y92" s="2"/>
      <c r="Z92" s="2"/>
      <c r="AA92" s="2"/>
    </row>
    <row r="93">
      <c r="A93" s="2"/>
      <c r="B93" s="2"/>
      <c r="C93" s="2"/>
      <c r="D93" s="2"/>
      <c r="E93" s="2"/>
      <c r="F93" s="2"/>
      <c r="G93" s="2"/>
      <c r="H93" s="2"/>
      <c r="I93" s="2"/>
      <c r="J93" s="2"/>
      <c r="K93" s="2"/>
      <c r="L93" s="2"/>
      <c r="M93" s="2"/>
      <c r="N93" s="2"/>
      <c r="O93" s="2"/>
      <c r="P93" s="2"/>
      <c r="Q93" s="2"/>
      <c r="S93" s="12"/>
      <c r="U93" s="10"/>
      <c r="V93" s="2"/>
      <c r="W93" s="7"/>
      <c r="X93" s="7"/>
      <c r="Y93" s="2"/>
      <c r="Z93" s="2"/>
      <c r="AA93" s="2"/>
    </row>
    <row r="94">
      <c r="A94" s="2"/>
      <c r="B94" s="2"/>
      <c r="C94" s="2"/>
      <c r="D94" s="2"/>
      <c r="E94" s="2"/>
      <c r="F94" s="2"/>
      <c r="G94" s="2"/>
      <c r="H94" s="2"/>
      <c r="I94" s="2"/>
      <c r="J94" s="2"/>
      <c r="K94" s="2"/>
      <c r="L94" s="2"/>
      <c r="M94" s="2"/>
      <c r="N94" s="2"/>
      <c r="O94" s="2"/>
      <c r="P94" s="2"/>
      <c r="Q94" s="2"/>
      <c r="R94" s="2"/>
      <c r="S94" s="7"/>
      <c r="T94" s="2"/>
      <c r="U94" s="10"/>
      <c r="V94" s="2"/>
      <c r="W94" s="7"/>
      <c r="X94" s="7"/>
      <c r="Y94" s="2"/>
      <c r="Z94" s="2"/>
      <c r="AA94" s="2"/>
    </row>
    <row r="95">
      <c r="A95" s="2"/>
      <c r="B95" s="2"/>
      <c r="C95" s="2"/>
      <c r="D95" s="2"/>
      <c r="E95" s="2"/>
      <c r="F95" s="2"/>
      <c r="G95" s="2"/>
      <c r="H95" s="2"/>
      <c r="I95" s="2"/>
      <c r="J95" s="2"/>
      <c r="K95" s="2"/>
      <c r="L95" s="2"/>
      <c r="M95" s="2"/>
      <c r="N95" s="2"/>
      <c r="O95" s="2"/>
      <c r="P95" s="2"/>
      <c r="Q95" s="2"/>
      <c r="R95" s="2"/>
      <c r="S95" s="7"/>
      <c r="T95" s="2"/>
      <c r="U95" s="10"/>
      <c r="V95" s="2"/>
      <c r="W95" s="7"/>
      <c r="X95" s="7"/>
      <c r="Y95" s="2"/>
      <c r="Z95" s="2"/>
      <c r="AA95" s="2"/>
    </row>
    <row r="96">
      <c r="A96" s="2"/>
      <c r="B96" s="2"/>
      <c r="C96" s="2"/>
      <c r="D96" s="2"/>
      <c r="E96" s="2"/>
      <c r="F96" s="2"/>
      <c r="G96" s="2"/>
      <c r="H96" s="2"/>
      <c r="I96" s="2"/>
      <c r="J96" s="2"/>
      <c r="K96" s="2"/>
      <c r="L96" s="2"/>
      <c r="M96" s="2"/>
      <c r="N96" s="2"/>
      <c r="O96" s="2"/>
      <c r="P96" s="2"/>
      <c r="Q96" s="2"/>
      <c r="R96" s="2"/>
      <c r="S96" s="7"/>
      <c r="T96" s="2"/>
      <c r="U96" s="10"/>
      <c r="V96" s="2"/>
      <c r="W96" s="7"/>
      <c r="X96" s="7"/>
      <c r="Y96" s="2"/>
      <c r="Z96" s="2"/>
      <c r="AA96" s="2"/>
    </row>
    <row r="97">
      <c r="A97" s="2"/>
      <c r="B97" s="2"/>
      <c r="C97" s="2"/>
      <c r="D97" s="2"/>
      <c r="E97" s="2"/>
      <c r="F97" s="2"/>
      <c r="G97" s="2"/>
      <c r="H97" s="2"/>
      <c r="I97" s="2"/>
      <c r="J97" s="2"/>
      <c r="K97" s="2"/>
      <c r="L97" s="2"/>
      <c r="M97" s="2"/>
      <c r="N97" s="2"/>
      <c r="O97" s="2"/>
      <c r="P97" s="2"/>
      <c r="Q97" s="2"/>
      <c r="R97" s="2"/>
      <c r="S97" s="7"/>
      <c r="T97" s="2"/>
      <c r="U97" s="10"/>
      <c r="V97" s="2"/>
      <c r="W97" s="7"/>
      <c r="X97" s="7"/>
      <c r="Y97" s="2"/>
      <c r="Z97" s="2"/>
      <c r="AA97" s="2"/>
    </row>
    <row r="98">
      <c r="A98" s="2"/>
      <c r="B98" s="2"/>
      <c r="C98" s="2"/>
      <c r="D98" s="2"/>
      <c r="E98" s="2"/>
      <c r="F98" s="2"/>
      <c r="G98" s="2"/>
      <c r="H98" s="2"/>
      <c r="I98" s="2"/>
      <c r="J98" s="2"/>
      <c r="K98" s="2"/>
      <c r="L98" s="2"/>
      <c r="M98" s="2"/>
      <c r="N98" s="2"/>
      <c r="O98" s="2"/>
      <c r="P98" s="2"/>
      <c r="Q98" s="2"/>
      <c r="R98" s="2"/>
      <c r="S98" s="7"/>
      <c r="T98" s="2"/>
      <c r="U98" s="10"/>
      <c r="V98" s="2"/>
      <c r="W98" s="7"/>
      <c r="X98" s="7"/>
      <c r="Y98" s="2"/>
      <c r="Z98" s="2"/>
      <c r="AA98" s="2"/>
    </row>
    <row r="99">
      <c r="A99" s="2"/>
      <c r="B99" s="2"/>
      <c r="C99" s="2"/>
      <c r="D99" s="2"/>
      <c r="E99" s="2"/>
      <c r="F99" s="2"/>
      <c r="G99" s="2"/>
      <c r="H99" s="2"/>
      <c r="I99" s="2"/>
      <c r="J99" s="2"/>
      <c r="K99" s="2"/>
      <c r="L99" s="2"/>
      <c r="M99" s="2"/>
      <c r="N99" s="2"/>
      <c r="O99" s="2"/>
      <c r="P99" s="2"/>
      <c r="Q99" s="2"/>
      <c r="R99" s="2"/>
      <c r="S99" s="7"/>
      <c r="T99" s="2"/>
      <c r="U99" s="10"/>
      <c r="V99" s="2"/>
      <c r="W99" s="7"/>
      <c r="X99" s="7"/>
      <c r="Y99" s="2"/>
      <c r="Z99" s="2"/>
      <c r="AA99" s="2"/>
    </row>
    <row r="100">
      <c r="A100" s="2"/>
      <c r="B100" s="2"/>
      <c r="C100" s="2"/>
      <c r="D100" s="2"/>
      <c r="E100" s="2"/>
      <c r="F100" s="2"/>
      <c r="G100" s="2"/>
      <c r="H100" s="2"/>
      <c r="I100" s="2"/>
      <c r="J100" s="2"/>
      <c r="K100" s="2"/>
      <c r="L100" s="2"/>
      <c r="M100" s="2"/>
      <c r="N100" s="2"/>
      <c r="O100" s="2"/>
      <c r="P100" s="2"/>
      <c r="Q100" s="2"/>
      <c r="R100" s="2"/>
      <c r="S100" s="7"/>
      <c r="T100" s="2"/>
      <c r="U100" s="10"/>
      <c r="V100" s="2"/>
      <c r="W100" s="7"/>
      <c r="X100" s="7"/>
      <c r="Y100" s="2"/>
      <c r="Z100" s="2"/>
      <c r="AA100" s="2"/>
    </row>
    <row r="101">
      <c r="A101" s="2"/>
      <c r="B101" s="2"/>
      <c r="C101" s="2"/>
      <c r="D101" s="2"/>
      <c r="E101" s="2"/>
      <c r="F101" s="2"/>
      <c r="G101" s="2"/>
      <c r="H101" s="2"/>
      <c r="I101" s="2"/>
      <c r="J101" s="2"/>
      <c r="K101" s="2"/>
      <c r="L101" s="2"/>
      <c r="M101" s="2"/>
      <c r="N101" s="2"/>
      <c r="O101" s="2"/>
      <c r="P101" s="2"/>
      <c r="Q101" s="2"/>
      <c r="R101" s="2"/>
      <c r="S101" s="7"/>
      <c r="T101" s="2"/>
      <c r="U101" s="10"/>
      <c r="V101" s="2"/>
      <c r="W101" s="7"/>
      <c r="X101" s="7"/>
      <c r="Y101" s="2"/>
      <c r="Z101" s="2"/>
      <c r="AA101" s="2"/>
    </row>
    <row r="102">
      <c r="A102" s="2"/>
      <c r="B102" s="2"/>
      <c r="C102" s="2"/>
      <c r="D102" s="2"/>
      <c r="E102" s="2"/>
      <c r="F102" s="2"/>
      <c r="G102" s="2"/>
      <c r="H102" s="2"/>
      <c r="I102" s="2"/>
      <c r="J102" s="2"/>
      <c r="K102" s="2"/>
      <c r="L102" s="2"/>
      <c r="M102" s="2"/>
      <c r="N102" s="2"/>
      <c r="O102" s="2"/>
      <c r="P102" s="2"/>
      <c r="Q102" s="2"/>
      <c r="R102" s="2"/>
      <c r="S102" s="7"/>
      <c r="T102" s="2"/>
      <c r="U102" s="10"/>
      <c r="V102" s="2"/>
      <c r="W102" s="7"/>
      <c r="X102" s="7"/>
      <c r="Y102" s="2"/>
      <c r="Z102" s="2"/>
      <c r="AA102" s="2"/>
    </row>
    <row r="103">
      <c r="A103" s="2"/>
      <c r="B103" s="2"/>
      <c r="C103" s="2"/>
      <c r="D103" s="2"/>
      <c r="E103" s="2"/>
      <c r="F103" s="2"/>
      <c r="G103" s="2"/>
      <c r="H103" s="2"/>
      <c r="I103" s="2"/>
      <c r="J103" s="2"/>
      <c r="K103" s="2"/>
      <c r="L103" s="2"/>
      <c r="M103" s="2"/>
      <c r="N103" s="2"/>
      <c r="O103" s="2"/>
      <c r="P103" s="2"/>
      <c r="Q103" s="2"/>
      <c r="R103" s="2"/>
      <c r="S103" s="7"/>
      <c r="T103" s="2"/>
      <c r="U103" s="10"/>
      <c r="V103" s="2"/>
      <c r="W103" s="7"/>
      <c r="X103" s="7"/>
      <c r="Y103" s="2"/>
      <c r="Z103" s="2"/>
      <c r="AA103" s="2"/>
    </row>
    <row r="104">
      <c r="A104" s="2"/>
      <c r="B104" s="2"/>
      <c r="C104" s="2"/>
      <c r="D104" s="2"/>
      <c r="E104" s="2"/>
      <c r="F104" s="2"/>
      <c r="G104" s="2"/>
      <c r="H104" s="2"/>
      <c r="I104" s="2"/>
      <c r="J104" s="2"/>
      <c r="K104" s="2"/>
      <c r="L104" s="2"/>
      <c r="M104" s="2"/>
      <c r="N104" s="2"/>
      <c r="O104" s="2"/>
      <c r="P104" s="2"/>
      <c r="Q104" s="2"/>
      <c r="R104" s="2"/>
      <c r="S104" s="7"/>
      <c r="T104" s="2"/>
      <c r="U104" s="10"/>
      <c r="V104" s="2"/>
      <c r="W104" s="7"/>
      <c r="X104" s="7"/>
      <c r="Y104" s="2"/>
      <c r="Z104" s="2"/>
      <c r="AA104" s="2"/>
    </row>
    <row r="105">
      <c r="A105" s="2"/>
      <c r="B105" s="2"/>
      <c r="C105" s="2"/>
      <c r="D105" s="2"/>
      <c r="E105" s="2"/>
      <c r="F105" s="2"/>
      <c r="G105" s="2"/>
      <c r="H105" s="2"/>
      <c r="I105" s="2"/>
      <c r="J105" s="2"/>
      <c r="K105" s="2"/>
      <c r="L105" s="2"/>
      <c r="M105" s="2"/>
      <c r="N105" s="2"/>
      <c r="O105" s="2"/>
      <c r="P105" s="2"/>
      <c r="Q105" s="2"/>
      <c r="R105" s="2"/>
      <c r="S105" s="7"/>
      <c r="T105" s="2"/>
      <c r="U105" s="10"/>
      <c r="V105" s="2"/>
      <c r="W105" s="7"/>
      <c r="X105" s="7"/>
      <c r="Y105" s="2"/>
      <c r="Z105" s="2"/>
      <c r="AA105" s="2"/>
    </row>
    <row r="106">
      <c r="A106" s="2"/>
      <c r="B106" s="2"/>
      <c r="C106" s="2"/>
      <c r="D106" s="2"/>
      <c r="E106" s="2"/>
      <c r="F106" s="2"/>
      <c r="G106" s="2"/>
      <c r="H106" s="2"/>
      <c r="I106" s="2"/>
      <c r="J106" s="2"/>
      <c r="K106" s="2"/>
      <c r="L106" s="2"/>
      <c r="M106" s="2"/>
      <c r="N106" s="2"/>
      <c r="O106" s="2"/>
      <c r="P106" s="2"/>
      <c r="Q106" s="2"/>
      <c r="R106" s="2"/>
      <c r="S106" s="7"/>
      <c r="T106" s="2"/>
      <c r="U106" s="10"/>
      <c r="V106" s="2"/>
      <c r="W106" s="7"/>
      <c r="X106" s="7"/>
      <c r="Y106" s="2"/>
      <c r="Z106" s="2"/>
      <c r="AA106" s="2"/>
    </row>
    <row r="107">
      <c r="A107" s="2"/>
      <c r="B107" s="2"/>
      <c r="C107" s="2"/>
      <c r="D107" s="2"/>
      <c r="E107" s="2"/>
      <c r="F107" s="2"/>
      <c r="G107" s="2"/>
      <c r="H107" s="2"/>
      <c r="I107" s="2"/>
      <c r="J107" s="2"/>
      <c r="K107" s="2"/>
      <c r="L107" s="2"/>
      <c r="M107" s="2"/>
      <c r="N107" s="2"/>
      <c r="O107" s="2"/>
      <c r="P107" s="2"/>
      <c r="Q107" s="2"/>
      <c r="R107" s="2"/>
      <c r="S107" s="7"/>
      <c r="T107" s="2"/>
      <c r="U107" s="10"/>
      <c r="V107" s="2"/>
      <c r="W107" s="7"/>
      <c r="X107" s="7"/>
      <c r="Y107" s="2"/>
      <c r="Z107" s="2"/>
      <c r="AA107" s="2"/>
    </row>
    <row r="108">
      <c r="A108" s="2"/>
      <c r="B108" s="2"/>
      <c r="C108" s="2"/>
      <c r="D108" s="2"/>
      <c r="E108" s="2"/>
      <c r="F108" s="2"/>
      <c r="G108" s="2"/>
      <c r="H108" s="2"/>
      <c r="I108" s="2"/>
      <c r="J108" s="2"/>
      <c r="K108" s="2"/>
      <c r="L108" s="2"/>
      <c r="M108" s="2"/>
      <c r="N108" s="2"/>
      <c r="O108" s="2"/>
      <c r="P108" s="2"/>
      <c r="Q108" s="2"/>
      <c r="R108" s="2"/>
      <c r="S108" s="7"/>
      <c r="T108" s="2"/>
      <c r="U108" s="10"/>
      <c r="V108" s="2"/>
      <c r="W108" s="7"/>
      <c r="X108" s="7"/>
      <c r="Y108" s="2"/>
      <c r="Z108" s="2"/>
      <c r="AA108" s="2"/>
    </row>
    <row r="109">
      <c r="A109" s="2"/>
      <c r="B109" s="2"/>
      <c r="C109" s="2"/>
      <c r="D109" s="2"/>
      <c r="E109" s="2"/>
      <c r="F109" s="2"/>
      <c r="G109" s="2"/>
      <c r="H109" s="2"/>
      <c r="I109" s="2"/>
      <c r="J109" s="2"/>
      <c r="K109" s="2"/>
      <c r="L109" s="2"/>
      <c r="M109" s="2"/>
      <c r="N109" s="2"/>
      <c r="O109" s="2"/>
      <c r="P109" s="2"/>
      <c r="Q109" s="2"/>
      <c r="R109" s="2"/>
      <c r="S109" s="7"/>
      <c r="T109" s="2"/>
      <c r="U109" s="10"/>
      <c r="V109" s="2"/>
      <c r="W109" s="7"/>
      <c r="X109" s="7"/>
      <c r="Y109" s="2"/>
      <c r="Z109" s="2"/>
      <c r="AA109" s="2"/>
    </row>
    <row r="110">
      <c r="A110" s="2"/>
      <c r="B110" s="2"/>
      <c r="C110" s="2"/>
      <c r="D110" s="2"/>
      <c r="E110" s="2"/>
      <c r="F110" s="2"/>
      <c r="G110" s="2"/>
      <c r="H110" s="2"/>
      <c r="I110" s="2"/>
      <c r="J110" s="2"/>
      <c r="K110" s="2"/>
      <c r="L110" s="2"/>
      <c r="M110" s="2"/>
      <c r="N110" s="2"/>
      <c r="O110" s="2"/>
      <c r="P110" s="2"/>
      <c r="Q110" s="2"/>
      <c r="R110" s="2"/>
      <c r="S110" s="7"/>
      <c r="T110" s="2"/>
      <c r="U110" s="10"/>
      <c r="V110" s="2"/>
      <c r="W110" s="7"/>
      <c r="X110" s="7"/>
      <c r="Y110" s="2"/>
      <c r="Z110" s="2"/>
      <c r="AA110" s="2"/>
    </row>
    <row r="111">
      <c r="A111" s="2"/>
      <c r="B111" s="2"/>
      <c r="C111" s="2"/>
      <c r="D111" s="2"/>
      <c r="E111" s="2"/>
      <c r="F111" s="2"/>
      <c r="G111" s="2"/>
      <c r="H111" s="2"/>
      <c r="I111" s="2"/>
      <c r="J111" s="2"/>
      <c r="K111" s="2"/>
      <c r="L111" s="2"/>
      <c r="M111" s="2"/>
      <c r="N111" s="2"/>
      <c r="O111" s="2"/>
      <c r="P111" s="2"/>
      <c r="Q111" s="2"/>
      <c r="R111" s="2"/>
      <c r="S111" s="7"/>
      <c r="T111" s="2"/>
      <c r="U111" s="10"/>
      <c r="V111" s="2"/>
      <c r="W111" s="7"/>
      <c r="X111" s="7"/>
      <c r="Y111" s="2"/>
      <c r="Z111" s="2"/>
      <c r="AA111" s="2"/>
    </row>
    <row r="112">
      <c r="A112" s="2"/>
      <c r="B112" s="2"/>
      <c r="C112" s="2"/>
      <c r="D112" s="2"/>
      <c r="E112" s="2"/>
      <c r="F112" s="2"/>
      <c r="G112" s="2"/>
      <c r="H112" s="2"/>
      <c r="I112" s="2"/>
      <c r="J112" s="2"/>
      <c r="K112" s="2"/>
      <c r="L112" s="2"/>
      <c r="M112" s="2"/>
      <c r="N112" s="2"/>
      <c r="O112" s="2"/>
      <c r="P112" s="2"/>
      <c r="Q112" s="2"/>
      <c r="R112" s="2"/>
      <c r="S112" s="7"/>
      <c r="T112" s="2"/>
      <c r="U112" s="10"/>
      <c r="V112" s="2"/>
      <c r="W112" s="7"/>
      <c r="X112" s="7"/>
      <c r="Y112" s="2"/>
      <c r="Z112" s="2"/>
      <c r="AA112" s="2"/>
    </row>
    <row r="113">
      <c r="A113" s="2"/>
      <c r="B113" s="2"/>
      <c r="C113" s="2"/>
      <c r="D113" s="2"/>
      <c r="E113" s="2"/>
      <c r="F113" s="2"/>
      <c r="G113" s="2"/>
      <c r="H113" s="2"/>
      <c r="I113" s="2"/>
      <c r="J113" s="2"/>
      <c r="K113" s="2"/>
      <c r="L113" s="2"/>
      <c r="M113" s="2"/>
      <c r="N113" s="2"/>
      <c r="O113" s="2"/>
      <c r="P113" s="2"/>
      <c r="Q113" s="2"/>
      <c r="R113" s="2"/>
      <c r="S113" s="7"/>
      <c r="T113" s="2"/>
      <c r="U113" s="10"/>
      <c r="V113" s="2"/>
      <c r="W113" s="7"/>
      <c r="X113" s="7"/>
      <c r="Y113" s="2"/>
      <c r="Z113" s="2"/>
      <c r="AA113" s="2"/>
    </row>
    <row r="114">
      <c r="A114" s="2"/>
      <c r="B114" s="2"/>
      <c r="C114" s="2"/>
      <c r="D114" s="2"/>
      <c r="E114" s="2"/>
      <c r="F114" s="2"/>
      <c r="G114" s="2"/>
      <c r="H114" s="2"/>
      <c r="I114" s="2"/>
      <c r="J114" s="2"/>
      <c r="K114" s="2"/>
      <c r="L114" s="2"/>
      <c r="M114" s="2"/>
      <c r="N114" s="2"/>
      <c r="O114" s="2"/>
      <c r="P114" s="2"/>
      <c r="Q114" s="2"/>
      <c r="R114" s="2"/>
      <c r="S114" s="7"/>
      <c r="T114" s="2"/>
      <c r="U114" s="10"/>
      <c r="V114" s="2"/>
      <c r="W114" s="7"/>
      <c r="X114" s="7"/>
      <c r="Y114" s="2"/>
      <c r="Z114" s="2"/>
      <c r="AA114" s="2"/>
    </row>
    <row r="115">
      <c r="A115" s="2"/>
      <c r="B115" s="2"/>
      <c r="C115" s="2"/>
      <c r="D115" s="2"/>
      <c r="E115" s="2"/>
      <c r="F115" s="2"/>
      <c r="G115" s="2"/>
      <c r="H115" s="2"/>
      <c r="I115" s="2"/>
      <c r="J115" s="2"/>
      <c r="K115" s="2"/>
      <c r="L115" s="2"/>
      <c r="M115" s="2"/>
      <c r="N115" s="2"/>
      <c r="O115" s="2"/>
      <c r="P115" s="2"/>
      <c r="Q115" s="2"/>
      <c r="R115" s="2"/>
      <c r="S115" s="7"/>
      <c r="T115" s="2"/>
      <c r="U115" s="10"/>
      <c r="V115" s="2"/>
      <c r="W115" s="7"/>
      <c r="X115" s="7"/>
      <c r="Y115" s="2"/>
      <c r="Z115" s="2"/>
      <c r="AA115" s="2"/>
    </row>
    <row r="116">
      <c r="A116" s="2"/>
      <c r="B116" s="2"/>
      <c r="C116" s="2"/>
      <c r="D116" s="2"/>
      <c r="E116" s="2"/>
      <c r="F116" s="2"/>
      <c r="G116" s="2"/>
      <c r="H116" s="2"/>
      <c r="I116" s="2"/>
      <c r="J116" s="2"/>
      <c r="K116" s="2"/>
      <c r="L116" s="2"/>
      <c r="M116" s="2"/>
      <c r="N116" s="2"/>
      <c r="O116" s="2"/>
      <c r="P116" s="2"/>
      <c r="Q116" s="2"/>
      <c r="R116" s="2"/>
      <c r="S116" s="7"/>
      <c r="T116" s="2"/>
      <c r="U116" s="10"/>
      <c r="V116" s="2"/>
      <c r="W116" s="7"/>
      <c r="X116" s="7"/>
      <c r="Y116" s="2"/>
      <c r="Z116" s="2"/>
      <c r="AA116" s="2"/>
    </row>
    <row r="117">
      <c r="A117" s="2"/>
      <c r="B117" s="2"/>
      <c r="C117" s="2"/>
      <c r="D117" s="2"/>
      <c r="E117" s="2"/>
      <c r="F117" s="2"/>
      <c r="G117" s="2"/>
      <c r="H117" s="2"/>
      <c r="I117" s="2"/>
      <c r="J117" s="2"/>
      <c r="K117" s="2"/>
      <c r="L117" s="2"/>
      <c r="M117" s="2"/>
      <c r="N117" s="2"/>
      <c r="O117" s="2"/>
      <c r="P117" s="2"/>
      <c r="Q117" s="2"/>
      <c r="R117" s="2"/>
      <c r="S117" s="7"/>
      <c r="T117" s="2"/>
      <c r="U117" s="10"/>
      <c r="V117" s="2"/>
      <c r="W117" s="7"/>
      <c r="X117" s="7"/>
      <c r="Y117" s="2"/>
      <c r="Z117" s="2"/>
      <c r="AA117" s="2"/>
    </row>
    <row r="118">
      <c r="A118" s="2"/>
      <c r="B118" s="2"/>
      <c r="C118" s="2"/>
      <c r="D118" s="2"/>
      <c r="E118" s="2"/>
      <c r="F118" s="2"/>
      <c r="G118" s="2"/>
      <c r="H118" s="2"/>
      <c r="I118" s="2"/>
      <c r="J118" s="2"/>
      <c r="K118" s="2"/>
      <c r="L118" s="2"/>
      <c r="M118" s="2"/>
      <c r="N118" s="2"/>
      <c r="O118" s="2"/>
      <c r="P118" s="2"/>
      <c r="Q118" s="2"/>
      <c r="R118" s="2"/>
      <c r="S118" s="7"/>
      <c r="T118" s="2"/>
      <c r="U118" s="10"/>
      <c r="V118" s="2"/>
      <c r="W118" s="7"/>
      <c r="X118" s="7"/>
      <c r="Y118" s="2"/>
      <c r="Z118" s="2"/>
      <c r="AA118" s="2"/>
    </row>
    <row r="119">
      <c r="A119" s="2"/>
      <c r="B119" s="2"/>
      <c r="C119" s="2"/>
      <c r="D119" s="2"/>
      <c r="E119" s="2"/>
      <c r="F119" s="2"/>
      <c r="G119" s="2"/>
      <c r="H119" s="2"/>
      <c r="I119" s="2"/>
      <c r="J119" s="2"/>
      <c r="K119" s="2"/>
      <c r="L119" s="2"/>
      <c r="M119" s="2"/>
      <c r="N119" s="2"/>
      <c r="O119" s="2"/>
      <c r="P119" s="2"/>
      <c r="Q119" s="2"/>
      <c r="R119" s="2"/>
      <c r="S119" s="7"/>
      <c r="T119" s="2"/>
      <c r="U119" s="10"/>
      <c r="V119" s="2"/>
      <c r="W119" s="7"/>
      <c r="X119" s="7"/>
      <c r="Y119" s="2"/>
      <c r="Z119" s="2"/>
      <c r="AA119" s="2"/>
    </row>
    <row r="120">
      <c r="A120" s="2"/>
      <c r="B120" s="2"/>
      <c r="C120" s="2"/>
      <c r="D120" s="2"/>
      <c r="E120" s="2"/>
      <c r="F120" s="2"/>
      <c r="G120" s="2"/>
      <c r="H120" s="2"/>
      <c r="I120" s="2"/>
      <c r="J120" s="2"/>
      <c r="K120" s="2"/>
      <c r="L120" s="2"/>
      <c r="M120" s="2"/>
      <c r="N120" s="2"/>
      <c r="O120" s="2"/>
      <c r="P120" s="2"/>
      <c r="Q120" s="2"/>
      <c r="R120" s="2"/>
      <c r="S120" s="7"/>
      <c r="T120" s="2"/>
      <c r="U120" s="10"/>
      <c r="V120" s="2"/>
      <c r="W120" s="7"/>
      <c r="X120" s="7"/>
      <c r="Y120" s="2"/>
      <c r="Z120" s="2"/>
      <c r="AA120" s="2"/>
    </row>
    <row r="121">
      <c r="A121" s="2"/>
      <c r="B121" s="2"/>
      <c r="C121" s="2"/>
      <c r="D121" s="2"/>
      <c r="E121" s="2"/>
      <c r="F121" s="2"/>
      <c r="G121" s="2"/>
      <c r="H121" s="2"/>
      <c r="I121" s="2"/>
      <c r="J121" s="2"/>
      <c r="K121" s="2"/>
      <c r="L121" s="2"/>
      <c r="M121" s="2"/>
      <c r="N121" s="2"/>
      <c r="O121" s="2"/>
      <c r="P121" s="2"/>
      <c r="Q121" s="2"/>
      <c r="R121" s="2"/>
      <c r="S121" s="7"/>
      <c r="T121" s="2"/>
      <c r="U121" s="10"/>
      <c r="V121" s="2"/>
      <c r="W121" s="7"/>
      <c r="X121" s="7"/>
      <c r="Y121" s="2"/>
      <c r="Z121" s="2"/>
      <c r="AA121" s="2"/>
    </row>
    <row r="122">
      <c r="A122" s="2"/>
      <c r="B122" s="2"/>
      <c r="C122" s="2"/>
      <c r="D122" s="2"/>
      <c r="E122" s="2"/>
      <c r="F122" s="2"/>
      <c r="G122" s="2"/>
      <c r="H122" s="2"/>
      <c r="I122" s="2"/>
      <c r="J122" s="2"/>
      <c r="K122" s="2"/>
      <c r="L122" s="2"/>
      <c r="M122" s="2"/>
      <c r="N122" s="2"/>
      <c r="O122" s="2"/>
      <c r="P122" s="2"/>
      <c r="Q122" s="2"/>
      <c r="R122" s="2"/>
      <c r="S122" s="7"/>
      <c r="T122" s="2"/>
      <c r="U122" s="10"/>
      <c r="V122" s="2"/>
      <c r="W122" s="7"/>
      <c r="X122" s="7"/>
      <c r="Y122" s="2"/>
      <c r="Z122" s="2"/>
      <c r="AA122" s="2"/>
    </row>
    <row r="123">
      <c r="A123" s="2"/>
      <c r="B123" s="2"/>
      <c r="C123" s="2"/>
      <c r="D123" s="2"/>
      <c r="E123" s="2"/>
      <c r="F123" s="2"/>
      <c r="G123" s="2"/>
      <c r="H123" s="2"/>
      <c r="I123" s="2"/>
      <c r="J123" s="2"/>
      <c r="K123" s="2"/>
      <c r="L123" s="2"/>
      <c r="M123" s="2"/>
      <c r="N123" s="2"/>
      <c r="O123" s="2"/>
      <c r="P123" s="2"/>
      <c r="Q123" s="2"/>
      <c r="R123" s="2"/>
      <c r="S123" s="7"/>
      <c r="T123" s="2"/>
      <c r="U123" s="10"/>
      <c r="V123" s="2"/>
      <c r="W123" s="7"/>
      <c r="X123" s="7"/>
      <c r="Y123" s="2"/>
      <c r="Z123" s="2"/>
      <c r="AA123" s="2"/>
    </row>
    <row r="124">
      <c r="A124" s="2"/>
      <c r="B124" s="2"/>
      <c r="C124" s="2"/>
      <c r="D124" s="2"/>
      <c r="E124" s="2"/>
      <c r="F124" s="2"/>
      <c r="G124" s="2"/>
      <c r="H124" s="2"/>
      <c r="I124" s="2"/>
      <c r="J124" s="2"/>
      <c r="K124" s="2"/>
      <c r="L124" s="2"/>
      <c r="M124" s="2"/>
      <c r="N124" s="2"/>
      <c r="O124" s="2"/>
      <c r="P124" s="2"/>
      <c r="Q124" s="2"/>
      <c r="R124" s="2"/>
      <c r="S124" s="7"/>
      <c r="T124" s="2"/>
      <c r="U124" s="10"/>
      <c r="V124" s="2"/>
      <c r="W124" s="7"/>
      <c r="X124" s="7"/>
      <c r="Y124" s="2"/>
      <c r="Z124" s="2"/>
      <c r="AA124" s="2"/>
    </row>
    <row r="125">
      <c r="A125" s="2"/>
      <c r="B125" s="2"/>
      <c r="C125" s="2"/>
      <c r="D125" s="2"/>
      <c r="E125" s="2"/>
      <c r="F125" s="2"/>
      <c r="G125" s="2"/>
      <c r="H125" s="2"/>
      <c r="I125" s="2"/>
      <c r="J125" s="2"/>
      <c r="K125" s="2"/>
      <c r="L125" s="2"/>
      <c r="M125" s="2"/>
      <c r="N125" s="2"/>
      <c r="O125" s="2"/>
      <c r="P125" s="2"/>
      <c r="Q125" s="2"/>
      <c r="R125" s="2"/>
      <c r="S125" s="7"/>
      <c r="T125" s="2"/>
      <c r="U125" s="10"/>
      <c r="V125" s="2"/>
      <c r="W125" s="7"/>
      <c r="X125" s="7"/>
      <c r="Y125" s="2"/>
      <c r="Z125" s="2"/>
      <c r="AA125" s="2"/>
    </row>
    <row r="126">
      <c r="A126" s="2"/>
      <c r="B126" s="2"/>
      <c r="C126" s="2"/>
      <c r="D126" s="2"/>
      <c r="E126" s="2"/>
      <c r="F126" s="2"/>
      <c r="G126" s="2"/>
      <c r="H126" s="2"/>
      <c r="I126" s="2"/>
      <c r="J126" s="2"/>
      <c r="K126" s="2"/>
      <c r="L126" s="2"/>
      <c r="M126" s="2"/>
      <c r="N126" s="2"/>
      <c r="O126" s="2"/>
      <c r="P126" s="2"/>
      <c r="Q126" s="2"/>
      <c r="R126" s="2"/>
      <c r="S126" s="7"/>
      <c r="T126" s="2"/>
      <c r="U126" s="10"/>
      <c r="V126" s="2"/>
      <c r="W126" s="7"/>
      <c r="X126" s="7"/>
      <c r="Y126" s="2"/>
      <c r="Z126" s="2"/>
      <c r="AA126" s="2"/>
    </row>
    <row r="127">
      <c r="A127" s="2"/>
      <c r="B127" s="2"/>
      <c r="C127" s="2"/>
      <c r="D127" s="2"/>
      <c r="E127" s="2"/>
      <c r="F127" s="2"/>
      <c r="G127" s="2"/>
      <c r="H127" s="2"/>
      <c r="I127" s="2"/>
      <c r="J127" s="2"/>
      <c r="K127" s="2"/>
      <c r="L127" s="2"/>
      <c r="M127" s="2"/>
      <c r="N127" s="2"/>
      <c r="O127" s="2"/>
      <c r="P127" s="2"/>
      <c r="Q127" s="2"/>
      <c r="R127" s="2"/>
      <c r="S127" s="7"/>
      <c r="T127" s="2"/>
      <c r="U127" s="10"/>
      <c r="V127" s="2"/>
      <c r="W127" s="7"/>
      <c r="X127" s="7"/>
      <c r="Y127" s="2"/>
      <c r="Z127" s="2"/>
      <c r="AA127" s="2"/>
    </row>
    <row r="128">
      <c r="A128" s="2"/>
      <c r="B128" s="2"/>
      <c r="C128" s="2"/>
      <c r="D128" s="2"/>
      <c r="E128" s="2"/>
      <c r="F128" s="2"/>
      <c r="G128" s="2"/>
      <c r="H128" s="2"/>
      <c r="I128" s="2"/>
      <c r="J128" s="2"/>
      <c r="K128" s="2"/>
      <c r="L128" s="2"/>
      <c r="M128" s="2"/>
      <c r="N128" s="2"/>
      <c r="O128" s="2"/>
      <c r="P128" s="2"/>
      <c r="Q128" s="2"/>
      <c r="R128" s="2"/>
      <c r="S128" s="7"/>
      <c r="T128" s="2"/>
      <c r="U128" s="10"/>
      <c r="V128" s="2"/>
      <c r="W128" s="7"/>
      <c r="X128" s="7"/>
      <c r="Y128" s="2"/>
      <c r="Z128" s="2"/>
      <c r="AA128" s="2"/>
    </row>
    <row r="129">
      <c r="A129" s="2"/>
      <c r="B129" s="2"/>
      <c r="C129" s="2"/>
      <c r="D129" s="2"/>
      <c r="E129" s="2"/>
      <c r="F129" s="2"/>
      <c r="G129" s="2"/>
      <c r="H129" s="2"/>
      <c r="I129" s="2"/>
      <c r="J129" s="2"/>
      <c r="K129" s="2"/>
      <c r="L129" s="2"/>
      <c r="M129" s="2"/>
      <c r="N129" s="2"/>
      <c r="O129" s="2"/>
      <c r="P129" s="2"/>
      <c r="Q129" s="2"/>
      <c r="R129" s="2"/>
      <c r="S129" s="7"/>
      <c r="T129" s="2"/>
      <c r="U129" s="10"/>
      <c r="V129" s="2"/>
      <c r="W129" s="7"/>
      <c r="X129" s="7"/>
      <c r="Y129" s="2"/>
      <c r="Z129" s="2"/>
      <c r="AA129" s="2"/>
    </row>
    <row r="130">
      <c r="A130" s="2"/>
      <c r="B130" s="2"/>
      <c r="C130" s="2"/>
      <c r="D130" s="2"/>
      <c r="E130" s="2"/>
      <c r="F130" s="2"/>
      <c r="G130" s="2"/>
      <c r="H130" s="2"/>
      <c r="I130" s="2"/>
      <c r="J130" s="2"/>
      <c r="K130" s="2"/>
      <c r="L130" s="2"/>
      <c r="M130" s="2"/>
      <c r="N130" s="2"/>
      <c r="O130" s="2"/>
      <c r="P130" s="2"/>
      <c r="Q130" s="2"/>
      <c r="R130" s="2"/>
      <c r="S130" s="7"/>
      <c r="T130" s="2"/>
      <c r="U130" s="10"/>
      <c r="V130" s="2"/>
      <c r="W130" s="7"/>
      <c r="X130" s="7"/>
      <c r="Y130" s="2"/>
      <c r="Z130" s="2"/>
      <c r="AA130" s="2"/>
    </row>
    <row r="131">
      <c r="A131" s="2"/>
      <c r="B131" s="2"/>
      <c r="C131" s="2"/>
      <c r="D131" s="2"/>
      <c r="E131" s="2"/>
      <c r="F131" s="2"/>
      <c r="G131" s="2"/>
      <c r="H131" s="2"/>
      <c r="I131" s="2"/>
      <c r="J131" s="2"/>
      <c r="K131" s="2"/>
      <c r="L131" s="2"/>
      <c r="M131" s="2"/>
      <c r="N131" s="2"/>
      <c r="O131" s="2"/>
      <c r="P131" s="2"/>
      <c r="Q131" s="2"/>
      <c r="R131" s="2"/>
      <c r="S131" s="7"/>
      <c r="T131" s="2"/>
      <c r="U131" s="10"/>
      <c r="V131" s="2"/>
      <c r="W131" s="7"/>
      <c r="X131" s="7"/>
      <c r="Y131" s="2"/>
      <c r="Z131" s="2"/>
      <c r="AA131" s="2"/>
    </row>
    <row r="132">
      <c r="A132" s="2"/>
      <c r="B132" s="2"/>
      <c r="C132" s="2"/>
      <c r="D132" s="2"/>
      <c r="E132" s="2"/>
      <c r="F132" s="2"/>
      <c r="G132" s="2"/>
      <c r="H132" s="2"/>
      <c r="I132" s="2"/>
      <c r="J132" s="2"/>
      <c r="K132" s="2"/>
      <c r="L132" s="2"/>
      <c r="M132" s="2"/>
      <c r="N132" s="2"/>
      <c r="O132" s="2"/>
      <c r="P132" s="2"/>
      <c r="Q132" s="2"/>
      <c r="R132" s="2"/>
      <c r="S132" s="7"/>
      <c r="T132" s="2"/>
      <c r="U132" s="10"/>
      <c r="V132" s="2"/>
      <c r="W132" s="7"/>
      <c r="X132" s="7"/>
      <c r="Y132" s="2"/>
      <c r="Z132" s="2"/>
      <c r="AA132" s="2"/>
    </row>
    <row r="133">
      <c r="A133" s="2"/>
      <c r="B133" s="2"/>
      <c r="C133" s="2"/>
      <c r="D133" s="2"/>
      <c r="E133" s="2"/>
      <c r="F133" s="2"/>
      <c r="G133" s="2"/>
      <c r="H133" s="2"/>
      <c r="I133" s="2"/>
      <c r="J133" s="2"/>
      <c r="K133" s="2"/>
      <c r="L133" s="2"/>
      <c r="M133" s="2"/>
      <c r="N133" s="2"/>
      <c r="O133" s="2"/>
      <c r="P133" s="2"/>
      <c r="Q133" s="2"/>
      <c r="R133" s="2"/>
      <c r="S133" s="7"/>
      <c r="T133" s="2"/>
      <c r="U133" s="10"/>
      <c r="V133" s="2"/>
      <c r="W133" s="7"/>
      <c r="X133" s="7"/>
      <c r="Y133" s="2"/>
      <c r="Z133" s="2"/>
      <c r="AA133" s="2"/>
    </row>
    <row r="134">
      <c r="A134" s="2"/>
      <c r="B134" s="2"/>
      <c r="C134" s="2"/>
      <c r="D134" s="2"/>
      <c r="E134" s="2"/>
      <c r="F134" s="2"/>
      <c r="G134" s="2"/>
      <c r="H134" s="2"/>
      <c r="I134" s="2"/>
      <c r="J134" s="2"/>
      <c r="K134" s="2"/>
      <c r="L134" s="2"/>
      <c r="M134" s="2"/>
      <c r="N134" s="2"/>
      <c r="O134" s="2"/>
      <c r="P134" s="2"/>
      <c r="Q134" s="2"/>
      <c r="R134" s="2"/>
      <c r="S134" s="7"/>
      <c r="T134" s="2"/>
      <c r="U134" s="10"/>
      <c r="V134" s="2"/>
      <c r="W134" s="7"/>
      <c r="X134" s="7"/>
      <c r="Y134" s="2"/>
      <c r="Z134" s="2"/>
      <c r="AA134" s="2"/>
    </row>
    <row r="135">
      <c r="A135" s="2"/>
      <c r="B135" s="2"/>
      <c r="C135" s="2"/>
      <c r="D135" s="2"/>
      <c r="E135" s="2"/>
      <c r="F135" s="2"/>
      <c r="G135" s="2"/>
      <c r="H135" s="2"/>
      <c r="I135" s="2"/>
      <c r="J135" s="2"/>
      <c r="K135" s="2"/>
      <c r="L135" s="2"/>
      <c r="M135" s="2"/>
      <c r="N135" s="2"/>
      <c r="O135" s="2"/>
      <c r="P135" s="2"/>
      <c r="Q135" s="2"/>
      <c r="R135" s="2"/>
      <c r="S135" s="7"/>
      <c r="T135" s="2"/>
      <c r="U135" s="10"/>
      <c r="V135" s="2"/>
      <c r="W135" s="7"/>
      <c r="X135" s="7"/>
      <c r="Y135" s="2"/>
      <c r="Z135" s="2"/>
      <c r="AA135" s="2"/>
    </row>
    <row r="136">
      <c r="A136" s="2"/>
      <c r="B136" s="2"/>
      <c r="C136" s="2"/>
      <c r="D136" s="2"/>
      <c r="E136" s="2"/>
      <c r="F136" s="2"/>
      <c r="G136" s="2"/>
      <c r="H136" s="2"/>
      <c r="I136" s="2"/>
      <c r="J136" s="2"/>
      <c r="K136" s="2"/>
      <c r="L136" s="2"/>
      <c r="M136" s="2"/>
      <c r="N136" s="2"/>
      <c r="O136" s="2"/>
      <c r="P136" s="2"/>
      <c r="Q136" s="2"/>
      <c r="R136" s="2"/>
      <c r="S136" s="7"/>
      <c r="T136" s="2"/>
      <c r="U136" s="10"/>
      <c r="V136" s="2"/>
      <c r="W136" s="7"/>
      <c r="X136" s="7"/>
      <c r="Y136" s="2"/>
      <c r="Z136" s="2"/>
      <c r="AA136" s="2"/>
    </row>
    <row r="137">
      <c r="A137" s="2"/>
      <c r="B137" s="2"/>
      <c r="C137" s="2"/>
      <c r="D137" s="2"/>
      <c r="E137" s="2"/>
      <c r="F137" s="2"/>
      <c r="G137" s="2"/>
      <c r="H137" s="2"/>
      <c r="I137" s="2"/>
      <c r="J137" s="2"/>
      <c r="K137" s="2"/>
      <c r="L137" s="2"/>
      <c r="M137" s="2"/>
      <c r="N137" s="2"/>
      <c r="O137" s="2"/>
      <c r="P137" s="2"/>
      <c r="Q137" s="2"/>
      <c r="R137" s="2"/>
      <c r="S137" s="7"/>
      <c r="T137" s="2"/>
      <c r="U137" s="10"/>
      <c r="V137" s="2"/>
      <c r="W137" s="7"/>
      <c r="X137" s="7"/>
      <c r="Y137" s="2"/>
      <c r="Z137" s="2"/>
      <c r="AA137" s="2"/>
    </row>
    <row r="138">
      <c r="A138" s="2"/>
      <c r="B138" s="2"/>
      <c r="C138" s="2"/>
      <c r="D138" s="2"/>
      <c r="E138" s="2"/>
      <c r="F138" s="2"/>
      <c r="G138" s="2"/>
      <c r="H138" s="2"/>
      <c r="I138" s="2"/>
      <c r="J138" s="2"/>
      <c r="K138" s="2"/>
      <c r="L138" s="2"/>
      <c r="M138" s="2"/>
      <c r="N138" s="2"/>
      <c r="O138" s="2"/>
      <c r="P138" s="2"/>
      <c r="Q138" s="2"/>
      <c r="R138" s="2"/>
      <c r="S138" s="7"/>
      <c r="T138" s="2"/>
      <c r="U138" s="10"/>
      <c r="V138" s="2"/>
      <c r="W138" s="7"/>
      <c r="X138" s="7"/>
      <c r="Y138" s="2"/>
      <c r="Z138" s="2"/>
      <c r="AA138" s="2"/>
    </row>
    <row r="139">
      <c r="A139" s="2"/>
      <c r="B139" s="2"/>
      <c r="C139" s="2"/>
      <c r="D139" s="2"/>
      <c r="E139" s="2"/>
      <c r="F139" s="2"/>
      <c r="G139" s="2"/>
      <c r="H139" s="2"/>
      <c r="I139" s="2"/>
      <c r="J139" s="2"/>
      <c r="K139" s="2"/>
      <c r="L139" s="2"/>
      <c r="M139" s="2"/>
      <c r="N139" s="2"/>
      <c r="O139" s="2"/>
      <c r="P139" s="2"/>
      <c r="Q139" s="2"/>
      <c r="R139" s="2"/>
      <c r="S139" s="7"/>
      <c r="T139" s="2"/>
      <c r="U139" s="10"/>
      <c r="V139" s="2"/>
      <c r="W139" s="7"/>
      <c r="X139" s="7"/>
      <c r="Y139" s="2"/>
      <c r="Z139" s="2"/>
      <c r="AA139" s="2"/>
    </row>
    <row r="140">
      <c r="A140" s="2"/>
      <c r="B140" s="2"/>
      <c r="C140" s="2"/>
      <c r="D140" s="2"/>
      <c r="E140" s="2"/>
      <c r="F140" s="2"/>
      <c r="G140" s="2"/>
      <c r="H140" s="2"/>
      <c r="I140" s="2"/>
      <c r="J140" s="2"/>
      <c r="K140" s="2"/>
      <c r="L140" s="2"/>
      <c r="M140" s="2"/>
      <c r="N140" s="2"/>
      <c r="O140" s="2"/>
      <c r="P140" s="2"/>
      <c r="Q140" s="2"/>
      <c r="R140" s="2"/>
      <c r="S140" s="7"/>
      <c r="T140" s="2"/>
      <c r="U140" s="10"/>
      <c r="V140" s="2"/>
      <c r="W140" s="7"/>
      <c r="X140" s="7"/>
      <c r="Y140" s="2"/>
      <c r="Z140" s="2"/>
      <c r="AA140" s="2"/>
    </row>
    <row r="141">
      <c r="A141" s="2"/>
      <c r="B141" s="2"/>
      <c r="C141" s="2"/>
      <c r="D141" s="2"/>
      <c r="E141" s="2"/>
      <c r="F141" s="2"/>
      <c r="G141" s="2"/>
      <c r="H141" s="2"/>
      <c r="I141" s="2"/>
      <c r="J141" s="2"/>
      <c r="K141" s="2"/>
      <c r="L141" s="2"/>
      <c r="M141" s="2"/>
      <c r="N141" s="2"/>
      <c r="O141" s="2"/>
      <c r="P141" s="2"/>
      <c r="Q141" s="2"/>
      <c r="R141" s="2"/>
      <c r="S141" s="7"/>
      <c r="T141" s="2"/>
      <c r="U141" s="10"/>
      <c r="V141" s="2"/>
      <c r="W141" s="7"/>
      <c r="X141" s="7"/>
      <c r="Y141" s="2"/>
      <c r="Z141" s="2"/>
      <c r="AA141" s="2"/>
    </row>
    <row r="142">
      <c r="A142" s="2"/>
      <c r="B142" s="2"/>
      <c r="C142" s="2"/>
      <c r="D142" s="2"/>
      <c r="E142" s="2"/>
      <c r="F142" s="2"/>
      <c r="G142" s="2"/>
      <c r="H142" s="2"/>
      <c r="I142" s="2"/>
      <c r="J142" s="2"/>
      <c r="K142" s="2"/>
      <c r="L142" s="2"/>
      <c r="M142" s="2"/>
      <c r="N142" s="2"/>
      <c r="O142" s="2"/>
      <c r="P142" s="2"/>
      <c r="Q142" s="2"/>
      <c r="R142" s="2"/>
      <c r="S142" s="7"/>
      <c r="T142" s="2"/>
      <c r="U142" s="10"/>
      <c r="V142" s="2"/>
      <c r="W142" s="7"/>
      <c r="X142" s="7"/>
      <c r="Y142" s="2"/>
      <c r="Z142" s="2"/>
      <c r="AA142" s="2"/>
    </row>
    <row r="143">
      <c r="A143" s="2"/>
      <c r="B143" s="2"/>
      <c r="C143" s="2"/>
      <c r="D143" s="2"/>
      <c r="E143" s="2"/>
      <c r="F143" s="2"/>
      <c r="G143" s="2"/>
      <c r="H143" s="2"/>
      <c r="I143" s="2"/>
      <c r="J143" s="2"/>
      <c r="K143" s="2"/>
      <c r="L143" s="2"/>
      <c r="M143" s="2"/>
      <c r="N143" s="2"/>
      <c r="O143" s="2"/>
      <c r="P143" s="2"/>
      <c r="Q143" s="2"/>
      <c r="R143" s="2"/>
      <c r="S143" s="7"/>
      <c r="T143" s="2"/>
      <c r="U143" s="10"/>
      <c r="V143" s="2"/>
      <c r="W143" s="7"/>
      <c r="X143" s="7"/>
      <c r="Y143" s="2"/>
      <c r="Z143" s="2"/>
      <c r="AA143" s="2"/>
    </row>
    <row r="144">
      <c r="A144" s="2"/>
      <c r="B144" s="2"/>
      <c r="C144" s="2"/>
      <c r="D144" s="2"/>
      <c r="E144" s="2"/>
      <c r="F144" s="2"/>
      <c r="G144" s="2"/>
      <c r="H144" s="2"/>
      <c r="I144" s="2"/>
      <c r="J144" s="2"/>
      <c r="K144" s="2"/>
      <c r="L144" s="2"/>
      <c r="M144" s="2"/>
      <c r="N144" s="2"/>
      <c r="O144" s="2"/>
      <c r="P144" s="2"/>
      <c r="Q144" s="2"/>
      <c r="R144" s="2"/>
      <c r="S144" s="7"/>
      <c r="T144" s="2"/>
      <c r="U144" s="10"/>
      <c r="V144" s="2"/>
      <c r="W144" s="7"/>
      <c r="X144" s="7"/>
      <c r="Y144" s="2"/>
      <c r="Z144" s="2"/>
      <c r="AA144" s="2"/>
    </row>
    <row r="145">
      <c r="A145" s="2"/>
      <c r="B145" s="2"/>
      <c r="C145" s="2"/>
      <c r="D145" s="2"/>
      <c r="E145" s="2"/>
      <c r="F145" s="2"/>
      <c r="G145" s="2"/>
      <c r="H145" s="2"/>
      <c r="I145" s="2"/>
      <c r="J145" s="2"/>
      <c r="K145" s="2"/>
      <c r="L145" s="2"/>
      <c r="M145" s="2"/>
      <c r="N145" s="2"/>
      <c r="O145" s="2"/>
      <c r="P145" s="2"/>
      <c r="Q145" s="2"/>
      <c r="R145" s="2"/>
      <c r="S145" s="7"/>
      <c r="T145" s="2"/>
      <c r="U145" s="10"/>
      <c r="V145" s="2"/>
      <c r="W145" s="7"/>
      <c r="X145" s="7"/>
      <c r="Y145" s="2"/>
      <c r="Z145" s="2"/>
      <c r="AA145" s="2"/>
    </row>
    <row r="146">
      <c r="A146" s="2"/>
      <c r="B146" s="2"/>
      <c r="C146" s="2"/>
      <c r="D146" s="2"/>
      <c r="E146" s="2"/>
      <c r="F146" s="2"/>
      <c r="G146" s="2"/>
      <c r="H146" s="2"/>
      <c r="I146" s="2"/>
      <c r="J146" s="2"/>
      <c r="K146" s="2"/>
      <c r="L146" s="2"/>
      <c r="M146" s="2"/>
      <c r="N146" s="2"/>
      <c r="O146" s="2"/>
      <c r="P146" s="2"/>
      <c r="Q146" s="2"/>
      <c r="R146" s="2"/>
      <c r="S146" s="7"/>
      <c r="T146" s="2"/>
      <c r="U146" s="10"/>
      <c r="V146" s="2"/>
      <c r="W146" s="7"/>
      <c r="X146" s="7"/>
      <c r="Y146" s="2"/>
      <c r="Z146" s="2"/>
      <c r="AA146" s="2"/>
    </row>
    <row r="147">
      <c r="A147" s="2"/>
      <c r="B147" s="2"/>
      <c r="C147" s="2"/>
      <c r="D147" s="2"/>
      <c r="E147" s="2"/>
      <c r="F147" s="2"/>
      <c r="G147" s="2"/>
      <c r="H147" s="2"/>
      <c r="I147" s="2"/>
      <c r="J147" s="2"/>
      <c r="K147" s="2"/>
      <c r="L147" s="2"/>
      <c r="M147" s="2"/>
      <c r="N147" s="2"/>
      <c r="O147" s="2"/>
      <c r="P147" s="2"/>
      <c r="Q147" s="2"/>
      <c r="R147" s="2"/>
      <c r="S147" s="7"/>
      <c r="T147" s="2"/>
      <c r="U147" s="10"/>
      <c r="V147" s="2"/>
      <c r="W147" s="7"/>
      <c r="X147" s="7"/>
      <c r="Y147" s="2"/>
      <c r="Z147" s="2"/>
      <c r="AA147" s="2"/>
    </row>
    <row r="148">
      <c r="A148" s="2"/>
      <c r="B148" s="2"/>
      <c r="C148" s="2"/>
      <c r="D148" s="2"/>
      <c r="E148" s="2"/>
      <c r="F148" s="2"/>
      <c r="G148" s="2"/>
      <c r="H148" s="2"/>
      <c r="I148" s="2"/>
      <c r="J148" s="2"/>
      <c r="K148" s="2"/>
      <c r="L148" s="2"/>
      <c r="M148" s="2"/>
      <c r="N148" s="2"/>
      <c r="O148" s="2"/>
      <c r="P148" s="2"/>
      <c r="Q148" s="2"/>
      <c r="R148" s="2"/>
      <c r="S148" s="7"/>
      <c r="T148" s="2"/>
      <c r="U148" s="10"/>
      <c r="V148" s="2"/>
      <c r="W148" s="7"/>
      <c r="X148" s="7"/>
      <c r="Y148" s="2"/>
      <c r="Z148" s="2"/>
      <c r="AA148" s="2"/>
    </row>
    <row r="149">
      <c r="A149" s="2"/>
      <c r="B149" s="2"/>
      <c r="C149" s="2"/>
      <c r="D149" s="2"/>
      <c r="E149" s="2"/>
      <c r="F149" s="2"/>
      <c r="G149" s="2"/>
      <c r="H149" s="2"/>
      <c r="I149" s="2"/>
      <c r="J149" s="2"/>
      <c r="K149" s="2"/>
      <c r="L149" s="2"/>
      <c r="M149" s="2"/>
      <c r="N149" s="2"/>
      <c r="O149" s="2"/>
      <c r="P149" s="2"/>
      <c r="Q149" s="2"/>
      <c r="R149" s="2"/>
      <c r="S149" s="7"/>
      <c r="T149" s="2"/>
      <c r="U149" s="10"/>
      <c r="V149" s="2"/>
      <c r="W149" s="7"/>
      <c r="X149" s="7"/>
      <c r="Y149" s="2"/>
      <c r="Z149" s="2"/>
      <c r="AA149" s="2"/>
    </row>
    <row r="150">
      <c r="A150" s="2"/>
      <c r="B150" s="2"/>
      <c r="C150" s="2"/>
      <c r="D150" s="2"/>
      <c r="E150" s="2"/>
      <c r="F150" s="2"/>
      <c r="G150" s="2"/>
      <c r="H150" s="2"/>
      <c r="I150" s="2"/>
      <c r="J150" s="2"/>
      <c r="K150" s="2"/>
      <c r="L150" s="2"/>
      <c r="M150" s="2"/>
      <c r="N150" s="2"/>
      <c r="O150" s="2"/>
      <c r="P150" s="2"/>
      <c r="Q150" s="2"/>
      <c r="R150" s="2"/>
      <c r="S150" s="7"/>
      <c r="T150" s="2"/>
      <c r="U150" s="10"/>
      <c r="V150" s="2"/>
      <c r="W150" s="7"/>
      <c r="X150" s="7"/>
      <c r="Y150" s="2"/>
      <c r="Z150" s="2"/>
      <c r="AA150" s="2"/>
    </row>
    <row r="151">
      <c r="A151" s="2"/>
      <c r="B151" s="2"/>
      <c r="C151" s="2"/>
      <c r="D151" s="2"/>
      <c r="E151" s="2"/>
      <c r="F151" s="2"/>
      <c r="G151" s="2"/>
      <c r="H151" s="2"/>
      <c r="I151" s="2"/>
      <c r="J151" s="2"/>
      <c r="K151" s="2"/>
      <c r="L151" s="2"/>
      <c r="M151" s="2"/>
      <c r="N151" s="2"/>
      <c r="O151" s="2"/>
      <c r="P151" s="2"/>
      <c r="Q151" s="2"/>
      <c r="R151" s="2"/>
      <c r="S151" s="7"/>
      <c r="T151" s="2"/>
      <c r="U151" s="10"/>
      <c r="V151" s="2"/>
      <c r="W151" s="7"/>
      <c r="X151" s="7"/>
      <c r="Y151" s="2"/>
      <c r="Z151" s="2"/>
      <c r="AA151" s="2"/>
    </row>
    <row r="152">
      <c r="A152" s="2"/>
      <c r="B152" s="2"/>
      <c r="C152" s="2"/>
      <c r="D152" s="2"/>
      <c r="E152" s="2"/>
      <c r="F152" s="2"/>
      <c r="G152" s="2"/>
      <c r="H152" s="2"/>
      <c r="I152" s="2"/>
      <c r="J152" s="2"/>
      <c r="K152" s="2"/>
      <c r="L152" s="2"/>
      <c r="M152" s="2"/>
      <c r="N152" s="2"/>
      <c r="O152" s="2"/>
      <c r="P152" s="2"/>
      <c r="Q152" s="2"/>
      <c r="R152" s="2"/>
      <c r="S152" s="7"/>
      <c r="T152" s="2"/>
      <c r="U152" s="10"/>
      <c r="V152" s="2"/>
      <c r="W152" s="7"/>
      <c r="X152" s="7"/>
      <c r="Y152" s="2"/>
      <c r="Z152" s="2"/>
      <c r="AA152" s="2"/>
    </row>
    <row r="153">
      <c r="A153" s="2"/>
      <c r="B153" s="2"/>
      <c r="C153" s="2"/>
      <c r="D153" s="2"/>
      <c r="E153" s="2"/>
      <c r="F153" s="2"/>
      <c r="G153" s="2"/>
      <c r="H153" s="2"/>
      <c r="I153" s="2"/>
      <c r="J153" s="2"/>
      <c r="K153" s="2"/>
      <c r="L153" s="2"/>
      <c r="M153" s="2"/>
      <c r="N153" s="2"/>
      <c r="O153" s="2"/>
      <c r="P153" s="2"/>
      <c r="Q153" s="2"/>
      <c r="R153" s="2"/>
      <c r="S153" s="7"/>
      <c r="T153" s="2"/>
      <c r="U153" s="10"/>
      <c r="V153" s="2"/>
      <c r="W153" s="7"/>
      <c r="X153" s="7"/>
      <c r="Y153" s="2"/>
      <c r="Z153" s="2"/>
      <c r="AA153" s="2"/>
    </row>
    <row r="154">
      <c r="A154" s="2"/>
      <c r="B154" s="2"/>
      <c r="C154" s="2"/>
      <c r="D154" s="2"/>
      <c r="E154" s="2"/>
      <c r="F154" s="2"/>
      <c r="G154" s="2"/>
      <c r="H154" s="2"/>
      <c r="I154" s="2"/>
      <c r="J154" s="2"/>
      <c r="K154" s="2"/>
      <c r="L154" s="2"/>
      <c r="M154" s="2"/>
      <c r="N154" s="2"/>
      <c r="O154" s="2"/>
      <c r="P154" s="2"/>
      <c r="Q154" s="2"/>
      <c r="R154" s="2"/>
      <c r="S154" s="7"/>
      <c r="T154" s="2"/>
      <c r="U154" s="10"/>
      <c r="V154" s="2"/>
      <c r="W154" s="7"/>
      <c r="X154" s="7"/>
      <c r="Y154" s="2"/>
      <c r="Z154" s="2"/>
      <c r="AA154" s="2"/>
    </row>
    <row r="155">
      <c r="A155" s="2"/>
      <c r="B155" s="2"/>
      <c r="C155" s="2"/>
      <c r="D155" s="2"/>
      <c r="E155" s="2"/>
      <c r="F155" s="2"/>
      <c r="G155" s="2"/>
      <c r="H155" s="2"/>
      <c r="I155" s="2"/>
      <c r="J155" s="2"/>
      <c r="K155" s="2"/>
      <c r="L155" s="2"/>
      <c r="M155" s="2"/>
      <c r="N155" s="2"/>
      <c r="O155" s="2"/>
      <c r="P155" s="2"/>
      <c r="Q155" s="2"/>
      <c r="R155" s="2"/>
      <c r="S155" s="7"/>
      <c r="T155" s="2"/>
      <c r="U155" s="10"/>
      <c r="V155" s="2"/>
      <c r="W155" s="7"/>
      <c r="X155" s="7"/>
      <c r="Y155" s="2"/>
      <c r="Z155" s="2"/>
      <c r="AA155" s="2"/>
    </row>
    <row r="156">
      <c r="A156" s="2"/>
      <c r="B156" s="2"/>
      <c r="C156" s="2"/>
      <c r="D156" s="2"/>
      <c r="E156" s="2"/>
      <c r="F156" s="2"/>
      <c r="G156" s="2"/>
      <c r="H156" s="2"/>
      <c r="I156" s="2"/>
      <c r="J156" s="2"/>
      <c r="K156" s="2"/>
      <c r="L156" s="2"/>
      <c r="M156" s="2"/>
      <c r="N156" s="2"/>
      <c r="O156" s="2"/>
      <c r="P156" s="2"/>
      <c r="Q156" s="2"/>
      <c r="R156" s="2"/>
      <c r="S156" s="7"/>
      <c r="T156" s="2"/>
      <c r="U156" s="10"/>
      <c r="V156" s="2"/>
      <c r="W156" s="7"/>
      <c r="X156" s="7"/>
      <c r="Y156" s="2"/>
      <c r="Z156" s="2"/>
      <c r="AA156" s="2"/>
    </row>
    <row r="157">
      <c r="A157" s="2"/>
      <c r="B157" s="2"/>
      <c r="C157" s="2"/>
      <c r="D157" s="2"/>
      <c r="E157" s="2"/>
      <c r="F157" s="2"/>
      <c r="G157" s="2"/>
      <c r="H157" s="2"/>
      <c r="I157" s="2"/>
      <c r="J157" s="2"/>
      <c r="K157" s="2"/>
      <c r="L157" s="2"/>
      <c r="M157" s="2"/>
      <c r="N157" s="2"/>
      <c r="O157" s="2"/>
      <c r="P157" s="2"/>
      <c r="Q157" s="2"/>
      <c r="R157" s="2"/>
      <c r="S157" s="7"/>
      <c r="T157" s="2"/>
      <c r="U157" s="10"/>
      <c r="V157" s="2"/>
      <c r="W157" s="7"/>
      <c r="X157" s="7"/>
      <c r="Y157" s="2"/>
      <c r="Z157" s="2"/>
      <c r="AA157" s="2"/>
    </row>
    <row r="158">
      <c r="A158" s="2"/>
      <c r="B158" s="2"/>
      <c r="C158" s="2"/>
      <c r="D158" s="2"/>
      <c r="E158" s="2"/>
      <c r="F158" s="2"/>
      <c r="G158" s="2"/>
      <c r="H158" s="2"/>
      <c r="I158" s="2"/>
      <c r="J158" s="2"/>
      <c r="K158" s="2"/>
      <c r="L158" s="2"/>
      <c r="M158" s="2"/>
      <c r="N158" s="2"/>
      <c r="O158" s="2"/>
      <c r="P158" s="2"/>
      <c r="Q158" s="2"/>
      <c r="R158" s="2"/>
      <c r="S158" s="7"/>
      <c r="T158" s="2"/>
      <c r="U158" s="10"/>
      <c r="V158" s="2"/>
      <c r="W158" s="7"/>
      <c r="X158" s="7"/>
      <c r="Y158" s="2"/>
      <c r="Z158" s="2"/>
      <c r="AA158" s="2"/>
    </row>
    <row r="159">
      <c r="A159" s="2"/>
      <c r="B159" s="2"/>
      <c r="C159" s="2"/>
      <c r="D159" s="2"/>
      <c r="E159" s="2"/>
      <c r="F159" s="2"/>
      <c r="G159" s="2"/>
      <c r="H159" s="2"/>
      <c r="I159" s="2"/>
      <c r="J159" s="2"/>
      <c r="K159" s="2"/>
      <c r="L159" s="2"/>
      <c r="M159" s="2"/>
      <c r="N159" s="2"/>
      <c r="O159" s="2"/>
      <c r="P159" s="2"/>
      <c r="Q159" s="2"/>
      <c r="R159" s="2"/>
      <c r="S159" s="7"/>
      <c r="T159" s="2"/>
      <c r="U159" s="10"/>
      <c r="V159" s="2"/>
      <c r="W159" s="7"/>
      <c r="X159" s="7"/>
      <c r="Y159" s="2"/>
      <c r="Z159" s="2"/>
      <c r="AA159" s="2"/>
    </row>
    <row r="160">
      <c r="A160" s="2"/>
      <c r="B160" s="2"/>
      <c r="C160" s="2"/>
      <c r="D160" s="2"/>
      <c r="E160" s="2"/>
      <c r="F160" s="2"/>
      <c r="G160" s="2"/>
      <c r="H160" s="2"/>
      <c r="I160" s="2"/>
      <c r="J160" s="2"/>
      <c r="K160" s="2"/>
      <c r="L160" s="2"/>
      <c r="M160" s="2"/>
      <c r="N160" s="2"/>
      <c r="O160" s="2"/>
      <c r="P160" s="2"/>
      <c r="Q160" s="2"/>
      <c r="R160" s="2"/>
      <c r="S160" s="7"/>
      <c r="T160" s="2"/>
      <c r="U160" s="10"/>
      <c r="V160" s="2"/>
      <c r="W160" s="7"/>
      <c r="X160" s="7"/>
      <c r="Y160" s="2"/>
      <c r="Z160" s="2"/>
      <c r="AA160" s="2"/>
    </row>
    <row r="161">
      <c r="A161" s="2"/>
      <c r="B161" s="2"/>
      <c r="C161" s="2"/>
      <c r="D161" s="2"/>
      <c r="E161" s="2"/>
      <c r="F161" s="2"/>
      <c r="G161" s="2"/>
      <c r="H161" s="2"/>
      <c r="I161" s="2"/>
      <c r="J161" s="2"/>
      <c r="K161" s="2"/>
      <c r="L161" s="2"/>
      <c r="M161" s="2"/>
      <c r="N161" s="2"/>
      <c r="O161" s="2"/>
      <c r="P161" s="2"/>
      <c r="Q161" s="2"/>
      <c r="R161" s="2"/>
      <c r="S161" s="7"/>
      <c r="T161" s="2"/>
      <c r="U161" s="10"/>
      <c r="V161" s="2"/>
      <c r="W161" s="7"/>
      <c r="X161" s="7"/>
      <c r="Y161" s="2"/>
      <c r="Z161" s="2"/>
      <c r="AA161" s="2"/>
    </row>
    <row r="162">
      <c r="A162" s="2"/>
      <c r="B162" s="2"/>
      <c r="C162" s="2"/>
      <c r="D162" s="2"/>
      <c r="E162" s="2"/>
      <c r="F162" s="2"/>
      <c r="G162" s="2"/>
      <c r="H162" s="2"/>
      <c r="I162" s="2"/>
      <c r="J162" s="2"/>
      <c r="K162" s="2"/>
      <c r="L162" s="2"/>
      <c r="M162" s="2"/>
      <c r="N162" s="2"/>
      <c r="O162" s="2"/>
      <c r="P162" s="2"/>
      <c r="Q162" s="2"/>
      <c r="R162" s="2"/>
      <c r="S162" s="7"/>
      <c r="T162" s="2"/>
      <c r="U162" s="10"/>
      <c r="V162" s="2"/>
      <c r="W162" s="7"/>
      <c r="X162" s="7"/>
      <c r="Y162" s="2"/>
      <c r="Z162" s="2"/>
      <c r="AA162" s="2"/>
    </row>
    <row r="163">
      <c r="A163" s="2"/>
      <c r="B163" s="2"/>
      <c r="C163" s="2"/>
      <c r="D163" s="2"/>
      <c r="E163" s="2"/>
      <c r="F163" s="2"/>
      <c r="G163" s="2"/>
      <c r="H163" s="2"/>
      <c r="I163" s="2"/>
      <c r="J163" s="2"/>
      <c r="K163" s="2"/>
      <c r="L163" s="2"/>
      <c r="M163" s="2"/>
      <c r="N163" s="2"/>
      <c r="O163" s="2"/>
      <c r="P163" s="2"/>
      <c r="Q163" s="2"/>
      <c r="R163" s="2"/>
      <c r="S163" s="7"/>
      <c r="T163" s="2"/>
      <c r="U163" s="10"/>
      <c r="V163" s="2"/>
      <c r="W163" s="7"/>
      <c r="X163" s="7"/>
      <c r="Y163" s="2"/>
      <c r="Z163" s="2"/>
      <c r="AA163" s="2"/>
    </row>
    <row r="164">
      <c r="A164" s="2"/>
      <c r="B164" s="2"/>
      <c r="C164" s="2"/>
      <c r="D164" s="2"/>
      <c r="E164" s="2"/>
      <c r="F164" s="2"/>
      <c r="G164" s="2"/>
      <c r="H164" s="2"/>
      <c r="I164" s="2"/>
      <c r="J164" s="2"/>
      <c r="K164" s="2"/>
      <c r="L164" s="2"/>
      <c r="M164" s="2"/>
      <c r="N164" s="2"/>
      <c r="O164" s="2"/>
      <c r="P164" s="2"/>
      <c r="Q164" s="2"/>
      <c r="R164" s="2"/>
      <c r="S164" s="7"/>
      <c r="T164" s="2"/>
      <c r="U164" s="10"/>
      <c r="V164" s="2"/>
      <c r="W164" s="7"/>
      <c r="X164" s="7"/>
      <c r="Y164" s="2"/>
      <c r="Z164" s="2"/>
      <c r="AA164" s="2"/>
    </row>
    <row r="165">
      <c r="A165" s="2"/>
      <c r="B165" s="2"/>
      <c r="C165" s="2"/>
      <c r="D165" s="2"/>
      <c r="E165" s="2"/>
      <c r="F165" s="2"/>
      <c r="G165" s="2"/>
      <c r="H165" s="2"/>
      <c r="I165" s="2"/>
      <c r="J165" s="2"/>
      <c r="K165" s="2"/>
      <c r="L165" s="2"/>
      <c r="M165" s="2"/>
      <c r="N165" s="2"/>
      <c r="O165" s="2"/>
      <c r="P165" s="2"/>
      <c r="Q165" s="2"/>
      <c r="R165" s="2"/>
      <c r="S165" s="7"/>
      <c r="T165" s="2"/>
      <c r="U165" s="10"/>
      <c r="V165" s="2"/>
      <c r="W165" s="7"/>
      <c r="X165" s="7"/>
      <c r="Y165" s="2"/>
      <c r="Z165" s="2"/>
      <c r="AA165" s="2"/>
    </row>
    <row r="166">
      <c r="A166" s="2"/>
      <c r="B166" s="2"/>
      <c r="C166" s="2"/>
      <c r="D166" s="2"/>
      <c r="E166" s="2"/>
      <c r="F166" s="2"/>
      <c r="G166" s="2"/>
      <c r="H166" s="2"/>
      <c r="I166" s="2"/>
      <c r="J166" s="2"/>
      <c r="K166" s="2"/>
      <c r="L166" s="2"/>
      <c r="M166" s="2"/>
      <c r="N166" s="2"/>
      <c r="O166" s="2"/>
      <c r="P166" s="2"/>
      <c r="Q166" s="2"/>
      <c r="R166" s="2"/>
      <c r="S166" s="7"/>
      <c r="T166" s="2"/>
      <c r="U166" s="10"/>
      <c r="V166" s="2"/>
      <c r="W166" s="7"/>
      <c r="X166" s="7"/>
      <c r="Y166" s="2"/>
      <c r="Z166" s="2"/>
      <c r="AA166" s="2"/>
    </row>
    <row r="167">
      <c r="A167" s="2"/>
      <c r="B167" s="2"/>
      <c r="C167" s="2"/>
      <c r="D167" s="2"/>
      <c r="E167" s="2"/>
      <c r="F167" s="2"/>
      <c r="G167" s="2"/>
      <c r="H167" s="2"/>
      <c r="I167" s="2"/>
      <c r="J167" s="2"/>
      <c r="K167" s="2"/>
      <c r="L167" s="2"/>
      <c r="M167" s="2"/>
      <c r="N167" s="2"/>
      <c r="O167" s="2"/>
      <c r="P167" s="2"/>
      <c r="Q167" s="2"/>
      <c r="R167" s="2"/>
      <c r="S167" s="7"/>
      <c r="T167" s="2"/>
      <c r="U167" s="10"/>
      <c r="V167" s="2"/>
      <c r="W167" s="7"/>
      <c r="X167" s="7"/>
      <c r="Y167" s="2"/>
      <c r="Z167" s="2"/>
      <c r="AA167" s="2"/>
    </row>
    <row r="168">
      <c r="A168" s="2"/>
      <c r="B168" s="2"/>
      <c r="C168" s="2"/>
      <c r="D168" s="2"/>
      <c r="E168" s="2"/>
      <c r="F168" s="2"/>
      <c r="G168" s="2"/>
      <c r="H168" s="2"/>
      <c r="I168" s="2"/>
      <c r="J168" s="2"/>
      <c r="K168" s="2"/>
      <c r="L168" s="2"/>
      <c r="M168" s="2"/>
      <c r="N168" s="2"/>
      <c r="O168" s="2"/>
      <c r="P168" s="2"/>
      <c r="Q168" s="2"/>
      <c r="R168" s="2"/>
      <c r="S168" s="7"/>
      <c r="T168" s="2"/>
      <c r="U168" s="10"/>
      <c r="V168" s="2"/>
      <c r="W168" s="7"/>
      <c r="X168" s="7"/>
      <c r="Y168" s="2"/>
      <c r="Z168" s="2"/>
      <c r="AA168" s="2"/>
    </row>
    <row r="169">
      <c r="A169" s="2"/>
      <c r="B169" s="2"/>
      <c r="C169" s="2"/>
      <c r="D169" s="2"/>
      <c r="E169" s="2"/>
      <c r="F169" s="2"/>
      <c r="G169" s="2"/>
      <c r="H169" s="2"/>
      <c r="I169" s="2"/>
      <c r="J169" s="2"/>
      <c r="K169" s="2"/>
      <c r="L169" s="2"/>
      <c r="M169" s="2"/>
      <c r="N169" s="2"/>
      <c r="O169" s="2"/>
      <c r="P169" s="2"/>
      <c r="Q169" s="2"/>
      <c r="R169" s="2"/>
      <c r="S169" s="7"/>
      <c r="T169" s="2"/>
      <c r="U169" s="10"/>
      <c r="V169" s="2"/>
      <c r="W169" s="7"/>
      <c r="X169" s="7"/>
      <c r="Y169" s="2"/>
      <c r="Z169" s="2"/>
      <c r="AA169" s="2"/>
    </row>
    <row r="170">
      <c r="A170" s="2"/>
      <c r="B170" s="2"/>
      <c r="C170" s="2"/>
      <c r="D170" s="2"/>
      <c r="E170" s="2"/>
      <c r="F170" s="2"/>
      <c r="G170" s="2"/>
      <c r="H170" s="2"/>
      <c r="I170" s="2"/>
      <c r="J170" s="2"/>
      <c r="K170" s="2"/>
      <c r="L170" s="2"/>
      <c r="M170" s="2"/>
      <c r="N170" s="2"/>
      <c r="O170" s="2"/>
      <c r="P170" s="2"/>
      <c r="Q170" s="2"/>
      <c r="R170" s="2"/>
      <c r="S170" s="7"/>
      <c r="T170" s="2"/>
      <c r="U170" s="10"/>
      <c r="V170" s="2"/>
      <c r="W170" s="7"/>
      <c r="X170" s="7"/>
      <c r="Y170" s="2"/>
      <c r="Z170" s="2"/>
      <c r="AA170" s="2"/>
    </row>
    <row r="171">
      <c r="A171" s="2"/>
      <c r="B171" s="2"/>
      <c r="C171" s="2"/>
      <c r="D171" s="2"/>
      <c r="E171" s="2"/>
      <c r="F171" s="2"/>
      <c r="G171" s="2"/>
      <c r="H171" s="2"/>
      <c r="I171" s="2"/>
      <c r="J171" s="2"/>
      <c r="K171" s="2"/>
      <c r="L171" s="2"/>
      <c r="M171" s="2"/>
      <c r="N171" s="2"/>
      <c r="O171" s="2"/>
      <c r="P171" s="2"/>
      <c r="Q171" s="2"/>
      <c r="R171" s="2"/>
      <c r="S171" s="7"/>
      <c r="T171" s="2"/>
      <c r="U171" s="10"/>
      <c r="V171" s="2"/>
      <c r="W171" s="7"/>
      <c r="X171" s="7"/>
      <c r="Y171" s="2"/>
      <c r="Z171" s="2"/>
      <c r="AA171" s="2"/>
    </row>
    <row r="172">
      <c r="A172" s="2"/>
      <c r="B172" s="2"/>
      <c r="C172" s="2"/>
      <c r="D172" s="2"/>
      <c r="E172" s="2"/>
      <c r="F172" s="2"/>
      <c r="G172" s="2"/>
      <c r="H172" s="2"/>
      <c r="I172" s="2"/>
      <c r="J172" s="2"/>
      <c r="K172" s="2"/>
      <c r="L172" s="2"/>
      <c r="M172" s="2"/>
      <c r="N172" s="2"/>
      <c r="O172" s="2"/>
      <c r="P172" s="2"/>
      <c r="Q172" s="2"/>
      <c r="R172" s="2"/>
      <c r="S172" s="7"/>
      <c r="T172" s="2"/>
      <c r="U172" s="10"/>
      <c r="V172" s="2"/>
      <c r="W172" s="7"/>
      <c r="X172" s="7"/>
      <c r="Y172" s="2"/>
      <c r="Z172" s="2"/>
      <c r="AA172" s="2"/>
    </row>
    <row r="173">
      <c r="A173" s="2"/>
      <c r="B173" s="2"/>
      <c r="C173" s="2"/>
      <c r="D173" s="2"/>
      <c r="E173" s="2"/>
      <c r="F173" s="2"/>
      <c r="G173" s="2"/>
      <c r="H173" s="2"/>
      <c r="I173" s="2"/>
      <c r="J173" s="2"/>
      <c r="K173" s="2"/>
      <c r="L173" s="2"/>
      <c r="M173" s="2"/>
      <c r="N173" s="2"/>
      <c r="O173" s="2"/>
      <c r="P173" s="2"/>
      <c r="Q173" s="2"/>
      <c r="R173" s="2"/>
      <c r="S173" s="7"/>
      <c r="T173" s="2"/>
      <c r="U173" s="10"/>
      <c r="V173" s="2"/>
      <c r="W173" s="7"/>
      <c r="X173" s="7"/>
      <c r="Y173" s="2"/>
      <c r="Z173" s="2"/>
      <c r="AA173" s="2"/>
    </row>
    <row r="174">
      <c r="A174" s="2"/>
      <c r="B174" s="2"/>
      <c r="C174" s="2"/>
      <c r="D174" s="2"/>
      <c r="E174" s="2"/>
      <c r="F174" s="2"/>
      <c r="G174" s="2"/>
      <c r="H174" s="2"/>
      <c r="I174" s="2"/>
      <c r="J174" s="2"/>
      <c r="K174" s="2"/>
      <c r="L174" s="2"/>
      <c r="M174" s="2"/>
      <c r="N174" s="2"/>
      <c r="O174" s="2"/>
      <c r="P174" s="2"/>
      <c r="Q174" s="2"/>
      <c r="R174" s="2"/>
      <c r="S174" s="7"/>
      <c r="T174" s="2"/>
      <c r="U174" s="10"/>
      <c r="V174" s="2"/>
      <c r="W174" s="7"/>
      <c r="X174" s="7"/>
      <c r="Y174" s="2"/>
      <c r="Z174" s="2"/>
      <c r="AA174" s="2"/>
    </row>
    <row r="175">
      <c r="A175" s="2"/>
      <c r="B175" s="2"/>
      <c r="C175" s="2"/>
      <c r="D175" s="2"/>
      <c r="E175" s="2"/>
      <c r="F175" s="2"/>
      <c r="G175" s="2"/>
      <c r="H175" s="2"/>
      <c r="I175" s="2"/>
      <c r="J175" s="2"/>
      <c r="K175" s="2"/>
      <c r="L175" s="2"/>
      <c r="M175" s="2"/>
      <c r="N175" s="2"/>
      <c r="O175" s="2"/>
      <c r="P175" s="2"/>
      <c r="Q175" s="2"/>
      <c r="R175" s="2"/>
      <c r="S175" s="7"/>
      <c r="T175" s="2"/>
      <c r="U175" s="10"/>
      <c r="V175" s="2"/>
      <c r="W175" s="7"/>
      <c r="X175" s="7"/>
      <c r="Y175" s="2"/>
      <c r="Z175" s="2"/>
      <c r="AA175" s="2"/>
    </row>
    <row r="176">
      <c r="A176" s="2"/>
      <c r="B176" s="2"/>
      <c r="C176" s="2"/>
      <c r="D176" s="2"/>
      <c r="E176" s="2"/>
      <c r="F176" s="2"/>
      <c r="G176" s="2"/>
      <c r="H176" s="2"/>
      <c r="I176" s="2"/>
      <c r="J176" s="2"/>
      <c r="K176" s="2"/>
      <c r="L176" s="2"/>
      <c r="M176" s="2"/>
      <c r="N176" s="2"/>
      <c r="O176" s="2"/>
      <c r="P176" s="2"/>
      <c r="Q176" s="2"/>
      <c r="R176" s="2"/>
      <c r="S176" s="7"/>
      <c r="T176" s="2"/>
      <c r="U176" s="10"/>
      <c r="V176" s="2"/>
      <c r="W176" s="7"/>
      <c r="X176" s="7"/>
      <c r="Y176" s="2"/>
      <c r="Z176" s="2"/>
      <c r="AA176" s="2"/>
    </row>
    <row r="177">
      <c r="A177" s="2"/>
      <c r="B177" s="2"/>
      <c r="C177" s="2"/>
      <c r="D177" s="2"/>
      <c r="E177" s="2"/>
      <c r="F177" s="2"/>
      <c r="G177" s="2"/>
      <c r="H177" s="2"/>
      <c r="I177" s="2"/>
      <c r="J177" s="2"/>
      <c r="K177" s="2"/>
      <c r="L177" s="2"/>
      <c r="M177" s="2"/>
      <c r="N177" s="2"/>
      <c r="O177" s="2"/>
      <c r="P177" s="2"/>
      <c r="Q177" s="2"/>
      <c r="R177" s="2"/>
      <c r="S177" s="7"/>
      <c r="T177" s="2"/>
      <c r="U177" s="10"/>
      <c r="V177" s="2"/>
      <c r="W177" s="7"/>
      <c r="X177" s="7"/>
      <c r="Y177" s="2"/>
      <c r="Z177" s="2"/>
      <c r="AA177" s="2"/>
    </row>
    <row r="178">
      <c r="A178" s="2"/>
      <c r="B178" s="2"/>
      <c r="C178" s="2"/>
      <c r="D178" s="2"/>
      <c r="E178" s="2"/>
      <c r="F178" s="2"/>
      <c r="G178" s="2"/>
      <c r="H178" s="2"/>
      <c r="I178" s="2"/>
      <c r="J178" s="2"/>
      <c r="K178" s="2"/>
      <c r="L178" s="2"/>
      <c r="M178" s="2"/>
      <c r="N178" s="2"/>
      <c r="O178" s="2"/>
      <c r="P178" s="2"/>
      <c r="Q178" s="2"/>
      <c r="R178" s="2"/>
      <c r="S178" s="7"/>
      <c r="T178" s="2"/>
      <c r="U178" s="10"/>
      <c r="V178" s="2"/>
      <c r="W178" s="7"/>
      <c r="X178" s="7"/>
      <c r="Y178" s="2"/>
      <c r="Z178" s="2"/>
      <c r="AA178" s="2"/>
    </row>
    <row r="179">
      <c r="A179" s="2"/>
      <c r="B179" s="2"/>
      <c r="C179" s="2"/>
      <c r="D179" s="2"/>
      <c r="E179" s="2"/>
      <c r="F179" s="2"/>
      <c r="G179" s="2"/>
      <c r="H179" s="2"/>
      <c r="I179" s="2"/>
      <c r="J179" s="2"/>
      <c r="K179" s="2"/>
      <c r="L179" s="2"/>
      <c r="M179" s="2"/>
      <c r="N179" s="2"/>
      <c r="O179" s="2"/>
      <c r="P179" s="2"/>
      <c r="Q179" s="2"/>
      <c r="R179" s="2"/>
      <c r="S179" s="7"/>
      <c r="T179" s="2"/>
      <c r="U179" s="10"/>
      <c r="V179" s="2"/>
      <c r="W179" s="7"/>
      <c r="X179" s="7"/>
      <c r="Y179" s="2"/>
      <c r="Z179" s="2"/>
      <c r="AA179" s="2"/>
    </row>
    <row r="180">
      <c r="A180" s="2"/>
      <c r="B180" s="2"/>
      <c r="C180" s="2"/>
      <c r="D180" s="2"/>
      <c r="E180" s="2"/>
      <c r="F180" s="2"/>
      <c r="G180" s="2"/>
      <c r="H180" s="2"/>
      <c r="I180" s="2"/>
      <c r="J180" s="2"/>
      <c r="K180" s="2"/>
      <c r="L180" s="2"/>
      <c r="M180" s="2"/>
      <c r="N180" s="2"/>
      <c r="O180" s="2"/>
      <c r="P180" s="2"/>
      <c r="Q180" s="2"/>
      <c r="R180" s="2"/>
      <c r="S180" s="7"/>
      <c r="T180" s="2"/>
      <c r="U180" s="10"/>
      <c r="V180" s="2"/>
      <c r="W180" s="7"/>
      <c r="X180" s="7"/>
      <c r="Y180" s="2"/>
      <c r="Z180" s="2"/>
      <c r="AA180" s="2"/>
    </row>
    <row r="181">
      <c r="A181" s="2"/>
      <c r="B181" s="2"/>
      <c r="C181" s="2"/>
      <c r="D181" s="2"/>
      <c r="E181" s="2"/>
      <c r="F181" s="2"/>
      <c r="G181" s="2"/>
      <c r="H181" s="2"/>
      <c r="I181" s="2"/>
      <c r="J181" s="2"/>
      <c r="K181" s="2"/>
      <c r="L181" s="2"/>
      <c r="M181" s="2"/>
      <c r="N181" s="2"/>
      <c r="O181" s="2"/>
      <c r="P181" s="2"/>
      <c r="Q181" s="2"/>
      <c r="R181" s="2"/>
      <c r="S181" s="7"/>
      <c r="T181" s="2"/>
      <c r="U181" s="10"/>
      <c r="V181" s="2"/>
      <c r="W181" s="7"/>
      <c r="X181" s="7"/>
      <c r="Y181" s="2"/>
      <c r="Z181" s="2"/>
      <c r="AA181" s="2"/>
    </row>
    <row r="182">
      <c r="A182" s="2"/>
      <c r="B182" s="2"/>
      <c r="C182" s="2"/>
      <c r="D182" s="2"/>
      <c r="E182" s="2"/>
      <c r="F182" s="2"/>
      <c r="G182" s="2"/>
      <c r="H182" s="2"/>
      <c r="I182" s="2"/>
      <c r="J182" s="2"/>
      <c r="K182" s="2"/>
      <c r="L182" s="2"/>
      <c r="M182" s="2"/>
      <c r="N182" s="2"/>
      <c r="O182" s="2"/>
      <c r="P182" s="2"/>
      <c r="Q182" s="2"/>
      <c r="R182" s="2"/>
      <c r="S182" s="7"/>
      <c r="T182" s="2"/>
      <c r="U182" s="10"/>
      <c r="V182" s="2"/>
      <c r="W182" s="7"/>
      <c r="X182" s="7"/>
      <c r="Y182" s="2"/>
      <c r="Z182" s="2"/>
      <c r="AA182" s="2"/>
    </row>
    <row r="183">
      <c r="A183" s="2"/>
      <c r="B183" s="2"/>
      <c r="C183" s="2"/>
      <c r="D183" s="2"/>
      <c r="E183" s="2"/>
      <c r="F183" s="2"/>
      <c r="G183" s="2"/>
      <c r="H183" s="2"/>
      <c r="I183" s="2"/>
      <c r="J183" s="2"/>
      <c r="K183" s="2"/>
      <c r="L183" s="2"/>
      <c r="M183" s="2"/>
      <c r="N183" s="2"/>
      <c r="O183" s="2"/>
      <c r="P183" s="2"/>
      <c r="Q183" s="2"/>
      <c r="R183" s="2"/>
      <c r="S183" s="7"/>
      <c r="T183" s="2"/>
      <c r="U183" s="10"/>
      <c r="V183" s="2"/>
      <c r="W183" s="7"/>
      <c r="X183" s="7"/>
      <c r="Y183" s="2"/>
      <c r="Z183" s="2"/>
      <c r="AA183" s="2"/>
    </row>
    <row r="184">
      <c r="A184" s="2"/>
      <c r="B184" s="2"/>
      <c r="C184" s="2"/>
      <c r="D184" s="2"/>
      <c r="E184" s="2"/>
      <c r="F184" s="2"/>
      <c r="G184" s="2"/>
      <c r="H184" s="2"/>
      <c r="I184" s="2"/>
      <c r="J184" s="2"/>
      <c r="K184" s="2"/>
      <c r="L184" s="2"/>
      <c r="M184" s="2"/>
      <c r="N184" s="2"/>
      <c r="O184" s="2"/>
      <c r="P184" s="2"/>
      <c r="Q184" s="2"/>
      <c r="R184" s="2"/>
      <c r="S184" s="7"/>
      <c r="T184" s="2"/>
      <c r="U184" s="10"/>
      <c r="V184" s="2"/>
      <c r="W184" s="7"/>
      <c r="X184" s="7"/>
      <c r="Y184" s="2"/>
      <c r="Z184" s="2"/>
      <c r="AA184" s="2"/>
    </row>
    <row r="185">
      <c r="A185" s="2"/>
      <c r="B185" s="2"/>
      <c r="C185" s="2"/>
      <c r="D185" s="2"/>
      <c r="E185" s="2"/>
      <c r="F185" s="2"/>
      <c r="G185" s="2"/>
      <c r="H185" s="2"/>
      <c r="I185" s="2"/>
      <c r="J185" s="2"/>
      <c r="K185" s="2"/>
      <c r="L185" s="2"/>
      <c r="M185" s="2"/>
      <c r="N185" s="2"/>
      <c r="O185" s="2"/>
      <c r="P185" s="2"/>
      <c r="Q185" s="2"/>
      <c r="R185" s="2"/>
      <c r="S185" s="7"/>
      <c r="T185" s="2"/>
      <c r="U185" s="10"/>
      <c r="V185" s="2"/>
      <c r="W185" s="7"/>
      <c r="X185" s="7"/>
      <c r="Y185" s="2"/>
      <c r="Z185" s="2"/>
      <c r="AA185" s="2"/>
    </row>
    <row r="186">
      <c r="A186" s="2"/>
      <c r="B186" s="2"/>
      <c r="C186" s="2"/>
      <c r="D186" s="2"/>
      <c r="E186" s="2"/>
      <c r="F186" s="2"/>
      <c r="G186" s="2"/>
      <c r="H186" s="2"/>
      <c r="I186" s="2"/>
      <c r="J186" s="2"/>
      <c r="K186" s="2"/>
      <c r="L186" s="2"/>
      <c r="M186" s="2"/>
      <c r="N186" s="2"/>
      <c r="O186" s="2"/>
      <c r="P186" s="2"/>
      <c r="Q186" s="2"/>
      <c r="R186" s="2"/>
      <c r="S186" s="7"/>
      <c r="T186" s="2"/>
      <c r="U186" s="10"/>
      <c r="V186" s="2"/>
      <c r="W186" s="7"/>
      <c r="X186" s="7"/>
      <c r="Y186" s="2"/>
      <c r="Z186" s="2"/>
      <c r="AA186" s="2"/>
    </row>
    <row r="187">
      <c r="A187" s="2"/>
      <c r="B187" s="2"/>
      <c r="C187" s="2"/>
      <c r="D187" s="2"/>
      <c r="E187" s="2"/>
      <c r="F187" s="2"/>
      <c r="G187" s="2"/>
      <c r="H187" s="2"/>
      <c r="I187" s="2"/>
      <c r="J187" s="2"/>
      <c r="K187" s="2"/>
      <c r="L187" s="2"/>
      <c r="M187" s="2"/>
      <c r="N187" s="2"/>
      <c r="O187" s="2"/>
      <c r="P187" s="2"/>
      <c r="Q187" s="2"/>
      <c r="R187" s="2"/>
      <c r="S187" s="7"/>
      <c r="T187" s="2"/>
      <c r="U187" s="10"/>
      <c r="V187" s="2"/>
      <c r="W187" s="7"/>
      <c r="X187" s="7"/>
      <c r="Y187" s="2"/>
      <c r="Z187" s="2"/>
      <c r="AA187" s="2"/>
    </row>
    <row r="188">
      <c r="A188" s="2"/>
      <c r="B188" s="2"/>
      <c r="C188" s="2"/>
      <c r="D188" s="2"/>
      <c r="E188" s="2"/>
      <c r="F188" s="2"/>
      <c r="G188" s="2"/>
      <c r="H188" s="2"/>
      <c r="I188" s="2"/>
      <c r="J188" s="2"/>
      <c r="K188" s="2"/>
      <c r="L188" s="2"/>
      <c r="M188" s="2"/>
      <c r="N188" s="2"/>
      <c r="O188" s="2"/>
      <c r="P188" s="2"/>
      <c r="Q188" s="2"/>
      <c r="R188" s="2"/>
      <c r="S188" s="7"/>
      <c r="T188" s="2"/>
      <c r="U188" s="10"/>
      <c r="V188" s="2"/>
      <c r="W188" s="7"/>
      <c r="X188" s="7"/>
      <c r="Y188" s="2"/>
      <c r="Z188" s="2"/>
      <c r="AA188" s="2"/>
    </row>
    <row r="189">
      <c r="A189" s="2"/>
      <c r="B189" s="2"/>
      <c r="C189" s="2"/>
      <c r="D189" s="2"/>
      <c r="E189" s="2"/>
      <c r="F189" s="2"/>
      <c r="G189" s="2"/>
      <c r="H189" s="2"/>
      <c r="I189" s="2"/>
      <c r="J189" s="2"/>
      <c r="K189" s="2"/>
      <c r="L189" s="2"/>
      <c r="M189" s="2"/>
      <c r="N189" s="2"/>
      <c r="O189" s="2"/>
      <c r="P189" s="2"/>
      <c r="Q189" s="2"/>
      <c r="R189" s="2"/>
      <c r="S189" s="7"/>
      <c r="T189" s="2"/>
      <c r="U189" s="10"/>
      <c r="V189" s="2"/>
      <c r="W189" s="7"/>
      <c r="X189" s="7"/>
      <c r="Y189" s="2"/>
      <c r="Z189" s="2"/>
      <c r="AA189" s="2"/>
    </row>
    <row r="190">
      <c r="A190" s="2"/>
      <c r="B190" s="2"/>
      <c r="C190" s="2"/>
      <c r="D190" s="2"/>
      <c r="E190" s="2"/>
      <c r="F190" s="2"/>
      <c r="G190" s="2"/>
      <c r="H190" s="2"/>
      <c r="I190" s="2"/>
      <c r="J190" s="2"/>
      <c r="K190" s="2"/>
      <c r="L190" s="2"/>
      <c r="M190" s="2"/>
      <c r="N190" s="2"/>
      <c r="O190" s="2"/>
      <c r="P190" s="2"/>
      <c r="Q190" s="2"/>
      <c r="R190" s="2"/>
      <c r="S190" s="7"/>
      <c r="T190" s="2"/>
      <c r="U190" s="10"/>
      <c r="V190" s="2"/>
      <c r="W190" s="7"/>
      <c r="X190" s="7"/>
      <c r="Y190" s="2"/>
      <c r="Z190" s="2"/>
      <c r="AA190" s="2"/>
    </row>
    <row r="191">
      <c r="A191" s="2"/>
      <c r="B191" s="2"/>
      <c r="C191" s="2"/>
      <c r="D191" s="2"/>
      <c r="E191" s="2"/>
      <c r="F191" s="2"/>
      <c r="G191" s="2"/>
      <c r="H191" s="2"/>
      <c r="I191" s="2"/>
      <c r="J191" s="2"/>
      <c r="K191" s="2"/>
      <c r="L191" s="2"/>
      <c r="M191" s="2"/>
      <c r="N191" s="2"/>
      <c r="O191" s="2"/>
      <c r="P191" s="2"/>
      <c r="Q191" s="2"/>
      <c r="R191" s="2"/>
      <c r="S191" s="7"/>
      <c r="T191" s="2"/>
      <c r="U191" s="10"/>
      <c r="V191" s="2"/>
      <c r="W191" s="7"/>
      <c r="X191" s="7"/>
      <c r="Y191" s="2"/>
      <c r="Z191" s="2"/>
      <c r="AA191" s="2"/>
    </row>
    <row r="192">
      <c r="A192" s="2"/>
      <c r="B192" s="2"/>
      <c r="C192" s="2"/>
      <c r="D192" s="2"/>
      <c r="E192" s="2"/>
      <c r="F192" s="2"/>
      <c r="G192" s="2"/>
      <c r="H192" s="2"/>
      <c r="I192" s="2"/>
      <c r="J192" s="2"/>
      <c r="K192" s="2"/>
      <c r="L192" s="2"/>
      <c r="M192" s="2"/>
      <c r="N192" s="2"/>
      <c r="O192" s="2"/>
      <c r="P192" s="2"/>
      <c r="Q192" s="2"/>
      <c r="R192" s="2"/>
      <c r="S192" s="7"/>
      <c r="T192" s="2"/>
      <c r="U192" s="10"/>
      <c r="V192" s="2"/>
      <c r="W192" s="7"/>
      <c r="X192" s="7"/>
      <c r="Y192" s="2"/>
      <c r="Z192" s="2"/>
      <c r="AA192" s="2"/>
    </row>
    <row r="193">
      <c r="A193" s="2"/>
      <c r="B193" s="2"/>
      <c r="C193" s="2"/>
      <c r="D193" s="2"/>
      <c r="E193" s="2"/>
      <c r="F193" s="2"/>
      <c r="G193" s="2"/>
      <c r="H193" s="2"/>
      <c r="I193" s="2"/>
      <c r="J193" s="2"/>
      <c r="K193" s="2"/>
      <c r="L193" s="2"/>
      <c r="M193" s="2"/>
      <c r="N193" s="2"/>
      <c r="O193" s="2"/>
      <c r="P193" s="2"/>
      <c r="Q193" s="2"/>
      <c r="R193" s="2"/>
      <c r="S193" s="7"/>
      <c r="T193" s="2"/>
      <c r="U193" s="10"/>
      <c r="V193" s="2"/>
      <c r="W193" s="7"/>
      <c r="X193" s="7"/>
      <c r="Y193" s="2"/>
      <c r="Z193" s="2"/>
      <c r="AA193" s="2"/>
    </row>
    <row r="194">
      <c r="A194" s="2"/>
      <c r="B194" s="2"/>
      <c r="C194" s="2"/>
      <c r="D194" s="2"/>
      <c r="E194" s="2"/>
      <c r="F194" s="2"/>
      <c r="G194" s="2"/>
      <c r="H194" s="2"/>
      <c r="I194" s="2"/>
      <c r="J194" s="2"/>
      <c r="K194" s="2"/>
      <c r="L194" s="2"/>
      <c r="M194" s="2"/>
      <c r="N194" s="2"/>
      <c r="O194" s="2"/>
      <c r="P194" s="2"/>
      <c r="Q194" s="2"/>
      <c r="R194" s="2"/>
      <c r="S194" s="7"/>
      <c r="T194" s="2"/>
      <c r="U194" s="10"/>
      <c r="V194" s="2"/>
      <c r="W194" s="7"/>
      <c r="X194" s="7"/>
      <c r="Y194" s="2"/>
      <c r="Z194" s="2"/>
      <c r="AA194" s="2"/>
    </row>
    <row r="195">
      <c r="A195" s="2"/>
      <c r="B195" s="2"/>
      <c r="C195" s="2"/>
      <c r="D195" s="2"/>
      <c r="E195" s="2"/>
      <c r="F195" s="2"/>
      <c r="G195" s="2"/>
      <c r="H195" s="2"/>
      <c r="I195" s="2"/>
      <c r="J195" s="2"/>
      <c r="K195" s="2"/>
      <c r="L195" s="2"/>
      <c r="M195" s="2"/>
      <c r="N195" s="2"/>
      <c r="O195" s="2"/>
      <c r="P195" s="2"/>
      <c r="Q195" s="2"/>
      <c r="R195" s="2"/>
      <c r="S195" s="7"/>
      <c r="T195" s="2"/>
      <c r="U195" s="10"/>
      <c r="V195" s="2"/>
      <c r="W195" s="7"/>
      <c r="X195" s="7"/>
      <c r="Y195" s="2"/>
      <c r="Z195" s="2"/>
      <c r="AA195" s="2"/>
    </row>
    <row r="196">
      <c r="A196" s="2"/>
      <c r="B196" s="2"/>
      <c r="C196" s="2"/>
      <c r="D196" s="2"/>
      <c r="E196" s="2"/>
      <c r="F196" s="2"/>
      <c r="G196" s="2"/>
      <c r="H196" s="2"/>
      <c r="I196" s="2"/>
      <c r="J196" s="2"/>
      <c r="K196" s="2"/>
      <c r="L196" s="2"/>
      <c r="M196" s="2"/>
      <c r="N196" s="2"/>
      <c r="O196" s="2"/>
      <c r="P196" s="2"/>
      <c r="Q196" s="2"/>
      <c r="R196" s="2"/>
      <c r="S196" s="7"/>
      <c r="T196" s="2"/>
      <c r="U196" s="10"/>
      <c r="V196" s="2"/>
      <c r="W196" s="7"/>
      <c r="X196" s="7"/>
      <c r="Y196" s="2"/>
      <c r="Z196" s="2"/>
      <c r="AA196" s="2"/>
    </row>
    <row r="197">
      <c r="A197" s="2"/>
      <c r="B197" s="2"/>
      <c r="C197" s="2"/>
      <c r="D197" s="2"/>
      <c r="E197" s="2"/>
      <c r="F197" s="2"/>
      <c r="G197" s="2"/>
      <c r="H197" s="2"/>
      <c r="I197" s="2"/>
      <c r="J197" s="2"/>
      <c r="K197" s="2"/>
      <c r="L197" s="2"/>
      <c r="M197" s="2"/>
      <c r="N197" s="2"/>
      <c r="O197" s="2"/>
      <c r="P197" s="2"/>
      <c r="Q197" s="2"/>
      <c r="R197" s="2"/>
      <c r="S197" s="7"/>
      <c r="T197" s="2"/>
      <c r="U197" s="10"/>
      <c r="V197" s="2"/>
      <c r="W197" s="7"/>
      <c r="X197" s="7"/>
      <c r="Y197" s="2"/>
      <c r="Z197" s="2"/>
      <c r="AA197" s="2"/>
    </row>
    <row r="198">
      <c r="A198" s="2"/>
      <c r="B198" s="2"/>
      <c r="C198" s="2"/>
      <c r="D198" s="2"/>
      <c r="E198" s="2"/>
      <c r="F198" s="2"/>
      <c r="G198" s="2"/>
      <c r="H198" s="2"/>
      <c r="I198" s="2"/>
      <c r="J198" s="2"/>
      <c r="K198" s="2"/>
      <c r="L198" s="2"/>
      <c r="M198" s="2"/>
      <c r="N198" s="2"/>
      <c r="O198" s="2"/>
      <c r="P198" s="2"/>
      <c r="Q198" s="2"/>
      <c r="R198" s="2"/>
      <c r="S198" s="7"/>
      <c r="T198" s="2"/>
      <c r="U198" s="10"/>
      <c r="V198" s="2"/>
      <c r="W198" s="7"/>
      <c r="X198" s="7"/>
      <c r="Y198" s="2"/>
      <c r="Z198" s="2"/>
      <c r="AA198" s="2"/>
    </row>
    <row r="199">
      <c r="A199" s="2"/>
      <c r="B199" s="2"/>
      <c r="C199" s="2"/>
      <c r="D199" s="2"/>
      <c r="E199" s="2"/>
      <c r="F199" s="2"/>
      <c r="G199" s="2"/>
      <c r="H199" s="2"/>
      <c r="I199" s="2"/>
      <c r="J199" s="2"/>
      <c r="K199" s="2"/>
      <c r="L199" s="2"/>
      <c r="M199" s="2"/>
      <c r="N199" s="2"/>
      <c r="O199" s="2"/>
      <c r="P199" s="2"/>
      <c r="Q199" s="2"/>
      <c r="R199" s="2"/>
      <c r="S199" s="7"/>
      <c r="T199" s="2"/>
      <c r="U199" s="10"/>
      <c r="V199" s="2"/>
      <c r="W199" s="7"/>
      <c r="X199" s="7"/>
      <c r="Y199" s="2"/>
      <c r="Z199" s="2"/>
      <c r="AA199" s="2"/>
    </row>
    <row r="200">
      <c r="A200" s="2"/>
      <c r="B200" s="2"/>
      <c r="C200" s="2"/>
      <c r="D200" s="2"/>
      <c r="E200" s="2"/>
      <c r="F200" s="2"/>
      <c r="G200" s="2"/>
      <c r="H200" s="2"/>
      <c r="I200" s="2"/>
      <c r="J200" s="2"/>
      <c r="K200" s="2"/>
      <c r="L200" s="2"/>
      <c r="M200" s="2"/>
      <c r="N200" s="2"/>
      <c r="O200" s="2"/>
      <c r="P200" s="2"/>
      <c r="Q200" s="2"/>
      <c r="R200" s="2"/>
      <c r="S200" s="7"/>
      <c r="T200" s="2"/>
      <c r="U200" s="10"/>
      <c r="V200" s="2"/>
      <c r="W200" s="7"/>
      <c r="X200" s="7"/>
      <c r="Y200" s="2"/>
      <c r="Z200" s="2"/>
      <c r="AA200" s="2"/>
    </row>
    <row r="201">
      <c r="A201" s="2"/>
      <c r="B201" s="2"/>
      <c r="C201" s="2"/>
      <c r="D201" s="2"/>
      <c r="E201" s="2"/>
      <c r="F201" s="2"/>
      <c r="G201" s="2"/>
      <c r="H201" s="2"/>
      <c r="I201" s="2"/>
      <c r="J201" s="2"/>
      <c r="K201" s="2"/>
      <c r="L201" s="2"/>
      <c r="M201" s="2"/>
      <c r="N201" s="2"/>
      <c r="O201" s="2"/>
      <c r="P201" s="2"/>
      <c r="Q201" s="2"/>
      <c r="R201" s="2"/>
      <c r="S201" s="7"/>
      <c r="T201" s="2"/>
      <c r="U201" s="10"/>
      <c r="V201" s="2"/>
      <c r="W201" s="7"/>
      <c r="X201" s="7"/>
      <c r="Y201" s="2"/>
      <c r="Z201" s="2"/>
      <c r="AA201" s="2"/>
    </row>
    <row r="202">
      <c r="A202" s="2"/>
      <c r="B202" s="2"/>
      <c r="C202" s="2"/>
      <c r="D202" s="2"/>
      <c r="E202" s="2"/>
      <c r="F202" s="2"/>
      <c r="G202" s="2"/>
      <c r="H202" s="2"/>
      <c r="I202" s="2"/>
      <c r="J202" s="2"/>
      <c r="K202" s="2"/>
      <c r="L202" s="2"/>
      <c r="M202" s="2"/>
      <c r="N202" s="2"/>
      <c r="O202" s="2"/>
      <c r="P202" s="2"/>
      <c r="Q202" s="2"/>
      <c r="R202" s="2"/>
      <c r="S202" s="7"/>
      <c r="T202" s="2"/>
      <c r="U202" s="10"/>
      <c r="V202" s="2"/>
      <c r="W202" s="7"/>
      <c r="X202" s="7"/>
      <c r="Y202" s="2"/>
      <c r="Z202" s="2"/>
      <c r="AA202" s="2"/>
    </row>
    <row r="203">
      <c r="A203" s="2"/>
      <c r="B203" s="2"/>
      <c r="C203" s="2"/>
      <c r="D203" s="2"/>
      <c r="E203" s="2"/>
      <c r="F203" s="2"/>
      <c r="G203" s="2"/>
      <c r="H203" s="2"/>
      <c r="I203" s="2"/>
      <c r="J203" s="2"/>
      <c r="K203" s="2"/>
      <c r="L203" s="2"/>
      <c r="M203" s="2"/>
      <c r="N203" s="2"/>
      <c r="O203" s="2"/>
      <c r="P203" s="2"/>
      <c r="Q203" s="2"/>
      <c r="R203" s="2"/>
      <c r="S203" s="7"/>
      <c r="T203" s="2"/>
      <c r="U203" s="10"/>
      <c r="V203" s="2"/>
      <c r="W203" s="7"/>
      <c r="X203" s="7"/>
      <c r="Y203" s="2"/>
      <c r="Z203" s="2"/>
      <c r="AA203" s="2"/>
    </row>
    <row r="204">
      <c r="A204" s="2"/>
      <c r="B204" s="2"/>
      <c r="C204" s="2"/>
      <c r="D204" s="2"/>
      <c r="E204" s="2"/>
      <c r="F204" s="2"/>
      <c r="G204" s="2"/>
      <c r="H204" s="2"/>
      <c r="I204" s="2"/>
      <c r="J204" s="2"/>
      <c r="K204" s="2"/>
      <c r="L204" s="2"/>
      <c r="M204" s="2"/>
      <c r="N204" s="2"/>
      <c r="O204" s="2"/>
      <c r="P204" s="2"/>
      <c r="Q204" s="2"/>
      <c r="R204" s="2"/>
      <c r="S204" s="7"/>
      <c r="T204" s="2"/>
      <c r="U204" s="10"/>
      <c r="V204" s="2"/>
      <c r="W204" s="7"/>
      <c r="X204" s="7"/>
      <c r="Y204" s="2"/>
      <c r="Z204" s="2"/>
      <c r="AA204" s="2"/>
    </row>
    <row r="205">
      <c r="A205" s="2"/>
      <c r="B205" s="2"/>
      <c r="C205" s="2"/>
      <c r="D205" s="2"/>
      <c r="E205" s="2"/>
      <c r="F205" s="2"/>
      <c r="G205" s="2"/>
      <c r="H205" s="2"/>
      <c r="I205" s="2"/>
      <c r="J205" s="2"/>
      <c r="K205" s="2"/>
      <c r="L205" s="2"/>
      <c r="M205" s="2"/>
      <c r="N205" s="2"/>
      <c r="O205" s="2"/>
      <c r="P205" s="2"/>
      <c r="Q205" s="2"/>
      <c r="R205" s="2"/>
      <c r="S205" s="7"/>
      <c r="T205" s="2"/>
      <c r="U205" s="10"/>
      <c r="V205" s="2"/>
      <c r="W205" s="7"/>
      <c r="X205" s="7"/>
      <c r="Y205" s="2"/>
      <c r="Z205" s="2"/>
      <c r="AA205" s="2"/>
    </row>
    <row r="206">
      <c r="A206" s="2"/>
      <c r="B206" s="2"/>
      <c r="C206" s="2"/>
      <c r="D206" s="2"/>
      <c r="E206" s="2"/>
      <c r="F206" s="2"/>
      <c r="G206" s="2"/>
      <c r="H206" s="2"/>
      <c r="I206" s="2"/>
      <c r="J206" s="2"/>
      <c r="K206" s="2"/>
      <c r="L206" s="2"/>
      <c r="M206" s="2"/>
      <c r="N206" s="2"/>
      <c r="O206" s="2"/>
      <c r="P206" s="2"/>
      <c r="Q206" s="2"/>
      <c r="R206" s="2"/>
      <c r="S206" s="7"/>
      <c r="T206" s="2"/>
      <c r="U206" s="10"/>
      <c r="V206" s="2"/>
      <c r="W206" s="7"/>
      <c r="X206" s="7"/>
      <c r="Y206" s="2"/>
      <c r="Z206" s="2"/>
      <c r="AA206" s="2"/>
    </row>
    <row r="207">
      <c r="A207" s="2"/>
      <c r="B207" s="2"/>
      <c r="C207" s="2"/>
      <c r="D207" s="2"/>
      <c r="E207" s="2"/>
      <c r="F207" s="2"/>
      <c r="G207" s="2"/>
      <c r="H207" s="2"/>
      <c r="I207" s="2"/>
      <c r="J207" s="2"/>
      <c r="K207" s="2"/>
      <c r="L207" s="2"/>
      <c r="M207" s="2"/>
      <c r="N207" s="2"/>
      <c r="O207" s="2"/>
      <c r="P207" s="2"/>
      <c r="Q207" s="2"/>
      <c r="R207" s="2"/>
      <c r="S207" s="7"/>
      <c r="T207" s="2"/>
      <c r="U207" s="10"/>
      <c r="V207" s="2"/>
      <c r="W207" s="7"/>
      <c r="X207" s="7"/>
      <c r="Y207" s="2"/>
      <c r="Z207" s="2"/>
      <c r="AA207" s="2"/>
    </row>
    <row r="208">
      <c r="A208" s="2"/>
      <c r="B208" s="2"/>
      <c r="C208" s="2"/>
      <c r="D208" s="2"/>
      <c r="E208" s="2"/>
      <c r="F208" s="2"/>
      <c r="G208" s="2"/>
      <c r="H208" s="2"/>
      <c r="I208" s="2"/>
      <c r="J208" s="2"/>
      <c r="K208" s="2"/>
      <c r="L208" s="2"/>
      <c r="M208" s="2"/>
      <c r="N208" s="2"/>
      <c r="O208" s="2"/>
      <c r="P208" s="2"/>
      <c r="Q208" s="2"/>
      <c r="R208" s="2"/>
      <c r="S208" s="7"/>
      <c r="T208" s="2"/>
      <c r="U208" s="10"/>
      <c r="V208" s="2"/>
      <c r="W208" s="7"/>
      <c r="X208" s="7"/>
      <c r="Y208" s="2"/>
      <c r="Z208" s="2"/>
      <c r="AA208" s="2"/>
    </row>
    <row r="209">
      <c r="A209" s="2"/>
      <c r="B209" s="2"/>
      <c r="C209" s="2"/>
      <c r="D209" s="2"/>
      <c r="E209" s="2"/>
      <c r="F209" s="2"/>
      <c r="G209" s="2"/>
      <c r="H209" s="2"/>
      <c r="I209" s="2"/>
      <c r="J209" s="2"/>
      <c r="K209" s="2"/>
      <c r="L209" s="2"/>
      <c r="M209" s="2"/>
      <c r="N209" s="2"/>
      <c r="O209" s="2"/>
      <c r="P209" s="2"/>
      <c r="Q209" s="2"/>
      <c r="R209" s="2"/>
      <c r="S209" s="7"/>
      <c r="T209" s="2"/>
      <c r="U209" s="10"/>
      <c r="V209" s="2"/>
      <c r="W209" s="7"/>
      <c r="X209" s="7"/>
      <c r="Y209" s="2"/>
      <c r="Z209" s="2"/>
      <c r="AA209" s="2"/>
    </row>
    <row r="210">
      <c r="A210" s="2"/>
      <c r="B210" s="2"/>
      <c r="C210" s="2"/>
      <c r="D210" s="2"/>
      <c r="E210" s="2"/>
      <c r="F210" s="2"/>
      <c r="G210" s="2"/>
      <c r="H210" s="2"/>
      <c r="I210" s="2"/>
      <c r="J210" s="2"/>
      <c r="K210" s="2"/>
      <c r="L210" s="2"/>
      <c r="M210" s="2"/>
      <c r="N210" s="2"/>
      <c r="O210" s="2"/>
      <c r="P210" s="2"/>
      <c r="Q210" s="2"/>
      <c r="R210" s="2"/>
      <c r="S210" s="7"/>
      <c r="T210" s="2"/>
      <c r="U210" s="10"/>
      <c r="V210" s="2"/>
      <c r="W210" s="7"/>
      <c r="X210" s="7"/>
      <c r="Y210" s="2"/>
      <c r="Z210" s="2"/>
      <c r="AA210" s="2"/>
    </row>
    <row r="211">
      <c r="A211" s="2"/>
      <c r="B211" s="2"/>
      <c r="C211" s="2"/>
      <c r="D211" s="2"/>
      <c r="E211" s="2"/>
      <c r="F211" s="2"/>
      <c r="G211" s="2"/>
      <c r="H211" s="2"/>
      <c r="I211" s="2"/>
      <c r="J211" s="2"/>
      <c r="K211" s="2"/>
      <c r="L211" s="2"/>
      <c r="M211" s="2"/>
      <c r="N211" s="2"/>
      <c r="O211" s="2"/>
      <c r="P211" s="2"/>
      <c r="Q211" s="2"/>
      <c r="R211" s="2"/>
      <c r="S211" s="7"/>
      <c r="T211" s="2"/>
      <c r="U211" s="10"/>
      <c r="V211" s="2"/>
      <c r="W211" s="7"/>
      <c r="X211" s="7"/>
      <c r="Y211" s="2"/>
      <c r="Z211" s="2"/>
      <c r="AA211" s="2"/>
    </row>
    <row r="212">
      <c r="A212" s="2"/>
      <c r="B212" s="2"/>
      <c r="C212" s="2"/>
      <c r="D212" s="2"/>
      <c r="E212" s="2"/>
      <c r="F212" s="2"/>
      <c r="G212" s="2"/>
      <c r="H212" s="2"/>
      <c r="I212" s="2"/>
      <c r="J212" s="2"/>
      <c r="K212" s="2"/>
      <c r="L212" s="2"/>
      <c r="M212" s="2"/>
      <c r="N212" s="2"/>
      <c r="O212" s="2"/>
      <c r="P212" s="2"/>
      <c r="Q212" s="2"/>
      <c r="R212" s="2"/>
      <c r="S212" s="7"/>
      <c r="T212" s="2"/>
      <c r="U212" s="10"/>
      <c r="V212" s="2"/>
      <c r="W212" s="7"/>
      <c r="X212" s="7"/>
      <c r="Y212" s="2"/>
      <c r="Z212" s="2"/>
      <c r="AA212" s="2"/>
    </row>
    <row r="213">
      <c r="A213" s="2"/>
      <c r="B213" s="2"/>
      <c r="C213" s="2"/>
      <c r="D213" s="2"/>
      <c r="E213" s="2"/>
      <c r="F213" s="2"/>
      <c r="G213" s="2"/>
      <c r="H213" s="2"/>
      <c r="I213" s="2"/>
      <c r="J213" s="2"/>
      <c r="K213" s="2"/>
      <c r="L213" s="2"/>
      <c r="M213" s="2"/>
      <c r="N213" s="2"/>
      <c r="O213" s="2"/>
      <c r="P213" s="2"/>
      <c r="Q213" s="2"/>
      <c r="R213" s="2"/>
      <c r="S213" s="7"/>
      <c r="T213" s="2"/>
      <c r="U213" s="10"/>
      <c r="V213" s="2"/>
      <c r="W213" s="7"/>
      <c r="X213" s="7"/>
      <c r="Y213" s="2"/>
      <c r="Z213" s="2"/>
      <c r="AA213" s="2"/>
    </row>
    <row r="214">
      <c r="A214" s="2"/>
      <c r="B214" s="2"/>
      <c r="C214" s="2"/>
      <c r="D214" s="2"/>
      <c r="E214" s="2"/>
      <c r="F214" s="2"/>
      <c r="G214" s="2"/>
      <c r="H214" s="2"/>
      <c r="I214" s="2"/>
      <c r="J214" s="2"/>
      <c r="K214" s="2"/>
      <c r="L214" s="2"/>
      <c r="M214" s="2"/>
      <c r="N214" s="2"/>
      <c r="O214" s="2"/>
      <c r="P214" s="2"/>
      <c r="Q214" s="2"/>
      <c r="R214" s="2"/>
      <c r="S214" s="7"/>
      <c r="T214" s="2"/>
      <c r="U214" s="10"/>
      <c r="V214" s="2"/>
      <c r="W214" s="7"/>
      <c r="X214" s="7"/>
      <c r="Y214" s="2"/>
      <c r="Z214" s="2"/>
      <c r="AA214" s="2"/>
    </row>
    <row r="215">
      <c r="A215" s="2"/>
      <c r="B215" s="2"/>
      <c r="C215" s="2"/>
      <c r="D215" s="2"/>
      <c r="E215" s="2"/>
      <c r="F215" s="2"/>
      <c r="G215" s="2"/>
      <c r="H215" s="2"/>
      <c r="I215" s="2"/>
      <c r="J215" s="2"/>
      <c r="K215" s="2"/>
      <c r="L215" s="2"/>
      <c r="M215" s="2"/>
      <c r="N215" s="2"/>
      <c r="O215" s="2"/>
      <c r="P215" s="2"/>
      <c r="Q215" s="2"/>
      <c r="R215" s="2"/>
      <c r="S215" s="7"/>
      <c r="T215" s="2"/>
      <c r="U215" s="10"/>
      <c r="V215" s="2"/>
      <c r="W215" s="7"/>
      <c r="X215" s="7"/>
      <c r="Y215" s="2"/>
      <c r="Z215" s="2"/>
      <c r="AA215" s="2"/>
    </row>
    <row r="216">
      <c r="A216" s="2"/>
      <c r="B216" s="2"/>
      <c r="C216" s="2"/>
      <c r="D216" s="2"/>
      <c r="E216" s="2"/>
      <c r="F216" s="2"/>
      <c r="G216" s="2"/>
      <c r="H216" s="2"/>
      <c r="I216" s="2"/>
      <c r="J216" s="2"/>
      <c r="K216" s="2"/>
      <c r="L216" s="2"/>
      <c r="M216" s="2"/>
      <c r="N216" s="2"/>
      <c r="O216" s="2"/>
      <c r="P216" s="2"/>
      <c r="Q216" s="2"/>
      <c r="R216" s="2"/>
      <c r="S216" s="7"/>
      <c r="T216" s="2"/>
      <c r="U216" s="10"/>
      <c r="V216" s="2"/>
      <c r="W216" s="7"/>
      <c r="X216" s="7"/>
      <c r="Y216" s="2"/>
      <c r="Z216" s="2"/>
      <c r="AA216" s="2"/>
    </row>
    <row r="217">
      <c r="A217" s="2"/>
      <c r="B217" s="2"/>
      <c r="C217" s="2"/>
      <c r="D217" s="2"/>
      <c r="E217" s="2"/>
      <c r="F217" s="2"/>
      <c r="G217" s="2"/>
      <c r="H217" s="2"/>
      <c r="I217" s="2"/>
      <c r="J217" s="2"/>
      <c r="K217" s="2"/>
      <c r="L217" s="2"/>
      <c r="M217" s="2"/>
      <c r="N217" s="2"/>
      <c r="O217" s="2"/>
      <c r="P217" s="2"/>
      <c r="Q217" s="2"/>
      <c r="R217" s="2"/>
      <c r="S217" s="7"/>
      <c r="T217" s="2"/>
      <c r="U217" s="10"/>
      <c r="V217" s="2"/>
      <c r="W217" s="7"/>
      <c r="X217" s="7"/>
      <c r="Y217" s="2"/>
      <c r="Z217" s="2"/>
      <c r="AA217" s="2"/>
    </row>
    <row r="218">
      <c r="A218" s="2"/>
      <c r="B218" s="2"/>
      <c r="C218" s="2"/>
      <c r="D218" s="2"/>
      <c r="E218" s="2"/>
      <c r="F218" s="2"/>
      <c r="G218" s="2"/>
      <c r="H218" s="2"/>
      <c r="I218" s="2"/>
      <c r="J218" s="2"/>
      <c r="K218" s="2"/>
      <c r="L218" s="2"/>
      <c r="M218" s="2"/>
      <c r="N218" s="2"/>
      <c r="O218" s="2"/>
      <c r="P218" s="2"/>
      <c r="Q218" s="2"/>
      <c r="R218" s="2"/>
      <c r="S218" s="7"/>
      <c r="T218" s="2"/>
      <c r="U218" s="10"/>
      <c r="V218" s="2"/>
      <c r="W218" s="7"/>
      <c r="X218" s="7"/>
      <c r="Y218" s="2"/>
      <c r="Z218" s="2"/>
      <c r="AA218" s="2"/>
    </row>
    <row r="219">
      <c r="A219" s="2"/>
      <c r="B219" s="2"/>
      <c r="C219" s="2"/>
      <c r="D219" s="2"/>
      <c r="E219" s="2"/>
      <c r="F219" s="2"/>
      <c r="G219" s="2"/>
      <c r="H219" s="2"/>
      <c r="I219" s="2"/>
      <c r="J219" s="2"/>
      <c r="K219" s="2"/>
      <c r="L219" s="2"/>
      <c r="M219" s="2"/>
      <c r="N219" s="2"/>
      <c r="O219" s="2"/>
      <c r="P219" s="2"/>
      <c r="Q219" s="2"/>
      <c r="R219" s="2"/>
      <c r="S219" s="7"/>
      <c r="T219" s="2"/>
      <c r="U219" s="10"/>
      <c r="V219" s="2"/>
      <c r="W219" s="7"/>
      <c r="X219" s="7"/>
      <c r="Y219" s="2"/>
      <c r="Z219" s="2"/>
      <c r="AA219" s="2"/>
    </row>
    <row r="220">
      <c r="A220" s="2"/>
      <c r="B220" s="2"/>
      <c r="C220" s="2"/>
      <c r="D220" s="2"/>
      <c r="E220" s="2"/>
      <c r="F220" s="2"/>
      <c r="G220" s="2"/>
      <c r="H220" s="2"/>
      <c r="I220" s="2"/>
      <c r="J220" s="2"/>
      <c r="K220" s="2"/>
      <c r="L220" s="2"/>
      <c r="M220" s="2"/>
      <c r="N220" s="2"/>
      <c r="O220" s="2"/>
      <c r="P220" s="2"/>
      <c r="Q220" s="2"/>
      <c r="R220" s="2"/>
      <c r="S220" s="7"/>
      <c r="T220" s="2"/>
      <c r="U220" s="10"/>
      <c r="V220" s="2"/>
      <c r="W220" s="7"/>
      <c r="X220" s="7"/>
      <c r="Y220" s="2"/>
      <c r="Z220" s="2"/>
      <c r="AA220" s="2"/>
    </row>
    <row r="221">
      <c r="A221" s="2"/>
      <c r="B221" s="2"/>
      <c r="C221" s="2"/>
      <c r="D221" s="2"/>
      <c r="E221" s="2"/>
      <c r="F221" s="2"/>
      <c r="G221" s="2"/>
      <c r="H221" s="2"/>
      <c r="I221" s="2"/>
      <c r="J221" s="2"/>
      <c r="K221" s="2"/>
      <c r="L221" s="2"/>
      <c r="M221" s="2"/>
      <c r="N221" s="2"/>
      <c r="O221" s="2"/>
      <c r="P221" s="2"/>
      <c r="Q221" s="2"/>
      <c r="R221" s="2"/>
      <c r="S221" s="7"/>
      <c r="T221" s="2"/>
      <c r="U221" s="10"/>
      <c r="V221" s="2"/>
      <c r="W221" s="7"/>
      <c r="X221" s="7"/>
      <c r="Y221" s="2"/>
      <c r="Z221" s="2"/>
      <c r="AA221" s="2"/>
    </row>
    <row r="222">
      <c r="A222" s="2"/>
      <c r="B222" s="2"/>
      <c r="C222" s="2"/>
      <c r="D222" s="2"/>
      <c r="E222" s="2"/>
      <c r="F222" s="2"/>
      <c r="G222" s="2"/>
      <c r="H222" s="2"/>
      <c r="I222" s="2"/>
      <c r="J222" s="2"/>
      <c r="K222" s="2"/>
      <c r="L222" s="2"/>
      <c r="M222" s="2"/>
      <c r="N222" s="2"/>
      <c r="O222" s="2"/>
      <c r="P222" s="2"/>
      <c r="Q222" s="2"/>
      <c r="R222" s="2"/>
      <c r="S222" s="7"/>
      <c r="T222" s="2"/>
      <c r="U222" s="10"/>
      <c r="V222" s="2"/>
      <c r="W222" s="7"/>
      <c r="X222" s="7"/>
      <c r="Y222" s="2"/>
      <c r="Z222" s="2"/>
      <c r="AA222" s="2"/>
    </row>
    <row r="223">
      <c r="A223" s="2"/>
      <c r="B223" s="2"/>
      <c r="C223" s="2"/>
      <c r="D223" s="2"/>
      <c r="E223" s="2"/>
      <c r="F223" s="2"/>
      <c r="G223" s="2"/>
      <c r="H223" s="2"/>
      <c r="I223" s="2"/>
      <c r="J223" s="2"/>
      <c r="K223" s="2"/>
      <c r="L223" s="2"/>
      <c r="M223" s="2"/>
      <c r="N223" s="2"/>
      <c r="O223" s="2"/>
      <c r="P223" s="2"/>
      <c r="Q223" s="2"/>
      <c r="R223" s="2"/>
      <c r="S223" s="7"/>
      <c r="T223" s="2"/>
      <c r="U223" s="10"/>
      <c r="V223" s="2"/>
      <c r="W223" s="7"/>
      <c r="X223" s="7"/>
      <c r="Y223" s="2"/>
      <c r="Z223" s="2"/>
      <c r="AA223" s="2"/>
    </row>
    <row r="224">
      <c r="A224" s="2"/>
      <c r="B224" s="2"/>
      <c r="C224" s="2"/>
      <c r="D224" s="2"/>
      <c r="E224" s="2"/>
      <c r="F224" s="2"/>
      <c r="G224" s="2"/>
      <c r="H224" s="2"/>
      <c r="I224" s="2"/>
      <c r="J224" s="2"/>
      <c r="K224" s="2"/>
      <c r="L224" s="2"/>
      <c r="M224" s="2"/>
      <c r="N224" s="2"/>
      <c r="O224" s="2"/>
      <c r="P224" s="2"/>
      <c r="Q224" s="2"/>
      <c r="R224" s="2"/>
      <c r="S224" s="7"/>
      <c r="T224" s="2"/>
      <c r="U224" s="10"/>
      <c r="V224" s="2"/>
      <c r="W224" s="7"/>
      <c r="X224" s="7"/>
      <c r="Y224" s="2"/>
      <c r="Z224" s="2"/>
      <c r="AA224" s="2"/>
    </row>
    <row r="225">
      <c r="A225" s="2"/>
      <c r="B225" s="2"/>
      <c r="C225" s="2"/>
      <c r="D225" s="2"/>
      <c r="E225" s="2"/>
      <c r="F225" s="2"/>
      <c r="G225" s="2"/>
      <c r="H225" s="2"/>
      <c r="I225" s="2"/>
      <c r="J225" s="2"/>
      <c r="K225" s="2"/>
      <c r="L225" s="2"/>
      <c r="M225" s="2"/>
      <c r="N225" s="2"/>
      <c r="O225" s="2"/>
      <c r="P225" s="2"/>
      <c r="Q225" s="2"/>
      <c r="R225" s="2"/>
      <c r="S225" s="7"/>
      <c r="T225" s="2"/>
      <c r="U225" s="10"/>
      <c r="V225" s="2"/>
      <c r="W225" s="7"/>
      <c r="X225" s="7"/>
      <c r="Y225" s="2"/>
      <c r="Z225" s="2"/>
      <c r="AA225" s="2"/>
    </row>
    <row r="226">
      <c r="A226" s="2"/>
      <c r="B226" s="2"/>
      <c r="C226" s="2"/>
      <c r="D226" s="2"/>
      <c r="E226" s="2"/>
      <c r="F226" s="2"/>
      <c r="G226" s="2"/>
      <c r="H226" s="2"/>
      <c r="I226" s="2"/>
      <c r="J226" s="2"/>
      <c r="K226" s="2"/>
      <c r="L226" s="2"/>
      <c r="M226" s="2"/>
      <c r="N226" s="2"/>
      <c r="O226" s="2"/>
      <c r="P226" s="2"/>
      <c r="Q226" s="2"/>
      <c r="R226" s="2"/>
      <c r="S226" s="7"/>
      <c r="T226" s="2"/>
      <c r="U226" s="10"/>
      <c r="V226" s="2"/>
      <c r="W226" s="7"/>
      <c r="X226" s="7"/>
      <c r="Y226" s="2"/>
      <c r="Z226" s="2"/>
      <c r="AA226" s="2"/>
    </row>
    <row r="227">
      <c r="A227" s="2"/>
      <c r="B227" s="2"/>
      <c r="C227" s="2"/>
      <c r="D227" s="2"/>
      <c r="E227" s="2"/>
      <c r="F227" s="2"/>
      <c r="G227" s="2"/>
      <c r="H227" s="2"/>
      <c r="I227" s="2"/>
      <c r="J227" s="2"/>
      <c r="K227" s="2"/>
      <c r="L227" s="2"/>
      <c r="M227" s="2"/>
      <c r="N227" s="2"/>
      <c r="O227" s="2"/>
      <c r="P227" s="2"/>
      <c r="Q227" s="2"/>
      <c r="R227" s="2"/>
      <c r="S227" s="7"/>
      <c r="T227" s="2"/>
      <c r="U227" s="10"/>
      <c r="V227" s="2"/>
      <c r="W227" s="7"/>
      <c r="X227" s="7"/>
      <c r="Y227" s="2"/>
      <c r="Z227" s="2"/>
      <c r="AA227" s="2"/>
    </row>
    <row r="228">
      <c r="A228" s="2"/>
      <c r="B228" s="2"/>
      <c r="C228" s="2"/>
      <c r="D228" s="2"/>
      <c r="E228" s="2"/>
      <c r="F228" s="2"/>
      <c r="G228" s="2"/>
      <c r="H228" s="2"/>
      <c r="I228" s="2"/>
      <c r="J228" s="2"/>
      <c r="K228" s="2"/>
      <c r="L228" s="2"/>
      <c r="M228" s="2"/>
      <c r="N228" s="2"/>
      <c r="O228" s="2"/>
      <c r="P228" s="2"/>
      <c r="Q228" s="2"/>
      <c r="R228" s="2"/>
      <c r="S228" s="7"/>
      <c r="T228" s="2"/>
      <c r="U228" s="10"/>
      <c r="V228" s="2"/>
      <c r="W228" s="7"/>
      <c r="X228" s="7"/>
      <c r="Y228" s="2"/>
      <c r="Z228" s="2"/>
      <c r="AA228" s="2"/>
    </row>
    <row r="229">
      <c r="A229" s="2"/>
      <c r="B229" s="2"/>
      <c r="C229" s="2"/>
      <c r="D229" s="2"/>
      <c r="E229" s="2"/>
      <c r="F229" s="2"/>
      <c r="G229" s="2"/>
      <c r="H229" s="2"/>
      <c r="I229" s="2"/>
      <c r="J229" s="2"/>
      <c r="K229" s="2"/>
      <c r="L229" s="2"/>
      <c r="M229" s="2"/>
      <c r="N229" s="2"/>
      <c r="O229" s="2"/>
      <c r="P229" s="2"/>
      <c r="Q229" s="2"/>
      <c r="R229" s="2"/>
      <c r="S229" s="7"/>
      <c r="T229" s="2"/>
      <c r="U229" s="10"/>
      <c r="V229" s="2"/>
      <c r="W229" s="7"/>
      <c r="X229" s="7"/>
      <c r="Y229" s="2"/>
      <c r="Z229" s="2"/>
      <c r="AA229" s="2"/>
    </row>
    <row r="230">
      <c r="A230" s="2"/>
      <c r="B230" s="2"/>
      <c r="C230" s="2"/>
      <c r="D230" s="2"/>
      <c r="E230" s="2"/>
      <c r="F230" s="2"/>
      <c r="G230" s="2"/>
      <c r="H230" s="2"/>
      <c r="I230" s="2"/>
      <c r="J230" s="2"/>
      <c r="K230" s="2"/>
      <c r="L230" s="2"/>
      <c r="M230" s="2"/>
      <c r="N230" s="2"/>
      <c r="O230" s="2"/>
      <c r="P230" s="2"/>
      <c r="Q230" s="2"/>
      <c r="R230" s="2"/>
      <c r="S230" s="7"/>
      <c r="T230" s="2"/>
      <c r="U230" s="10"/>
      <c r="V230" s="2"/>
      <c r="W230" s="7"/>
      <c r="X230" s="7"/>
      <c r="Y230" s="2"/>
      <c r="Z230" s="2"/>
      <c r="AA230" s="2"/>
    </row>
    <row r="231">
      <c r="A231" s="2"/>
      <c r="B231" s="2"/>
      <c r="C231" s="2"/>
      <c r="D231" s="2"/>
      <c r="E231" s="2"/>
      <c r="F231" s="2"/>
      <c r="G231" s="2"/>
      <c r="H231" s="2"/>
      <c r="I231" s="2"/>
      <c r="J231" s="2"/>
      <c r="K231" s="2"/>
      <c r="L231" s="2"/>
      <c r="M231" s="2"/>
      <c r="N231" s="2"/>
      <c r="O231" s="2"/>
      <c r="P231" s="2"/>
      <c r="Q231" s="2"/>
      <c r="R231" s="2"/>
      <c r="S231" s="7"/>
      <c r="T231" s="2"/>
      <c r="U231" s="10"/>
      <c r="V231" s="2"/>
      <c r="W231" s="7"/>
      <c r="X231" s="7"/>
      <c r="Y231" s="2"/>
      <c r="Z231" s="2"/>
      <c r="AA231" s="2"/>
    </row>
    <row r="232">
      <c r="A232" s="2"/>
      <c r="B232" s="2"/>
      <c r="C232" s="2"/>
      <c r="D232" s="2"/>
      <c r="E232" s="2"/>
      <c r="F232" s="2"/>
      <c r="G232" s="2"/>
      <c r="H232" s="2"/>
      <c r="I232" s="2"/>
      <c r="J232" s="2"/>
      <c r="K232" s="2"/>
      <c r="L232" s="2"/>
      <c r="M232" s="2"/>
      <c r="N232" s="2"/>
      <c r="O232" s="2"/>
      <c r="P232" s="2"/>
      <c r="Q232" s="2"/>
      <c r="R232" s="2"/>
      <c r="S232" s="7"/>
      <c r="T232" s="2"/>
      <c r="U232" s="10"/>
      <c r="V232" s="2"/>
      <c r="W232" s="7"/>
      <c r="X232" s="7"/>
      <c r="Y232" s="2"/>
      <c r="Z232" s="2"/>
      <c r="AA232" s="2"/>
    </row>
    <row r="233">
      <c r="A233" s="2"/>
      <c r="B233" s="2"/>
      <c r="C233" s="2"/>
      <c r="D233" s="2"/>
      <c r="E233" s="2"/>
      <c r="F233" s="2"/>
      <c r="G233" s="2"/>
      <c r="H233" s="2"/>
      <c r="I233" s="2"/>
      <c r="J233" s="2"/>
      <c r="K233" s="2"/>
      <c r="L233" s="2"/>
      <c r="M233" s="2"/>
      <c r="N233" s="2"/>
      <c r="O233" s="2"/>
      <c r="P233" s="2"/>
      <c r="Q233" s="2"/>
      <c r="R233" s="2"/>
      <c r="S233" s="7"/>
      <c r="T233" s="2"/>
      <c r="U233" s="10"/>
      <c r="V233" s="2"/>
      <c r="W233" s="7"/>
      <c r="X233" s="7"/>
      <c r="Y233" s="2"/>
      <c r="Z233" s="2"/>
      <c r="AA233" s="2"/>
    </row>
    <row r="234">
      <c r="A234" s="2"/>
      <c r="B234" s="2"/>
      <c r="C234" s="2"/>
      <c r="D234" s="2"/>
      <c r="E234" s="2"/>
      <c r="F234" s="2"/>
      <c r="G234" s="2"/>
      <c r="H234" s="2"/>
      <c r="I234" s="2"/>
      <c r="J234" s="2"/>
      <c r="K234" s="2"/>
      <c r="L234" s="2"/>
      <c r="M234" s="2"/>
      <c r="N234" s="2"/>
      <c r="O234" s="2"/>
      <c r="P234" s="2"/>
      <c r="Q234" s="2"/>
      <c r="R234" s="2"/>
      <c r="S234" s="7"/>
      <c r="T234" s="2"/>
      <c r="U234" s="10"/>
      <c r="V234" s="2"/>
      <c r="W234" s="7"/>
      <c r="X234" s="7"/>
      <c r="Y234" s="2"/>
      <c r="Z234" s="2"/>
      <c r="AA234" s="2"/>
    </row>
    <row r="235">
      <c r="A235" s="2"/>
      <c r="B235" s="2"/>
      <c r="C235" s="2"/>
      <c r="D235" s="2"/>
      <c r="E235" s="2"/>
      <c r="F235" s="2"/>
      <c r="G235" s="2"/>
      <c r="H235" s="2"/>
      <c r="I235" s="2"/>
      <c r="J235" s="2"/>
      <c r="K235" s="2"/>
      <c r="L235" s="2"/>
      <c r="M235" s="2"/>
      <c r="N235" s="2"/>
      <c r="O235" s="2"/>
      <c r="P235" s="2"/>
      <c r="Q235" s="2"/>
      <c r="R235" s="2"/>
      <c r="S235" s="7"/>
      <c r="T235" s="2"/>
      <c r="U235" s="10"/>
      <c r="V235" s="2"/>
      <c r="W235" s="7"/>
      <c r="X235" s="7"/>
      <c r="Y235" s="2"/>
      <c r="Z235" s="2"/>
      <c r="AA235" s="2"/>
    </row>
    <row r="236">
      <c r="A236" s="2"/>
      <c r="B236" s="2"/>
      <c r="C236" s="2"/>
      <c r="D236" s="2"/>
      <c r="E236" s="2"/>
      <c r="F236" s="2"/>
      <c r="G236" s="2"/>
      <c r="H236" s="2"/>
      <c r="I236" s="2"/>
      <c r="J236" s="2"/>
      <c r="K236" s="2"/>
      <c r="L236" s="2"/>
      <c r="M236" s="2"/>
      <c r="N236" s="2"/>
      <c r="O236" s="2"/>
      <c r="P236" s="2"/>
      <c r="Q236" s="2"/>
      <c r="R236" s="2"/>
      <c r="S236" s="7"/>
      <c r="T236" s="2"/>
      <c r="U236" s="10"/>
      <c r="V236" s="2"/>
      <c r="W236" s="7"/>
      <c r="X236" s="7"/>
      <c r="Y236" s="2"/>
      <c r="Z236" s="2"/>
      <c r="AA236" s="2"/>
    </row>
    <row r="237">
      <c r="A237" s="2"/>
      <c r="B237" s="2"/>
      <c r="C237" s="2"/>
      <c r="D237" s="2"/>
      <c r="E237" s="2"/>
      <c r="F237" s="2"/>
      <c r="G237" s="2"/>
      <c r="H237" s="2"/>
      <c r="I237" s="2"/>
      <c r="J237" s="2"/>
      <c r="K237" s="2"/>
      <c r="L237" s="2"/>
      <c r="M237" s="2"/>
      <c r="N237" s="2"/>
      <c r="O237" s="2"/>
      <c r="P237" s="2"/>
      <c r="Q237" s="2"/>
      <c r="R237" s="2"/>
      <c r="S237" s="7"/>
      <c r="T237" s="2"/>
      <c r="U237" s="10"/>
      <c r="V237" s="2"/>
      <c r="W237" s="7"/>
      <c r="X237" s="7"/>
      <c r="Y237" s="2"/>
      <c r="Z237" s="2"/>
      <c r="AA237" s="2"/>
    </row>
    <row r="238">
      <c r="A238" s="2"/>
      <c r="B238" s="2"/>
      <c r="C238" s="2"/>
      <c r="D238" s="2"/>
      <c r="E238" s="2"/>
      <c r="F238" s="2"/>
      <c r="G238" s="2"/>
      <c r="H238" s="2"/>
      <c r="I238" s="2"/>
      <c r="J238" s="2"/>
      <c r="K238" s="2"/>
      <c r="L238" s="2"/>
      <c r="M238" s="2"/>
      <c r="N238" s="2"/>
      <c r="O238" s="2"/>
      <c r="P238" s="2"/>
      <c r="Q238" s="2"/>
      <c r="R238" s="2"/>
      <c r="S238" s="7"/>
      <c r="T238" s="2"/>
      <c r="U238" s="10"/>
      <c r="V238" s="2"/>
      <c r="W238" s="7"/>
      <c r="X238" s="7"/>
      <c r="Y238" s="2"/>
      <c r="Z238" s="2"/>
      <c r="AA238" s="2"/>
    </row>
    <row r="239">
      <c r="A239" s="2"/>
      <c r="B239" s="2"/>
      <c r="C239" s="2"/>
      <c r="D239" s="2"/>
      <c r="E239" s="2"/>
      <c r="F239" s="2"/>
      <c r="G239" s="2"/>
      <c r="H239" s="2"/>
      <c r="I239" s="2"/>
      <c r="J239" s="2"/>
      <c r="K239" s="2"/>
      <c r="L239" s="2"/>
      <c r="M239" s="2"/>
      <c r="N239" s="2"/>
      <c r="O239" s="2"/>
      <c r="P239" s="2"/>
      <c r="Q239" s="2"/>
      <c r="R239" s="2"/>
      <c r="S239" s="7"/>
      <c r="T239" s="2"/>
      <c r="U239" s="10"/>
      <c r="V239" s="2"/>
      <c r="W239" s="7"/>
      <c r="X239" s="7"/>
      <c r="Y239" s="2"/>
      <c r="Z239" s="2"/>
      <c r="AA239" s="2"/>
    </row>
    <row r="240">
      <c r="A240" s="2"/>
      <c r="B240" s="2"/>
      <c r="C240" s="2"/>
      <c r="D240" s="2"/>
      <c r="E240" s="2"/>
      <c r="F240" s="2"/>
      <c r="G240" s="2"/>
      <c r="H240" s="2"/>
      <c r="I240" s="2"/>
      <c r="J240" s="2"/>
      <c r="K240" s="2"/>
      <c r="L240" s="2"/>
      <c r="M240" s="2"/>
      <c r="N240" s="2"/>
      <c r="O240" s="2"/>
      <c r="P240" s="2"/>
      <c r="Q240" s="2"/>
      <c r="R240" s="2"/>
      <c r="S240" s="7"/>
      <c r="T240" s="2"/>
      <c r="U240" s="10"/>
      <c r="V240" s="2"/>
      <c r="W240" s="7"/>
      <c r="X240" s="7"/>
      <c r="Y240" s="2"/>
      <c r="Z240" s="2"/>
      <c r="AA240" s="2"/>
    </row>
    <row r="241">
      <c r="A241" s="2"/>
      <c r="B241" s="2"/>
      <c r="C241" s="2"/>
      <c r="D241" s="2"/>
      <c r="E241" s="2"/>
      <c r="F241" s="2"/>
      <c r="G241" s="2"/>
      <c r="H241" s="2"/>
      <c r="I241" s="2"/>
      <c r="J241" s="2"/>
      <c r="K241" s="2"/>
      <c r="L241" s="2"/>
      <c r="M241" s="2"/>
      <c r="N241" s="2"/>
      <c r="O241" s="2"/>
      <c r="P241" s="2"/>
      <c r="Q241" s="2"/>
      <c r="R241" s="2"/>
      <c r="S241" s="7"/>
      <c r="T241" s="2"/>
      <c r="U241" s="10"/>
      <c r="V241" s="2"/>
      <c r="W241" s="7"/>
      <c r="X241" s="7"/>
      <c r="Y241" s="2"/>
      <c r="Z241" s="2"/>
      <c r="AA241" s="2"/>
    </row>
    <row r="242">
      <c r="A242" s="2"/>
      <c r="B242" s="2"/>
      <c r="C242" s="2"/>
      <c r="D242" s="2"/>
      <c r="E242" s="2"/>
      <c r="F242" s="2"/>
      <c r="G242" s="2"/>
      <c r="H242" s="2"/>
      <c r="I242" s="2"/>
      <c r="J242" s="2"/>
      <c r="K242" s="2"/>
      <c r="L242" s="2"/>
      <c r="M242" s="2"/>
      <c r="N242" s="2"/>
      <c r="O242" s="2"/>
      <c r="P242" s="2"/>
      <c r="Q242" s="2"/>
      <c r="R242" s="2"/>
      <c r="S242" s="7"/>
      <c r="T242" s="2"/>
      <c r="U242" s="10"/>
      <c r="V242" s="2"/>
      <c r="W242" s="7"/>
      <c r="X242" s="7"/>
      <c r="Y242" s="2"/>
      <c r="Z242" s="2"/>
      <c r="AA242" s="2"/>
    </row>
    <row r="243">
      <c r="A243" s="2"/>
      <c r="B243" s="2"/>
      <c r="C243" s="2"/>
      <c r="D243" s="2"/>
      <c r="E243" s="2"/>
      <c r="F243" s="2"/>
      <c r="G243" s="2"/>
      <c r="H243" s="2"/>
      <c r="I243" s="2"/>
      <c r="J243" s="2"/>
      <c r="K243" s="2"/>
      <c r="L243" s="2"/>
      <c r="M243" s="2"/>
      <c r="N243" s="2"/>
      <c r="O243" s="2"/>
      <c r="P243" s="2"/>
      <c r="Q243" s="2"/>
      <c r="R243" s="2"/>
      <c r="S243" s="7"/>
      <c r="T243" s="2"/>
      <c r="U243" s="10"/>
      <c r="V243" s="2"/>
      <c r="W243" s="7"/>
      <c r="X243" s="7"/>
      <c r="Y243" s="2"/>
      <c r="Z243" s="2"/>
      <c r="AA243" s="2"/>
    </row>
    <row r="244">
      <c r="A244" s="2"/>
      <c r="B244" s="2"/>
      <c r="C244" s="2"/>
      <c r="D244" s="2"/>
      <c r="E244" s="2"/>
      <c r="F244" s="2"/>
      <c r="G244" s="2"/>
      <c r="H244" s="2"/>
      <c r="I244" s="2"/>
      <c r="J244" s="2"/>
      <c r="K244" s="2"/>
      <c r="L244" s="2"/>
      <c r="M244" s="2"/>
      <c r="N244" s="2"/>
      <c r="O244" s="2"/>
      <c r="P244" s="2"/>
      <c r="Q244" s="2"/>
      <c r="R244" s="2"/>
      <c r="S244" s="7"/>
      <c r="T244" s="2"/>
      <c r="U244" s="10"/>
      <c r="V244" s="2"/>
      <c r="W244" s="7"/>
      <c r="X244" s="7"/>
      <c r="Y244" s="2"/>
      <c r="Z244" s="2"/>
      <c r="AA244" s="2"/>
    </row>
    <row r="245">
      <c r="A245" s="2"/>
      <c r="B245" s="2"/>
      <c r="C245" s="2"/>
      <c r="D245" s="2"/>
      <c r="E245" s="2"/>
      <c r="F245" s="2"/>
      <c r="G245" s="2"/>
      <c r="H245" s="2"/>
      <c r="I245" s="2"/>
      <c r="J245" s="2"/>
      <c r="K245" s="2"/>
      <c r="L245" s="2"/>
      <c r="M245" s="2"/>
      <c r="N245" s="2"/>
      <c r="O245" s="2"/>
      <c r="P245" s="2"/>
      <c r="Q245" s="2"/>
      <c r="R245" s="2"/>
      <c r="S245" s="7"/>
      <c r="T245" s="2"/>
      <c r="U245" s="10"/>
      <c r="V245" s="2"/>
      <c r="W245" s="7"/>
      <c r="X245" s="7"/>
      <c r="Y245" s="2"/>
      <c r="Z245" s="2"/>
      <c r="AA245" s="2"/>
    </row>
    <row r="246">
      <c r="A246" s="2"/>
      <c r="B246" s="2"/>
      <c r="C246" s="2"/>
      <c r="D246" s="2"/>
      <c r="E246" s="2"/>
      <c r="F246" s="2"/>
      <c r="G246" s="2"/>
      <c r="H246" s="2"/>
      <c r="I246" s="2"/>
      <c r="J246" s="2"/>
      <c r="K246" s="2"/>
      <c r="L246" s="2"/>
      <c r="M246" s="2"/>
      <c r="N246" s="2"/>
      <c r="O246" s="2"/>
      <c r="P246" s="2"/>
      <c r="Q246" s="2"/>
      <c r="R246" s="2"/>
      <c r="S246" s="7"/>
      <c r="T246" s="2"/>
      <c r="U246" s="10"/>
      <c r="V246" s="2"/>
      <c r="W246" s="7"/>
      <c r="X246" s="7"/>
      <c r="Y246" s="2"/>
      <c r="Z246" s="2"/>
      <c r="AA246" s="2"/>
    </row>
    <row r="247">
      <c r="A247" s="2"/>
      <c r="B247" s="2"/>
      <c r="C247" s="2"/>
      <c r="D247" s="2"/>
      <c r="E247" s="2"/>
      <c r="F247" s="2"/>
      <c r="G247" s="2"/>
      <c r="H247" s="2"/>
      <c r="I247" s="2"/>
      <c r="J247" s="2"/>
      <c r="K247" s="2"/>
      <c r="L247" s="2"/>
      <c r="M247" s="2"/>
      <c r="N247" s="2"/>
      <c r="O247" s="2"/>
      <c r="P247" s="2"/>
      <c r="Q247" s="2"/>
      <c r="R247" s="2"/>
      <c r="S247" s="7"/>
      <c r="T247" s="2"/>
      <c r="U247" s="10"/>
      <c r="V247" s="2"/>
      <c r="W247" s="7"/>
      <c r="X247" s="7"/>
      <c r="Y247" s="2"/>
      <c r="Z247" s="2"/>
      <c r="AA247" s="2"/>
    </row>
    <row r="248">
      <c r="A248" s="2"/>
      <c r="B248" s="2"/>
      <c r="C248" s="2"/>
      <c r="D248" s="2"/>
      <c r="E248" s="2"/>
      <c r="F248" s="2"/>
      <c r="G248" s="2"/>
      <c r="H248" s="2"/>
      <c r="I248" s="2"/>
      <c r="J248" s="2"/>
      <c r="K248" s="2"/>
      <c r="L248" s="2"/>
      <c r="M248" s="2"/>
      <c r="N248" s="2"/>
      <c r="O248" s="2"/>
      <c r="P248" s="2"/>
      <c r="Q248" s="2"/>
      <c r="R248" s="2"/>
      <c r="S248" s="7"/>
      <c r="T248" s="2"/>
      <c r="U248" s="10"/>
      <c r="V248" s="2"/>
      <c r="W248" s="7"/>
      <c r="X248" s="7"/>
      <c r="Y248" s="2"/>
      <c r="Z248" s="2"/>
      <c r="AA248" s="2"/>
    </row>
    <row r="249">
      <c r="A249" s="2"/>
      <c r="B249" s="2"/>
      <c r="C249" s="2"/>
      <c r="D249" s="2"/>
      <c r="E249" s="2"/>
      <c r="F249" s="2"/>
      <c r="G249" s="2"/>
      <c r="H249" s="2"/>
      <c r="I249" s="2"/>
      <c r="J249" s="2"/>
      <c r="K249" s="2"/>
      <c r="L249" s="2"/>
      <c r="M249" s="2"/>
      <c r="N249" s="2"/>
      <c r="O249" s="2"/>
      <c r="P249" s="2"/>
      <c r="Q249" s="2"/>
      <c r="R249" s="2"/>
      <c r="S249" s="7"/>
      <c r="T249" s="2"/>
      <c r="U249" s="10"/>
      <c r="V249" s="2"/>
      <c r="W249" s="7"/>
      <c r="X249" s="7"/>
      <c r="Y249" s="2"/>
      <c r="Z249" s="2"/>
      <c r="AA249" s="2"/>
    </row>
    <row r="250">
      <c r="A250" s="2"/>
      <c r="B250" s="2"/>
      <c r="C250" s="2"/>
      <c r="D250" s="2"/>
      <c r="E250" s="2"/>
      <c r="F250" s="2"/>
      <c r="G250" s="2"/>
      <c r="H250" s="2"/>
      <c r="I250" s="2"/>
      <c r="J250" s="2"/>
      <c r="K250" s="2"/>
      <c r="L250" s="2"/>
      <c r="M250" s="2"/>
      <c r="N250" s="2"/>
      <c r="O250" s="2"/>
      <c r="P250" s="2"/>
      <c r="Q250" s="2"/>
      <c r="R250" s="2"/>
      <c r="S250" s="7"/>
      <c r="T250" s="2"/>
      <c r="U250" s="10"/>
      <c r="V250" s="2"/>
      <c r="W250" s="7"/>
      <c r="X250" s="7"/>
      <c r="Y250" s="2"/>
      <c r="Z250" s="2"/>
      <c r="AA250" s="2"/>
    </row>
    <row r="251">
      <c r="A251" s="2"/>
      <c r="B251" s="2"/>
      <c r="C251" s="2"/>
      <c r="D251" s="2"/>
      <c r="E251" s="2"/>
      <c r="F251" s="2"/>
      <c r="G251" s="2"/>
      <c r="H251" s="2"/>
      <c r="I251" s="2"/>
      <c r="J251" s="2"/>
      <c r="K251" s="2"/>
      <c r="L251" s="2"/>
      <c r="M251" s="2"/>
      <c r="N251" s="2"/>
      <c r="O251" s="2"/>
      <c r="P251" s="2"/>
      <c r="Q251" s="2"/>
      <c r="R251" s="2"/>
      <c r="S251" s="7"/>
      <c r="T251" s="2"/>
      <c r="U251" s="10"/>
      <c r="V251" s="2"/>
      <c r="W251" s="7"/>
      <c r="X251" s="7"/>
      <c r="Y251" s="2"/>
      <c r="Z251" s="2"/>
      <c r="AA251" s="2"/>
    </row>
    <row r="252">
      <c r="A252" s="2"/>
      <c r="B252" s="2"/>
      <c r="C252" s="2"/>
      <c r="D252" s="2"/>
      <c r="E252" s="2"/>
      <c r="F252" s="2"/>
      <c r="G252" s="2"/>
      <c r="H252" s="2"/>
      <c r="I252" s="2"/>
      <c r="J252" s="2"/>
      <c r="K252" s="2"/>
      <c r="L252" s="2"/>
      <c r="M252" s="2"/>
      <c r="N252" s="2"/>
      <c r="O252" s="2"/>
      <c r="P252" s="2"/>
      <c r="Q252" s="2"/>
      <c r="R252" s="2"/>
      <c r="S252" s="7"/>
      <c r="T252" s="2"/>
      <c r="U252" s="10"/>
      <c r="V252" s="2"/>
      <c r="W252" s="7"/>
      <c r="X252" s="7"/>
      <c r="Y252" s="2"/>
      <c r="Z252" s="2"/>
      <c r="AA252" s="2"/>
    </row>
    <row r="253">
      <c r="A253" s="2"/>
      <c r="B253" s="2"/>
      <c r="C253" s="2"/>
      <c r="D253" s="2"/>
      <c r="E253" s="2"/>
      <c r="F253" s="2"/>
      <c r="G253" s="2"/>
      <c r="H253" s="2"/>
      <c r="I253" s="2"/>
      <c r="J253" s="2"/>
      <c r="K253" s="2"/>
      <c r="L253" s="2"/>
      <c r="M253" s="2"/>
      <c r="N253" s="2"/>
      <c r="O253" s="2"/>
      <c r="P253" s="2"/>
      <c r="Q253" s="2"/>
      <c r="R253" s="2"/>
      <c r="S253" s="7"/>
      <c r="T253" s="2"/>
      <c r="U253" s="10"/>
      <c r="V253" s="2"/>
      <c r="W253" s="7"/>
      <c r="X253" s="7"/>
      <c r="Y253" s="2"/>
      <c r="Z253" s="2"/>
      <c r="AA253" s="2"/>
    </row>
    <row r="254">
      <c r="A254" s="2"/>
      <c r="B254" s="2"/>
      <c r="C254" s="2"/>
      <c r="D254" s="2"/>
      <c r="E254" s="2"/>
      <c r="F254" s="2"/>
      <c r="G254" s="2"/>
      <c r="H254" s="2"/>
      <c r="I254" s="2"/>
      <c r="J254" s="2"/>
      <c r="K254" s="2"/>
      <c r="L254" s="2"/>
      <c r="M254" s="2"/>
      <c r="N254" s="2"/>
      <c r="O254" s="2"/>
      <c r="P254" s="2"/>
      <c r="Q254" s="2"/>
      <c r="R254" s="2"/>
      <c r="S254" s="7"/>
      <c r="T254" s="2"/>
      <c r="U254" s="10"/>
      <c r="V254" s="2"/>
      <c r="W254" s="7"/>
      <c r="X254" s="7"/>
      <c r="Y254" s="2"/>
      <c r="Z254" s="2"/>
      <c r="AA254" s="2"/>
    </row>
    <row r="255">
      <c r="A255" s="2"/>
      <c r="B255" s="2"/>
      <c r="C255" s="2"/>
      <c r="D255" s="2"/>
      <c r="E255" s="2"/>
      <c r="F255" s="2"/>
      <c r="G255" s="2"/>
      <c r="H255" s="2"/>
      <c r="I255" s="2"/>
      <c r="J255" s="2"/>
      <c r="K255" s="2"/>
      <c r="L255" s="2"/>
      <c r="M255" s="2"/>
      <c r="N255" s="2"/>
      <c r="O255" s="2"/>
      <c r="P255" s="2"/>
      <c r="Q255" s="2"/>
      <c r="R255" s="2"/>
      <c r="S255" s="7"/>
      <c r="T255" s="2"/>
      <c r="U255" s="10"/>
      <c r="V255" s="2"/>
      <c r="W255" s="7"/>
      <c r="X255" s="7"/>
      <c r="Y255" s="2"/>
      <c r="Z255" s="2"/>
      <c r="AA255" s="2"/>
    </row>
    <row r="256">
      <c r="A256" s="2"/>
      <c r="B256" s="2"/>
      <c r="C256" s="2"/>
      <c r="D256" s="2"/>
      <c r="E256" s="2"/>
      <c r="F256" s="2"/>
      <c r="G256" s="2"/>
      <c r="H256" s="2"/>
      <c r="I256" s="2"/>
      <c r="J256" s="2"/>
      <c r="K256" s="2"/>
      <c r="L256" s="2"/>
      <c r="M256" s="2"/>
      <c r="N256" s="2"/>
      <c r="O256" s="2"/>
      <c r="P256" s="2"/>
      <c r="Q256" s="2"/>
      <c r="R256" s="2"/>
      <c r="S256" s="7"/>
      <c r="T256" s="2"/>
      <c r="U256" s="10"/>
      <c r="V256" s="2"/>
      <c r="W256" s="7"/>
      <c r="X256" s="7"/>
      <c r="Y256" s="2"/>
      <c r="Z256" s="2"/>
      <c r="AA256" s="2"/>
    </row>
    <row r="257">
      <c r="A257" s="2"/>
      <c r="B257" s="2"/>
      <c r="C257" s="2"/>
      <c r="D257" s="2"/>
      <c r="E257" s="2"/>
      <c r="F257" s="2"/>
      <c r="G257" s="2"/>
      <c r="H257" s="2"/>
      <c r="I257" s="2"/>
      <c r="J257" s="2"/>
      <c r="K257" s="2"/>
      <c r="L257" s="2"/>
      <c r="M257" s="2"/>
      <c r="N257" s="2"/>
      <c r="O257" s="2"/>
      <c r="P257" s="2"/>
      <c r="Q257" s="2"/>
      <c r="R257" s="2"/>
      <c r="S257" s="7"/>
      <c r="T257" s="2"/>
      <c r="U257" s="10"/>
      <c r="V257" s="2"/>
      <c r="W257" s="7"/>
      <c r="X257" s="7"/>
      <c r="Y257" s="2"/>
      <c r="Z257" s="2"/>
      <c r="AA257" s="2"/>
    </row>
    <row r="258">
      <c r="A258" s="2"/>
      <c r="B258" s="2"/>
      <c r="C258" s="2"/>
      <c r="D258" s="2"/>
      <c r="E258" s="2"/>
      <c r="F258" s="2"/>
      <c r="G258" s="2"/>
      <c r="H258" s="2"/>
      <c r="I258" s="2"/>
      <c r="J258" s="2"/>
      <c r="K258" s="2"/>
      <c r="L258" s="2"/>
      <c r="M258" s="2"/>
      <c r="N258" s="2"/>
      <c r="O258" s="2"/>
      <c r="P258" s="2"/>
      <c r="Q258" s="2"/>
      <c r="R258" s="2"/>
      <c r="S258" s="7"/>
      <c r="T258" s="2"/>
      <c r="U258" s="10"/>
      <c r="V258" s="2"/>
      <c r="W258" s="7"/>
      <c r="X258" s="7"/>
      <c r="Y258" s="2"/>
      <c r="Z258" s="2"/>
      <c r="AA258" s="2"/>
    </row>
    <row r="259">
      <c r="A259" s="2"/>
      <c r="B259" s="2"/>
      <c r="C259" s="2"/>
      <c r="D259" s="2"/>
      <c r="E259" s="2"/>
      <c r="F259" s="2"/>
      <c r="G259" s="2"/>
      <c r="H259" s="2"/>
      <c r="I259" s="2"/>
      <c r="J259" s="2"/>
      <c r="K259" s="2"/>
      <c r="L259" s="2"/>
      <c r="M259" s="2"/>
      <c r="N259" s="2"/>
      <c r="O259" s="2"/>
      <c r="P259" s="2"/>
      <c r="Q259" s="2"/>
      <c r="R259" s="2"/>
      <c r="S259" s="7"/>
      <c r="T259" s="2"/>
      <c r="U259" s="10"/>
      <c r="V259" s="2"/>
      <c r="W259" s="7"/>
      <c r="X259" s="7"/>
      <c r="Y259" s="2"/>
      <c r="Z259" s="2"/>
      <c r="AA259" s="2"/>
    </row>
    <row r="260">
      <c r="A260" s="2"/>
      <c r="B260" s="2"/>
      <c r="C260" s="2"/>
      <c r="D260" s="2"/>
      <c r="E260" s="2"/>
      <c r="F260" s="2"/>
      <c r="G260" s="2"/>
      <c r="H260" s="2"/>
      <c r="I260" s="2"/>
      <c r="J260" s="2"/>
      <c r="K260" s="2"/>
      <c r="L260" s="2"/>
      <c r="M260" s="2"/>
      <c r="N260" s="2"/>
      <c r="O260" s="2"/>
      <c r="P260" s="2"/>
      <c r="Q260" s="2"/>
      <c r="R260" s="2"/>
      <c r="S260" s="7"/>
      <c r="T260" s="2"/>
      <c r="U260" s="10"/>
      <c r="V260" s="2"/>
      <c r="W260" s="7"/>
      <c r="X260" s="7"/>
      <c r="Y260" s="2"/>
      <c r="Z260" s="2"/>
      <c r="AA260" s="2"/>
    </row>
    <row r="261">
      <c r="A261" s="2"/>
      <c r="B261" s="2"/>
      <c r="C261" s="2"/>
      <c r="D261" s="2"/>
      <c r="E261" s="2"/>
      <c r="F261" s="2"/>
      <c r="G261" s="2"/>
      <c r="H261" s="2"/>
      <c r="I261" s="2"/>
      <c r="J261" s="2"/>
      <c r="K261" s="2"/>
      <c r="L261" s="2"/>
      <c r="M261" s="2"/>
      <c r="N261" s="2"/>
      <c r="O261" s="2"/>
      <c r="P261" s="2"/>
      <c r="Q261" s="2"/>
      <c r="R261" s="2"/>
      <c r="S261" s="7"/>
      <c r="T261" s="2"/>
      <c r="U261" s="10"/>
      <c r="V261" s="2"/>
      <c r="W261" s="7"/>
      <c r="X261" s="7"/>
      <c r="Y261" s="2"/>
      <c r="Z261" s="2"/>
      <c r="AA261" s="2"/>
    </row>
    <row r="262">
      <c r="A262" s="2"/>
      <c r="B262" s="2"/>
      <c r="C262" s="2"/>
      <c r="D262" s="2"/>
      <c r="E262" s="2"/>
      <c r="F262" s="2"/>
      <c r="G262" s="2"/>
      <c r="H262" s="2"/>
      <c r="I262" s="2"/>
      <c r="J262" s="2"/>
      <c r="K262" s="2"/>
      <c r="L262" s="2"/>
      <c r="M262" s="2"/>
      <c r="N262" s="2"/>
      <c r="O262" s="2"/>
      <c r="P262" s="2"/>
      <c r="Q262" s="2"/>
      <c r="R262" s="2"/>
      <c r="S262" s="7"/>
      <c r="T262" s="2"/>
      <c r="U262" s="10"/>
      <c r="V262" s="2"/>
      <c r="W262" s="7"/>
      <c r="X262" s="7"/>
      <c r="Y262" s="2"/>
      <c r="Z262" s="2"/>
      <c r="AA262" s="2"/>
    </row>
    <row r="263">
      <c r="A263" s="2"/>
      <c r="B263" s="2"/>
      <c r="C263" s="2"/>
      <c r="D263" s="2"/>
      <c r="E263" s="2"/>
      <c r="F263" s="2"/>
      <c r="G263" s="2"/>
      <c r="H263" s="2"/>
      <c r="I263" s="2"/>
      <c r="J263" s="2"/>
      <c r="K263" s="2"/>
      <c r="L263" s="2"/>
      <c r="M263" s="2"/>
      <c r="N263" s="2"/>
      <c r="O263" s="2"/>
      <c r="P263" s="2"/>
      <c r="Q263" s="2"/>
      <c r="R263" s="2"/>
      <c r="S263" s="7"/>
      <c r="T263" s="2"/>
      <c r="U263" s="10"/>
      <c r="V263" s="2"/>
      <c r="W263" s="7"/>
      <c r="X263" s="7"/>
      <c r="Y263" s="2"/>
      <c r="Z263" s="2"/>
      <c r="AA263" s="2"/>
    </row>
    <row r="264">
      <c r="A264" s="2"/>
      <c r="B264" s="2"/>
      <c r="C264" s="2"/>
      <c r="D264" s="2"/>
      <c r="E264" s="2"/>
      <c r="F264" s="2"/>
      <c r="G264" s="2"/>
      <c r="H264" s="2"/>
      <c r="I264" s="2"/>
      <c r="J264" s="2"/>
      <c r="K264" s="2"/>
      <c r="L264" s="2"/>
      <c r="M264" s="2"/>
      <c r="N264" s="2"/>
      <c r="O264" s="2"/>
      <c r="P264" s="2"/>
      <c r="Q264" s="2"/>
      <c r="R264" s="2"/>
      <c r="S264" s="7"/>
      <c r="T264" s="2"/>
      <c r="U264" s="10"/>
      <c r="V264" s="2"/>
      <c r="W264" s="7"/>
      <c r="X264" s="7"/>
      <c r="Y264" s="2"/>
      <c r="Z264" s="2"/>
      <c r="AA264" s="2"/>
    </row>
    <row r="265">
      <c r="A265" s="2"/>
      <c r="B265" s="2"/>
      <c r="C265" s="2"/>
      <c r="D265" s="2"/>
      <c r="E265" s="2"/>
      <c r="F265" s="2"/>
      <c r="G265" s="2"/>
      <c r="H265" s="2"/>
      <c r="I265" s="2"/>
      <c r="J265" s="2"/>
      <c r="K265" s="2"/>
      <c r="L265" s="2"/>
      <c r="M265" s="2"/>
      <c r="N265" s="2"/>
      <c r="O265" s="2"/>
      <c r="P265" s="2"/>
      <c r="Q265" s="2"/>
      <c r="R265" s="2"/>
      <c r="S265" s="7"/>
      <c r="T265" s="2"/>
      <c r="U265" s="10"/>
      <c r="V265" s="2"/>
      <c r="W265" s="7"/>
      <c r="X265" s="7"/>
      <c r="Y265" s="2"/>
      <c r="Z265" s="2"/>
      <c r="AA265" s="2"/>
    </row>
    <row r="266">
      <c r="A266" s="2"/>
      <c r="B266" s="2"/>
      <c r="C266" s="2"/>
      <c r="D266" s="2"/>
      <c r="E266" s="2"/>
      <c r="F266" s="2"/>
      <c r="G266" s="2"/>
      <c r="H266" s="2"/>
      <c r="I266" s="2"/>
      <c r="J266" s="2"/>
      <c r="K266" s="2"/>
      <c r="L266" s="2"/>
      <c r="M266" s="2"/>
      <c r="N266" s="2"/>
      <c r="O266" s="2"/>
      <c r="P266" s="2"/>
      <c r="Q266" s="2"/>
      <c r="R266" s="2"/>
      <c r="S266" s="7"/>
      <c r="T266" s="2"/>
      <c r="U266" s="10"/>
      <c r="V266" s="2"/>
      <c r="W266" s="7"/>
      <c r="X266" s="7"/>
      <c r="Y266" s="2"/>
      <c r="Z266" s="2"/>
      <c r="AA266" s="2"/>
    </row>
    <row r="267">
      <c r="A267" s="2"/>
      <c r="B267" s="2"/>
      <c r="C267" s="2"/>
      <c r="D267" s="2"/>
      <c r="E267" s="2"/>
      <c r="F267" s="2"/>
      <c r="G267" s="2"/>
      <c r="H267" s="2"/>
      <c r="I267" s="2"/>
      <c r="J267" s="2"/>
      <c r="K267" s="2"/>
      <c r="L267" s="2"/>
      <c r="M267" s="2"/>
      <c r="N267" s="2"/>
      <c r="O267" s="2"/>
      <c r="P267" s="2"/>
      <c r="Q267" s="2"/>
      <c r="R267" s="2"/>
      <c r="S267" s="7"/>
      <c r="T267" s="2"/>
      <c r="U267" s="10"/>
      <c r="V267" s="2"/>
      <c r="W267" s="7"/>
      <c r="X267" s="7"/>
      <c r="Y267" s="2"/>
      <c r="Z267" s="2"/>
      <c r="AA267" s="2"/>
    </row>
    <row r="268">
      <c r="A268" s="2"/>
      <c r="B268" s="2"/>
      <c r="C268" s="2"/>
      <c r="D268" s="2"/>
      <c r="E268" s="2"/>
      <c r="F268" s="2"/>
      <c r="G268" s="2"/>
      <c r="H268" s="2"/>
      <c r="I268" s="2"/>
      <c r="J268" s="2"/>
      <c r="K268" s="2"/>
      <c r="L268" s="2"/>
      <c r="M268" s="2"/>
      <c r="N268" s="2"/>
      <c r="O268" s="2"/>
      <c r="P268" s="2"/>
      <c r="Q268" s="2"/>
      <c r="R268" s="2"/>
      <c r="S268" s="7"/>
      <c r="T268" s="2"/>
      <c r="U268" s="10"/>
      <c r="V268" s="2"/>
      <c r="W268" s="7"/>
      <c r="X268" s="7"/>
      <c r="Y268" s="2"/>
      <c r="Z268" s="2"/>
      <c r="AA268" s="2"/>
    </row>
    <row r="269">
      <c r="A269" s="2"/>
      <c r="B269" s="2"/>
      <c r="C269" s="2"/>
      <c r="D269" s="2"/>
      <c r="E269" s="2"/>
      <c r="F269" s="2"/>
      <c r="G269" s="2"/>
      <c r="H269" s="2"/>
      <c r="I269" s="2"/>
      <c r="J269" s="2"/>
      <c r="K269" s="2"/>
      <c r="L269" s="2"/>
      <c r="M269" s="2"/>
      <c r="N269" s="2"/>
      <c r="O269" s="2"/>
      <c r="P269" s="2"/>
      <c r="Q269" s="2"/>
      <c r="R269" s="2"/>
      <c r="S269" s="7"/>
      <c r="T269" s="2"/>
      <c r="U269" s="10"/>
      <c r="V269" s="2"/>
      <c r="W269" s="7"/>
      <c r="X269" s="7"/>
      <c r="Y269" s="2"/>
      <c r="Z269" s="2"/>
      <c r="AA269" s="2"/>
    </row>
    <row r="270">
      <c r="A270" s="2"/>
      <c r="B270" s="2"/>
      <c r="C270" s="2"/>
      <c r="D270" s="2"/>
      <c r="E270" s="2"/>
      <c r="F270" s="2"/>
      <c r="G270" s="2"/>
      <c r="H270" s="2"/>
      <c r="I270" s="2"/>
      <c r="J270" s="2"/>
      <c r="K270" s="2"/>
      <c r="L270" s="2"/>
      <c r="M270" s="2"/>
      <c r="N270" s="2"/>
      <c r="O270" s="2"/>
      <c r="P270" s="2"/>
      <c r="Q270" s="2"/>
      <c r="R270" s="2"/>
      <c r="S270" s="7"/>
      <c r="T270" s="2"/>
      <c r="U270" s="10"/>
      <c r="V270" s="2"/>
      <c r="W270" s="7"/>
      <c r="X270" s="7"/>
      <c r="Y270" s="2"/>
      <c r="Z270" s="2"/>
      <c r="AA270" s="2"/>
    </row>
    <row r="271">
      <c r="A271" s="2"/>
      <c r="B271" s="2"/>
      <c r="C271" s="2"/>
      <c r="D271" s="2"/>
      <c r="E271" s="2"/>
      <c r="F271" s="2"/>
      <c r="G271" s="2"/>
      <c r="H271" s="2"/>
      <c r="I271" s="2"/>
      <c r="J271" s="2"/>
      <c r="K271" s="2"/>
      <c r="L271" s="2"/>
      <c r="M271" s="2"/>
      <c r="N271" s="2"/>
      <c r="O271" s="2"/>
      <c r="P271" s="2"/>
      <c r="Q271" s="2"/>
      <c r="R271" s="2"/>
      <c r="S271" s="7"/>
      <c r="T271" s="2"/>
      <c r="U271" s="10"/>
      <c r="V271" s="2"/>
      <c r="W271" s="7"/>
      <c r="X271" s="7"/>
      <c r="Y271" s="2"/>
      <c r="Z271" s="2"/>
      <c r="AA271" s="2"/>
    </row>
    <row r="272">
      <c r="A272" s="2"/>
      <c r="B272" s="2"/>
      <c r="C272" s="2"/>
      <c r="D272" s="2"/>
      <c r="E272" s="2"/>
      <c r="F272" s="2"/>
      <c r="G272" s="2"/>
      <c r="H272" s="2"/>
      <c r="I272" s="2"/>
      <c r="J272" s="2"/>
      <c r="K272" s="2"/>
      <c r="L272" s="2"/>
      <c r="M272" s="2"/>
      <c r="N272" s="2"/>
      <c r="O272" s="2"/>
      <c r="P272" s="2"/>
      <c r="Q272" s="2"/>
      <c r="R272" s="2"/>
      <c r="S272" s="7"/>
      <c r="T272" s="2"/>
      <c r="U272" s="10"/>
      <c r="V272" s="2"/>
      <c r="W272" s="7"/>
      <c r="X272" s="7"/>
      <c r="Y272" s="2"/>
      <c r="Z272" s="2"/>
      <c r="AA272" s="2"/>
    </row>
    <row r="273">
      <c r="A273" s="2"/>
      <c r="B273" s="2"/>
      <c r="C273" s="2"/>
      <c r="D273" s="2"/>
      <c r="E273" s="2"/>
      <c r="F273" s="2"/>
      <c r="G273" s="2"/>
      <c r="H273" s="2"/>
      <c r="I273" s="2"/>
      <c r="J273" s="2"/>
      <c r="K273" s="2"/>
      <c r="L273" s="2"/>
      <c r="M273" s="2"/>
      <c r="N273" s="2"/>
      <c r="O273" s="2"/>
      <c r="P273" s="2"/>
      <c r="Q273" s="2"/>
      <c r="R273" s="2"/>
      <c r="S273" s="7"/>
      <c r="T273" s="2"/>
      <c r="U273" s="10"/>
      <c r="V273" s="2"/>
      <c r="W273" s="7"/>
      <c r="X273" s="7"/>
      <c r="Y273" s="2"/>
      <c r="Z273" s="2"/>
      <c r="AA273" s="2"/>
    </row>
    <row r="274">
      <c r="A274" s="2"/>
      <c r="B274" s="2"/>
      <c r="C274" s="2"/>
      <c r="D274" s="2"/>
      <c r="E274" s="2"/>
      <c r="F274" s="2"/>
      <c r="G274" s="2"/>
      <c r="H274" s="2"/>
      <c r="I274" s="2"/>
      <c r="J274" s="2"/>
      <c r="K274" s="2"/>
      <c r="L274" s="2"/>
      <c r="M274" s="2"/>
      <c r="N274" s="2"/>
      <c r="O274" s="2"/>
      <c r="P274" s="2"/>
      <c r="Q274" s="2"/>
      <c r="R274" s="2"/>
      <c r="S274" s="7"/>
      <c r="T274" s="2"/>
      <c r="U274" s="10"/>
      <c r="V274" s="2"/>
      <c r="W274" s="7"/>
      <c r="X274" s="7"/>
      <c r="Y274" s="2"/>
      <c r="Z274" s="2"/>
      <c r="AA274" s="2"/>
    </row>
    <row r="275">
      <c r="A275" s="2"/>
      <c r="B275" s="2"/>
      <c r="C275" s="2"/>
      <c r="D275" s="2"/>
      <c r="E275" s="2"/>
      <c r="F275" s="2"/>
      <c r="G275" s="2"/>
      <c r="H275" s="2"/>
      <c r="I275" s="2"/>
      <c r="J275" s="2"/>
      <c r="K275" s="2"/>
      <c r="L275" s="2"/>
      <c r="M275" s="2"/>
      <c r="N275" s="2"/>
      <c r="O275" s="2"/>
      <c r="P275" s="2"/>
      <c r="Q275" s="2"/>
      <c r="R275" s="2"/>
      <c r="S275" s="7"/>
      <c r="T275" s="2"/>
      <c r="U275" s="10"/>
      <c r="V275" s="2"/>
      <c r="W275" s="7"/>
      <c r="X275" s="7"/>
      <c r="Y275" s="2"/>
      <c r="Z275" s="2"/>
      <c r="AA275" s="2"/>
    </row>
    <row r="276">
      <c r="A276" s="2"/>
      <c r="B276" s="2"/>
      <c r="C276" s="2"/>
      <c r="D276" s="2"/>
      <c r="E276" s="2"/>
      <c r="F276" s="2"/>
      <c r="G276" s="2"/>
      <c r="H276" s="2"/>
      <c r="I276" s="2"/>
      <c r="J276" s="2"/>
      <c r="K276" s="2"/>
      <c r="L276" s="2"/>
      <c r="M276" s="2"/>
      <c r="N276" s="2"/>
      <c r="O276" s="2"/>
      <c r="P276" s="2"/>
      <c r="Q276" s="2"/>
      <c r="R276" s="2"/>
      <c r="S276" s="7"/>
      <c r="T276" s="2"/>
      <c r="U276" s="10"/>
      <c r="V276" s="2"/>
      <c r="W276" s="7"/>
      <c r="X276" s="7"/>
      <c r="Y276" s="2"/>
      <c r="Z276" s="2"/>
      <c r="AA276" s="2"/>
    </row>
    <row r="277">
      <c r="A277" s="2"/>
      <c r="B277" s="2"/>
      <c r="C277" s="2"/>
      <c r="D277" s="2"/>
      <c r="E277" s="2"/>
      <c r="F277" s="2"/>
      <c r="G277" s="2"/>
      <c r="H277" s="2"/>
      <c r="I277" s="2"/>
      <c r="J277" s="2"/>
      <c r="K277" s="2"/>
      <c r="L277" s="2"/>
      <c r="M277" s="2"/>
      <c r="N277" s="2"/>
      <c r="O277" s="2"/>
      <c r="P277" s="2"/>
      <c r="Q277" s="2"/>
      <c r="R277" s="2"/>
      <c r="S277" s="7"/>
      <c r="T277" s="2"/>
      <c r="U277" s="10"/>
      <c r="V277" s="2"/>
      <c r="W277" s="7"/>
      <c r="X277" s="7"/>
      <c r="Y277" s="2"/>
      <c r="Z277" s="2"/>
      <c r="AA277" s="2"/>
    </row>
    <row r="278">
      <c r="A278" s="2"/>
      <c r="B278" s="2"/>
      <c r="C278" s="2"/>
      <c r="D278" s="2"/>
      <c r="E278" s="2"/>
      <c r="F278" s="2"/>
      <c r="G278" s="2"/>
      <c r="H278" s="2"/>
      <c r="I278" s="2"/>
      <c r="J278" s="2"/>
      <c r="K278" s="2"/>
      <c r="L278" s="2"/>
      <c r="M278" s="2"/>
      <c r="N278" s="2"/>
      <c r="O278" s="2"/>
      <c r="P278" s="2"/>
      <c r="Q278" s="2"/>
      <c r="R278" s="2"/>
      <c r="S278" s="7"/>
      <c r="T278" s="2"/>
      <c r="U278" s="10"/>
      <c r="V278" s="2"/>
      <c r="W278" s="7"/>
      <c r="X278" s="7"/>
      <c r="Y278" s="2"/>
      <c r="Z278" s="2"/>
      <c r="AA278" s="2"/>
    </row>
    <row r="279">
      <c r="A279" s="2"/>
      <c r="B279" s="2"/>
      <c r="C279" s="2"/>
      <c r="D279" s="2"/>
      <c r="E279" s="2"/>
      <c r="F279" s="2"/>
      <c r="G279" s="2"/>
      <c r="H279" s="2"/>
      <c r="I279" s="2"/>
      <c r="J279" s="2"/>
      <c r="K279" s="2"/>
      <c r="L279" s="2"/>
      <c r="M279" s="2"/>
      <c r="N279" s="2"/>
      <c r="O279" s="2"/>
      <c r="P279" s="2"/>
      <c r="Q279" s="2"/>
      <c r="R279" s="2"/>
      <c r="S279" s="7"/>
      <c r="T279" s="2"/>
      <c r="U279" s="10"/>
      <c r="V279" s="2"/>
      <c r="W279" s="7"/>
      <c r="X279" s="7"/>
      <c r="Y279" s="2"/>
      <c r="Z279" s="2"/>
      <c r="AA279" s="2"/>
    </row>
    <row r="280">
      <c r="A280" s="2"/>
      <c r="B280" s="2"/>
      <c r="C280" s="2"/>
      <c r="D280" s="2"/>
      <c r="E280" s="2"/>
      <c r="F280" s="2"/>
      <c r="G280" s="2"/>
      <c r="H280" s="2"/>
      <c r="I280" s="2"/>
      <c r="J280" s="2"/>
      <c r="K280" s="2"/>
      <c r="L280" s="2"/>
      <c r="M280" s="2"/>
      <c r="N280" s="2"/>
      <c r="O280" s="2"/>
      <c r="P280" s="2"/>
      <c r="Q280" s="2"/>
      <c r="R280" s="2"/>
      <c r="S280" s="7"/>
      <c r="T280" s="2"/>
      <c r="U280" s="10"/>
      <c r="V280" s="2"/>
      <c r="W280" s="7"/>
      <c r="X280" s="7"/>
      <c r="Y280" s="2"/>
      <c r="Z280" s="2"/>
      <c r="AA280" s="2"/>
    </row>
    <row r="281">
      <c r="A281" s="2"/>
      <c r="B281" s="2"/>
      <c r="C281" s="2"/>
      <c r="D281" s="2"/>
      <c r="E281" s="2"/>
      <c r="F281" s="2"/>
      <c r="G281" s="2"/>
      <c r="H281" s="2"/>
      <c r="I281" s="2"/>
      <c r="J281" s="2"/>
      <c r="K281" s="2"/>
      <c r="L281" s="2"/>
      <c r="M281" s="2"/>
      <c r="N281" s="2"/>
      <c r="O281" s="2"/>
      <c r="P281" s="2"/>
      <c r="Q281" s="2"/>
      <c r="R281" s="2"/>
      <c r="S281" s="7"/>
      <c r="T281" s="2"/>
      <c r="U281" s="10"/>
      <c r="V281" s="2"/>
      <c r="W281" s="7"/>
      <c r="X281" s="7"/>
      <c r="Y281" s="2"/>
      <c r="Z281" s="2"/>
      <c r="AA281" s="2"/>
    </row>
    <row r="282">
      <c r="A282" s="2"/>
      <c r="B282" s="2"/>
      <c r="C282" s="2"/>
      <c r="D282" s="2"/>
      <c r="E282" s="2"/>
      <c r="F282" s="2"/>
      <c r="G282" s="2"/>
      <c r="H282" s="2"/>
      <c r="I282" s="2"/>
      <c r="J282" s="2"/>
      <c r="K282" s="2"/>
      <c r="L282" s="2"/>
      <c r="M282" s="2"/>
      <c r="N282" s="2"/>
      <c r="O282" s="2"/>
      <c r="P282" s="2"/>
      <c r="Q282" s="2"/>
      <c r="R282" s="2"/>
      <c r="S282" s="7"/>
      <c r="T282" s="2"/>
      <c r="U282" s="10"/>
      <c r="V282" s="2"/>
      <c r="W282" s="7"/>
      <c r="X282" s="7"/>
      <c r="Y282" s="2"/>
      <c r="Z282" s="2"/>
      <c r="AA282" s="2"/>
    </row>
    <row r="283">
      <c r="A283" s="2"/>
      <c r="B283" s="2"/>
      <c r="C283" s="2"/>
      <c r="D283" s="2"/>
      <c r="E283" s="2"/>
      <c r="F283" s="2"/>
      <c r="G283" s="2"/>
      <c r="H283" s="2"/>
      <c r="I283" s="2"/>
      <c r="J283" s="2"/>
      <c r="K283" s="2"/>
      <c r="L283" s="2"/>
      <c r="M283" s="2"/>
      <c r="N283" s="2"/>
      <c r="O283" s="2"/>
      <c r="P283" s="2"/>
      <c r="Q283" s="2"/>
      <c r="R283" s="2"/>
      <c r="S283" s="7"/>
      <c r="T283" s="2"/>
      <c r="U283" s="10"/>
      <c r="V283" s="2"/>
      <c r="W283" s="7"/>
      <c r="X283" s="7"/>
      <c r="Y283" s="2"/>
      <c r="Z283" s="2"/>
      <c r="AA283" s="2"/>
    </row>
    <row r="284">
      <c r="A284" s="2"/>
      <c r="B284" s="2"/>
      <c r="C284" s="2"/>
      <c r="D284" s="2"/>
      <c r="E284" s="2"/>
      <c r="F284" s="2"/>
      <c r="G284" s="2"/>
      <c r="H284" s="2"/>
      <c r="I284" s="2"/>
      <c r="J284" s="2"/>
      <c r="K284" s="2"/>
      <c r="L284" s="2"/>
      <c r="M284" s="2"/>
      <c r="N284" s="2"/>
      <c r="O284" s="2"/>
      <c r="P284" s="2"/>
      <c r="Q284" s="2"/>
      <c r="R284" s="2"/>
      <c r="S284" s="7"/>
      <c r="T284" s="2"/>
      <c r="U284" s="10"/>
      <c r="V284" s="2"/>
      <c r="W284" s="7"/>
      <c r="X284" s="7"/>
      <c r="Y284" s="2"/>
      <c r="Z284" s="2"/>
      <c r="AA284" s="2"/>
    </row>
    <row r="285">
      <c r="A285" s="2"/>
      <c r="B285" s="2"/>
      <c r="C285" s="2"/>
      <c r="D285" s="2"/>
      <c r="E285" s="2"/>
      <c r="F285" s="2"/>
      <c r="G285" s="2"/>
      <c r="H285" s="2"/>
      <c r="I285" s="2"/>
      <c r="J285" s="2"/>
      <c r="K285" s="2"/>
      <c r="L285" s="2"/>
      <c r="M285" s="2"/>
      <c r="N285" s="2"/>
      <c r="O285" s="2"/>
      <c r="P285" s="2"/>
      <c r="Q285" s="2"/>
      <c r="R285" s="2"/>
      <c r="S285" s="7"/>
      <c r="T285" s="2"/>
      <c r="U285" s="10"/>
      <c r="V285" s="2"/>
      <c r="W285" s="7"/>
      <c r="X285" s="7"/>
      <c r="Y285" s="2"/>
      <c r="Z285" s="2"/>
      <c r="AA285" s="2"/>
    </row>
    <row r="286">
      <c r="A286" s="2"/>
      <c r="B286" s="2"/>
      <c r="C286" s="2"/>
      <c r="D286" s="2"/>
      <c r="E286" s="2"/>
      <c r="F286" s="2"/>
      <c r="G286" s="2"/>
      <c r="H286" s="2"/>
      <c r="I286" s="2"/>
      <c r="J286" s="2"/>
      <c r="K286" s="2"/>
      <c r="L286" s="2"/>
      <c r="M286" s="2"/>
      <c r="N286" s="2"/>
      <c r="O286" s="2"/>
      <c r="P286" s="2"/>
      <c r="Q286" s="2"/>
      <c r="R286" s="2"/>
      <c r="S286" s="7"/>
      <c r="T286" s="2"/>
      <c r="U286" s="10"/>
      <c r="V286" s="2"/>
      <c r="W286" s="7"/>
      <c r="X286" s="7"/>
      <c r="Y286" s="2"/>
      <c r="Z286" s="2"/>
      <c r="AA286" s="2"/>
    </row>
    <row r="287">
      <c r="A287" s="2"/>
      <c r="B287" s="2"/>
      <c r="C287" s="2"/>
      <c r="D287" s="2"/>
      <c r="E287" s="2"/>
      <c r="F287" s="2"/>
      <c r="G287" s="2"/>
      <c r="H287" s="2"/>
      <c r="I287" s="2"/>
      <c r="J287" s="2"/>
      <c r="K287" s="2"/>
      <c r="L287" s="2"/>
      <c r="M287" s="2"/>
      <c r="N287" s="2"/>
      <c r="O287" s="2"/>
      <c r="P287" s="2"/>
      <c r="Q287" s="2"/>
      <c r="R287" s="2"/>
      <c r="S287" s="7"/>
      <c r="T287" s="2"/>
      <c r="U287" s="10"/>
      <c r="V287" s="2"/>
      <c r="W287" s="7"/>
      <c r="X287" s="7"/>
      <c r="Y287" s="2"/>
      <c r="Z287" s="2"/>
      <c r="AA287" s="2"/>
    </row>
    <row r="288">
      <c r="A288" s="2"/>
      <c r="B288" s="2"/>
      <c r="C288" s="2"/>
      <c r="D288" s="2"/>
      <c r="E288" s="2"/>
      <c r="F288" s="2"/>
      <c r="G288" s="2"/>
      <c r="H288" s="2"/>
      <c r="I288" s="2"/>
      <c r="J288" s="2"/>
      <c r="K288" s="2"/>
      <c r="L288" s="2"/>
      <c r="M288" s="2"/>
      <c r="N288" s="2"/>
      <c r="O288" s="2"/>
      <c r="P288" s="2"/>
      <c r="Q288" s="2"/>
      <c r="R288" s="2"/>
      <c r="S288" s="7"/>
      <c r="T288" s="2"/>
      <c r="U288" s="10"/>
      <c r="V288" s="2"/>
      <c r="W288" s="7"/>
      <c r="X288" s="7"/>
      <c r="Y288" s="2"/>
      <c r="Z288" s="2"/>
      <c r="AA288" s="2"/>
    </row>
    <row r="289">
      <c r="A289" s="2"/>
      <c r="B289" s="2"/>
      <c r="C289" s="2"/>
      <c r="D289" s="2"/>
      <c r="E289" s="2"/>
      <c r="F289" s="2"/>
      <c r="G289" s="2"/>
      <c r="H289" s="2"/>
      <c r="I289" s="2"/>
      <c r="J289" s="2"/>
      <c r="K289" s="2"/>
      <c r="L289" s="2"/>
      <c r="M289" s="2"/>
      <c r="N289" s="2"/>
      <c r="O289" s="2"/>
      <c r="P289" s="2"/>
      <c r="Q289" s="2"/>
      <c r="R289" s="2"/>
      <c r="S289" s="7"/>
      <c r="T289" s="2"/>
      <c r="U289" s="10"/>
      <c r="V289" s="2"/>
      <c r="W289" s="7"/>
      <c r="X289" s="7"/>
      <c r="Y289" s="2"/>
      <c r="Z289" s="2"/>
      <c r="AA289" s="2"/>
    </row>
    <row r="290">
      <c r="A290" s="2"/>
      <c r="B290" s="2"/>
      <c r="C290" s="2"/>
      <c r="D290" s="2"/>
      <c r="E290" s="2"/>
      <c r="F290" s="2"/>
      <c r="G290" s="2"/>
      <c r="H290" s="2"/>
      <c r="I290" s="2"/>
      <c r="J290" s="2"/>
      <c r="K290" s="2"/>
      <c r="L290" s="2"/>
      <c r="M290" s="2"/>
      <c r="N290" s="2"/>
      <c r="O290" s="2"/>
      <c r="P290" s="2"/>
      <c r="Q290" s="2"/>
      <c r="R290" s="2"/>
      <c r="S290" s="7"/>
      <c r="T290" s="2"/>
      <c r="U290" s="10"/>
      <c r="V290" s="2"/>
      <c r="W290" s="7"/>
      <c r="X290" s="7"/>
      <c r="Y290" s="2"/>
      <c r="Z290" s="2"/>
      <c r="AA290" s="2"/>
    </row>
    <row r="291">
      <c r="A291" s="2"/>
      <c r="B291" s="2"/>
      <c r="C291" s="2"/>
      <c r="D291" s="2"/>
      <c r="E291" s="2"/>
      <c r="F291" s="2"/>
      <c r="G291" s="2"/>
      <c r="H291" s="2"/>
      <c r="I291" s="2"/>
      <c r="J291" s="2"/>
      <c r="K291" s="2"/>
      <c r="L291" s="2"/>
      <c r="M291" s="2"/>
      <c r="N291" s="2"/>
      <c r="O291" s="2"/>
      <c r="P291" s="2"/>
      <c r="Q291" s="2"/>
      <c r="R291" s="2"/>
      <c r="S291" s="7"/>
      <c r="T291" s="2"/>
      <c r="U291" s="10"/>
      <c r="V291" s="2"/>
      <c r="W291" s="7"/>
      <c r="X291" s="7"/>
      <c r="Y291" s="2"/>
      <c r="Z291" s="2"/>
      <c r="AA291" s="2"/>
    </row>
    <row r="292">
      <c r="A292" s="2"/>
      <c r="B292" s="2"/>
      <c r="C292" s="2"/>
      <c r="D292" s="2"/>
      <c r="E292" s="2"/>
      <c r="F292" s="2"/>
      <c r="G292" s="2"/>
      <c r="H292" s="2"/>
      <c r="I292" s="2"/>
      <c r="J292" s="2"/>
      <c r="K292" s="2"/>
      <c r="L292" s="2"/>
      <c r="M292" s="2"/>
      <c r="N292" s="2"/>
      <c r="O292" s="2"/>
      <c r="P292" s="2"/>
      <c r="Q292" s="2"/>
      <c r="R292" s="2"/>
      <c r="S292" s="7"/>
      <c r="T292" s="2"/>
      <c r="U292" s="10"/>
      <c r="V292" s="2"/>
      <c r="W292" s="7"/>
      <c r="X292" s="7"/>
      <c r="Y292" s="2"/>
      <c r="Z292" s="2"/>
      <c r="AA292" s="2"/>
    </row>
    <row r="293">
      <c r="A293" s="2"/>
      <c r="B293" s="2"/>
      <c r="C293" s="2"/>
      <c r="D293" s="2"/>
      <c r="E293" s="2"/>
      <c r="F293" s="2"/>
      <c r="G293" s="2"/>
      <c r="H293" s="2"/>
      <c r="I293" s="2"/>
      <c r="J293" s="2"/>
      <c r="K293" s="2"/>
      <c r="L293" s="2"/>
      <c r="M293" s="2"/>
      <c r="N293" s="2"/>
      <c r="O293" s="2"/>
      <c r="P293" s="2"/>
      <c r="Q293" s="2"/>
      <c r="R293" s="2"/>
      <c r="S293" s="7"/>
      <c r="T293" s="2"/>
      <c r="U293" s="10"/>
      <c r="V293" s="2"/>
      <c r="W293" s="7"/>
      <c r="X293" s="7"/>
      <c r="Y293" s="2"/>
      <c r="Z293" s="2"/>
      <c r="AA293" s="2"/>
    </row>
    <row r="294">
      <c r="A294" s="2"/>
      <c r="B294" s="2"/>
      <c r="C294" s="2"/>
      <c r="D294" s="2"/>
      <c r="E294" s="2"/>
      <c r="F294" s="2"/>
      <c r="G294" s="2"/>
      <c r="H294" s="2"/>
      <c r="I294" s="2"/>
      <c r="J294" s="2"/>
      <c r="K294" s="2"/>
      <c r="L294" s="2"/>
      <c r="M294" s="2"/>
      <c r="N294" s="2"/>
      <c r="O294" s="2"/>
      <c r="P294" s="2"/>
      <c r="Q294" s="2"/>
      <c r="R294" s="2"/>
      <c r="S294" s="7"/>
      <c r="T294" s="2"/>
      <c r="U294" s="10"/>
      <c r="V294" s="2"/>
      <c r="W294" s="7"/>
      <c r="X294" s="7"/>
      <c r="Y294" s="2"/>
      <c r="Z294" s="2"/>
      <c r="AA294" s="2"/>
    </row>
    <row r="295">
      <c r="A295" s="2"/>
      <c r="B295" s="2"/>
      <c r="C295" s="2"/>
      <c r="D295" s="2"/>
      <c r="E295" s="2"/>
      <c r="F295" s="2"/>
      <c r="G295" s="2"/>
      <c r="H295" s="2"/>
      <c r="I295" s="2"/>
      <c r="J295" s="2"/>
      <c r="K295" s="2"/>
      <c r="L295" s="2"/>
      <c r="M295" s="2"/>
      <c r="N295" s="2"/>
      <c r="O295" s="2"/>
      <c r="P295" s="2"/>
      <c r="Q295" s="2"/>
      <c r="R295" s="2"/>
      <c r="S295" s="7"/>
      <c r="T295" s="2"/>
      <c r="U295" s="10"/>
      <c r="V295" s="2"/>
      <c r="W295" s="7"/>
      <c r="X295" s="7"/>
      <c r="Y295" s="2"/>
      <c r="Z295" s="2"/>
      <c r="AA295" s="2"/>
    </row>
    <row r="296">
      <c r="A296" s="2"/>
      <c r="B296" s="2"/>
      <c r="C296" s="2"/>
      <c r="D296" s="2"/>
      <c r="E296" s="2"/>
      <c r="F296" s="2"/>
      <c r="G296" s="2"/>
      <c r="H296" s="2"/>
      <c r="I296" s="2"/>
      <c r="J296" s="2"/>
      <c r="K296" s="2"/>
      <c r="L296" s="2"/>
      <c r="M296" s="2"/>
      <c r="N296" s="2"/>
      <c r="O296" s="2"/>
      <c r="P296" s="2"/>
      <c r="Q296" s="2"/>
      <c r="R296" s="2"/>
      <c r="S296" s="7"/>
      <c r="T296" s="2"/>
      <c r="U296" s="10"/>
      <c r="V296" s="2"/>
      <c r="W296" s="7"/>
      <c r="X296" s="7"/>
      <c r="Y296" s="2"/>
      <c r="Z296" s="2"/>
      <c r="AA296" s="2"/>
    </row>
    <row r="297">
      <c r="A297" s="2"/>
      <c r="B297" s="2"/>
      <c r="C297" s="2"/>
      <c r="D297" s="2"/>
      <c r="E297" s="2"/>
      <c r="F297" s="2"/>
      <c r="G297" s="2"/>
      <c r="H297" s="2"/>
      <c r="I297" s="2"/>
      <c r="J297" s="2"/>
      <c r="K297" s="2"/>
      <c r="L297" s="2"/>
      <c r="M297" s="2"/>
      <c r="N297" s="2"/>
      <c r="O297" s="2"/>
      <c r="P297" s="2"/>
      <c r="Q297" s="2"/>
      <c r="R297" s="2"/>
      <c r="S297" s="7"/>
      <c r="T297" s="2"/>
      <c r="U297" s="10"/>
      <c r="V297" s="2"/>
      <c r="W297" s="7"/>
      <c r="X297" s="7"/>
      <c r="Y297" s="2"/>
      <c r="Z297" s="2"/>
      <c r="AA297" s="2"/>
    </row>
    <row r="298">
      <c r="A298" s="2"/>
      <c r="B298" s="2"/>
      <c r="C298" s="2"/>
      <c r="D298" s="2"/>
      <c r="E298" s="2"/>
      <c r="F298" s="2"/>
      <c r="G298" s="2"/>
      <c r="H298" s="2"/>
      <c r="I298" s="2"/>
      <c r="J298" s="2"/>
      <c r="K298" s="2"/>
      <c r="L298" s="2"/>
      <c r="M298" s="2"/>
      <c r="N298" s="2"/>
      <c r="O298" s="2"/>
      <c r="P298" s="2"/>
      <c r="Q298" s="2"/>
      <c r="R298" s="2"/>
      <c r="S298" s="7"/>
      <c r="T298" s="2"/>
      <c r="U298" s="10"/>
      <c r="V298" s="2"/>
      <c r="W298" s="7"/>
      <c r="X298" s="7"/>
      <c r="Y298" s="2"/>
      <c r="Z298" s="2"/>
      <c r="AA298" s="2"/>
    </row>
    <row r="299">
      <c r="A299" s="2"/>
      <c r="B299" s="2"/>
      <c r="C299" s="2"/>
      <c r="D299" s="2"/>
      <c r="E299" s="2"/>
      <c r="F299" s="2"/>
      <c r="G299" s="2"/>
      <c r="H299" s="2"/>
      <c r="I299" s="2"/>
      <c r="J299" s="2"/>
      <c r="K299" s="2"/>
      <c r="L299" s="2"/>
      <c r="M299" s="2"/>
      <c r="N299" s="2"/>
      <c r="O299" s="2"/>
      <c r="P299" s="2"/>
      <c r="Q299" s="2"/>
      <c r="R299" s="2"/>
      <c r="S299" s="7"/>
      <c r="T299" s="2"/>
      <c r="U299" s="10"/>
      <c r="V299" s="2"/>
      <c r="W299" s="7"/>
      <c r="X299" s="7"/>
      <c r="Y299" s="2"/>
      <c r="Z299" s="2"/>
      <c r="AA299" s="2"/>
    </row>
    <row r="300">
      <c r="A300" s="2"/>
      <c r="B300" s="2"/>
      <c r="C300" s="2"/>
      <c r="D300" s="2"/>
      <c r="E300" s="2"/>
      <c r="F300" s="2"/>
      <c r="G300" s="2"/>
      <c r="H300" s="2"/>
      <c r="I300" s="2"/>
      <c r="J300" s="2"/>
      <c r="K300" s="2"/>
      <c r="L300" s="2"/>
      <c r="M300" s="2"/>
      <c r="N300" s="2"/>
      <c r="O300" s="2"/>
      <c r="P300" s="2"/>
      <c r="Q300" s="2"/>
      <c r="R300" s="2"/>
      <c r="S300" s="7"/>
      <c r="T300" s="2"/>
      <c r="U300" s="10"/>
      <c r="V300" s="2"/>
      <c r="W300" s="7"/>
      <c r="X300" s="7"/>
      <c r="Y300" s="2"/>
      <c r="Z300" s="2"/>
      <c r="AA300" s="2"/>
    </row>
    <row r="301">
      <c r="A301" s="2"/>
      <c r="B301" s="2"/>
      <c r="C301" s="2"/>
      <c r="D301" s="2"/>
      <c r="E301" s="2"/>
      <c r="F301" s="2"/>
      <c r="G301" s="2"/>
      <c r="H301" s="2"/>
      <c r="I301" s="2"/>
      <c r="J301" s="2"/>
      <c r="K301" s="2"/>
      <c r="L301" s="2"/>
      <c r="M301" s="2"/>
      <c r="N301" s="2"/>
      <c r="O301" s="2"/>
      <c r="P301" s="2"/>
      <c r="Q301" s="2"/>
      <c r="R301" s="2"/>
      <c r="S301" s="7"/>
      <c r="T301" s="2"/>
      <c r="U301" s="10"/>
      <c r="V301" s="2"/>
      <c r="W301" s="7"/>
      <c r="X301" s="7"/>
      <c r="Y301" s="2"/>
      <c r="Z301" s="2"/>
      <c r="AA301" s="2"/>
    </row>
    <row r="302">
      <c r="A302" s="2"/>
      <c r="B302" s="2"/>
      <c r="C302" s="2"/>
      <c r="D302" s="2"/>
      <c r="E302" s="2"/>
      <c r="F302" s="2"/>
      <c r="G302" s="2"/>
      <c r="H302" s="2"/>
      <c r="I302" s="2"/>
      <c r="J302" s="2"/>
      <c r="K302" s="2"/>
      <c r="L302" s="2"/>
      <c r="M302" s="2"/>
      <c r="N302" s="2"/>
      <c r="O302" s="2"/>
      <c r="P302" s="2"/>
      <c r="Q302" s="2"/>
      <c r="R302" s="2"/>
      <c r="S302" s="7"/>
      <c r="T302" s="2"/>
      <c r="U302" s="10"/>
      <c r="V302" s="2"/>
      <c r="W302" s="7"/>
      <c r="X302" s="7"/>
      <c r="Y302" s="2"/>
      <c r="Z302" s="2"/>
      <c r="AA302" s="2"/>
    </row>
    <row r="303">
      <c r="A303" s="2"/>
      <c r="B303" s="2"/>
      <c r="C303" s="2"/>
      <c r="D303" s="2"/>
      <c r="E303" s="2"/>
      <c r="F303" s="2"/>
      <c r="G303" s="2"/>
      <c r="H303" s="2"/>
      <c r="I303" s="2"/>
      <c r="J303" s="2"/>
      <c r="K303" s="2"/>
      <c r="L303" s="2"/>
      <c r="M303" s="2"/>
      <c r="N303" s="2"/>
      <c r="O303" s="2"/>
      <c r="P303" s="2"/>
      <c r="Q303" s="2"/>
      <c r="R303" s="2"/>
      <c r="S303" s="7"/>
      <c r="T303" s="2"/>
      <c r="U303" s="10"/>
      <c r="V303" s="2"/>
      <c r="W303" s="7"/>
      <c r="X303" s="7"/>
      <c r="Y303" s="2"/>
      <c r="Z303" s="2"/>
      <c r="AA303" s="2"/>
    </row>
    <row r="304">
      <c r="A304" s="2"/>
      <c r="B304" s="2"/>
      <c r="C304" s="2"/>
      <c r="D304" s="2"/>
      <c r="E304" s="2"/>
      <c r="F304" s="2"/>
      <c r="G304" s="2"/>
      <c r="H304" s="2"/>
      <c r="I304" s="2"/>
      <c r="J304" s="2"/>
      <c r="K304" s="2"/>
      <c r="L304" s="2"/>
      <c r="M304" s="2"/>
      <c r="N304" s="2"/>
      <c r="O304" s="2"/>
      <c r="P304" s="2"/>
      <c r="Q304" s="2"/>
      <c r="R304" s="2"/>
      <c r="S304" s="7"/>
      <c r="T304" s="2"/>
      <c r="U304" s="10"/>
      <c r="V304" s="2"/>
      <c r="W304" s="7"/>
      <c r="X304" s="7"/>
      <c r="Y304" s="2"/>
      <c r="Z304" s="2"/>
      <c r="AA304" s="2"/>
    </row>
    <row r="305">
      <c r="A305" s="2"/>
      <c r="B305" s="2"/>
      <c r="C305" s="2"/>
      <c r="D305" s="2"/>
      <c r="E305" s="2"/>
      <c r="F305" s="2"/>
      <c r="G305" s="2"/>
      <c r="H305" s="2"/>
      <c r="I305" s="2"/>
      <c r="J305" s="2"/>
      <c r="K305" s="2"/>
      <c r="L305" s="2"/>
      <c r="M305" s="2"/>
      <c r="N305" s="2"/>
      <c r="O305" s="2"/>
      <c r="P305" s="2"/>
      <c r="Q305" s="2"/>
      <c r="R305" s="2"/>
      <c r="S305" s="7"/>
      <c r="T305" s="2"/>
      <c r="U305" s="10"/>
      <c r="V305" s="2"/>
      <c r="W305" s="7"/>
      <c r="X305" s="7"/>
      <c r="Y305" s="2"/>
      <c r="Z305" s="2"/>
      <c r="AA305" s="2"/>
    </row>
    <row r="306">
      <c r="A306" s="2"/>
      <c r="B306" s="2"/>
      <c r="C306" s="2"/>
      <c r="D306" s="2"/>
      <c r="E306" s="2"/>
      <c r="F306" s="2"/>
      <c r="G306" s="2"/>
      <c r="H306" s="2"/>
      <c r="I306" s="2"/>
      <c r="J306" s="2"/>
      <c r="K306" s="2"/>
      <c r="L306" s="2"/>
      <c r="M306" s="2"/>
      <c r="N306" s="2"/>
      <c r="O306" s="2"/>
      <c r="P306" s="2"/>
      <c r="Q306" s="2"/>
      <c r="R306" s="2"/>
      <c r="S306" s="7"/>
      <c r="T306" s="2"/>
      <c r="U306" s="10"/>
      <c r="V306" s="2"/>
      <c r="W306" s="7"/>
      <c r="X306" s="7"/>
      <c r="Y306" s="2"/>
      <c r="Z306" s="2"/>
      <c r="AA306" s="2"/>
    </row>
    <row r="307">
      <c r="A307" s="2"/>
      <c r="B307" s="2"/>
      <c r="C307" s="2"/>
      <c r="D307" s="2"/>
      <c r="E307" s="2"/>
      <c r="F307" s="2"/>
      <c r="G307" s="2"/>
      <c r="H307" s="2"/>
      <c r="I307" s="2"/>
      <c r="J307" s="2"/>
      <c r="K307" s="2"/>
      <c r="L307" s="2"/>
      <c r="M307" s="2"/>
      <c r="N307" s="2"/>
      <c r="O307" s="2"/>
      <c r="P307" s="2"/>
      <c r="Q307" s="2"/>
      <c r="R307" s="2"/>
      <c r="S307" s="7"/>
      <c r="T307" s="2"/>
      <c r="U307" s="10"/>
      <c r="V307" s="2"/>
      <c r="W307" s="7"/>
      <c r="X307" s="7"/>
      <c r="Y307" s="2"/>
      <c r="Z307" s="2"/>
      <c r="AA307" s="2"/>
    </row>
    <row r="308">
      <c r="A308" s="2"/>
      <c r="B308" s="2"/>
      <c r="C308" s="2"/>
      <c r="D308" s="2"/>
      <c r="E308" s="2"/>
      <c r="F308" s="2"/>
      <c r="G308" s="2"/>
      <c r="H308" s="2"/>
      <c r="I308" s="2"/>
      <c r="J308" s="2"/>
      <c r="K308" s="2"/>
      <c r="L308" s="2"/>
      <c r="M308" s="2"/>
      <c r="N308" s="2"/>
      <c r="O308" s="2"/>
      <c r="P308" s="2"/>
      <c r="Q308" s="2"/>
      <c r="R308" s="2"/>
      <c r="S308" s="7"/>
      <c r="T308" s="2"/>
      <c r="U308" s="10"/>
      <c r="V308" s="2"/>
      <c r="W308" s="7"/>
      <c r="X308" s="7"/>
      <c r="Y308" s="2"/>
      <c r="Z308" s="2"/>
      <c r="AA308" s="2"/>
    </row>
    <row r="309">
      <c r="A309" s="2"/>
      <c r="B309" s="2"/>
      <c r="C309" s="2"/>
      <c r="D309" s="2"/>
      <c r="E309" s="2"/>
      <c r="F309" s="2"/>
      <c r="G309" s="2"/>
      <c r="H309" s="2"/>
      <c r="I309" s="2"/>
      <c r="J309" s="2"/>
      <c r="K309" s="2"/>
      <c r="L309" s="2"/>
      <c r="M309" s="2"/>
      <c r="N309" s="2"/>
      <c r="O309" s="2"/>
      <c r="P309" s="2"/>
      <c r="Q309" s="2"/>
      <c r="R309" s="2"/>
      <c r="S309" s="7"/>
      <c r="T309" s="2"/>
      <c r="U309" s="10"/>
      <c r="V309" s="2"/>
      <c r="W309" s="7"/>
      <c r="X309" s="7"/>
      <c r="Y309" s="2"/>
      <c r="Z309" s="2"/>
      <c r="AA309" s="2"/>
    </row>
    <row r="310">
      <c r="A310" s="2"/>
      <c r="B310" s="2"/>
      <c r="C310" s="2"/>
      <c r="D310" s="2"/>
      <c r="E310" s="2"/>
      <c r="F310" s="2"/>
      <c r="G310" s="2"/>
      <c r="H310" s="2"/>
      <c r="I310" s="2"/>
      <c r="J310" s="2"/>
      <c r="K310" s="2"/>
      <c r="L310" s="2"/>
      <c r="M310" s="2"/>
      <c r="N310" s="2"/>
      <c r="O310" s="2"/>
      <c r="P310" s="2"/>
      <c r="Q310" s="2"/>
      <c r="R310" s="2"/>
      <c r="S310" s="7"/>
      <c r="T310" s="2"/>
      <c r="U310" s="10"/>
      <c r="V310" s="2"/>
      <c r="W310" s="7"/>
      <c r="X310" s="7"/>
      <c r="Y310" s="2"/>
      <c r="Z310" s="2"/>
      <c r="AA310" s="2"/>
    </row>
    <row r="311">
      <c r="A311" s="2"/>
      <c r="B311" s="2"/>
      <c r="C311" s="2"/>
      <c r="D311" s="2"/>
      <c r="E311" s="2"/>
      <c r="F311" s="2"/>
      <c r="G311" s="2"/>
      <c r="H311" s="2"/>
      <c r="I311" s="2"/>
      <c r="J311" s="2"/>
      <c r="K311" s="2"/>
      <c r="L311" s="2"/>
      <c r="M311" s="2"/>
      <c r="N311" s="2"/>
      <c r="O311" s="2"/>
      <c r="P311" s="2"/>
      <c r="Q311" s="2"/>
      <c r="R311" s="2"/>
      <c r="S311" s="7"/>
      <c r="T311" s="2"/>
      <c r="U311" s="10"/>
      <c r="V311" s="2"/>
      <c r="W311" s="7"/>
      <c r="X311" s="7"/>
      <c r="Y311" s="2"/>
      <c r="Z311" s="2"/>
      <c r="AA311" s="2"/>
    </row>
    <row r="312">
      <c r="A312" s="2"/>
      <c r="B312" s="2"/>
      <c r="C312" s="2"/>
      <c r="D312" s="2"/>
      <c r="E312" s="2"/>
      <c r="F312" s="2"/>
      <c r="G312" s="2"/>
      <c r="H312" s="2"/>
      <c r="I312" s="2"/>
      <c r="J312" s="2"/>
      <c r="K312" s="2"/>
      <c r="L312" s="2"/>
      <c r="M312" s="2"/>
      <c r="N312" s="2"/>
      <c r="O312" s="2"/>
      <c r="P312" s="2"/>
      <c r="Q312" s="2"/>
      <c r="R312" s="2"/>
      <c r="S312" s="7"/>
      <c r="T312" s="2"/>
      <c r="U312" s="10"/>
      <c r="V312" s="2"/>
      <c r="W312" s="7"/>
      <c r="X312" s="7"/>
      <c r="Y312" s="2"/>
      <c r="Z312" s="2"/>
      <c r="AA312" s="2"/>
    </row>
    <row r="313">
      <c r="A313" s="2"/>
      <c r="B313" s="2"/>
      <c r="C313" s="2"/>
      <c r="D313" s="2"/>
      <c r="E313" s="2"/>
      <c r="F313" s="2"/>
      <c r="G313" s="2"/>
      <c r="H313" s="2"/>
      <c r="I313" s="2"/>
      <c r="J313" s="2"/>
      <c r="K313" s="2"/>
      <c r="L313" s="2"/>
      <c r="M313" s="2"/>
      <c r="N313" s="2"/>
      <c r="O313" s="2"/>
      <c r="P313" s="2"/>
      <c r="Q313" s="2"/>
      <c r="R313" s="2"/>
      <c r="S313" s="7"/>
      <c r="T313" s="2"/>
      <c r="U313" s="10"/>
      <c r="V313" s="2"/>
      <c r="W313" s="7"/>
      <c r="X313" s="7"/>
      <c r="Y313" s="2"/>
      <c r="Z313" s="2"/>
      <c r="AA313" s="2"/>
    </row>
    <row r="314">
      <c r="A314" s="2"/>
      <c r="B314" s="2"/>
      <c r="C314" s="2"/>
      <c r="D314" s="2"/>
      <c r="E314" s="2"/>
      <c r="F314" s="2"/>
      <c r="G314" s="2"/>
      <c r="H314" s="2"/>
      <c r="I314" s="2"/>
      <c r="J314" s="2"/>
      <c r="K314" s="2"/>
      <c r="L314" s="2"/>
      <c r="M314" s="2"/>
      <c r="N314" s="2"/>
      <c r="O314" s="2"/>
      <c r="P314" s="2"/>
      <c r="Q314" s="2"/>
      <c r="R314" s="2"/>
      <c r="S314" s="7"/>
      <c r="T314" s="2"/>
      <c r="U314" s="10"/>
      <c r="V314" s="2"/>
      <c r="W314" s="7"/>
      <c r="X314" s="7"/>
      <c r="Y314" s="2"/>
      <c r="Z314" s="2"/>
      <c r="AA314" s="2"/>
    </row>
    <row r="315">
      <c r="A315" s="2"/>
      <c r="B315" s="2"/>
      <c r="C315" s="2"/>
      <c r="D315" s="2"/>
      <c r="E315" s="2"/>
      <c r="F315" s="2"/>
      <c r="G315" s="2"/>
      <c r="H315" s="2"/>
      <c r="I315" s="2"/>
      <c r="J315" s="2"/>
      <c r="K315" s="2"/>
      <c r="L315" s="2"/>
      <c r="M315" s="2"/>
      <c r="N315" s="2"/>
      <c r="O315" s="2"/>
      <c r="P315" s="2"/>
      <c r="Q315" s="2"/>
      <c r="R315" s="2"/>
      <c r="S315" s="7"/>
      <c r="T315" s="2"/>
      <c r="U315" s="10"/>
      <c r="V315" s="2"/>
      <c r="W315" s="7"/>
      <c r="X315" s="7"/>
      <c r="Y315" s="2"/>
      <c r="Z315" s="2"/>
      <c r="AA315" s="2"/>
    </row>
    <row r="316">
      <c r="A316" s="2"/>
      <c r="B316" s="2"/>
      <c r="C316" s="2"/>
      <c r="D316" s="2"/>
      <c r="E316" s="2"/>
      <c r="F316" s="2"/>
      <c r="G316" s="2"/>
      <c r="H316" s="2"/>
      <c r="I316" s="2"/>
      <c r="J316" s="2"/>
      <c r="K316" s="2"/>
      <c r="L316" s="2"/>
      <c r="M316" s="2"/>
      <c r="N316" s="2"/>
      <c r="O316" s="2"/>
      <c r="P316" s="2"/>
      <c r="Q316" s="2"/>
      <c r="R316" s="2"/>
      <c r="S316" s="7"/>
      <c r="T316" s="2"/>
      <c r="U316" s="10"/>
      <c r="V316" s="2"/>
      <c r="W316" s="7"/>
      <c r="X316" s="7"/>
      <c r="Y316" s="2"/>
      <c r="Z316" s="2"/>
      <c r="AA316" s="2"/>
    </row>
    <row r="317">
      <c r="A317" s="2"/>
      <c r="B317" s="2"/>
      <c r="C317" s="2"/>
      <c r="D317" s="2"/>
      <c r="E317" s="2"/>
      <c r="F317" s="2"/>
      <c r="G317" s="2"/>
      <c r="H317" s="2"/>
      <c r="I317" s="2"/>
      <c r="J317" s="2"/>
      <c r="K317" s="2"/>
      <c r="L317" s="2"/>
      <c r="M317" s="2"/>
      <c r="N317" s="2"/>
      <c r="O317" s="2"/>
      <c r="P317" s="2"/>
      <c r="Q317" s="2"/>
      <c r="R317" s="2"/>
      <c r="S317" s="7"/>
      <c r="T317" s="2"/>
      <c r="U317" s="10"/>
      <c r="V317" s="2"/>
      <c r="W317" s="7"/>
      <c r="X317" s="7"/>
      <c r="Y317" s="2"/>
      <c r="Z317" s="2"/>
      <c r="AA317" s="2"/>
    </row>
    <row r="318">
      <c r="A318" s="2"/>
      <c r="B318" s="2"/>
      <c r="C318" s="2"/>
      <c r="D318" s="2"/>
      <c r="E318" s="2"/>
      <c r="F318" s="2"/>
      <c r="G318" s="2"/>
      <c r="H318" s="2"/>
      <c r="I318" s="2"/>
      <c r="J318" s="2"/>
      <c r="K318" s="2"/>
      <c r="L318" s="2"/>
      <c r="M318" s="2"/>
      <c r="N318" s="2"/>
      <c r="O318" s="2"/>
      <c r="P318" s="2"/>
      <c r="Q318" s="2"/>
      <c r="R318" s="2"/>
      <c r="S318" s="7"/>
      <c r="T318" s="2"/>
      <c r="U318" s="10"/>
      <c r="V318" s="2"/>
      <c r="W318" s="7"/>
      <c r="X318" s="7"/>
      <c r="Y318" s="2"/>
      <c r="Z318" s="2"/>
      <c r="AA318" s="2"/>
    </row>
    <row r="319">
      <c r="A319" s="2"/>
      <c r="B319" s="2"/>
      <c r="C319" s="2"/>
      <c r="D319" s="2"/>
      <c r="E319" s="2"/>
      <c r="F319" s="2"/>
      <c r="G319" s="2"/>
      <c r="H319" s="2"/>
      <c r="I319" s="2"/>
      <c r="J319" s="2"/>
      <c r="K319" s="2"/>
      <c r="L319" s="2"/>
      <c r="M319" s="2"/>
      <c r="N319" s="2"/>
      <c r="O319" s="2"/>
      <c r="P319" s="2"/>
      <c r="Q319" s="2"/>
      <c r="R319" s="2"/>
      <c r="S319" s="7"/>
      <c r="T319" s="2"/>
      <c r="U319" s="10"/>
      <c r="V319" s="2"/>
      <c r="W319" s="7"/>
      <c r="X319" s="7"/>
      <c r="Y319" s="2"/>
      <c r="Z319" s="2"/>
      <c r="AA319" s="2"/>
    </row>
    <row r="320">
      <c r="A320" s="2"/>
      <c r="B320" s="2"/>
      <c r="C320" s="2"/>
      <c r="D320" s="2"/>
      <c r="E320" s="2"/>
      <c r="F320" s="2"/>
      <c r="G320" s="2"/>
      <c r="H320" s="2"/>
      <c r="I320" s="2"/>
      <c r="J320" s="2"/>
      <c r="K320" s="2"/>
      <c r="L320" s="2"/>
      <c r="M320" s="2"/>
      <c r="N320" s="2"/>
      <c r="O320" s="2"/>
      <c r="P320" s="2"/>
      <c r="Q320" s="2"/>
      <c r="R320" s="2"/>
      <c r="S320" s="7"/>
      <c r="T320" s="2"/>
      <c r="U320" s="10"/>
      <c r="V320" s="2"/>
      <c r="W320" s="7"/>
      <c r="X320" s="7"/>
      <c r="Y320" s="2"/>
      <c r="Z320" s="2"/>
      <c r="AA320" s="2"/>
    </row>
    <row r="321">
      <c r="A321" s="2"/>
      <c r="B321" s="2"/>
      <c r="C321" s="2"/>
      <c r="D321" s="2"/>
      <c r="E321" s="2"/>
      <c r="F321" s="2"/>
      <c r="G321" s="2"/>
      <c r="H321" s="2"/>
      <c r="I321" s="2"/>
      <c r="J321" s="2"/>
      <c r="K321" s="2"/>
      <c r="L321" s="2"/>
      <c r="M321" s="2"/>
      <c r="N321" s="2"/>
      <c r="O321" s="2"/>
      <c r="P321" s="2"/>
      <c r="Q321" s="2"/>
      <c r="R321" s="2"/>
      <c r="S321" s="7"/>
      <c r="T321" s="2"/>
      <c r="U321" s="10"/>
      <c r="V321" s="2"/>
      <c r="W321" s="7"/>
      <c r="X321" s="7"/>
      <c r="Y321" s="2"/>
      <c r="Z321" s="2"/>
      <c r="AA321" s="2"/>
    </row>
    <row r="322">
      <c r="A322" s="2"/>
      <c r="B322" s="2"/>
      <c r="C322" s="2"/>
      <c r="D322" s="2"/>
      <c r="E322" s="2"/>
      <c r="F322" s="2"/>
      <c r="G322" s="2"/>
      <c r="H322" s="2"/>
      <c r="I322" s="2"/>
      <c r="J322" s="2"/>
      <c r="K322" s="2"/>
      <c r="L322" s="2"/>
      <c r="M322" s="2"/>
      <c r="N322" s="2"/>
      <c r="O322" s="2"/>
      <c r="P322" s="2"/>
      <c r="Q322" s="2"/>
      <c r="R322" s="2"/>
      <c r="S322" s="7"/>
      <c r="T322" s="2"/>
      <c r="U322" s="10"/>
      <c r="V322" s="2"/>
      <c r="W322" s="7"/>
      <c r="X322" s="7"/>
      <c r="Y322" s="2"/>
      <c r="Z322" s="2"/>
      <c r="AA322" s="2"/>
    </row>
    <row r="323">
      <c r="A323" s="2"/>
      <c r="B323" s="2"/>
      <c r="C323" s="2"/>
      <c r="D323" s="2"/>
      <c r="E323" s="2"/>
      <c r="F323" s="2"/>
      <c r="G323" s="2"/>
      <c r="H323" s="2"/>
      <c r="I323" s="2"/>
      <c r="J323" s="2"/>
      <c r="K323" s="2"/>
      <c r="L323" s="2"/>
      <c r="M323" s="2"/>
      <c r="N323" s="2"/>
      <c r="O323" s="2"/>
      <c r="P323" s="2"/>
      <c r="Q323" s="2"/>
      <c r="R323" s="2"/>
      <c r="S323" s="7"/>
      <c r="T323" s="2"/>
      <c r="U323" s="10"/>
      <c r="V323" s="2"/>
      <c r="W323" s="7"/>
      <c r="X323" s="7"/>
      <c r="Y323" s="2"/>
      <c r="Z323" s="2"/>
      <c r="AA323" s="2"/>
    </row>
    <row r="324">
      <c r="A324" s="2"/>
      <c r="B324" s="2"/>
      <c r="C324" s="2"/>
      <c r="D324" s="2"/>
      <c r="E324" s="2"/>
      <c r="F324" s="2"/>
      <c r="G324" s="2"/>
      <c r="H324" s="2"/>
      <c r="I324" s="2"/>
      <c r="J324" s="2"/>
      <c r="K324" s="2"/>
      <c r="L324" s="2"/>
      <c r="M324" s="2"/>
      <c r="N324" s="2"/>
      <c r="O324" s="2"/>
      <c r="P324" s="2"/>
      <c r="Q324" s="2"/>
      <c r="R324" s="2"/>
      <c r="S324" s="7"/>
      <c r="T324" s="2"/>
      <c r="U324" s="10"/>
      <c r="V324" s="2"/>
      <c r="W324" s="7"/>
      <c r="X324" s="7"/>
      <c r="Y324" s="2"/>
      <c r="Z324" s="2"/>
      <c r="AA324" s="2"/>
    </row>
    <row r="325">
      <c r="A325" s="2"/>
      <c r="B325" s="2"/>
      <c r="C325" s="2"/>
      <c r="D325" s="2"/>
      <c r="E325" s="2"/>
      <c r="F325" s="2"/>
      <c r="G325" s="2"/>
      <c r="H325" s="2"/>
      <c r="I325" s="2"/>
      <c r="J325" s="2"/>
      <c r="K325" s="2"/>
      <c r="L325" s="2"/>
      <c r="M325" s="2"/>
      <c r="N325" s="2"/>
      <c r="O325" s="2"/>
      <c r="P325" s="2"/>
      <c r="Q325" s="2"/>
      <c r="R325" s="2"/>
      <c r="S325" s="7"/>
      <c r="T325" s="2"/>
      <c r="U325" s="10"/>
      <c r="V325" s="2"/>
      <c r="W325" s="7"/>
      <c r="X325" s="7"/>
      <c r="Y325" s="2"/>
      <c r="Z325" s="2"/>
      <c r="AA325" s="2"/>
    </row>
    <row r="326">
      <c r="A326" s="2"/>
      <c r="B326" s="2"/>
      <c r="C326" s="2"/>
      <c r="D326" s="2"/>
      <c r="E326" s="2"/>
      <c r="F326" s="2"/>
      <c r="G326" s="2"/>
      <c r="H326" s="2"/>
      <c r="I326" s="2"/>
      <c r="J326" s="2"/>
      <c r="K326" s="2"/>
      <c r="L326" s="2"/>
      <c r="M326" s="2"/>
      <c r="N326" s="2"/>
      <c r="O326" s="2"/>
      <c r="P326" s="2"/>
      <c r="Q326" s="2"/>
      <c r="R326" s="2"/>
      <c r="S326" s="7"/>
      <c r="T326" s="2"/>
      <c r="U326" s="10"/>
      <c r="V326" s="2"/>
      <c r="W326" s="7"/>
      <c r="X326" s="7"/>
      <c r="Y326" s="2"/>
      <c r="Z326" s="2"/>
      <c r="AA326" s="2"/>
    </row>
    <row r="327">
      <c r="A327" s="2"/>
      <c r="B327" s="2"/>
      <c r="C327" s="2"/>
      <c r="D327" s="2"/>
      <c r="E327" s="2"/>
      <c r="F327" s="2"/>
      <c r="G327" s="2"/>
      <c r="H327" s="2"/>
      <c r="I327" s="2"/>
      <c r="J327" s="2"/>
      <c r="K327" s="2"/>
      <c r="L327" s="2"/>
      <c r="M327" s="2"/>
      <c r="N327" s="2"/>
      <c r="O327" s="2"/>
      <c r="P327" s="2"/>
      <c r="Q327" s="2"/>
      <c r="R327" s="2"/>
      <c r="S327" s="7"/>
      <c r="T327" s="2"/>
      <c r="U327" s="10"/>
      <c r="V327" s="2"/>
      <c r="W327" s="7"/>
      <c r="X327" s="7"/>
      <c r="Y327" s="2"/>
      <c r="Z327" s="2"/>
      <c r="AA327" s="2"/>
    </row>
    <row r="328">
      <c r="A328" s="2"/>
      <c r="B328" s="2"/>
      <c r="C328" s="2"/>
      <c r="D328" s="2"/>
      <c r="E328" s="2"/>
      <c r="F328" s="2"/>
      <c r="G328" s="2"/>
      <c r="H328" s="2"/>
      <c r="I328" s="2"/>
      <c r="J328" s="2"/>
      <c r="K328" s="2"/>
      <c r="L328" s="2"/>
      <c r="M328" s="2"/>
      <c r="N328" s="2"/>
      <c r="O328" s="2"/>
      <c r="P328" s="2"/>
      <c r="Q328" s="2"/>
      <c r="R328" s="2"/>
      <c r="S328" s="7"/>
      <c r="T328" s="2"/>
      <c r="U328" s="10"/>
      <c r="V328" s="2"/>
      <c r="W328" s="7"/>
      <c r="X328" s="7"/>
      <c r="Y328" s="2"/>
      <c r="Z328" s="2"/>
      <c r="AA328" s="2"/>
    </row>
    <row r="329">
      <c r="A329" s="2"/>
      <c r="B329" s="2"/>
      <c r="C329" s="2"/>
      <c r="D329" s="2"/>
      <c r="E329" s="2"/>
      <c r="F329" s="2"/>
      <c r="G329" s="2"/>
      <c r="H329" s="2"/>
      <c r="I329" s="2"/>
      <c r="J329" s="2"/>
      <c r="K329" s="2"/>
      <c r="L329" s="2"/>
      <c r="M329" s="2"/>
      <c r="N329" s="2"/>
      <c r="O329" s="2"/>
      <c r="P329" s="2"/>
      <c r="Q329" s="2"/>
      <c r="R329" s="2"/>
      <c r="S329" s="7"/>
      <c r="T329" s="2"/>
      <c r="U329" s="10"/>
      <c r="V329" s="2"/>
      <c r="W329" s="7"/>
      <c r="X329" s="7"/>
      <c r="Y329" s="2"/>
      <c r="Z329" s="2"/>
      <c r="AA329" s="2"/>
    </row>
    <row r="330">
      <c r="A330" s="2"/>
      <c r="B330" s="2"/>
      <c r="C330" s="2"/>
      <c r="D330" s="2"/>
      <c r="E330" s="2"/>
      <c r="F330" s="2"/>
      <c r="G330" s="2"/>
      <c r="H330" s="2"/>
      <c r="I330" s="2"/>
      <c r="J330" s="2"/>
      <c r="K330" s="2"/>
      <c r="L330" s="2"/>
      <c r="M330" s="2"/>
      <c r="N330" s="2"/>
      <c r="O330" s="2"/>
      <c r="P330" s="2"/>
      <c r="Q330" s="2"/>
      <c r="R330" s="2"/>
      <c r="S330" s="7"/>
      <c r="T330" s="2"/>
      <c r="U330" s="10"/>
      <c r="V330" s="2"/>
      <c r="W330" s="7"/>
      <c r="X330" s="7"/>
      <c r="Y330" s="2"/>
      <c r="Z330" s="2"/>
      <c r="AA330" s="2"/>
    </row>
    <row r="331">
      <c r="A331" s="2"/>
      <c r="B331" s="2"/>
      <c r="C331" s="2"/>
      <c r="D331" s="2"/>
      <c r="E331" s="2"/>
      <c r="F331" s="2"/>
      <c r="G331" s="2"/>
      <c r="H331" s="2"/>
      <c r="I331" s="2"/>
      <c r="J331" s="2"/>
      <c r="K331" s="2"/>
      <c r="L331" s="2"/>
      <c r="M331" s="2"/>
      <c r="N331" s="2"/>
      <c r="O331" s="2"/>
      <c r="P331" s="2"/>
      <c r="Q331" s="2"/>
      <c r="R331" s="2"/>
      <c r="S331" s="7"/>
      <c r="T331" s="2"/>
      <c r="U331" s="10"/>
      <c r="V331" s="2"/>
      <c r="W331" s="7"/>
      <c r="X331" s="7"/>
      <c r="Y331" s="2"/>
      <c r="Z331" s="2"/>
      <c r="AA331" s="2"/>
    </row>
    <row r="332">
      <c r="A332" s="2"/>
      <c r="B332" s="2"/>
      <c r="C332" s="2"/>
      <c r="D332" s="2"/>
      <c r="E332" s="2"/>
      <c r="F332" s="2"/>
      <c r="G332" s="2"/>
      <c r="H332" s="2"/>
      <c r="I332" s="2"/>
      <c r="J332" s="2"/>
      <c r="K332" s="2"/>
      <c r="L332" s="2"/>
      <c r="M332" s="2"/>
      <c r="N332" s="2"/>
      <c r="O332" s="2"/>
      <c r="P332" s="2"/>
      <c r="Q332" s="2"/>
      <c r="R332" s="2"/>
      <c r="S332" s="7"/>
      <c r="T332" s="2"/>
      <c r="U332" s="10"/>
      <c r="V332" s="2"/>
      <c r="W332" s="7"/>
      <c r="X332" s="7"/>
      <c r="Y332" s="2"/>
      <c r="Z332" s="2"/>
      <c r="AA332" s="2"/>
    </row>
    <row r="333">
      <c r="A333" s="2"/>
      <c r="B333" s="2"/>
      <c r="C333" s="2"/>
      <c r="D333" s="2"/>
      <c r="E333" s="2"/>
      <c r="F333" s="2"/>
      <c r="G333" s="2"/>
      <c r="H333" s="2"/>
      <c r="I333" s="2"/>
      <c r="J333" s="2"/>
      <c r="K333" s="2"/>
      <c r="L333" s="2"/>
      <c r="M333" s="2"/>
      <c r="N333" s="2"/>
      <c r="O333" s="2"/>
      <c r="P333" s="2"/>
      <c r="Q333" s="2"/>
      <c r="R333" s="2"/>
      <c r="S333" s="7"/>
      <c r="T333" s="2"/>
      <c r="U333" s="10"/>
      <c r="V333" s="2"/>
      <c r="W333" s="7"/>
      <c r="X333" s="7"/>
      <c r="Y333" s="2"/>
      <c r="Z333" s="2"/>
      <c r="AA333" s="2"/>
    </row>
    <row r="334">
      <c r="A334" s="2"/>
      <c r="B334" s="2"/>
      <c r="C334" s="2"/>
      <c r="D334" s="2"/>
      <c r="E334" s="2"/>
      <c r="F334" s="2"/>
      <c r="G334" s="2"/>
      <c r="H334" s="2"/>
      <c r="I334" s="2"/>
      <c r="J334" s="2"/>
      <c r="K334" s="2"/>
      <c r="L334" s="2"/>
      <c r="M334" s="2"/>
      <c r="N334" s="2"/>
      <c r="O334" s="2"/>
      <c r="P334" s="2"/>
      <c r="Q334" s="2"/>
      <c r="R334" s="2"/>
      <c r="S334" s="7"/>
      <c r="T334" s="2"/>
      <c r="U334" s="10"/>
      <c r="V334" s="2"/>
      <c r="W334" s="7"/>
      <c r="X334" s="7"/>
      <c r="Y334" s="2"/>
      <c r="Z334" s="2"/>
      <c r="AA334" s="2"/>
    </row>
    <row r="335">
      <c r="A335" s="2"/>
      <c r="B335" s="2"/>
      <c r="C335" s="2"/>
      <c r="D335" s="2"/>
      <c r="E335" s="2"/>
      <c r="F335" s="2"/>
      <c r="G335" s="2"/>
      <c r="H335" s="2"/>
      <c r="I335" s="2"/>
      <c r="J335" s="2"/>
      <c r="K335" s="2"/>
      <c r="L335" s="2"/>
      <c r="M335" s="2"/>
      <c r="N335" s="2"/>
      <c r="O335" s="2"/>
      <c r="P335" s="2"/>
      <c r="Q335" s="2"/>
      <c r="R335" s="2"/>
      <c r="S335" s="7"/>
      <c r="T335" s="2"/>
      <c r="U335" s="10"/>
      <c r="V335" s="2"/>
      <c r="W335" s="7"/>
      <c r="X335" s="7"/>
      <c r="Y335" s="2"/>
      <c r="Z335" s="2"/>
      <c r="AA335" s="2"/>
    </row>
    <row r="336">
      <c r="A336" s="2"/>
      <c r="B336" s="2"/>
      <c r="C336" s="2"/>
      <c r="D336" s="2"/>
      <c r="E336" s="2"/>
      <c r="F336" s="2"/>
      <c r="G336" s="2"/>
      <c r="H336" s="2"/>
      <c r="I336" s="2"/>
      <c r="J336" s="2"/>
      <c r="K336" s="2"/>
      <c r="L336" s="2"/>
      <c r="M336" s="2"/>
      <c r="N336" s="2"/>
      <c r="O336" s="2"/>
      <c r="P336" s="2"/>
      <c r="Q336" s="2"/>
      <c r="R336" s="2"/>
      <c r="S336" s="7"/>
      <c r="T336" s="2"/>
      <c r="U336" s="10"/>
      <c r="V336" s="2"/>
      <c r="W336" s="7"/>
      <c r="X336" s="7"/>
      <c r="Y336" s="2"/>
      <c r="Z336" s="2"/>
      <c r="AA336" s="2"/>
    </row>
    <row r="337">
      <c r="A337" s="2"/>
      <c r="B337" s="2"/>
      <c r="C337" s="2"/>
      <c r="D337" s="2"/>
      <c r="E337" s="2"/>
      <c r="F337" s="2"/>
      <c r="G337" s="2"/>
      <c r="H337" s="2"/>
      <c r="I337" s="2"/>
      <c r="J337" s="2"/>
      <c r="K337" s="2"/>
      <c r="L337" s="2"/>
      <c r="M337" s="2"/>
      <c r="N337" s="2"/>
      <c r="O337" s="2"/>
      <c r="P337" s="2"/>
      <c r="Q337" s="2"/>
      <c r="R337" s="2"/>
      <c r="S337" s="7"/>
      <c r="T337" s="2"/>
      <c r="U337" s="10"/>
      <c r="V337" s="2"/>
      <c r="W337" s="7"/>
      <c r="X337" s="7"/>
      <c r="Y337" s="2"/>
      <c r="Z337" s="2"/>
      <c r="AA337" s="2"/>
    </row>
    <row r="338">
      <c r="A338" s="2"/>
      <c r="B338" s="2"/>
      <c r="C338" s="2"/>
      <c r="D338" s="2"/>
      <c r="E338" s="2"/>
      <c r="F338" s="2"/>
      <c r="G338" s="2"/>
      <c r="H338" s="2"/>
      <c r="I338" s="2"/>
      <c r="J338" s="2"/>
      <c r="K338" s="2"/>
      <c r="L338" s="2"/>
      <c r="M338" s="2"/>
      <c r="N338" s="2"/>
      <c r="O338" s="2"/>
      <c r="P338" s="2"/>
      <c r="Q338" s="2"/>
      <c r="R338" s="2"/>
      <c r="S338" s="7"/>
      <c r="T338" s="2"/>
      <c r="U338" s="10"/>
      <c r="V338" s="2"/>
      <c r="W338" s="7"/>
      <c r="X338" s="7"/>
      <c r="Y338" s="2"/>
      <c r="Z338" s="2"/>
      <c r="AA338" s="2"/>
    </row>
    <row r="339">
      <c r="A339" s="2"/>
      <c r="B339" s="2"/>
      <c r="C339" s="2"/>
      <c r="D339" s="2"/>
      <c r="E339" s="2"/>
      <c r="F339" s="2"/>
      <c r="G339" s="2"/>
      <c r="H339" s="2"/>
      <c r="I339" s="2"/>
      <c r="J339" s="2"/>
      <c r="K339" s="2"/>
      <c r="L339" s="2"/>
      <c r="M339" s="2"/>
      <c r="N339" s="2"/>
      <c r="O339" s="2"/>
      <c r="P339" s="2"/>
      <c r="Q339" s="2"/>
      <c r="R339" s="2"/>
      <c r="S339" s="7"/>
      <c r="T339" s="2"/>
      <c r="U339" s="10"/>
      <c r="V339" s="2"/>
      <c r="W339" s="7"/>
      <c r="X339" s="7"/>
      <c r="Y339" s="2"/>
      <c r="Z339" s="2"/>
      <c r="AA339" s="2"/>
    </row>
    <row r="340">
      <c r="A340" s="2"/>
      <c r="B340" s="2"/>
      <c r="C340" s="2"/>
      <c r="D340" s="2"/>
      <c r="E340" s="2"/>
      <c r="F340" s="2"/>
      <c r="G340" s="2"/>
      <c r="H340" s="2"/>
      <c r="I340" s="2"/>
      <c r="J340" s="2"/>
      <c r="K340" s="2"/>
      <c r="L340" s="2"/>
      <c r="M340" s="2"/>
      <c r="N340" s="2"/>
      <c r="O340" s="2"/>
      <c r="P340" s="2"/>
      <c r="Q340" s="2"/>
      <c r="R340" s="2"/>
      <c r="S340" s="7"/>
      <c r="T340" s="2"/>
      <c r="U340" s="10"/>
      <c r="V340" s="2"/>
      <c r="W340" s="7"/>
      <c r="X340" s="7"/>
      <c r="Y340" s="2"/>
      <c r="Z340" s="2"/>
      <c r="AA340" s="2"/>
    </row>
    <row r="341">
      <c r="A341" s="2"/>
      <c r="B341" s="2"/>
      <c r="C341" s="2"/>
      <c r="D341" s="2"/>
      <c r="E341" s="2"/>
      <c r="F341" s="2"/>
      <c r="G341" s="2"/>
      <c r="H341" s="2"/>
      <c r="I341" s="2"/>
      <c r="J341" s="2"/>
      <c r="K341" s="2"/>
      <c r="L341" s="2"/>
      <c r="M341" s="2"/>
      <c r="N341" s="2"/>
      <c r="O341" s="2"/>
      <c r="P341" s="2"/>
      <c r="Q341" s="2"/>
      <c r="R341" s="2"/>
      <c r="S341" s="7"/>
      <c r="T341" s="2"/>
      <c r="U341" s="10"/>
      <c r="V341" s="2"/>
      <c r="W341" s="7"/>
      <c r="X341" s="7"/>
      <c r="Y341" s="2"/>
      <c r="Z341" s="2"/>
      <c r="AA341" s="2"/>
    </row>
    <row r="342">
      <c r="A342" s="2"/>
      <c r="B342" s="2"/>
      <c r="C342" s="2"/>
      <c r="D342" s="2"/>
      <c r="E342" s="2"/>
      <c r="F342" s="2"/>
      <c r="G342" s="2"/>
      <c r="H342" s="2"/>
      <c r="I342" s="2"/>
      <c r="J342" s="2"/>
      <c r="K342" s="2"/>
      <c r="L342" s="2"/>
      <c r="M342" s="2"/>
      <c r="N342" s="2"/>
      <c r="O342" s="2"/>
      <c r="P342" s="2"/>
      <c r="Q342" s="2"/>
      <c r="R342" s="2"/>
      <c r="S342" s="7"/>
      <c r="T342" s="2"/>
      <c r="U342" s="10"/>
      <c r="V342" s="2"/>
      <c r="W342" s="7"/>
      <c r="X342" s="7"/>
      <c r="Y342" s="2"/>
      <c r="Z342" s="2"/>
      <c r="AA342" s="2"/>
    </row>
    <row r="343">
      <c r="A343" s="2"/>
      <c r="B343" s="2"/>
      <c r="C343" s="2"/>
      <c r="D343" s="2"/>
      <c r="E343" s="2"/>
      <c r="F343" s="2"/>
      <c r="G343" s="2"/>
      <c r="H343" s="2"/>
      <c r="I343" s="2"/>
      <c r="J343" s="2"/>
      <c r="K343" s="2"/>
      <c r="L343" s="2"/>
      <c r="M343" s="2"/>
      <c r="N343" s="2"/>
      <c r="O343" s="2"/>
      <c r="P343" s="2"/>
      <c r="Q343" s="2"/>
      <c r="R343" s="2"/>
      <c r="S343" s="7"/>
      <c r="T343" s="2"/>
      <c r="U343" s="10"/>
      <c r="V343" s="2"/>
      <c r="W343" s="7"/>
      <c r="X343" s="7"/>
      <c r="Y343" s="2"/>
      <c r="Z343" s="2"/>
      <c r="AA343" s="2"/>
    </row>
    <row r="344">
      <c r="A344" s="2"/>
      <c r="B344" s="2"/>
      <c r="C344" s="2"/>
      <c r="D344" s="2"/>
      <c r="E344" s="2"/>
      <c r="F344" s="2"/>
      <c r="G344" s="2"/>
      <c r="H344" s="2"/>
      <c r="I344" s="2"/>
      <c r="J344" s="2"/>
      <c r="K344" s="2"/>
      <c r="L344" s="2"/>
      <c r="M344" s="2"/>
      <c r="N344" s="2"/>
      <c r="O344" s="2"/>
      <c r="P344" s="2"/>
      <c r="Q344" s="2"/>
      <c r="R344" s="2"/>
      <c r="S344" s="7"/>
      <c r="T344" s="2"/>
      <c r="U344" s="10"/>
      <c r="V344" s="2"/>
      <c r="W344" s="7"/>
      <c r="X344" s="7"/>
      <c r="Y344" s="2"/>
      <c r="Z344" s="2"/>
      <c r="AA344" s="2"/>
    </row>
    <row r="345">
      <c r="A345" s="2"/>
      <c r="B345" s="2"/>
      <c r="C345" s="2"/>
      <c r="D345" s="2"/>
      <c r="E345" s="2"/>
      <c r="F345" s="2"/>
      <c r="G345" s="2"/>
      <c r="H345" s="2"/>
      <c r="I345" s="2"/>
      <c r="J345" s="2"/>
      <c r="K345" s="2"/>
      <c r="L345" s="2"/>
      <c r="M345" s="2"/>
      <c r="N345" s="2"/>
      <c r="O345" s="2"/>
      <c r="P345" s="2"/>
      <c r="Q345" s="2"/>
      <c r="R345" s="2"/>
      <c r="S345" s="7"/>
      <c r="T345" s="2"/>
      <c r="U345" s="10"/>
      <c r="V345" s="2"/>
      <c r="W345" s="7"/>
      <c r="X345" s="7"/>
      <c r="Y345" s="2"/>
      <c r="Z345" s="2"/>
      <c r="AA345" s="2"/>
    </row>
    <row r="346">
      <c r="A346" s="2"/>
      <c r="B346" s="2"/>
      <c r="C346" s="2"/>
      <c r="D346" s="2"/>
      <c r="E346" s="2"/>
      <c r="F346" s="2"/>
      <c r="G346" s="2"/>
      <c r="H346" s="2"/>
      <c r="I346" s="2"/>
      <c r="J346" s="2"/>
      <c r="K346" s="2"/>
      <c r="L346" s="2"/>
      <c r="M346" s="2"/>
      <c r="N346" s="2"/>
      <c r="O346" s="2"/>
      <c r="P346" s="2"/>
      <c r="Q346" s="2"/>
      <c r="R346" s="2"/>
      <c r="S346" s="7"/>
      <c r="T346" s="2"/>
      <c r="U346" s="10"/>
      <c r="V346" s="2"/>
      <c r="W346" s="7"/>
      <c r="X346" s="7"/>
      <c r="Y346" s="2"/>
      <c r="Z346" s="2"/>
      <c r="AA346" s="2"/>
    </row>
    <row r="347">
      <c r="A347" s="2"/>
      <c r="B347" s="2"/>
      <c r="C347" s="2"/>
      <c r="D347" s="2"/>
      <c r="E347" s="2"/>
      <c r="F347" s="2"/>
      <c r="G347" s="2"/>
      <c r="H347" s="2"/>
      <c r="I347" s="2"/>
      <c r="J347" s="2"/>
      <c r="K347" s="2"/>
      <c r="L347" s="2"/>
      <c r="M347" s="2"/>
      <c r="N347" s="2"/>
      <c r="O347" s="2"/>
      <c r="P347" s="2"/>
      <c r="Q347" s="2"/>
      <c r="R347" s="2"/>
      <c r="S347" s="7"/>
      <c r="T347" s="2"/>
      <c r="U347" s="10"/>
      <c r="V347" s="2"/>
      <c r="W347" s="7"/>
      <c r="X347" s="7"/>
      <c r="Y347" s="2"/>
      <c r="Z347" s="2"/>
      <c r="AA347" s="2"/>
    </row>
    <row r="348">
      <c r="A348" s="2"/>
      <c r="B348" s="2"/>
      <c r="C348" s="2"/>
      <c r="D348" s="2"/>
      <c r="E348" s="2"/>
      <c r="F348" s="2"/>
      <c r="G348" s="2"/>
      <c r="H348" s="2"/>
      <c r="I348" s="2"/>
      <c r="J348" s="2"/>
      <c r="K348" s="2"/>
      <c r="L348" s="2"/>
      <c r="M348" s="2"/>
      <c r="N348" s="2"/>
      <c r="O348" s="2"/>
      <c r="P348" s="2"/>
      <c r="Q348" s="2"/>
      <c r="R348" s="2"/>
      <c r="S348" s="7"/>
      <c r="T348" s="2"/>
      <c r="U348" s="10"/>
      <c r="V348" s="2"/>
      <c r="W348" s="7"/>
      <c r="X348" s="7"/>
      <c r="Y348" s="2"/>
      <c r="Z348" s="2"/>
      <c r="AA348" s="2"/>
    </row>
    <row r="349">
      <c r="A349" s="2"/>
      <c r="B349" s="2"/>
      <c r="C349" s="2"/>
      <c r="D349" s="2"/>
      <c r="E349" s="2"/>
      <c r="F349" s="2"/>
      <c r="G349" s="2"/>
      <c r="H349" s="2"/>
      <c r="I349" s="2"/>
      <c r="J349" s="2"/>
      <c r="K349" s="2"/>
      <c r="L349" s="2"/>
      <c r="M349" s="2"/>
      <c r="N349" s="2"/>
      <c r="O349" s="2"/>
      <c r="P349" s="2"/>
      <c r="Q349" s="2"/>
      <c r="R349" s="2"/>
      <c r="S349" s="7"/>
      <c r="T349" s="2"/>
      <c r="U349" s="10"/>
      <c r="V349" s="2"/>
      <c r="W349" s="7"/>
      <c r="X349" s="7"/>
      <c r="Y349" s="2"/>
      <c r="Z349" s="2"/>
      <c r="AA349" s="2"/>
    </row>
    <row r="350">
      <c r="A350" s="2"/>
      <c r="B350" s="2"/>
      <c r="C350" s="2"/>
      <c r="D350" s="2"/>
      <c r="E350" s="2"/>
      <c r="F350" s="2"/>
      <c r="G350" s="2"/>
      <c r="H350" s="2"/>
      <c r="I350" s="2"/>
      <c r="J350" s="2"/>
      <c r="K350" s="2"/>
      <c r="L350" s="2"/>
      <c r="M350" s="2"/>
      <c r="N350" s="2"/>
      <c r="O350" s="2"/>
      <c r="P350" s="2"/>
      <c r="Q350" s="2"/>
      <c r="R350" s="2"/>
      <c r="S350" s="7"/>
      <c r="T350" s="2"/>
      <c r="U350" s="10"/>
      <c r="V350" s="2"/>
      <c r="W350" s="7"/>
      <c r="X350" s="7"/>
      <c r="Y350" s="2"/>
      <c r="Z350" s="2"/>
      <c r="AA350" s="2"/>
    </row>
    <row r="351">
      <c r="A351" s="2"/>
      <c r="B351" s="2"/>
      <c r="C351" s="2"/>
      <c r="D351" s="2"/>
      <c r="E351" s="2"/>
      <c r="F351" s="2"/>
      <c r="G351" s="2"/>
      <c r="H351" s="2"/>
      <c r="I351" s="2"/>
      <c r="J351" s="2"/>
      <c r="K351" s="2"/>
      <c r="L351" s="2"/>
      <c r="M351" s="2"/>
      <c r="N351" s="2"/>
      <c r="O351" s="2"/>
      <c r="P351" s="2"/>
      <c r="Q351" s="2"/>
      <c r="R351" s="2"/>
      <c r="S351" s="7"/>
      <c r="T351" s="2"/>
      <c r="U351" s="10"/>
      <c r="V351" s="2"/>
      <c r="W351" s="7"/>
      <c r="X351" s="7"/>
      <c r="Y351" s="2"/>
      <c r="Z351" s="2"/>
      <c r="AA351" s="2"/>
    </row>
    <row r="352">
      <c r="A352" s="2"/>
      <c r="B352" s="2"/>
      <c r="C352" s="2"/>
      <c r="D352" s="2"/>
      <c r="E352" s="2"/>
      <c r="F352" s="2"/>
      <c r="G352" s="2"/>
      <c r="H352" s="2"/>
      <c r="I352" s="2"/>
      <c r="J352" s="2"/>
      <c r="K352" s="2"/>
      <c r="L352" s="2"/>
      <c r="M352" s="2"/>
      <c r="N352" s="2"/>
      <c r="O352" s="2"/>
      <c r="P352" s="2"/>
      <c r="Q352" s="2"/>
      <c r="R352" s="2"/>
      <c r="S352" s="7"/>
      <c r="T352" s="2"/>
      <c r="U352" s="10"/>
      <c r="V352" s="2"/>
      <c r="W352" s="7"/>
      <c r="X352" s="7"/>
      <c r="Y352" s="2"/>
      <c r="Z352" s="2"/>
      <c r="AA352" s="2"/>
    </row>
    <row r="353">
      <c r="A353" s="2"/>
      <c r="B353" s="2"/>
      <c r="C353" s="2"/>
      <c r="D353" s="2"/>
      <c r="E353" s="2"/>
      <c r="F353" s="2"/>
      <c r="G353" s="2"/>
      <c r="H353" s="2"/>
      <c r="I353" s="2"/>
      <c r="J353" s="2"/>
      <c r="K353" s="2"/>
      <c r="L353" s="2"/>
      <c r="M353" s="2"/>
      <c r="N353" s="2"/>
      <c r="O353" s="2"/>
      <c r="P353" s="2"/>
      <c r="Q353" s="2"/>
      <c r="R353" s="2"/>
      <c r="S353" s="7"/>
      <c r="T353" s="2"/>
      <c r="U353" s="10"/>
      <c r="V353" s="2"/>
      <c r="W353" s="7"/>
      <c r="X353" s="7"/>
      <c r="Y353" s="2"/>
      <c r="Z353" s="2"/>
      <c r="AA353" s="2"/>
    </row>
    <row r="354">
      <c r="A354" s="2"/>
      <c r="B354" s="2"/>
      <c r="C354" s="2"/>
      <c r="D354" s="2"/>
      <c r="E354" s="2"/>
      <c r="F354" s="2"/>
      <c r="G354" s="2"/>
      <c r="H354" s="2"/>
      <c r="I354" s="2"/>
      <c r="J354" s="2"/>
      <c r="K354" s="2"/>
      <c r="L354" s="2"/>
      <c r="M354" s="2"/>
      <c r="N354" s="2"/>
      <c r="O354" s="2"/>
      <c r="P354" s="2"/>
      <c r="Q354" s="2"/>
      <c r="R354" s="2"/>
      <c r="S354" s="7"/>
      <c r="T354" s="2"/>
      <c r="U354" s="10"/>
      <c r="V354" s="2"/>
      <c r="W354" s="7"/>
      <c r="X354" s="7"/>
      <c r="Y354" s="2"/>
      <c r="Z354" s="2"/>
      <c r="AA354" s="2"/>
    </row>
    <row r="355">
      <c r="A355" s="2"/>
      <c r="B355" s="2"/>
      <c r="C355" s="2"/>
      <c r="D355" s="2"/>
      <c r="E355" s="2"/>
      <c r="F355" s="2"/>
      <c r="G355" s="2"/>
      <c r="H355" s="2"/>
      <c r="I355" s="2"/>
      <c r="J355" s="2"/>
      <c r="K355" s="2"/>
      <c r="L355" s="2"/>
      <c r="M355" s="2"/>
      <c r="N355" s="2"/>
      <c r="O355" s="2"/>
      <c r="P355" s="2"/>
      <c r="Q355" s="2"/>
      <c r="R355" s="2"/>
      <c r="S355" s="7"/>
      <c r="T355" s="2"/>
      <c r="U355" s="10"/>
      <c r="V355" s="2"/>
      <c r="W355" s="7"/>
      <c r="X355" s="7"/>
      <c r="Y355" s="2"/>
      <c r="Z355" s="2"/>
      <c r="AA355" s="2"/>
    </row>
    <row r="356">
      <c r="A356" s="2"/>
      <c r="B356" s="2"/>
      <c r="C356" s="2"/>
      <c r="D356" s="2"/>
      <c r="E356" s="2"/>
      <c r="F356" s="2"/>
      <c r="G356" s="2"/>
      <c r="H356" s="2"/>
      <c r="I356" s="2"/>
      <c r="J356" s="2"/>
      <c r="K356" s="2"/>
      <c r="L356" s="2"/>
      <c r="M356" s="2"/>
      <c r="N356" s="2"/>
      <c r="O356" s="2"/>
      <c r="P356" s="2"/>
      <c r="Q356" s="2"/>
      <c r="R356" s="2"/>
      <c r="S356" s="7"/>
      <c r="T356" s="2"/>
      <c r="U356" s="10"/>
      <c r="V356" s="2"/>
      <c r="W356" s="7"/>
      <c r="X356" s="7"/>
      <c r="Y356" s="2"/>
      <c r="Z356" s="2"/>
      <c r="AA356" s="2"/>
    </row>
    <row r="357">
      <c r="A357" s="2"/>
      <c r="B357" s="2"/>
      <c r="C357" s="2"/>
      <c r="D357" s="2"/>
      <c r="E357" s="2"/>
      <c r="F357" s="2"/>
      <c r="G357" s="2"/>
      <c r="H357" s="2"/>
      <c r="I357" s="2"/>
      <c r="J357" s="2"/>
      <c r="K357" s="2"/>
      <c r="L357" s="2"/>
      <c r="M357" s="2"/>
      <c r="N357" s="2"/>
      <c r="O357" s="2"/>
      <c r="P357" s="2"/>
      <c r="Q357" s="2"/>
      <c r="R357" s="2"/>
      <c r="S357" s="7"/>
      <c r="T357" s="2"/>
      <c r="U357" s="10"/>
      <c r="V357" s="2"/>
      <c r="W357" s="7"/>
      <c r="X357" s="7"/>
      <c r="Y357" s="2"/>
      <c r="Z357" s="2"/>
      <c r="AA357" s="2"/>
    </row>
    <row r="358">
      <c r="A358" s="2"/>
      <c r="B358" s="2"/>
      <c r="C358" s="2"/>
      <c r="D358" s="2"/>
      <c r="E358" s="2"/>
      <c r="F358" s="2"/>
      <c r="G358" s="2"/>
      <c r="H358" s="2"/>
      <c r="I358" s="2"/>
      <c r="J358" s="2"/>
      <c r="K358" s="2"/>
      <c r="L358" s="2"/>
      <c r="M358" s="2"/>
      <c r="N358" s="2"/>
      <c r="O358" s="2"/>
      <c r="P358" s="2"/>
      <c r="Q358" s="2"/>
      <c r="R358" s="2"/>
      <c r="S358" s="7"/>
      <c r="T358" s="2"/>
      <c r="U358" s="10"/>
      <c r="V358" s="2"/>
      <c r="W358" s="7"/>
      <c r="X358" s="7"/>
      <c r="Y358" s="2"/>
      <c r="Z358" s="2"/>
      <c r="AA358" s="2"/>
    </row>
    <row r="359">
      <c r="A359" s="2"/>
      <c r="B359" s="2"/>
      <c r="C359" s="2"/>
      <c r="D359" s="2"/>
      <c r="E359" s="2"/>
      <c r="F359" s="2"/>
      <c r="G359" s="2"/>
      <c r="H359" s="2"/>
      <c r="I359" s="2"/>
      <c r="J359" s="2"/>
      <c r="K359" s="2"/>
      <c r="L359" s="2"/>
      <c r="M359" s="2"/>
      <c r="N359" s="2"/>
      <c r="O359" s="2"/>
      <c r="P359" s="2"/>
      <c r="Q359" s="2"/>
      <c r="R359" s="2"/>
      <c r="S359" s="7"/>
      <c r="T359" s="2"/>
      <c r="U359" s="10"/>
      <c r="V359" s="2"/>
      <c r="W359" s="7"/>
      <c r="X359" s="7"/>
      <c r="Y359" s="2"/>
      <c r="Z359" s="2"/>
      <c r="AA359" s="2"/>
    </row>
    <row r="360">
      <c r="A360" s="2"/>
      <c r="B360" s="2"/>
      <c r="C360" s="2"/>
      <c r="D360" s="2"/>
      <c r="E360" s="2"/>
      <c r="F360" s="2"/>
      <c r="G360" s="2"/>
      <c r="H360" s="2"/>
      <c r="I360" s="2"/>
      <c r="J360" s="2"/>
      <c r="K360" s="2"/>
      <c r="L360" s="2"/>
      <c r="M360" s="2"/>
      <c r="N360" s="2"/>
      <c r="O360" s="2"/>
      <c r="P360" s="2"/>
      <c r="Q360" s="2"/>
      <c r="R360" s="2"/>
      <c r="S360" s="7"/>
      <c r="T360" s="2"/>
      <c r="U360" s="10"/>
      <c r="V360" s="2"/>
      <c r="W360" s="7"/>
      <c r="X360" s="7"/>
      <c r="Y360" s="2"/>
      <c r="Z360" s="2"/>
      <c r="AA360" s="2"/>
    </row>
    <row r="361">
      <c r="A361" s="2"/>
      <c r="B361" s="2"/>
      <c r="C361" s="2"/>
      <c r="D361" s="2"/>
      <c r="E361" s="2"/>
      <c r="F361" s="2"/>
      <c r="G361" s="2"/>
      <c r="H361" s="2"/>
      <c r="I361" s="2"/>
      <c r="J361" s="2"/>
      <c r="K361" s="2"/>
      <c r="L361" s="2"/>
      <c r="M361" s="2"/>
      <c r="N361" s="2"/>
      <c r="O361" s="2"/>
      <c r="P361" s="2"/>
      <c r="Q361" s="2"/>
      <c r="R361" s="2"/>
      <c r="S361" s="7"/>
      <c r="T361" s="2"/>
      <c r="U361" s="10"/>
      <c r="V361" s="2"/>
      <c r="W361" s="7"/>
      <c r="X361" s="7"/>
      <c r="Y361" s="2"/>
      <c r="Z361" s="2"/>
      <c r="AA361" s="2"/>
    </row>
    <row r="362">
      <c r="A362" s="2"/>
      <c r="B362" s="2"/>
      <c r="C362" s="2"/>
      <c r="D362" s="2"/>
      <c r="E362" s="2"/>
      <c r="F362" s="2"/>
      <c r="G362" s="2"/>
      <c r="H362" s="2"/>
      <c r="I362" s="2"/>
      <c r="J362" s="2"/>
      <c r="K362" s="2"/>
      <c r="L362" s="2"/>
      <c r="M362" s="2"/>
      <c r="N362" s="2"/>
      <c r="O362" s="2"/>
      <c r="P362" s="2"/>
      <c r="Q362" s="2"/>
      <c r="R362" s="2"/>
      <c r="S362" s="7"/>
      <c r="T362" s="2"/>
      <c r="U362" s="10"/>
      <c r="V362" s="2"/>
      <c r="W362" s="7"/>
      <c r="X362" s="7"/>
      <c r="Y362" s="2"/>
      <c r="Z362" s="2"/>
      <c r="AA362" s="2"/>
    </row>
    <row r="363">
      <c r="A363" s="2"/>
      <c r="B363" s="2"/>
      <c r="C363" s="2"/>
      <c r="D363" s="2"/>
      <c r="E363" s="2"/>
      <c r="F363" s="2"/>
      <c r="G363" s="2"/>
      <c r="H363" s="2"/>
      <c r="I363" s="2"/>
      <c r="J363" s="2"/>
      <c r="K363" s="2"/>
      <c r="L363" s="2"/>
      <c r="M363" s="2"/>
      <c r="N363" s="2"/>
      <c r="O363" s="2"/>
      <c r="P363" s="2"/>
      <c r="Q363" s="2"/>
      <c r="R363" s="2"/>
      <c r="S363" s="7"/>
      <c r="T363" s="2"/>
      <c r="U363" s="10"/>
      <c r="V363" s="2"/>
      <c r="W363" s="7"/>
      <c r="X363" s="7"/>
      <c r="Y363" s="2"/>
      <c r="Z363" s="2"/>
      <c r="AA363" s="2"/>
    </row>
    <row r="364">
      <c r="A364" s="2"/>
      <c r="B364" s="2"/>
      <c r="C364" s="2"/>
      <c r="D364" s="2"/>
      <c r="E364" s="2"/>
      <c r="F364" s="2"/>
      <c r="G364" s="2"/>
      <c r="H364" s="2"/>
      <c r="I364" s="2"/>
      <c r="J364" s="2"/>
      <c r="K364" s="2"/>
      <c r="L364" s="2"/>
      <c r="M364" s="2"/>
      <c r="N364" s="2"/>
      <c r="O364" s="2"/>
      <c r="P364" s="2"/>
      <c r="Q364" s="2"/>
      <c r="R364" s="2"/>
      <c r="S364" s="7"/>
      <c r="T364" s="2"/>
      <c r="U364" s="10"/>
      <c r="V364" s="2"/>
      <c r="W364" s="7"/>
      <c r="X364" s="7"/>
      <c r="Y364" s="2"/>
      <c r="Z364" s="2"/>
      <c r="AA364" s="2"/>
    </row>
    <row r="365">
      <c r="A365" s="2"/>
      <c r="B365" s="2"/>
      <c r="C365" s="2"/>
      <c r="D365" s="2"/>
      <c r="E365" s="2"/>
      <c r="F365" s="2"/>
      <c r="G365" s="2"/>
      <c r="H365" s="2"/>
      <c r="I365" s="2"/>
      <c r="J365" s="2"/>
      <c r="K365" s="2"/>
      <c r="L365" s="2"/>
      <c r="M365" s="2"/>
      <c r="N365" s="2"/>
      <c r="O365" s="2"/>
      <c r="P365" s="2"/>
      <c r="Q365" s="2"/>
      <c r="R365" s="2"/>
      <c r="S365" s="7"/>
      <c r="T365" s="2"/>
      <c r="U365" s="10"/>
      <c r="V365" s="2"/>
      <c r="W365" s="7"/>
      <c r="X365" s="7"/>
      <c r="Y365" s="2"/>
      <c r="Z365" s="2"/>
      <c r="AA365" s="2"/>
    </row>
    <row r="366">
      <c r="A366" s="2"/>
      <c r="B366" s="2"/>
      <c r="C366" s="2"/>
      <c r="D366" s="2"/>
      <c r="E366" s="2"/>
      <c r="F366" s="2"/>
      <c r="G366" s="2"/>
      <c r="H366" s="2"/>
      <c r="I366" s="2"/>
      <c r="J366" s="2"/>
      <c r="K366" s="2"/>
      <c r="L366" s="2"/>
      <c r="M366" s="2"/>
      <c r="N366" s="2"/>
      <c r="O366" s="2"/>
      <c r="P366" s="2"/>
      <c r="Q366" s="2"/>
      <c r="R366" s="2"/>
      <c r="S366" s="7"/>
      <c r="T366" s="2"/>
      <c r="U366" s="10"/>
      <c r="V366" s="2"/>
      <c r="W366" s="7"/>
      <c r="X366" s="7"/>
      <c r="Y366" s="2"/>
      <c r="Z366" s="2"/>
      <c r="AA366" s="2"/>
    </row>
    <row r="367">
      <c r="A367" s="2"/>
      <c r="B367" s="2"/>
      <c r="C367" s="2"/>
      <c r="D367" s="2"/>
      <c r="E367" s="2"/>
      <c r="F367" s="2"/>
      <c r="G367" s="2"/>
      <c r="H367" s="2"/>
      <c r="I367" s="2"/>
      <c r="J367" s="2"/>
      <c r="K367" s="2"/>
      <c r="L367" s="2"/>
      <c r="M367" s="2"/>
      <c r="N367" s="2"/>
      <c r="O367" s="2"/>
      <c r="P367" s="2"/>
      <c r="Q367" s="2"/>
      <c r="R367" s="2"/>
      <c r="S367" s="7"/>
      <c r="T367" s="2"/>
      <c r="U367" s="10"/>
      <c r="V367" s="2"/>
      <c r="W367" s="7"/>
      <c r="X367" s="7"/>
      <c r="Y367" s="2"/>
      <c r="Z367" s="2"/>
      <c r="AA367" s="2"/>
    </row>
    <row r="368">
      <c r="A368" s="2"/>
      <c r="B368" s="2"/>
      <c r="C368" s="2"/>
      <c r="D368" s="2"/>
      <c r="E368" s="2"/>
      <c r="F368" s="2"/>
      <c r="G368" s="2"/>
      <c r="H368" s="2"/>
      <c r="I368" s="2"/>
      <c r="J368" s="2"/>
      <c r="K368" s="2"/>
      <c r="L368" s="2"/>
      <c r="M368" s="2"/>
      <c r="N368" s="2"/>
      <c r="O368" s="2"/>
      <c r="P368" s="2"/>
      <c r="Q368" s="2"/>
      <c r="R368" s="2"/>
      <c r="S368" s="7"/>
      <c r="T368" s="2"/>
      <c r="U368" s="10"/>
      <c r="V368" s="2"/>
      <c r="W368" s="7"/>
      <c r="X368" s="7"/>
      <c r="Y368" s="2"/>
      <c r="Z368" s="2"/>
      <c r="AA368" s="2"/>
    </row>
    <row r="369">
      <c r="A369" s="2"/>
      <c r="B369" s="2"/>
      <c r="C369" s="2"/>
      <c r="D369" s="2"/>
      <c r="E369" s="2"/>
      <c r="F369" s="2"/>
      <c r="G369" s="2"/>
      <c r="H369" s="2"/>
      <c r="I369" s="2"/>
      <c r="J369" s="2"/>
      <c r="K369" s="2"/>
      <c r="L369" s="2"/>
      <c r="M369" s="2"/>
      <c r="N369" s="2"/>
      <c r="O369" s="2"/>
      <c r="P369" s="2"/>
      <c r="Q369" s="2"/>
      <c r="R369" s="2"/>
      <c r="S369" s="7"/>
      <c r="T369" s="2"/>
      <c r="U369" s="10"/>
      <c r="V369" s="2"/>
      <c r="W369" s="7"/>
      <c r="X369" s="7"/>
      <c r="Y369" s="2"/>
      <c r="Z369" s="2"/>
      <c r="AA369" s="2"/>
    </row>
    <row r="370">
      <c r="A370" s="2"/>
      <c r="B370" s="2"/>
      <c r="C370" s="2"/>
      <c r="D370" s="2"/>
      <c r="E370" s="2"/>
      <c r="F370" s="2"/>
      <c r="G370" s="2"/>
      <c r="H370" s="2"/>
      <c r="I370" s="2"/>
      <c r="J370" s="2"/>
      <c r="K370" s="2"/>
      <c r="L370" s="2"/>
      <c r="M370" s="2"/>
      <c r="N370" s="2"/>
      <c r="O370" s="2"/>
      <c r="P370" s="2"/>
      <c r="Q370" s="2"/>
      <c r="R370" s="2"/>
      <c r="S370" s="7"/>
      <c r="T370" s="2"/>
      <c r="U370" s="10"/>
      <c r="V370" s="2"/>
      <c r="W370" s="7"/>
      <c r="X370" s="7"/>
      <c r="Y370" s="2"/>
      <c r="Z370" s="2"/>
      <c r="AA370" s="2"/>
    </row>
    <row r="371">
      <c r="A371" s="2"/>
      <c r="B371" s="2"/>
      <c r="C371" s="2"/>
      <c r="D371" s="2"/>
      <c r="E371" s="2"/>
      <c r="F371" s="2"/>
      <c r="G371" s="2"/>
      <c r="H371" s="2"/>
      <c r="I371" s="2"/>
      <c r="J371" s="2"/>
      <c r="K371" s="2"/>
      <c r="L371" s="2"/>
      <c r="M371" s="2"/>
      <c r="N371" s="2"/>
      <c r="O371" s="2"/>
      <c r="P371" s="2"/>
      <c r="Q371" s="2"/>
      <c r="R371" s="2"/>
      <c r="S371" s="7"/>
      <c r="T371" s="2"/>
      <c r="U371" s="10"/>
      <c r="V371" s="2"/>
      <c r="W371" s="7"/>
      <c r="X371" s="7"/>
      <c r="Y371" s="2"/>
      <c r="Z371" s="2"/>
      <c r="AA371" s="2"/>
    </row>
    <row r="372">
      <c r="A372" s="2"/>
      <c r="B372" s="2"/>
      <c r="C372" s="2"/>
      <c r="D372" s="2"/>
      <c r="E372" s="2"/>
      <c r="F372" s="2"/>
      <c r="G372" s="2"/>
      <c r="H372" s="2"/>
      <c r="I372" s="2"/>
      <c r="J372" s="2"/>
      <c r="K372" s="2"/>
      <c r="L372" s="2"/>
      <c r="M372" s="2"/>
      <c r="N372" s="2"/>
      <c r="O372" s="2"/>
      <c r="P372" s="2"/>
      <c r="Q372" s="2"/>
      <c r="R372" s="2"/>
      <c r="S372" s="7"/>
      <c r="T372" s="2"/>
      <c r="U372" s="10"/>
      <c r="V372" s="2"/>
      <c r="W372" s="7"/>
      <c r="X372" s="7"/>
      <c r="Y372" s="2"/>
      <c r="Z372" s="2"/>
      <c r="AA372" s="2"/>
    </row>
    <row r="373">
      <c r="A373" s="2"/>
      <c r="B373" s="2"/>
      <c r="C373" s="2"/>
      <c r="D373" s="2"/>
      <c r="E373" s="2"/>
      <c r="F373" s="2"/>
      <c r="G373" s="2"/>
      <c r="H373" s="2"/>
      <c r="I373" s="2"/>
      <c r="J373" s="2"/>
      <c r="K373" s="2"/>
      <c r="L373" s="2"/>
      <c r="M373" s="2"/>
      <c r="N373" s="2"/>
      <c r="O373" s="2"/>
      <c r="P373" s="2"/>
      <c r="Q373" s="2"/>
      <c r="R373" s="2"/>
      <c r="S373" s="7"/>
      <c r="T373" s="2"/>
      <c r="U373" s="10"/>
      <c r="V373" s="2"/>
      <c r="W373" s="7"/>
      <c r="X373" s="7"/>
      <c r="Y373" s="2"/>
      <c r="Z373" s="2"/>
      <c r="AA373" s="2"/>
    </row>
    <row r="374">
      <c r="A374" s="2"/>
      <c r="B374" s="2"/>
      <c r="C374" s="2"/>
      <c r="D374" s="2"/>
      <c r="E374" s="2"/>
      <c r="F374" s="2"/>
      <c r="G374" s="2"/>
      <c r="H374" s="2"/>
      <c r="I374" s="2"/>
      <c r="J374" s="2"/>
      <c r="K374" s="2"/>
      <c r="L374" s="2"/>
      <c r="M374" s="2"/>
      <c r="N374" s="2"/>
      <c r="O374" s="2"/>
      <c r="P374" s="2"/>
      <c r="Q374" s="2"/>
      <c r="R374" s="2"/>
      <c r="S374" s="7"/>
      <c r="T374" s="2"/>
      <c r="U374" s="10"/>
      <c r="V374" s="2"/>
      <c r="W374" s="7"/>
      <c r="X374" s="7"/>
      <c r="Y374" s="2"/>
      <c r="Z374" s="2"/>
      <c r="AA374" s="2"/>
    </row>
    <row r="375">
      <c r="A375" s="2"/>
      <c r="B375" s="2"/>
      <c r="C375" s="2"/>
      <c r="D375" s="2"/>
      <c r="E375" s="2"/>
      <c r="F375" s="2"/>
      <c r="G375" s="2"/>
      <c r="H375" s="2"/>
      <c r="I375" s="2"/>
      <c r="J375" s="2"/>
      <c r="K375" s="2"/>
      <c r="L375" s="2"/>
      <c r="M375" s="2"/>
      <c r="N375" s="2"/>
      <c r="O375" s="2"/>
      <c r="P375" s="2"/>
      <c r="Q375" s="2"/>
      <c r="R375" s="2"/>
      <c r="S375" s="7"/>
      <c r="T375" s="2"/>
      <c r="U375" s="10"/>
      <c r="V375" s="2"/>
      <c r="W375" s="7"/>
      <c r="X375" s="7"/>
      <c r="Y375" s="2"/>
      <c r="Z375" s="2"/>
      <c r="AA375" s="2"/>
    </row>
    <row r="376">
      <c r="A376" s="2"/>
      <c r="B376" s="2"/>
      <c r="C376" s="2"/>
      <c r="D376" s="2"/>
      <c r="E376" s="2"/>
      <c r="F376" s="2"/>
      <c r="G376" s="2"/>
      <c r="H376" s="2"/>
      <c r="I376" s="2"/>
      <c r="J376" s="2"/>
      <c r="K376" s="2"/>
      <c r="L376" s="2"/>
      <c r="M376" s="2"/>
      <c r="N376" s="2"/>
      <c r="O376" s="2"/>
      <c r="P376" s="2"/>
      <c r="Q376" s="2"/>
      <c r="R376" s="2"/>
      <c r="S376" s="7"/>
      <c r="T376" s="2"/>
      <c r="U376" s="10"/>
      <c r="V376" s="2"/>
      <c r="W376" s="7"/>
      <c r="X376" s="7"/>
      <c r="Y376" s="2"/>
      <c r="Z376" s="2"/>
      <c r="AA376" s="2"/>
    </row>
    <row r="377">
      <c r="A377" s="2"/>
      <c r="B377" s="2"/>
      <c r="C377" s="2"/>
      <c r="D377" s="2"/>
      <c r="E377" s="2"/>
      <c r="F377" s="2"/>
      <c r="G377" s="2"/>
      <c r="H377" s="2"/>
      <c r="I377" s="2"/>
      <c r="J377" s="2"/>
      <c r="K377" s="2"/>
      <c r="L377" s="2"/>
      <c r="M377" s="2"/>
      <c r="N377" s="2"/>
      <c r="O377" s="2"/>
      <c r="P377" s="2"/>
      <c r="Q377" s="2"/>
      <c r="R377" s="2"/>
      <c r="S377" s="7"/>
      <c r="T377" s="2"/>
      <c r="U377" s="10"/>
      <c r="V377" s="2"/>
      <c r="W377" s="7"/>
      <c r="X377" s="7"/>
      <c r="Y377" s="2"/>
      <c r="Z377" s="2"/>
      <c r="AA377" s="2"/>
    </row>
    <row r="378">
      <c r="A378" s="2"/>
      <c r="B378" s="2"/>
      <c r="C378" s="2"/>
      <c r="D378" s="2"/>
      <c r="E378" s="2"/>
      <c r="F378" s="2"/>
      <c r="G378" s="2"/>
      <c r="H378" s="2"/>
      <c r="I378" s="2"/>
      <c r="J378" s="2"/>
      <c r="K378" s="2"/>
      <c r="L378" s="2"/>
      <c r="M378" s="2"/>
      <c r="N378" s="2"/>
      <c r="O378" s="2"/>
      <c r="P378" s="2"/>
      <c r="Q378" s="2"/>
      <c r="R378" s="2"/>
      <c r="S378" s="7"/>
      <c r="T378" s="2"/>
      <c r="U378" s="10"/>
      <c r="V378" s="2"/>
      <c r="W378" s="7"/>
      <c r="X378" s="7"/>
      <c r="Y378" s="2"/>
      <c r="Z378" s="2"/>
      <c r="AA378" s="2"/>
    </row>
    <row r="379">
      <c r="A379" s="2"/>
      <c r="B379" s="2"/>
      <c r="C379" s="2"/>
      <c r="D379" s="2"/>
      <c r="E379" s="2"/>
      <c r="F379" s="2"/>
      <c r="G379" s="2"/>
      <c r="H379" s="2"/>
      <c r="I379" s="2"/>
      <c r="J379" s="2"/>
      <c r="K379" s="2"/>
      <c r="L379" s="2"/>
      <c r="M379" s="2"/>
      <c r="N379" s="2"/>
      <c r="O379" s="2"/>
      <c r="P379" s="2"/>
      <c r="Q379" s="2"/>
      <c r="R379" s="2"/>
      <c r="S379" s="7"/>
      <c r="T379" s="2"/>
      <c r="U379" s="10"/>
      <c r="V379" s="2"/>
      <c r="W379" s="7"/>
      <c r="X379" s="7"/>
      <c r="Y379" s="2"/>
      <c r="Z379" s="2"/>
      <c r="AA379" s="2"/>
    </row>
    <row r="380">
      <c r="A380" s="2"/>
      <c r="B380" s="2"/>
      <c r="C380" s="2"/>
      <c r="D380" s="2"/>
      <c r="E380" s="2"/>
      <c r="F380" s="2"/>
      <c r="G380" s="2"/>
      <c r="H380" s="2"/>
      <c r="I380" s="2"/>
      <c r="J380" s="2"/>
      <c r="K380" s="2"/>
      <c r="L380" s="2"/>
      <c r="M380" s="2"/>
      <c r="N380" s="2"/>
      <c r="O380" s="2"/>
      <c r="P380" s="2"/>
      <c r="Q380" s="2"/>
      <c r="R380" s="2"/>
      <c r="S380" s="7"/>
      <c r="T380" s="2"/>
      <c r="U380" s="10"/>
      <c r="V380" s="2"/>
      <c r="W380" s="7"/>
      <c r="X380" s="7"/>
      <c r="Y380" s="2"/>
      <c r="Z380" s="2"/>
      <c r="AA380" s="2"/>
    </row>
    <row r="381">
      <c r="A381" s="2"/>
      <c r="B381" s="2"/>
      <c r="C381" s="2"/>
      <c r="D381" s="2"/>
      <c r="E381" s="2"/>
      <c r="F381" s="2"/>
      <c r="G381" s="2"/>
      <c r="H381" s="2"/>
      <c r="I381" s="2"/>
      <c r="J381" s="2"/>
      <c r="K381" s="2"/>
      <c r="L381" s="2"/>
      <c r="M381" s="2"/>
      <c r="N381" s="2"/>
      <c r="O381" s="2"/>
      <c r="P381" s="2"/>
      <c r="Q381" s="2"/>
      <c r="R381" s="2"/>
      <c r="S381" s="7"/>
      <c r="T381" s="2"/>
      <c r="U381" s="10"/>
      <c r="V381" s="2"/>
      <c r="W381" s="7"/>
      <c r="X381" s="7"/>
      <c r="Y381" s="2"/>
      <c r="Z381" s="2"/>
      <c r="AA381" s="2"/>
    </row>
    <row r="382">
      <c r="A382" s="2"/>
      <c r="B382" s="2"/>
      <c r="C382" s="2"/>
      <c r="D382" s="2"/>
      <c r="E382" s="2"/>
      <c r="F382" s="2"/>
      <c r="G382" s="2"/>
      <c r="H382" s="2"/>
      <c r="I382" s="2"/>
      <c r="J382" s="2"/>
      <c r="K382" s="2"/>
      <c r="L382" s="2"/>
      <c r="M382" s="2"/>
      <c r="N382" s="2"/>
      <c r="O382" s="2"/>
      <c r="P382" s="2"/>
      <c r="Q382" s="2"/>
      <c r="R382" s="2"/>
      <c r="S382" s="7"/>
      <c r="T382" s="2"/>
      <c r="U382" s="10"/>
      <c r="V382" s="2"/>
      <c r="W382" s="7"/>
      <c r="X382" s="7"/>
      <c r="Y382" s="2"/>
      <c r="Z382" s="2"/>
      <c r="AA382" s="2"/>
    </row>
    <row r="383">
      <c r="A383" s="2"/>
      <c r="B383" s="2"/>
      <c r="C383" s="2"/>
      <c r="D383" s="2"/>
      <c r="E383" s="2"/>
      <c r="F383" s="2"/>
      <c r="G383" s="2"/>
      <c r="H383" s="2"/>
      <c r="I383" s="2"/>
      <c r="J383" s="2"/>
      <c r="K383" s="2"/>
      <c r="L383" s="2"/>
      <c r="M383" s="2"/>
      <c r="N383" s="2"/>
      <c r="O383" s="2"/>
      <c r="P383" s="2"/>
      <c r="Q383" s="2"/>
      <c r="R383" s="2"/>
      <c r="S383" s="7"/>
      <c r="T383" s="2"/>
      <c r="U383" s="10"/>
      <c r="V383" s="2"/>
      <c r="W383" s="7"/>
      <c r="X383" s="7"/>
      <c r="Y383" s="2"/>
      <c r="Z383" s="2"/>
      <c r="AA383" s="2"/>
    </row>
    <row r="384">
      <c r="A384" s="2"/>
      <c r="B384" s="2"/>
      <c r="C384" s="2"/>
      <c r="D384" s="2"/>
      <c r="E384" s="2"/>
      <c r="F384" s="2"/>
      <c r="G384" s="2"/>
      <c r="H384" s="2"/>
      <c r="I384" s="2"/>
      <c r="J384" s="2"/>
      <c r="K384" s="2"/>
      <c r="L384" s="2"/>
      <c r="M384" s="2"/>
      <c r="N384" s="2"/>
      <c r="O384" s="2"/>
      <c r="P384" s="2"/>
      <c r="Q384" s="2"/>
      <c r="R384" s="2"/>
      <c r="S384" s="7"/>
      <c r="T384" s="2"/>
      <c r="U384" s="10"/>
      <c r="V384" s="2"/>
      <c r="W384" s="7"/>
      <c r="X384" s="7"/>
      <c r="Y384" s="2"/>
      <c r="Z384" s="2"/>
      <c r="AA384" s="2"/>
    </row>
    <row r="385">
      <c r="A385" s="2"/>
      <c r="B385" s="2"/>
      <c r="C385" s="2"/>
      <c r="D385" s="2"/>
      <c r="E385" s="2"/>
      <c r="F385" s="2"/>
      <c r="G385" s="2"/>
      <c r="H385" s="2"/>
      <c r="I385" s="2"/>
      <c r="J385" s="2"/>
      <c r="K385" s="2"/>
      <c r="L385" s="2"/>
      <c r="M385" s="2"/>
      <c r="N385" s="2"/>
      <c r="O385" s="2"/>
      <c r="P385" s="2"/>
      <c r="Q385" s="2"/>
      <c r="R385" s="2"/>
      <c r="S385" s="7"/>
      <c r="T385" s="2"/>
      <c r="U385" s="10"/>
      <c r="V385" s="2"/>
      <c r="W385" s="7"/>
      <c r="X385" s="7"/>
      <c r="Y385" s="2"/>
      <c r="Z385" s="2"/>
      <c r="AA385" s="2"/>
    </row>
    <row r="386">
      <c r="A386" s="2"/>
      <c r="B386" s="2"/>
      <c r="C386" s="2"/>
      <c r="D386" s="2"/>
      <c r="E386" s="2"/>
      <c r="F386" s="2"/>
      <c r="G386" s="2"/>
      <c r="H386" s="2"/>
      <c r="I386" s="2"/>
      <c r="J386" s="2"/>
      <c r="K386" s="2"/>
      <c r="L386" s="2"/>
      <c r="M386" s="2"/>
      <c r="N386" s="2"/>
      <c r="O386" s="2"/>
      <c r="P386" s="2"/>
      <c r="Q386" s="2"/>
      <c r="R386" s="2"/>
      <c r="S386" s="7"/>
      <c r="T386" s="2"/>
      <c r="U386" s="10"/>
      <c r="V386" s="2"/>
      <c r="W386" s="7"/>
      <c r="X386" s="7"/>
      <c r="Y386" s="2"/>
      <c r="Z386" s="2"/>
      <c r="AA386" s="2"/>
    </row>
    <row r="387">
      <c r="A387" s="2"/>
      <c r="B387" s="2"/>
      <c r="C387" s="2"/>
      <c r="D387" s="2"/>
      <c r="E387" s="2"/>
      <c r="F387" s="2"/>
      <c r="G387" s="2"/>
      <c r="H387" s="2"/>
      <c r="I387" s="2"/>
      <c r="J387" s="2"/>
      <c r="K387" s="2"/>
      <c r="L387" s="2"/>
      <c r="M387" s="2"/>
      <c r="N387" s="2"/>
      <c r="O387" s="2"/>
      <c r="P387" s="2"/>
      <c r="Q387" s="2"/>
      <c r="R387" s="2"/>
      <c r="S387" s="7"/>
      <c r="T387" s="2"/>
      <c r="U387" s="10"/>
      <c r="V387" s="2"/>
      <c r="W387" s="7"/>
      <c r="X387" s="7"/>
      <c r="Y387" s="2"/>
      <c r="Z387" s="2"/>
      <c r="AA387" s="2"/>
    </row>
    <row r="388">
      <c r="A388" s="2"/>
      <c r="B388" s="2"/>
      <c r="C388" s="2"/>
      <c r="D388" s="2"/>
      <c r="E388" s="2"/>
      <c r="F388" s="2"/>
      <c r="G388" s="2"/>
      <c r="H388" s="2"/>
      <c r="I388" s="2"/>
      <c r="J388" s="2"/>
      <c r="K388" s="2"/>
      <c r="L388" s="2"/>
      <c r="M388" s="2"/>
      <c r="N388" s="2"/>
      <c r="O388" s="2"/>
      <c r="P388" s="2"/>
      <c r="Q388" s="2"/>
      <c r="R388" s="2"/>
      <c r="S388" s="7"/>
      <c r="T388" s="2"/>
      <c r="U388" s="10"/>
      <c r="V388" s="2"/>
      <c r="W388" s="7"/>
      <c r="X388" s="7"/>
      <c r="Y388" s="2"/>
      <c r="Z388" s="2"/>
      <c r="AA388" s="2"/>
    </row>
    <row r="389">
      <c r="A389" s="2"/>
      <c r="B389" s="2"/>
      <c r="C389" s="2"/>
      <c r="D389" s="2"/>
      <c r="E389" s="2"/>
      <c r="F389" s="2"/>
      <c r="G389" s="2"/>
      <c r="H389" s="2"/>
      <c r="I389" s="2"/>
      <c r="J389" s="2"/>
      <c r="K389" s="2"/>
      <c r="L389" s="2"/>
      <c r="M389" s="2"/>
      <c r="N389" s="2"/>
      <c r="O389" s="2"/>
      <c r="P389" s="2"/>
      <c r="Q389" s="2"/>
      <c r="R389" s="2"/>
      <c r="S389" s="7"/>
      <c r="T389" s="2"/>
      <c r="U389" s="10"/>
      <c r="V389" s="2"/>
      <c r="W389" s="7"/>
      <c r="X389" s="7"/>
      <c r="Y389" s="2"/>
      <c r="Z389" s="2"/>
      <c r="AA389" s="2"/>
    </row>
    <row r="390">
      <c r="A390" s="2"/>
      <c r="B390" s="2"/>
      <c r="C390" s="2"/>
      <c r="D390" s="2"/>
      <c r="E390" s="2"/>
      <c r="F390" s="2"/>
      <c r="G390" s="2"/>
      <c r="H390" s="2"/>
      <c r="I390" s="2"/>
      <c r="J390" s="2"/>
      <c r="K390" s="2"/>
      <c r="L390" s="2"/>
      <c r="M390" s="2"/>
      <c r="N390" s="2"/>
      <c r="O390" s="2"/>
      <c r="P390" s="2"/>
      <c r="Q390" s="2"/>
      <c r="R390" s="2"/>
      <c r="S390" s="7"/>
      <c r="T390" s="2"/>
      <c r="U390" s="10"/>
      <c r="V390" s="2"/>
      <c r="W390" s="7"/>
      <c r="X390" s="7"/>
      <c r="Y390" s="2"/>
      <c r="Z390" s="2"/>
      <c r="AA390" s="2"/>
    </row>
    <row r="391">
      <c r="A391" s="2"/>
      <c r="B391" s="2"/>
      <c r="C391" s="2"/>
      <c r="D391" s="2"/>
      <c r="E391" s="2"/>
      <c r="F391" s="2"/>
      <c r="G391" s="2"/>
      <c r="H391" s="2"/>
      <c r="I391" s="2"/>
      <c r="J391" s="2"/>
      <c r="K391" s="2"/>
      <c r="L391" s="2"/>
      <c r="M391" s="2"/>
      <c r="N391" s="2"/>
      <c r="O391" s="2"/>
      <c r="P391" s="2"/>
      <c r="Q391" s="2"/>
      <c r="R391" s="2"/>
      <c r="S391" s="7"/>
      <c r="T391" s="2"/>
      <c r="U391" s="10"/>
      <c r="V391" s="2"/>
      <c r="W391" s="7"/>
      <c r="X391" s="7"/>
      <c r="Y391" s="2"/>
      <c r="Z391" s="2"/>
      <c r="AA391" s="2"/>
    </row>
    <row r="392">
      <c r="A392" s="2"/>
      <c r="B392" s="2"/>
      <c r="C392" s="2"/>
      <c r="D392" s="2"/>
      <c r="E392" s="2"/>
      <c r="F392" s="2"/>
      <c r="G392" s="2"/>
      <c r="H392" s="2"/>
      <c r="I392" s="2"/>
      <c r="J392" s="2"/>
      <c r="K392" s="2"/>
      <c r="L392" s="2"/>
      <c r="M392" s="2"/>
      <c r="N392" s="2"/>
      <c r="O392" s="2"/>
      <c r="P392" s="2"/>
      <c r="Q392" s="2"/>
      <c r="R392" s="2"/>
      <c r="S392" s="7"/>
      <c r="T392" s="2"/>
      <c r="U392" s="10"/>
      <c r="V392" s="2"/>
      <c r="W392" s="7"/>
      <c r="X392" s="7"/>
      <c r="Y392" s="2"/>
      <c r="Z392" s="2"/>
      <c r="AA392" s="2"/>
    </row>
    <row r="393">
      <c r="A393" s="2"/>
      <c r="B393" s="2"/>
      <c r="C393" s="2"/>
      <c r="D393" s="2"/>
      <c r="E393" s="2"/>
      <c r="F393" s="2"/>
      <c r="G393" s="2"/>
      <c r="H393" s="2"/>
      <c r="I393" s="2"/>
      <c r="J393" s="2"/>
      <c r="K393" s="2"/>
      <c r="L393" s="2"/>
      <c r="M393" s="2"/>
      <c r="N393" s="2"/>
      <c r="O393" s="2"/>
      <c r="P393" s="2"/>
      <c r="Q393" s="2"/>
      <c r="R393" s="2"/>
      <c r="S393" s="7"/>
      <c r="T393" s="2"/>
      <c r="U393" s="10"/>
      <c r="V393" s="2"/>
      <c r="W393" s="7"/>
      <c r="X393" s="7"/>
      <c r="Y393" s="2"/>
      <c r="Z393" s="2"/>
      <c r="AA393" s="2"/>
    </row>
    <row r="394">
      <c r="A394" s="2"/>
      <c r="B394" s="2"/>
      <c r="C394" s="2"/>
      <c r="D394" s="2"/>
      <c r="E394" s="2"/>
      <c r="F394" s="2"/>
      <c r="G394" s="2"/>
      <c r="H394" s="2"/>
      <c r="I394" s="2"/>
      <c r="J394" s="2"/>
      <c r="K394" s="2"/>
      <c r="L394" s="2"/>
      <c r="M394" s="2"/>
      <c r="N394" s="2"/>
      <c r="O394" s="2"/>
      <c r="P394" s="2"/>
      <c r="Q394" s="2"/>
      <c r="R394" s="2"/>
      <c r="S394" s="7"/>
      <c r="T394" s="2"/>
      <c r="U394" s="10"/>
      <c r="V394" s="2"/>
      <c r="W394" s="7"/>
      <c r="X394" s="7"/>
      <c r="Y394" s="2"/>
      <c r="Z394" s="2"/>
      <c r="AA394" s="2"/>
    </row>
    <row r="395">
      <c r="A395" s="2"/>
      <c r="B395" s="2"/>
      <c r="C395" s="2"/>
      <c r="D395" s="2"/>
      <c r="E395" s="2"/>
      <c r="F395" s="2"/>
      <c r="G395" s="2"/>
      <c r="H395" s="2"/>
      <c r="I395" s="2"/>
      <c r="J395" s="2"/>
      <c r="K395" s="2"/>
      <c r="L395" s="2"/>
      <c r="M395" s="2"/>
      <c r="N395" s="2"/>
      <c r="O395" s="2"/>
      <c r="P395" s="2"/>
      <c r="Q395" s="2"/>
      <c r="R395" s="2"/>
      <c r="S395" s="7"/>
      <c r="T395" s="2"/>
      <c r="U395" s="10"/>
      <c r="V395" s="2"/>
      <c r="W395" s="7"/>
      <c r="X395" s="7"/>
      <c r="Y395" s="2"/>
      <c r="Z395" s="2"/>
      <c r="AA395" s="2"/>
    </row>
    <row r="396">
      <c r="A396" s="2"/>
      <c r="B396" s="2"/>
      <c r="C396" s="2"/>
      <c r="D396" s="2"/>
      <c r="E396" s="2"/>
      <c r="F396" s="2"/>
      <c r="G396" s="2"/>
      <c r="H396" s="2"/>
      <c r="I396" s="2"/>
      <c r="J396" s="2"/>
      <c r="K396" s="2"/>
      <c r="L396" s="2"/>
      <c r="M396" s="2"/>
      <c r="N396" s="2"/>
      <c r="O396" s="2"/>
      <c r="P396" s="2"/>
      <c r="Q396" s="2"/>
      <c r="R396" s="2"/>
      <c r="S396" s="7"/>
      <c r="T396" s="2"/>
      <c r="U396" s="10"/>
      <c r="V396" s="2"/>
      <c r="W396" s="7"/>
      <c r="X396" s="7"/>
      <c r="Y396" s="2"/>
      <c r="Z396" s="2"/>
      <c r="AA396" s="2"/>
    </row>
    <row r="397">
      <c r="A397" s="2"/>
      <c r="B397" s="2"/>
      <c r="C397" s="2"/>
      <c r="D397" s="2"/>
      <c r="E397" s="2"/>
      <c r="F397" s="2"/>
      <c r="G397" s="2"/>
      <c r="H397" s="2"/>
      <c r="I397" s="2"/>
      <c r="J397" s="2"/>
      <c r="K397" s="2"/>
      <c r="L397" s="2"/>
      <c r="M397" s="2"/>
      <c r="N397" s="2"/>
      <c r="O397" s="2"/>
      <c r="P397" s="2"/>
      <c r="Q397" s="2"/>
      <c r="R397" s="2"/>
      <c r="S397" s="7"/>
      <c r="T397" s="2"/>
      <c r="U397" s="10"/>
      <c r="V397" s="2"/>
      <c r="W397" s="7"/>
      <c r="X397" s="7"/>
      <c r="Y397" s="2"/>
      <c r="Z397" s="2"/>
      <c r="AA397" s="2"/>
    </row>
    <row r="398">
      <c r="A398" s="2"/>
      <c r="B398" s="2"/>
      <c r="C398" s="2"/>
      <c r="D398" s="2"/>
      <c r="E398" s="2"/>
      <c r="F398" s="2"/>
      <c r="G398" s="2"/>
      <c r="H398" s="2"/>
      <c r="I398" s="2"/>
      <c r="J398" s="2"/>
      <c r="K398" s="2"/>
      <c r="L398" s="2"/>
      <c r="M398" s="2"/>
      <c r="N398" s="2"/>
      <c r="O398" s="2"/>
      <c r="P398" s="2"/>
      <c r="Q398" s="2"/>
      <c r="R398" s="2"/>
      <c r="S398" s="7"/>
      <c r="T398" s="2"/>
      <c r="U398" s="10"/>
      <c r="V398" s="2"/>
      <c r="W398" s="7"/>
      <c r="X398" s="7"/>
      <c r="Y398" s="2"/>
      <c r="Z398" s="2"/>
      <c r="AA398" s="2"/>
    </row>
    <row r="399">
      <c r="A399" s="2"/>
      <c r="B399" s="2"/>
      <c r="C399" s="2"/>
      <c r="D399" s="2"/>
      <c r="E399" s="2"/>
      <c r="F399" s="2"/>
      <c r="G399" s="2"/>
      <c r="H399" s="2"/>
      <c r="I399" s="2"/>
      <c r="J399" s="2"/>
      <c r="K399" s="2"/>
      <c r="L399" s="2"/>
      <c r="M399" s="2"/>
      <c r="N399" s="2"/>
      <c r="O399" s="2"/>
      <c r="P399" s="2"/>
      <c r="Q399" s="2"/>
      <c r="R399" s="2"/>
      <c r="S399" s="7"/>
      <c r="T399" s="2"/>
      <c r="U399" s="10"/>
      <c r="V399" s="2"/>
      <c r="W399" s="7"/>
      <c r="X399" s="7"/>
      <c r="Y399" s="2"/>
      <c r="Z399" s="2"/>
      <c r="AA399" s="2"/>
    </row>
    <row r="400">
      <c r="A400" s="2"/>
      <c r="B400" s="2"/>
      <c r="C400" s="2"/>
      <c r="D400" s="2"/>
      <c r="E400" s="2"/>
      <c r="F400" s="2"/>
      <c r="G400" s="2"/>
      <c r="H400" s="2"/>
      <c r="I400" s="2"/>
      <c r="J400" s="2"/>
      <c r="K400" s="2"/>
      <c r="L400" s="2"/>
      <c r="M400" s="2"/>
      <c r="N400" s="2"/>
      <c r="O400" s="2"/>
      <c r="P400" s="2"/>
      <c r="Q400" s="2"/>
      <c r="R400" s="2"/>
      <c r="S400" s="7"/>
      <c r="T400" s="2"/>
      <c r="U400" s="10"/>
      <c r="V400" s="2"/>
      <c r="W400" s="7"/>
      <c r="X400" s="7"/>
      <c r="Y400" s="2"/>
      <c r="Z400" s="2"/>
      <c r="AA400" s="2"/>
    </row>
    <row r="401">
      <c r="A401" s="2"/>
      <c r="B401" s="2"/>
      <c r="C401" s="2"/>
      <c r="D401" s="2"/>
      <c r="E401" s="2"/>
      <c r="F401" s="2"/>
      <c r="G401" s="2"/>
      <c r="H401" s="2"/>
      <c r="I401" s="2"/>
      <c r="J401" s="2"/>
      <c r="K401" s="2"/>
      <c r="L401" s="2"/>
      <c r="M401" s="2"/>
      <c r="N401" s="2"/>
      <c r="O401" s="2"/>
      <c r="P401" s="2"/>
      <c r="Q401" s="2"/>
      <c r="R401" s="2"/>
      <c r="S401" s="7"/>
      <c r="T401" s="2"/>
      <c r="U401" s="10"/>
      <c r="V401" s="2"/>
      <c r="W401" s="7"/>
      <c r="X401" s="7"/>
      <c r="Y401" s="2"/>
      <c r="Z401" s="2"/>
      <c r="AA401" s="2"/>
    </row>
    <row r="402">
      <c r="A402" s="2"/>
      <c r="B402" s="2"/>
      <c r="C402" s="2"/>
      <c r="D402" s="2"/>
      <c r="E402" s="2"/>
      <c r="F402" s="2"/>
      <c r="G402" s="2"/>
      <c r="H402" s="2"/>
      <c r="I402" s="2"/>
      <c r="J402" s="2"/>
      <c r="K402" s="2"/>
      <c r="L402" s="2"/>
      <c r="M402" s="2"/>
      <c r="N402" s="2"/>
      <c r="O402" s="2"/>
      <c r="P402" s="2"/>
      <c r="Q402" s="2"/>
      <c r="R402" s="2"/>
      <c r="S402" s="7"/>
      <c r="T402" s="2"/>
      <c r="U402" s="10"/>
      <c r="V402" s="2"/>
      <c r="W402" s="7"/>
      <c r="X402" s="7"/>
      <c r="Y402" s="2"/>
      <c r="Z402" s="2"/>
      <c r="AA402" s="2"/>
    </row>
    <row r="403">
      <c r="A403" s="2"/>
      <c r="B403" s="2"/>
      <c r="C403" s="2"/>
      <c r="D403" s="2"/>
      <c r="E403" s="2"/>
      <c r="F403" s="2"/>
      <c r="G403" s="2"/>
      <c r="H403" s="2"/>
      <c r="I403" s="2"/>
      <c r="J403" s="2"/>
      <c r="K403" s="2"/>
      <c r="L403" s="2"/>
      <c r="M403" s="2"/>
      <c r="N403" s="2"/>
      <c r="O403" s="2"/>
      <c r="P403" s="2"/>
      <c r="Q403" s="2"/>
      <c r="R403" s="2"/>
      <c r="S403" s="7"/>
      <c r="T403" s="2"/>
      <c r="U403" s="10"/>
      <c r="V403" s="2"/>
      <c r="W403" s="7"/>
      <c r="X403" s="7"/>
      <c r="Y403" s="2"/>
      <c r="Z403" s="2"/>
      <c r="AA403" s="2"/>
    </row>
    <row r="404">
      <c r="A404" s="2"/>
      <c r="B404" s="2"/>
      <c r="C404" s="2"/>
      <c r="D404" s="2"/>
      <c r="E404" s="2"/>
      <c r="F404" s="2"/>
      <c r="G404" s="2"/>
      <c r="H404" s="2"/>
      <c r="I404" s="2"/>
      <c r="J404" s="2"/>
      <c r="K404" s="2"/>
      <c r="L404" s="2"/>
      <c r="M404" s="2"/>
      <c r="N404" s="2"/>
      <c r="O404" s="2"/>
      <c r="P404" s="2"/>
      <c r="Q404" s="2"/>
      <c r="R404" s="2"/>
      <c r="S404" s="7"/>
      <c r="T404" s="2"/>
      <c r="U404" s="10"/>
      <c r="V404" s="2"/>
      <c r="W404" s="7"/>
      <c r="X404" s="7"/>
      <c r="Y404" s="2"/>
      <c r="Z404" s="2"/>
      <c r="AA404" s="2"/>
    </row>
    <row r="405">
      <c r="A405" s="2"/>
      <c r="B405" s="2"/>
      <c r="C405" s="2"/>
      <c r="D405" s="2"/>
      <c r="E405" s="2"/>
      <c r="F405" s="2"/>
      <c r="G405" s="2"/>
      <c r="H405" s="2"/>
      <c r="I405" s="2"/>
      <c r="J405" s="2"/>
      <c r="K405" s="2"/>
      <c r="L405" s="2"/>
      <c r="M405" s="2"/>
      <c r="N405" s="2"/>
      <c r="O405" s="2"/>
      <c r="P405" s="2"/>
      <c r="Q405" s="2"/>
      <c r="R405" s="2"/>
      <c r="S405" s="7"/>
      <c r="T405" s="2"/>
      <c r="U405" s="10"/>
      <c r="V405" s="2"/>
      <c r="W405" s="7"/>
      <c r="X405" s="7"/>
      <c r="Y405" s="2"/>
      <c r="Z405" s="2"/>
      <c r="AA405" s="2"/>
    </row>
    <row r="406">
      <c r="A406" s="2"/>
      <c r="B406" s="2"/>
      <c r="C406" s="2"/>
      <c r="D406" s="2"/>
      <c r="E406" s="2"/>
      <c r="F406" s="2"/>
      <c r="G406" s="2"/>
      <c r="H406" s="2"/>
      <c r="I406" s="2"/>
      <c r="J406" s="2"/>
      <c r="K406" s="2"/>
      <c r="L406" s="2"/>
      <c r="M406" s="2"/>
      <c r="N406" s="2"/>
      <c r="O406" s="2"/>
      <c r="P406" s="2"/>
      <c r="Q406" s="2"/>
      <c r="R406" s="2"/>
      <c r="S406" s="7"/>
      <c r="T406" s="2"/>
      <c r="U406" s="10"/>
      <c r="V406" s="2"/>
      <c r="W406" s="7"/>
      <c r="X406" s="7"/>
      <c r="Y406" s="2"/>
      <c r="Z406" s="2"/>
      <c r="AA406" s="2"/>
    </row>
    <row r="407">
      <c r="A407" s="2"/>
      <c r="B407" s="2"/>
      <c r="C407" s="2"/>
      <c r="D407" s="2"/>
      <c r="E407" s="2"/>
      <c r="F407" s="2"/>
      <c r="G407" s="2"/>
      <c r="H407" s="2"/>
      <c r="I407" s="2"/>
      <c r="J407" s="2"/>
      <c r="K407" s="2"/>
      <c r="L407" s="2"/>
      <c r="M407" s="2"/>
      <c r="N407" s="2"/>
      <c r="O407" s="2"/>
      <c r="P407" s="2"/>
      <c r="Q407" s="2"/>
      <c r="R407" s="2"/>
      <c r="S407" s="7"/>
      <c r="T407" s="2"/>
      <c r="U407" s="10"/>
      <c r="V407" s="2"/>
      <c r="W407" s="7"/>
      <c r="X407" s="7"/>
      <c r="Y407" s="2"/>
      <c r="Z407" s="2"/>
      <c r="AA407" s="2"/>
    </row>
    <row r="408">
      <c r="A408" s="2"/>
      <c r="B408" s="2"/>
      <c r="C408" s="2"/>
      <c r="D408" s="2"/>
      <c r="E408" s="2"/>
      <c r="F408" s="2"/>
      <c r="G408" s="2"/>
      <c r="H408" s="2"/>
      <c r="I408" s="2"/>
      <c r="J408" s="2"/>
      <c r="K408" s="2"/>
      <c r="L408" s="2"/>
      <c r="M408" s="2"/>
      <c r="N408" s="2"/>
      <c r="O408" s="2"/>
      <c r="P408" s="2"/>
      <c r="Q408" s="2"/>
      <c r="R408" s="2"/>
      <c r="S408" s="7"/>
      <c r="T408" s="2"/>
      <c r="U408" s="10"/>
      <c r="V408" s="2"/>
      <c r="W408" s="7"/>
      <c r="X408" s="7"/>
      <c r="Y408" s="2"/>
      <c r="Z408" s="2"/>
      <c r="AA408" s="2"/>
    </row>
    <row r="409">
      <c r="A409" s="2"/>
      <c r="B409" s="2"/>
      <c r="C409" s="2"/>
      <c r="D409" s="2"/>
      <c r="E409" s="2"/>
      <c r="F409" s="2"/>
      <c r="G409" s="2"/>
      <c r="H409" s="2"/>
      <c r="I409" s="2"/>
      <c r="J409" s="2"/>
      <c r="K409" s="2"/>
      <c r="L409" s="2"/>
      <c r="M409" s="2"/>
      <c r="N409" s="2"/>
      <c r="O409" s="2"/>
      <c r="P409" s="2"/>
      <c r="Q409" s="2"/>
      <c r="R409" s="2"/>
      <c r="S409" s="7"/>
      <c r="T409" s="2"/>
      <c r="U409" s="10"/>
      <c r="V409" s="2"/>
      <c r="W409" s="7"/>
      <c r="X409" s="7"/>
      <c r="Y409" s="2"/>
      <c r="Z409" s="2"/>
      <c r="AA409" s="2"/>
    </row>
    <row r="410">
      <c r="A410" s="2"/>
      <c r="B410" s="2"/>
      <c r="C410" s="2"/>
      <c r="D410" s="2"/>
      <c r="E410" s="2"/>
      <c r="F410" s="2"/>
      <c r="G410" s="2"/>
      <c r="H410" s="2"/>
      <c r="I410" s="2"/>
      <c r="J410" s="2"/>
      <c r="K410" s="2"/>
      <c r="L410" s="2"/>
      <c r="M410" s="2"/>
      <c r="N410" s="2"/>
      <c r="O410" s="2"/>
      <c r="P410" s="2"/>
      <c r="Q410" s="2"/>
      <c r="R410" s="2"/>
      <c r="S410" s="7"/>
      <c r="T410" s="2"/>
      <c r="U410" s="10"/>
      <c r="V410" s="2"/>
      <c r="W410" s="7"/>
      <c r="X410" s="7"/>
      <c r="Y410" s="2"/>
      <c r="Z410" s="2"/>
      <c r="AA410" s="2"/>
    </row>
    <row r="411">
      <c r="A411" s="2"/>
      <c r="B411" s="2"/>
      <c r="C411" s="2"/>
      <c r="D411" s="2"/>
      <c r="E411" s="2"/>
      <c r="F411" s="2"/>
      <c r="G411" s="2"/>
      <c r="H411" s="2"/>
      <c r="I411" s="2"/>
      <c r="J411" s="2"/>
      <c r="K411" s="2"/>
      <c r="L411" s="2"/>
      <c r="M411" s="2"/>
      <c r="N411" s="2"/>
      <c r="O411" s="2"/>
      <c r="P411" s="2"/>
      <c r="Q411" s="2"/>
      <c r="R411" s="2"/>
      <c r="S411" s="7"/>
      <c r="T411" s="2"/>
      <c r="U411" s="10"/>
      <c r="V411" s="2"/>
      <c r="W411" s="7"/>
      <c r="X411" s="7"/>
      <c r="Y411" s="2"/>
      <c r="Z411" s="2"/>
      <c r="AA411" s="2"/>
    </row>
    <row r="412">
      <c r="A412" s="2"/>
      <c r="B412" s="2"/>
      <c r="C412" s="2"/>
      <c r="D412" s="2"/>
      <c r="E412" s="2"/>
      <c r="F412" s="2"/>
      <c r="G412" s="2"/>
      <c r="H412" s="2"/>
      <c r="I412" s="2"/>
      <c r="J412" s="2"/>
      <c r="K412" s="2"/>
      <c r="L412" s="2"/>
      <c r="M412" s="2"/>
      <c r="N412" s="2"/>
      <c r="O412" s="2"/>
      <c r="P412" s="2"/>
      <c r="Q412" s="2"/>
      <c r="R412" s="2"/>
      <c r="S412" s="7"/>
      <c r="T412" s="2"/>
      <c r="U412" s="10"/>
      <c r="V412" s="2"/>
      <c r="W412" s="7"/>
      <c r="X412" s="7"/>
      <c r="Y412" s="2"/>
      <c r="Z412" s="2"/>
      <c r="AA412" s="2"/>
    </row>
    <row r="413">
      <c r="A413" s="2"/>
      <c r="B413" s="2"/>
      <c r="C413" s="2"/>
      <c r="D413" s="2"/>
      <c r="E413" s="2"/>
      <c r="F413" s="2"/>
      <c r="G413" s="2"/>
      <c r="H413" s="2"/>
      <c r="I413" s="2"/>
      <c r="J413" s="2"/>
      <c r="K413" s="2"/>
      <c r="L413" s="2"/>
      <c r="M413" s="2"/>
      <c r="N413" s="2"/>
      <c r="O413" s="2"/>
      <c r="P413" s="2"/>
      <c r="Q413" s="2"/>
      <c r="R413" s="2"/>
      <c r="S413" s="7"/>
      <c r="T413" s="2"/>
      <c r="U413" s="10"/>
      <c r="V413" s="2"/>
      <c r="W413" s="7"/>
      <c r="X413" s="7"/>
      <c r="Y413" s="2"/>
      <c r="Z413" s="2"/>
      <c r="AA413" s="2"/>
    </row>
    <row r="414">
      <c r="A414" s="2"/>
      <c r="B414" s="2"/>
      <c r="C414" s="2"/>
      <c r="D414" s="2"/>
      <c r="E414" s="2"/>
      <c r="F414" s="2"/>
      <c r="G414" s="2"/>
      <c r="H414" s="2"/>
      <c r="I414" s="2"/>
      <c r="J414" s="2"/>
      <c r="K414" s="2"/>
      <c r="L414" s="2"/>
      <c r="M414" s="2"/>
      <c r="N414" s="2"/>
      <c r="O414" s="2"/>
      <c r="P414" s="2"/>
      <c r="Q414" s="2"/>
      <c r="R414" s="2"/>
      <c r="S414" s="7"/>
      <c r="T414" s="2"/>
      <c r="U414" s="10"/>
      <c r="V414" s="2"/>
      <c r="W414" s="7"/>
      <c r="X414" s="7"/>
      <c r="Y414" s="2"/>
      <c r="Z414" s="2"/>
      <c r="AA414" s="2"/>
    </row>
    <row r="415">
      <c r="A415" s="2"/>
      <c r="B415" s="2"/>
      <c r="C415" s="2"/>
      <c r="D415" s="2"/>
      <c r="E415" s="2"/>
      <c r="F415" s="2"/>
      <c r="G415" s="2"/>
      <c r="H415" s="2"/>
      <c r="I415" s="2"/>
      <c r="J415" s="2"/>
      <c r="K415" s="2"/>
      <c r="L415" s="2"/>
      <c r="M415" s="2"/>
      <c r="N415" s="2"/>
      <c r="O415" s="2"/>
      <c r="P415" s="2"/>
      <c r="Q415" s="2"/>
      <c r="R415" s="2"/>
      <c r="S415" s="7"/>
      <c r="T415" s="2"/>
      <c r="U415" s="10"/>
      <c r="V415" s="2"/>
      <c r="W415" s="7"/>
      <c r="X415" s="7"/>
      <c r="Y415" s="2"/>
      <c r="Z415" s="2"/>
      <c r="AA415" s="2"/>
    </row>
    <row r="416">
      <c r="A416" s="2"/>
      <c r="B416" s="2"/>
      <c r="C416" s="2"/>
      <c r="D416" s="2"/>
      <c r="E416" s="2"/>
      <c r="F416" s="2"/>
      <c r="G416" s="2"/>
      <c r="H416" s="2"/>
      <c r="I416" s="2"/>
      <c r="J416" s="2"/>
      <c r="K416" s="2"/>
      <c r="L416" s="2"/>
      <c r="M416" s="2"/>
      <c r="N416" s="2"/>
      <c r="O416" s="2"/>
      <c r="P416" s="2"/>
      <c r="Q416" s="2"/>
      <c r="R416" s="2"/>
      <c r="S416" s="7"/>
      <c r="T416" s="2"/>
      <c r="U416" s="10"/>
      <c r="V416" s="2"/>
      <c r="W416" s="7"/>
      <c r="X416" s="7"/>
      <c r="Y416" s="2"/>
      <c r="Z416" s="2"/>
      <c r="AA416" s="2"/>
    </row>
    <row r="417">
      <c r="A417" s="2"/>
      <c r="B417" s="2"/>
      <c r="C417" s="2"/>
      <c r="D417" s="2"/>
      <c r="E417" s="2"/>
      <c r="F417" s="2"/>
      <c r="G417" s="2"/>
      <c r="H417" s="2"/>
      <c r="I417" s="2"/>
      <c r="J417" s="2"/>
      <c r="K417" s="2"/>
      <c r="L417" s="2"/>
      <c r="M417" s="2"/>
      <c r="N417" s="2"/>
      <c r="O417" s="2"/>
      <c r="P417" s="2"/>
      <c r="Q417" s="2"/>
      <c r="R417" s="2"/>
      <c r="S417" s="7"/>
      <c r="T417" s="2"/>
      <c r="U417" s="10"/>
      <c r="V417" s="2"/>
      <c r="W417" s="7"/>
      <c r="X417" s="7"/>
      <c r="Y417" s="2"/>
      <c r="Z417" s="2"/>
      <c r="AA417" s="2"/>
    </row>
    <row r="418">
      <c r="A418" s="2"/>
      <c r="B418" s="2"/>
      <c r="C418" s="2"/>
      <c r="D418" s="2"/>
      <c r="E418" s="2"/>
      <c r="F418" s="2"/>
      <c r="G418" s="2"/>
      <c r="H418" s="2"/>
      <c r="I418" s="2"/>
      <c r="J418" s="2"/>
      <c r="K418" s="2"/>
      <c r="L418" s="2"/>
      <c r="M418" s="2"/>
      <c r="N418" s="2"/>
      <c r="O418" s="2"/>
      <c r="P418" s="2"/>
      <c r="Q418" s="2"/>
      <c r="R418" s="2"/>
      <c r="S418" s="7"/>
      <c r="T418" s="2"/>
      <c r="U418" s="10"/>
      <c r="V418" s="2"/>
      <c r="W418" s="7"/>
      <c r="X418" s="7"/>
      <c r="Y418" s="2"/>
      <c r="Z418" s="2"/>
      <c r="AA418" s="2"/>
    </row>
    <row r="419">
      <c r="A419" s="2"/>
      <c r="B419" s="2"/>
      <c r="C419" s="2"/>
      <c r="D419" s="2"/>
      <c r="E419" s="2"/>
      <c r="F419" s="2"/>
      <c r="G419" s="2"/>
      <c r="H419" s="2"/>
      <c r="I419" s="2"/>
      <c r="J419" s="2"/>
      <c r="K419" s="2"/>
      <c r="L419" s="2"/>
      <c r="M419" s="2"/>
      <c r="N419" s="2"/>
      <c r="O419" s="2"/>
      <c r="P419" s="2"/>
      <c r="Q419" s="2"/>
      <c r="R419" s="2"/>
      <c r="S419" s="7"/>
      <c r="T419" s="2"/>
      <c r="U419" s="10"/>
      <c r="V419" s="2"/>
      <c r="W419" s="7"/>
      <c r="X419" s="7"/>
      <c r="Y419" s="2"/>
      <c r="Z419" s="2"/>
      <c r="AA419" s="2"/>
    </row>
    <row r="420">
      <c r="A420" s="2"/>
      <c r="B420" s="2"/>
      <c r="C420" s="2"/>
      <c r="D420" s="2"/>
      <c r="E420" s="2"/>
      <c r="F420" s="2"/>
      <c r="G420" s="2"/>
      <c r="H420" s="2"/>
      <c r="I420" s="2"/>
      <c r="J420" s="2"/>
      <c r="K420" s="2"/>
      <c r="L420" s="2"/>
      <c r="M420" s="2"/>
      <c r="N420" s="2"/>
      <c r="O420" s="2"/>
      <c r="P420" s="2"/>
      <c r="Q420" s="2"/>
      <c r="R420" s="2"/>
      <c r="S420" s="7"/>
      <c r="T420" s="2"/>
      <c r="U420" s="10"/>
      <c r="V420" s="2"/>
      <c r="W420" s="7"/>
      <c r="X420" s="7"/>
      <c r="Y420" s="2"/>
      <c r="Z420" s="2"/>
      <c r="AA420" s="2"/>
    </row>
    <row r="421">
      <c r="A421" s="2"/>
      <c r="B421" s="2"/>
      <c r="C421" s="2"/>
      <c r="D421" s="2"/>
      <c r="E421" s="2"/>
      <c r="F421" s="2"/>
      <c r="G421" s="2"/>
      <c r="H421" s="2"/>
      <c r="I421" s="2"/>
      <c r="J421" s="2"/>
      <c r="K421" s="2"/>
      <c r="L421" s="2"/>
      <c r="M421" s="2"/>
      <c r="N421" s="2"/>
      <c r="O421" s="2"/>
      <c r="P421" s="2"/>
      <c r="Q421" s="2"/>
      <c r="R421" s="2"/>
      <c r="S421" s="7"/>
      <c r="T421" s="2"/>
      <c r="U421" s="10"/>
      <c r="V421" s="2"/>
      <c r="W421" s="7"/>
      <c r="X421" s="7"/>
      <c r="Y421" s="2"/>
      <c r="Z421" s="2"/>
      <c r="AA421" s="2"/>
    </row>
    <row r="422">
      <c r="A422" s="2"/>
      <c r="B422" s="2"/>
      <c r="C422" s="2"/>
      <c r="D422" s="2"/>
      <c r="E422" s="2"/>
      <c r="F422" s="2"/>
      <c r="G422" s="2"/>
      <c r="H422" s="2"/>
      <c r="I422" s="2"/>
      <c r="J422" s="2"/>
      <c r="K422" s="2"/>
      <c r="L422" s="2"/>
      <c r="M422" s="2"/>
      <c r="N422" s="2"/>
      <c r="O422" s="2"/>
      <c r="P422" s="2"/>
      <c r="Q422" s="2"/>
      <c r="R422" s="2"/>
      <c r="S422" s="7"/>
      <c r="T422" s="2"/>
      <c r="U422" s="10"/>
      <c r="V422" s="2"/>
      <c r="W422" s="7"/>
      <c r="X422" s="7"/>
      <c r="Y422" s="2"/>
      <c r="Z422" s="2"/>
      <c r="AA422" s="2"/>
    </row>
    <row r="423">
      <c r="A423" s="2"/>
      <c r="B423" s="2"/>
      <c r="C423" s="2"/>
      <c r="D423" s="2"/>
      <c r="E423" s="2"/>
      <c r="F423" s="2"/>
      <c r="G423" s="2"/>
      <c r="H423" s="2"/>
      <c r="I423" s="2"/>
      <c r="J423" s="2"/>
      <c r="K423" s="2"/>
      <c r="L423" s="2"/>
      <c r="M423" s="2"/>
      <c r="N423" s="2"/>
      <c r="O423" s="2"/>
      <c r="P423" s="2"/>
      <c r="Q423" s="2"/>
      <c r="R423" s="2"/>
      <c r="S423" s="7"/>
      <c r="T423" s="2"/>
      <c r="U423" s="10"/>
      <c r="V423" s="2"/>
      <c r="W423" s="7"/>
      <c r="X423" s="7"/>
      <c r="Y423" s="2"/>
      <c r="Z423" s="2"/>
      <c r="AA423" s="2"/>
    </row>
    <row r="424">
      <c r="A424" s="2"/>
      <c r="B424" s="2"/>
      <c r="C424" s="2"/>
      <c r="D424" s="2"/>
      <c r="E424" s="2"/>
      <c r="F424" s="2"/>
      <c r="G424" s="2"/>
      <c r="H424" s="2"/>
      <c r="I424" s="2"/>
      <c r="J424" s="2"/>
      <c r="K424" s="2"/>
      <c r="L424" s="2"/>
      <c r="M424" s="2"/>
      <c r="N424" s="2"/>
      <c r="O424" s="2"/>
      <c r="P424" s="2"/>
      <c r="Q424" s="2"/>
      <c r="R424" s="2"/>
      <c r="S424" s="7"/>
      <c r="T424" s="2"/>
      <c r="U424" s="10"/>
      <c r="V424" s="2"/>
      <c r="W424" s="7"/>
      <c r="X424" s="7"/>
      <c r="Y424" s="2"/>
      <c r="Z424" s="2"/>
      <c r="AA424" s="2"/>
    </row>
    <row r="425">
      <c r="A425" s="2"/>
      <c r="B425" s="2"/>
      <c r="C425" s="2"/>
      <c r="D425" s="2"/>
      <c r="E425" s="2"/>
      <c r="F425" s="2"/>
      <c r="G425" s="2"/>
      <c r="H425" s="2"/>
      <c r="I425" s="2"/>
      <c r="J425" s="2"/>
      <c r="K425" s="2"/>
      <c r="L425" s="2"/>
      <c r="M425" s="2"/>
      <c r="N425" s="2"/>
      <c r="O425" s="2"/>
      <c r="P425" s="2"/>
      <c r="Q425" s="2"/>
      <c r="R425" s="2"/>
      <c r="S425" s="7"/>
      <c r="T425" s="2"/>
      <c r="U425" s="10"/>
      <c r="V425" s="2"/>
      <c r="W425" s="7"/>
      <c r="X425" s="7"/>
      <c r="Y425" s="2"/>
      <c r="Z425" s="2"/>
      <c r="AA425" s="2"/>
    </row>
    <row r="426">
      <c r="A426" s="2"/>
      <c r="B426" s="2"/>
      <c r="C426" s="2"/>
      <c r="D426" s="2"/>
      <c r="E426" s="2"/>
      <c r="F426" s="2"/>
      <c r="G426" s="2"/>
      <c r="H426" s="2"/>
      <c r="I426" s="2"/>
      <c r="J426" s="2"/>
      <c r="K426" s="2"/>
      <c r="L426" s="2"/>
      <c r="M426" s="2"/>
      <c r="N426" s="2"/>
      <c r="O426" s="2"/>
      <c r="P426" s="2"/>
      <c r="Q426" s="2"/>
      <c r="R426" s="2"/>
      <c r="S426" s="7"/>
      <c r="T426" s="2"/>
      <c r="U426" s="10"/>
      <c r="V426" s="2"/>
      <c r="W426" s="7"/>
      <c r="X426" s="7"/>
      <c r="Y426" s="2"/>
      <c r="Z426" s="2"/>
      <c r="AA426" s="2"/>
    </row>
    <row r="427">
      <c r="A427" s="2"/>
      <c r="B427" s="2"/>
      <c r="C427" s="2"/>
      <c r="D427" s="2"/>
      <c r="E427" s="2"/>
      <c r="F427" s="2"/>
      <c r="G427" s="2"/>
      <c r="H427" s="2"/>
      <c r="I427" s="2"/>
      <c r="J427" s="2"/>
      <c r="K427" s="2"/>
      <c r="L427" s="2"/>
      <c r="M427" s="2"/>
      <c r="N427" s="2"/>
      <c r="O427" s="2"/>
      <c r="P427" s="2"/>
      <c r="Q427" s="2"/>
      <c r="R427" s="2"/>
      <c r="S427" s="7"/>
      <c r="T427" s="2"/>
      <c r="U427" s="10"/>
      <c r="V427" s="2"/>
      <c r="W427" s="7"/>
      <c r="X427" s="7"/>
      <c r="Y427" s="2"/>
      <c r="Z427" s="2"/>
      <c r="AA427" s="2"/>
    </row>
    <row r="428">
      <c r="A428" s="2"/>
      <c r="B428" s="2"/>
      <c r="C428" s="2"/>
      <c r="D428" s="2"/>
      <c r="E428" s="2"/>
      <c r="F428" s="2"/>
      <c r="G428" s="2"/>
      <c r="H428" s="2"/>
      <c r="I428" s="2"/>
      <c r="J428" s="2"/>
      <c r="K428" s="2"/>
      <c r="L428" s="2"/>
      <c r="M428" s="2"/>
      <c r="N428" s="2"/>
      <c r="O428" s="2"/>
      <c r="P428" s="2"/>
      <c r="Q428" s="2"/>
      <c r="R428" s="2"/>
      <c r="S428" s="7"/>
      <c r="T428" s="2"/>
      <c r="U428" s="10"/>
      <c r="V428" s="2"/>
      <c r="W428" s="7"/>
      <c r="X428" s="7"/>
      <c r="Y428" s="2"/>
      <c r="Z428" s="2"/>
      <c r="AA428" s="2"/>
    </row>
    <row r="429">
      <c r="A429" s="2"/>
      <c r="B429" s="2"/>
      <c r="C429" s="2"/>
      <c r="D429" s="2"/>
      <c r="E429" s="2"/>
      <c r="F429" s="2"/>
      <c r="G429" s="2"/>
      <c r="H429" s="2"/>
      <c r="I429" s="2"/>
      <c r="J429" s="2"/>
      <c r="K429" s="2"/>
      <c r="L429" s="2"/>
      <c r="M429" s="2"/>
      <c r="N429" s="2"/>
      <c r="O429" s="2"/>
      <c r="P429" s="2"/>
      <c r="Q429" s="2"/>
      <c r="R429" s="2"/>
      <c r="S429" s="7"/>
      <c r="T429" s="2"/>
      <c r="U429" s="10"/>
      <c r="V429" s="2"/>
      <c r="W429" s="7"/>
      <c r="X429" s="7"/>
      <c r="Y429" s="2"/>
      <c r="Z429" s="2"/>
      <c r="AA429" s="2"/>
    </row>
    <row r="430">
      <c r="A430" s="2"/>
      <c r="B430" s="2"/>
      <c r="C430" s="2"/>
      <c r="D430" s="2"/>
      <c r="E430" s="2"/>
      <c r="F430" s="2"/>
      <c r="G430" s="2"/>
      <c r="H430" s="2"/>
      <c r="I430" s="2"/>
      <c r="J430" s="2"/>
      <c r="K430" s="2"/>
      <c r="L430" s="2"/>
      <c r="M430" s="2"/>
      <c r="N430" s="2"/>
      <c r="O430" s="2"/>
      <c r="P430" s="2"/>
      <c r="Q430" s="2"/>
      <c r="R430" s="2"/>
      <c r="S430" s="7"/>
      <c r="T430" s="2"/>
      <c r="U430" s="10"/>
      <c r="V430" s="2"/>
      <c r="W430" s="7"/>
      <c r="X430" s="7"/>
      <c r="Y430" s="2"/>
      <c r="Z430" s="2"/>
      <c r="AA430" s="2"/>
    </row>
    <row r="431">
      <c r="A431" s="2"/>
      <c r="B431" s="2"/>
      <c r="C431" s="2"/>
      <c r="D431" s="2"/>
      <c r="E431" s="2"/>
      <c r="F431" s="2"/>
      <c r="G431" s="2"/>
      <c r="H431" s="2"/>
      <c r="I431" s="2"/>
      <c r="J431" s="2"/>
      <c r="K431" s="2"/>
      <c r="L431" s="2"/>
      <c r="M431" s="2"/>
      <c r="N431" s="2"/>
      <c r="O431" s="2"/>
      <c r="P431" s="2"/>
      <c r="Q431" s="2"/>
      <c r="R431" s="2"/>
      <c r="S431" s="7"/>
      <c r="T431" s="2"/>
      <c r="U431" s="10"/>
      <c r="V431" s="2"/>
      <c r="W431" s="7"/>
      <c r="X431" s="7"/>
      <c r="Y431" s="2"/>
      <c r="Z431" s="2"/>
      <c r="AA431" s="2"/>
    </row>
    <row r="432">
      <c r="A432" s="2"/>
      <c r="B432" s="2"/>
      <c r="C432" s="2"/>
      <c r="D432" s="2"/>
      <c r="E432" s="2"/>
      <c r="F432" s="2"/>
      <c r="G432" s="2"/>
      <c r="H432" s="2"/>
      <c r="I432" s="2"/>
      <c r="J432" s="2"/>
      <c r="K432" s="2"/>
      <c r="L432" s="2"/>
      <c r="M432" s="2"/>
      <c r="N432" s="2"/>
      <c r="O432" s="2"/>
      <c r="P432" s="2"/>
      <c r="Q432" s="2"/>
      <c r="R432" s="2"/>
      <c r="S432" s="7"/>
      <c r="T432" s="2"/>
      <c r="U432" s="10"/>
      <c r="V432" s="2"/>
      <c r="W432" s="7"/>
      <c r="X432" s="7"/>
      <c r="Y432" s="2"/>
      <c r="Z432" s="2"/>
      <c r="AA432" s="2"/>
    </row>
    <row r="433">
      <c r="A433" s="2"/>
      <c r="B433" s="2"/>
      <c r="C433" s="2"/>
      <c r="D433" s="2"/>
      <c r="E433" s="2"/>
      <c r="F433" s="2"/>
      <c r="G433" s="2"/>
      <c r="H433" s="2"/>
      <c r="I433" s="2"/>
      <c r="J433" s="2"/>
      <c r="K433" s="2"/>
      <c r="L433" s="2"/>
      <c r="M433" s="2"/>
      <c r="N433" s="2"/>
      <c r="O433" s="2"/>
      <c r="P433" s="2"/>
      <c r="Q433" s="2"/>
      <c r="R433" s="2"/>
      <c r="S433" s="7"/>
      <c r="T433" s="2"/>
      <c r="U433" s="10"/>
      <c r="V433" s="2"/>
      <c r="W433" s="7"/>
      <c r="X433" s="7"/>
      <c r="Y433" s="2"/>
      <c r="Z433" s="2"/>
      <c r="AA433" s="2"/>
    </row>
    <row r="434">
      <c r="A434" s="2"/>
      <c r="B434" s="2"/>
      <c r="C434" s="2"/>
      <c r="D434" s="2"/>
      <c r="E434" s="2"/>
      <c r="F434" s="2"/>
      <c r="G434" s="2"/>
      <c r="H434" s="2"/>
      <c r="I434" s="2"/>
      <c r="J434" s="2"/>
      <c r="K434" s="2"/>
      <c r="L434" s="2"/>
      <c r="M434" s="2"/>
      <c r="N434" s="2"/>
      <c r="O434" s="2"/>
      <c r="P434" s="2"/>
      <c r="Q434" s="2"/>
      <c r="R434" s="2"/>
      <c r="S434" s="7"/>
      <c r="T434" s="2"/>
      <c r="U434" s="10"/>
      <c r="V434" s="2"/>
      <c r="W434" s="7"/>
      <c r="X434" s="7"/>
      <c r="Y434" s="2"/>
      <c r="Z434" s="2"/>
      <c r="AA434" s="2"/>
    </row>
    <row r="435">
      <c r="A435" s="2"/>
      <c r="B435" s="2"/>
      <c r="C435" s="2"/>
      <c r="D435" s="2"/>
      <c r="E435" s="2"/>
      <c r="F435" s="2"/>
      <c r="G435" s="2"/>
      <c r="H435" s="2"/>
      <c r="I435" s="2"/>
      <c r="J435" s="2"/>
      <c r="K435" s="2"/>
      <c r="L435" s="2"/>
      <c r="M435" s="2"/>
      <c r="N435" s="2"/>
      <c r="O435" s="2"/>
      <c r="P435" s="2"/>
      <c r="Q435" s="2"/>
      <c r="R435" s="2"/>
      <c r="S435" s="7"/>
      <c r="T435" s="2"/>
      <c r="U435" s="10"/>
      <c r="V435" s="2"/>
      <c r="W435" s="7"/>
      <c r="X435" s="7"/>
      <c r="Y435" s="2"/>
      <c r="Z435" s="2"/>
      <c r="AA435" s="2"/>
    </row>
    <row r="436">
      <c r="A436" s="2"/>
      <c r="B436" s="2"/>
      <c r="C436" s="2"/>
      <c r="D436" s="2"/>
      <c r="E436" s="2"/>
      <c r="F436" s="2"/>
      <c r="G436" s="2"/>
      <c r="H436" s="2"/>
      <c r="I436" s="2"/>
      <c r="J436" s="2"/>
      <c r="K436" s="2"/>
      <c r="L436" s="2"/>
      <c r="M436" s="2"/>
      <c r="N436" s="2"/>
      <c r="O436" s="2"/>
      <c r="P436" s="2"/>
      <c r="Q436" s="2"/>
      <c r="R436" s="2"/>
      <c r="S436" s="7"/>
      <c r="T436" s="2"/>
      <c r="U436" s="10"/>
      <c r="V436" s="2"/>
      <c r="W436" s="7"/>
      <c r="X436" s="7"/>
      <c r="Y436" s="2"/>
      <c r="Z436" s="2"/>
      <c r="AA436" s="2"/>
    </row>
    <row r="437">
      <c r="A437" s="2"/>
      <c r="B437" s="2"/>
      <c r="C437" s="2"/>
      <c r="D437" s="2"/>
      <c r="E437" s="2"/>
      <c r="F437" s="2"/>
      <c r="G437" s="2"/>
      <c r="H437" s="2"/>
      <c r="I437" s="2"/>
      <c r="J437" s="2"/>
      <c r="K437" s="2"/>
      <c r="L437" s="2"/>
      <c r="M437" s="2"/>
      <c r="N437" s="2"/>
      <c r="O437" s="2"/>
      <c r="P437" s="2"/>
      <c r="Q437" s="2"/>
      <c r="R437" s="2"/>
      <c r="S437" s="7"/>
      <c r="T437" s="2"/>
      <c r="U437" s="10"/>
      <c r="V437" s="2"/>
      <c r="W437" s="7"/>
      <c r="X437" s="7"/>
      <c r="Y437" s="2"/>
      <c r="Z437" s="2"/>
      <c r="AA437" s="2"/>
    </row>
    <row r="438">
      <c r="A438" s="2"/>
      <c r="B438" s="2"/>
      <c r="C438" s="2"/>
      <c r="D438" s="2"/>
      <c r="E438" s="2"/>
      <c r="F438" s="2"/>
      <c r="G438" s="2"/>
      <c r="H438" s="2"/>
      <c r="I438" s="2"/>
      <c r="J438" s="2"/>
      <c r="K438" s="2"/>
      <c r="L438" s="2"/>
      <c r="M438" s="2"/>
      <c r="N438" s="2"/>
      <c r="O438" s="2"/>
      <c r="P438" s="2"/>
      <c r="Q438" s="2"/>
      <c r="R438" s="2"/>
      <c r="S438" s="7"/>
      <c r="T438" s="2"/>
      <c r="U438" s="10"/>
      <c r="V438" s="2"/>
      <c r="W438" s="7"/>
      <c r="X438" s="7"/>
      <c r="Y438" s="2"/>
      <c r="Z438" s="2"/>
      <c r="AA438" s="2"/>
    </row>
    <row r="439">
      <c r="A439" s="2"/>
      <c r="B439" s="2"/>
      <c r="C439" s="2"/>
      <c r="D439" s="2"/>
      <c r="E439" s="2"/>
      <c r="F439" s="2"/>
      <c r="G439" s="2"/>
      <c r="H439" s="2"/>
      <c r="I439" s="2"/>
      <c r="J439" s="2"/>
      <c r="K439" s="2"/>
      <c r="L439" s="2"/>
      <c r="M439" s="2"/>
      <c r="N439" s="2"/>
      <c r="O439" s="2"/>
      <c r="P439" s="2"/>
      <c r="Q439" s="2"/>
      <c r="R439" s="2"/>
      <c r="S439" s="7"/>
      <c r="T439" s="2"/>
      <c r="U439" s="10"/>
      <c r="V439" s="2"/>
      <c r="W439" s="7"/>
      <c r="X439" s="7"/>
      <c r="Y439" s="2"/>
      <c r="Z439" s="2"/>
      <c r="AA439" s="2"/>
    </row>
    <row r="440">
      <c r="A440" s="2"/>
      <c r="B440" s="2"/>
      <c r="C440" s="2"/>
      <c r="D440" s="2"/>
      <c r="E440" s="2"/>
      <c r="F440" s="2"/>
      <c r="G440" s="2"/>
      <c r="H440" s="2"/>
      <c r="I440" s="2"/>
      <c r="J440" s="2"/>
      <c r="K440" s="2"/>
      <c r="L440" s="2"/>
      <c r="M440" s="2"/>
      <c r="N440" s="2"/>
      <c r="O440" s="2"/>
      <c r="P440" s="2"/>
      <c r="Q440" s="2"/>
      <c r="R440" s="2"/>
      <c r="S440" s="7"/>
      <c r="T440" s="2"/>
      <c r="U440" s="10"/>
      <c r="V440" s="2"/>
      <c r="W440" s="7"/>
      <c r="X440" s="7"/>
      <c r="Y440" s="2"/>
      <c r="Z440" s="2"/>
      <c r="AA440" s="2"/>
    </row>
    <row r="441">
      <c r="A441" s="2"/>
      <c r="B441" s="2"/>
      <c r="C441" s="2"/>
      <c r="D441" s="2"/>
      <c r="E441" s="2"/>
      <c r="F441" s="2"/>
      <c r="G441" s="2"/>
      <c r="H441" s="2"/>
      <c r="I441" s="2"/>
      <c r="J441" s="2"/>
      <c r="K441" s="2"/>
      <c r="L441" s="2"/>
      <c r="M441" s="2"/>
      <c r="N441" s="2"/>
      <c r="O441" s="2"/>
      <c r="P441" s="2"/>
      <c r="Q441" s="2"/>
      <c r="R441" s="2"/>
      <c r="S441" s="7"/>
      <c r="T441" s="2"/>
      <c r="U441" s="10"/>
      <c r="V441" s="2"/>
      <c r="W441" s="7"/>
      <c r="X441" s="7"/>
      <c r="Y441" s="2"/>
      <c r="Z441" s="2"/>
      <c r="AA441" s="2"/>
    </row>
    <row r="442">
      <c r="A442" s="2"/>
      <c r="B442" s="2"/>
      <c r="C442" s="2"/>
      <c r="D442" s="2"/>
      <c r="E442" s="2"/>
      <c r="F442" s="2"/>
      <c r="G442" s="2"/>
      <c r="H442" s="2"/>
      <c r="I442" s="2"/>
      <c r="J442" s="2"/>
      <c r="K442" s="2"/>
      <c r="L442" s="2"/>
      <c r="M442" s="2"/>
      <c r="N442" s="2"/>
      <c r="O442" s="2"/>
      <c r="P442" s="2"/>
      <c r="Q442" s="2"/>
      <c r="R442" s="2"/>
      <c r="S442" s="7"/>
      <c r="T442" s="2"/>
      <c r="U442" s="10"/>
      <c r="V442" s="2"/>
      <c r="W442" s="7"/>
      <c r="X442" s="7"/>
      <c r="Y442" s="2"/>
      <c r="Z442" s="2"/>
      <c r="AA442" s="2"/>
    </row>
    <row r="443">
      <c r="A443" s="2"/>
      <c r="B443" s="2"/>
      <c r="C443" s="2"/>
      <c r="D443" s="2"/>
      <c r="E443" s="2"/>
      <c r="F443" s="2"/>
      <c r="G443" s="2"/>
      <c r="H443" s="2"/>
      <c r="I443" s="2"/>
      <c r="J443" s="2"/>
      <c r="K443" s="2"/>
      <c r="L443" s="2"/>
      <c r="M443" s="2"/>
      <c r="N443" s="2"/>
      <c r="O443" s="2"/>
      <c r="P443" s="2"/>
      <c r="Q443" s="2"/>
      <c r="R443" s="2"/>
      <c r="S443" s="7"/>
      <c r="T443" s="2"/>
      <c r="U443" s="10"/>
      <c r="V443" s="2"/>
      <c r="W443" s="7"/>
      <c r="X443" s="7"/>
      <c r="Y443" s="2"/>
      <c r="Z443" s="2"/>
      <c r="AA443" s="2"/>
    </row>
    <row r="444">
      <c r="A444" s="2"/>
      <c r="B444" s="2"/>
      <c r="C444" s="2"/>
      <c r="D444" s="2"/>
      <c r="E444" s="2"/>
      <c r="F444" s="2"/>
      <c r="G444" s="2"/>
      <c r="H444" s="2"/>
      <c r="I444" s="2"/>
      <c r="J444" s="2"/>
      <c r="K444" s="2"/>
      <c r="L444" s="2"/>
      <c r="M444" s="2"/>
      <c r="N444" s="2"/>
      <c r="O444" s="2"/>
      <c r="P444" s="2"/>
      <c r="Q444" s="2"/>
      <c r="R444" s="2"/>
      <c r="S444" s="7"/>
      <c r="T444" s="2"/>
      <c r="U444" s="10"/>
      <c r="V444" s="2"/>
      <c r="W444" s="7"/>
      <c r="X444" s="7"/>
      <c r="Y444" s="2"/>
      <c r="Z444" s="2"/>
      <c r="AA444" s="2"/>
    </row>
    <row r="445">
      <c r="A445" s="2"/>
      <c r="B445" s="2"/>
      <c r="C445" s="2"/>
      <c r="D445" s="2"/>
      <c r="E445" s="2"/>
      <c r="F445" s="2"/>
      <c r="G445" s="2"/>
      <c r="H445" s="2"/>
      <c r="I445" s="2"/>
      <c r="J445" s="2"/>
      <c r="K445" s="2"/>
      <c r="L445" s="2"/>
      <c r="M445" s="2"/>
      <c r="N445" s="2"/>
      <c r="O445" s="2"/>
      <c r="P445" s="2"/>
      <c r="Q445" s="2"/>
      <c r="R445" s="2"/>
      <c r="S445" s="7"/>
      <c r="T445" s="2"/>
      <c r="U445" s="10"/>
      <c r="V445" s="2"/>
      <c r="W445" s="7"/>
      <c r="X445" s="7"/>
      <c r="Y445" s="2"/>
      <c r="Z445" s="2"/>
      <c r="AA445" s="2"/>
    </row>
    <row r="446">
      <c r="A446" s="2"/>
      <c r="B446" s="2"/>
      <c r="C446" s="2"/>
      <c r="D446" s="2"/>
      <c r="E446" s="2"/>
      <c r="F446" s="2"/>
      <c r="G446" s="2"/>
      <c r="H446" s="2"/>
      <c r="I446" s="2"/>
      <c r="J446" s="2"/>
      <c r="K446" s="2"/>
      <c r="L446" s="2"/>
      <c r="M446" s="2"/>
      <c r="N446" s="2"/>
      <c r="O446" s="2"/>
      <c r="P446" s="2"/>
      <c r="Q446" s="2"/>
      <c r="R446" s="2"/>
      <c r="S446" s="7"/>
      <c r="T446" s="2"/>
      <c r="U446" s="10"/>
      <c r="V446" s="2"/>
      <c r="W446" s="7"/>
      <c r="X446" s="7"/>
      <c r="Y446" s="2"/>
      <c r="Z446" s="2"/>
      <c r="AA446" s="2"/>
    </row>
    <row r="447">
      <c r="A447" s="2"/>
      <c r="B447" s="2"/>
      <c r="C447" s="2"/>
      <c r="D447" s="2"/>
      <c r="E447" s="2"/>
      <c r="F447" s="2"/>
      <c r="G447" s="2"/>
      <c r="H447" s="2"/>
      <c r="I447" s="2"/>
      <c r="J447" s="2"/>
      <c r="K447" s="2"/>
      <c r="L447" s="2"/>
      <c r="M447" s="2"/>
      <c r="N447" s="2"/>
      <c r="O447" s="2"/>
      <c r="P447" s="2"/>
      <c r="Q447" s="2"/>
      <c r="R447" s="2"/>
      <c r="S447" s="7"/>
      <c r="T447" s="2"/>
      <c r="U447" s="10"/>
      <c r="V447" s="2"/>
      <c r="W447" s="7"/>
      <c r="X447" s="7"/>
      <c r="Y447" s="2"/>
      <c r="Z447" s="2"/>
      <c r="AA447" s="2"/>
    </row>
    <row r="448">
      <c r="A448" s="2"/>
      <c r="B448" s="2"/>
      <c r="C448" s="2"/>
      <c r="D448" s="2"/>
      <c r="E448" s="2"/>
      <c r="F448" s="2"/>
      <c r="G448" s="2"/>
      <c r="H448" s="2"/>
      <c r="I448" s="2"/>
      <c r="J448" s="2"/>
      <c r="K448" s="2"/>
      <c r="L448" s="2"/>
      <c r="M448" s="2"/>
      <c r="N448" s="2"/>
      <c r="O448" s="2"/>
      <c r="P448" s="2"/>
      <c r="Q448" s="2"/>
      <c r="R448" s="2"/>
      <c r="S448" s="7"/>
      <c r="T448" s="2"/>
      <c r="U448" s="10"/>
      <c r="V448" s="2"/>
      <c r="W448" s="7"/>
      <c r="X448" s="7"/>
      <c r="Y448" s="2"/>
      <c r="Z448" s="2"/>
      <c r="AA448" s="2"/>
    </row>
    <row r="449">
      <c r="A449" s="2"/>
      <c r="B449" s="2"/>
      <c r="C449" s="2"/>
      <c r="D449" s="2"/>
      <c r="E449" s="2"/>
      <c r="F449" s="2"/>
      <c r="G449" s="2"/>
      <c r="H449" s="2"/>
      <c r="I449" s="2"/>
      <c r="J449" s="2"/>
      <c r="K449" s="2"/>
      <c r="L449" s="2"/>
      <c r="M449" s="2"/>
      <c r="N449" s="2"/>
      <c r="O449" s="2"/>
      <c r="P449" s="2"/>
      <c r="Q449" s="2"/>
      <c r="R449" s="2"/>
      <c r="S449" s="7"/>
      <c r="T449" s="2"/>
      <c r="U449" s="10"/>
      <c r="V449" s="2"/>
      <c r="W449" s="7"/>
      <c r="X449" s="7"/>
      <c r="Y449" s="2"/>
      <c r="Z449" s="2"/>
      <c r="AA449" s="2"/>
    </row>
    <row r="450">
      <c r="A450" s="2"/>
      <c r="B450" s="2"/>
      <c r="C450" s="2"/>
      <c r="D450" s="2"/>
      <c r="E450" s="2"/>
      <c r="F450" s="2"/>
      <c r="G450" s="2"/>
      <c r="H450" s="2"/>
      <c r="I450" s="2"/>
      <c r="J450" s="2"/>
      <c r="K450" s="2"/>
      <c r="L450" s="2"/>
      <c r="M450" s="2"/>
      <c r="N450" s="2"/>
      <c r="O450" s="2"/>
      <c r="P450" s="2"/>
      <c r="Q450" s="2"/>
      <c r="R450" s="2"/>
      <c r="S450" s="7"/>
      <c r="T450" s="2"/>
      <c r="U450" s="10"/>
      <c r="V450" s="2"/>
      <c r="W450" s="7"/>
      <c r="X450" s="7"/>
      <c r="Y450" s="2"/>
      <c r="Z450" s="2"/>
      <c r="AA450" s="2"/>
    </row>
    <row r="451">
      <c r="A451" s="2"/>
      <c r="B451" s="2"/>
      <c r="C451" s="2"/>
      <c r="D451" s="2"/>
      <c r="E451" s="2"/>
      <c r="F451" s="2"/>
      <c r="G451" s="2"/>
      <c r="H451" s="2"/>
      <c r="I451" s="2"/>
      <c r="J451" s="2"/>
      <c r="K451" s="2"/>
      <c r="L451" s="2"/>
      <c r="M451" s="2"/>
      <c r="N451" s="2"/>
      <c r="O451" s="2"/>
      <c r="P451" s="2"/>
      <c r="Q451" s="2"/>
      <c r="R451" s="2"/>
      <c r="S451" s="7"/>
      <c r="T451" s="2"/>
      <c r="U451" s="10"/>
      <c r="V451" s="2"/>
      <c r="W451" s="7"/>
      <c r="X451" s="7"/>
      <c r="Y451" s="2"/>
      <c r="Z451" s="2"/>
      <c r="AA451" s="2"/>
    </row>
    <row r="452">
      <c r="A452" s="2"/>
      <c r="B452" s="2"/>
      <c r="C452" s="2"/>
      <c r="D452" s="2"/>
      <c r="E452" s="2"/>
      <c r="F452" s="2"/>
      <c r="G452" s="2"/>
      <c r="H452" s="2"/>
      <c r="I452" s="2"/>
      <c r="J452" s="2"/>
      <c r="K452" s="2"/>
      <c r="L452" s="2"/>
      <c r="M452" s="2"/>
      <c r="N452" s="2"/>
      <c r="O452" s="2"/>
      <c r="P452" s="2"/>
      <c r="Q452" s="2"/>
      <c r="R452" s="2"/>
      <c r="S452" s="7"/>
      <c r="T452" s="2"/>
      <c r="U452" s="10"/>
      <c r="V452" s="2"/>
      <c r="W452" s="7"/>
      <c r="X452" s="7"/>
      <c r="Y452" s="2"/>
      <c r="Z452" s="2"/>
      <c r="AA452" s="2"/>
    </row>
    <row r="453">
      <c r="A453" s="2"/>
      <c r="B453" s="2"/>
      <c r="C453" s="2"/>
      <c r="D453" s="2"/>
      <c r="E453" s="2"/>
      <c r="F453" s="2"/>
      <c r="G453" s="2"/>
      <c r="H453" s="2"/>
      <c r="I453" s="2"/>
      <c r="J453" s="2"/>
      <c r="K453" s="2"/>
      <c r="L453" s="2"/>
      <c r="M453" s="2"/>
      <c r="N453" s="2"/>
      <c r="O453" s="2"/>
      <c r="P453" s="2"/>
      <c r="Q453" s="2"/>
      <c r="R453" s="2"/>
      <c r="S453" s="7"/>
      <c r="T453" s="2"/>
      <c r="U453" s="10"/>
      <c r="V453" s="2"/>
      <c r="W453" s="7"/>
      <c r="X453" s="7"/>
      <c r="Y453" s="2"/>
      <c r="Z453" s="2"/>
      <c r="AA453" s="2"/>
    </row>
    <row r="454">
      <c r="A454" s="2"/>
      <c r="B454" s="2"/>
      <c r="C454" s="2"/>
      <c r="D454" s="2"/>
      <c r="E454" s="2"/>
      <c r="F454" s="2"/>
      <c r="G454" s="2"/>
      <c r="H454" s="2"/>
      <c r="I454" s="2"/>
      <c r="J454" s="2"/>
      <c r="K454" s="2"/>
      <c r="L454" s="2"/>
      <c r="M454" s="2"/>
      <c r="N454" s="2"/>
      <c r="O454" s="2"/>
      <c r="P454" s="2"/>
      <c r="Q454" s="2"/>
      <c r="R454" s="2"/>
      <c r="S454" s="7"/>
      <c r="T454" s="2"/>
      <c r="U454" s="10"/>
      <c r="V454" s="2"/>
      <c r="W454" s="7"/>
      <c r="X454" s="7"/>
      <c r="Y454" s="2"/>
      <c r="Z454" s="2"/>
      <c r="AA454" s="2"/>
    </row>
    <row r="455">
      <c r="A455" s="2"/>
      <c r="B455" s="2"/>
      <c r="C455" s="2"/>
      <c r="D455" s="2"/>
      <c r="E455" s="2"/>
      <c r="F455" s="2"/>
      <c r="G455" s="2"/>
      <c r="H455" s="2"/>
      <c r="I455" s="2"/>
      <c r="J455" s="2"/>
      <c r="K455" s="2"/>
      <c r="L455" s="2"/>
      <c r="M455" s="2"/>
      <c r="N455" s="2"/>
      <c r="O455" s="2"/>
      <c r="P455" s="2"/>
      <c r="Q455" s="2"/>
      <c r="R455" s="2"/>
      <c r="S455" s="7"/>
      <c r="T455" s="2"/>
      <c r="U455" s="10"/>
      <c r="V455" s="2"/>
      <c r="W455" s="7"/>
      <c r="X455" s="7"/>
      <c r="Y455" s="2"/>
      <c r="Z455" s="2"/>
      <c r="AA455" s="2"/>
    </row>
    <row r="456">
      <c r="A456" s="2"/>
      <c r="B456" s="2"/>
      <c r="C456" s="2"/>
      <c r="D456" s="2"/>
      <c r="E456" s="2"/>
      <c r="F456" s="2"/>
      <c r="G456" s="2"/>
      <c r="H456" s="2"/>
      <c r="I456" s="2"/>
      <c r="J456" s="2"/>
      <c r="K456" s="2"/>
      <c r="L456" s="2"/>
      <c r="M456" s="2"/>
      <c r="N456" s="2"/>
      <c r="O456" s="2"/>
      <c r="P456" s="2"/>
      <c r="Q456" s="2"/>
      <c r="R456" s="2"/>
      <c r="S456" s="7"/>
      <c r="T456" s="2"/>
      <c r="U456" s="10"/>
      <c r="V456" s="2"/>
      <c r="W456" s="7"/>
      <c r="X456" s="7"/>
      <c r="Y456" s="2"/>
      <c r="Z456" s="2"/>
      <c r="AA456" s="2"/>
    </row>
    <row r="457">
      <c r="A457" s="2"/>
      <c r="B457" s="2"/>
      <c r="C457" s="2"/>
      <c r="D457" s="2"/>
      <c r="E457" s="2"/>
      <c r="F457" s="2"/>
      <c r="G457" s="2"/>
      <c r="H457" s="2"/>
      <c r="I457" s="2"/>
      <c r="J457" s="2"/>
      <c r="K457" s="2"/>
      <c r="L457" s="2"/>
      <c r="M457" s="2"/>
      <c r="N457" s="2"/>
      <c r="O457" s="2"/>
      <c r="P457" s="2"/>
      <c r="Q457" s="2"/>
      <c r="R457" s="2"/>
      <c r="S457" s="7"/>
      <c r="T457" s="2"/>
      <c r="U457" s="10"/>
      <c r="V457" s="2"/>
      <c r="W457" s="7"/>
      <c r="X457" s="7"/>
      <c r="Y457" s="2"/>
      <c r="Z457" s="2"/>
      <c r="AA457" s="2"/>
    </row>
    <row r="458">
      <c r="A458" s="2"/>
      <c r="B458" s="2"/>
      <c r="C458" s="2"/>
      <c r="D458" s="2"/>
      <c r="E458" s="2"/>
      <c r="F458" s="2"/>
      <c r="G458" s="2"/>
      <c r="H458" s="2"/>
      <c r="I458" s="2"/>
      <c r="J458" s="2"/>
      <c r="K458" s="2"/>
      <c r="L458" s="2"/>
      <c r="M458" s="2"/>
      <c r="N458" s="2"/>
      <c r="O458" s="2"/>
      <c r="P458" s="2"/>
      <c r="Q458" s="2"/>
      <c r="R458" s="2"/>
      <c r="S458" s="7"/>
      <c r="T458" s="2"/>
      <c r="U458" s="10"/>
      <c r="V458" s="2"/>
      <c r="W458" s="7"/>
      <c r="X458" s="7"/>
      <c r="Y458" s="2"/>
      <c r="Z458" s="2"/>
      <c r="AA458" s="2"/>
    </row>
    <row r="459">
      <c r="A459" s="2"/>
      <c r="B459" s="2"/>
      <c r="C459" s="2"/>
      <c r="D459" s="2"/>
      <c r="E459" s="2"/>
      <c r="F459" s="2"/>
      <c r="G459" s="2"/>
      <c r="H459" s="2"/>
      <c r="I459" s="2"/>
      <c r="J459" s="2"/>
      <c r="K459" s="2"/>
      <c r="L459" s="2"/>
      <c r="M459" s="2"/>
      <c r="N459" s="2"/>
      <c r="O459" s="2"/>
      <c r="P459" s="2"/>
      <c r="Q459" s="2"/>
      <c r="R459" s="2"/>
      <c r="S459" s="7"/>
      <c r="T459" s="2"/>
      <c r="U459" s="10"/>
      <c r="V459" s="2"/>
      <c r="W459" s="7"/>
      <c r="X459" s="7"/>
      <c r="Y459" s="2"/>
      <c r="Z459" s="2"/>
      <c r="AA459" s="2"/>
    </row>
    <row r="460">
      <c r="A460" s="2"/>
      <c r="B460" s="2"/>
      <c r="C460" s="2"/>
      <c r="D460" s="2"/>
      <c r="E460" s="2"/>
      <c r="F460" s="2"/>
      <c r="G460" s="2"/>
      <c r="H460" s="2"/>
      <c r="I460" s="2"/>
      <c r="J460" s="2"/>
      <c r="K460" s="2"/>
      <c r="L460" s="2"/>
      <c r="M460" s="2"/>
      <c r="N460" s="2"/>
      <c r="O460" s="2"/>
      <c r="P460" s="2"/>
      <c r="Q460" s="2"/>
      <c r="R460" s="2"/>
      <c r="S460" s="7"/>
      <c r="T460" s="2"/>
      <c r="U460" s="10"/>
      <c r="V460" s="2"/>
      <c r="W460" s="7"/>
      <c r="X460" s="7"/>
      <c r="Y460" s="2"/>
      <c r="Z460" s="2"/>
      <c r="AA460" s="2"/>
    </row>
    <row r="461">
      <c r="A461" s="2"/>
      <c r="B461" s="2"/>
      <c r="C461" s="2"/>
      <c r="D461" s="2"/>
      <c r="E461" s="2"/>
      <c r="F461" s="2"/>
      <c r="G461" s="2"/>
      <c r="H461" s="2"/>
      <c r="I461" s="2"/>
      <c r="J461" s="2"/>
      <c r="K461" s="2"/>
      <c r="L461" s="2"/>
      <c r="M461" s="2"/>
      <c r="N461" s="2"/>
      <c r="O461" s="2"/>
      <c r="P461" s="2"/>
      <c r="Q461" s="2"/>
      <c r="R461" s="2"/>
      <c r="S461" s="7"/>
      <c r="T461" s="2"/>
      <c r="U461" s="10"/>
      <c r="V461" s="2"/>
      <c r="W461" s="7"/>
      <c r="X461" s="7"/>
      <c r="Y461" s="2"/>
      <c r="Z461" s="2"/>
      <c r="AA461" s="2"/>
    </row>
    <row r="462">
      <c r="A462" s="2"/>
      <c r="B462" s="2"/>
      <c r="C462" s="2"/>
      <c r="D462" s="2"/>
      <c r="E462" s="2"/>
      <c r="F462" s="2"/>
      <c r="G462" s="2"/>
      <c r="H462" s="2"/>
      <c r="I462" s="2"/>
      <c r="J462" s="2"/>
      <c r="K462" s="2"/>
      <c r="L462" s="2"/>
      <c r="M462" s="2"/>
      <c r="N462" s="2"/>
      <c r="O462" s="2"/>
      <c r="P462" s="2"/>
      <c r="Q462" s="2"/>
      <c r="R462" s="2"/>
      <c r="S462" s="7"/>
      <c r="T462" s="2"/>
      <c r="U462" s="10"/>
      <c r="V462" s="2"/>
      <c r="W462" s="7"/>
      <c r="X462" s="7"/>
      <c r="Y462" s="2"/>
      <c r="Z462" s="2"/>
      <c r="AA462" s="2"/>
    </row>
    <row r="463">
      <c r="A463" s="2"/>
      <c r="B463" s="2"/>
      <c r="C463" s="2"/>
      <c r="D463" s="2"/>
      <c r="E463" s="2"/>
      <c r="F463" s="2"/>
      <c r="G463" s="2"/>
      <c r="H463" s="2"/>
      <c r="I463" s="2"/>
      <c r="J463" s="2"/>
      <c r="K463" s="2"/>
      <c r="L463" s="2"/>
      <c r="M463" s="2"/>
      <c r="N463" s="2"/>
      <c r="O463" s="2"/>
      <c r="P463" s="2"/>
      <c r="Q463" s="2"/>
      <c r="R463" s="2"/>
      <c r="S463" s="7"/>
      <c r="T463" s="2"/>
      <c r="U463" s="10"/>
      <c r="V463" s="2"/>
      <c r="W463" s="7"/>
      <c r="X463" s="7"/>
      <c r="Y463" s="2"/>
      <c r="Z463" s="2"/>
      <c r="AA463" s="2"/>
    </row>
    <row r="464">
      <c r="A464" s="2"/>
      <c r="B464" s="2"/>
      <c r="C464" s="2"/>
      <c r="D464" s="2"/>
      <c r="E464" s="2"/>
      <c r="F464" s="2"/>
      <c r="G464" s="2"/>
      <c r="H464" s="2"/>
      <c r="I464" s="2"/>
      <c r="J464" s="2"/>
      <c r="K464" s="2"/>
      <c r="L464" s="2"/>
      <c r="M464" s="2"/>
      <c r="N464" s="2"/>
      <c r="O464" s="2"/>
      <c r="P464" s="2"/>
      <c r="Q464" s="2"/>
      <c r="R464" s="2"/>
      <c r="S464" s="7"/>
      <c r="T464" s="2"/>
      <c r="U464" s="10"/>
      <c r="V464" s="2"/>
      <c r="W464" s="7"/>
      <c r="X464" s="7"/>
      <c r="Y464" s="2"/>
      <c r="Z464" s="2"/>
      <c r="AA464" s="2"/>
    </row>
    <row r="465">
      <c r="A465" s="2"/>
      <c r="B465" s="2"/>
      <c r="C465" s="2"/>
      <c r="D465" s="2"/>
      <c r="E465" s="2"/>
      <c r="F465" s="2"/>
      <c r="G465" s="2"/>
      <c r="H465" s="2"/>
      <c r="I465" s="2"/>
      <c r="J465" s="2"/>
      <c r="K465" s="2"/>
      <c r="L465" s="2"/>
      <c r="M465" s="2"/>
      <c r="N465" s="2"/>
      <c r="O465" s="2"/>
      <c r="P465" s="2"/>
      <c r="Q465" s="2"/>
      <c r="R465" s="2"/>
      <c r="S465" s="7"/>
      <c r="T465" s="2"/>
      <c r="U465" s="10"/>
      <c r="V465" s="2"/>
      <c r="W465" s="7"/>
      <c r="X465" s="7"/>
      <c r="Y465" s="2"/>
      <c r="Z465" s="2"/>
      <c r="AA465" s="2"/>
    </row>
    <row r="466">
      <c r="A466" s="2"/>
      <c r="B466" s="2"/>
      <c r="C466" s="2"/>
      <c r="D466" s="2"/>
      <c r="E466" s="2"/>
      <c r="F466" s="2"/>
      <c r="G466" s="2"/>
      <c r="H466" s="2"/>
      <c r="I466" s="2"/>
      <c r="J466" s="2"/>
      <c r="K466" s="2"/>
      <c r="L466" s="2"/>
      <c r="M466" s="2"/>
      <c r="N466" s="2"/>
      <c r="O466" s="2"/>
      <c r="P466" s="2"/>
      <c r="Q466" s="2"/>
      <c r="R466" s="2"/>
      <c r="S466" s="7"/>
      <c r="T466" s="2"/>
      <c r="U466" s="10"/>
      <c r="V466" s="2"/>
      <c r="W466" s="7"/>
      <c r="X466" s="7"/>
      <c r="Y466" s="2"/>
      <c r="Z466" s="2"/>
      <c r="AA466" s="2"/>
    </row>
    <row r="467">
      <c r="A467" s="2"/>
      <c r="B467" s="2"/>
      <c r="C467" s="2"/>
      <c r="D467" s="2"/>
      <c r="E467" s="2"/>
      <c r="F467" s="2"/>
      <c r="G467" s="2"/>
      <c r="H467" s="2"/>
      <c r="I467" s="2"/>
      <c r="J467" s="2"/>
      <c r="K467" s="2"/>
      <c r="L467" s="2"/>
      <c r="M467" s="2"/>
      <c r="N467" s="2"/>
      <c r="O467" s="2"/>
      <c r="P467" s="2"/>
      <c r="Q467" s="2"/>
      <c r="R467" s="2"/>
      <c r="S467" s="7"/>
      <c r="T467" s="2"/>
      <c r="U467" s="10"/>
      <c r="V467" s="2"/>
      <c r="W467" s="7"/>
      <c r="X467" s="7"/>
      <c r="Y467" s="2"/>
      <c r="Z467" s="2"/>
      <c r="AA467" s="2"/>
    </row>
    <row r="468">
      <c r="A468" s="2"/>
      <c r="B468" s="2"/>
      <c r="C468" s="2"/>
      <c r="D468" s="2"/>
      <c r="E468" s="2"/>
      <c r="F468" s="2"/>
      <c r="G468" s="2"/>
      <c r="H468" s="2"/>
      <c r="I468" s="2"/>
      <c r="J468" s="2"/>
      <c r="K468" s="2"/>
      <c r="L468" s="2"/>
      <c r="M468" s="2"/>
      <c r="N468" s="2"/>
      <c r="O468" s="2"/>
      <c r="P468" s="2"/>
      <c r="Q468" s="2"/>
      <c r="R468" s="2"/>
      <c r="S468" s="7"/>
      <c r="T468" s="2"/>
      <c r="U468" s="10"/>
      <c r="V468" s="2"/>
      <c r="W468" s="7"/>
      <c r="X468" s="7"/>
      <c r="Y468" s="2"/>
      <c r="Z468" s="2"/>
      <c r="AA468" s="2"/>
    </row>
    <row r="469">
      <c r="A469" s="2"/>
      <c r="B469" s="2"/>
      <c r="C469" s="2"/>
      <c r="D469" s="2"/>
      <c r="E469" s="2"/>
      <c r="F469" s="2"/>
      <c r="G469" s="2"/>
      <c r="H469" s="2"/>
      <c r="I469" s="2"/>
      <c r="J469" s="2"/>
      <c r="K469" s="2"/>
      <c r="L469" s="2"/>
      <c r="M469" s="2"/>
      <c r="N469" s="2"/>
      <c r="O469" s="2"/>
      <c r="P469" s="2"/>
      <c r="Q469" s="2"/>
      <c r="R469" s="2"/>
      <c r="S469" s="7"/>
      <c r="T469" s="2"/>
      <c r="U469" s="10"/>
      <c r="V469" s="2"/>
      <c r="W469" s="7"/>
      <c r="X469" s="7"/>
      <c r="Y469" s="2"/>
      <c r="Z469" s="2"/>
      <c r="AA469" s="2"/>
    </row>
    <row r="470">
      <c r="A470" s="2"/>
      <c r="B470" s="2"/>
      <c r="C470" s="2"/>
      <c r="D470" s="2"/>
      <c r="E470" s="2"/>
      <c r="F470" s="2"/>
      <c r="G470" s="2"/>
      <c r="H470" s="2"/>
      <c r="I470" s="2"/>
      <c r="J470" s="2"/>
      <c r="K470" s="2"/>
      <c r="L470" s="2"/>
      <c r="M470" s="2"/>
      <c r="N470" s="2"/>
      <c r="O470" s="2"/>
      <c r="P470" s="2"/>
      <c r="Q470" s="2"/>
      <c r="R470" s="2"/>
      <c r="S470" s="7"/>
      <c r="T470" s="2"/>
      <c r="U470" s="10"/>
      <c r="V470" s="2"/>
      <c r="W470" s="7"/>
      <c r="X470" s="7"/>
      <c r="Y470" s="2"/>
      <c r="Z470" s="2"/>
      <c r="AA470" s="2"/>
    </row>
    <row r="471">
      <c r="A471" s="2"/>
      <c r="B471" s="2"/>
      <c r="C471" s="2"/>
      <c r="D471" s="2"/>
      <c r="E471" s="2"/>
      <c r="F471" s="2"/>
      <c r="G471" s="2"/>
      <c r="H471" s="2"/>
      <c r="I471" s="2"/>
      <c r="J471" s="2"/>
      <c r="K471" s="2"/>
      <c r="L471" s="2"/>
      <c r="M471" s="2"/>
      <c r="N471" s="2"/>
      <c r="O471" s="2"/>
      <c r="P471" s="2"/>
      <c r="Q471" s="2"/>
      <c r="R471" s="2"/>
      <c r="S471" s="7"/>
      <c r="T471" s="2"/>
      <c r="U471" s="10"/>
      <c r="V471" s="2"/>
      <c r="W471" s="7"/>
      <c r="X471" s="7"/>
      <c r="Y471" s="2"/>
      <c r="Z471" s="2"/>
      <c r="AA471" s="2"/>
    </row>
    <row r="472">
      <c r="A472" s="2"/>
      <c r="B472" s="2"/>
      <c r="C472" s="2"/>
      <c r="D472" s="2"/>
      <c r="E472" s="2"/>
      <c r="F472" s="2"/>
      <c r="G472" s="2"/>
      <c r="H472" s="2"/>
      <c r="I472" s="2"/>
      <c r="J472" s="2"/>
      <c r="K472" s="2"/>
      <c r="L472" s="2"/>
      <c r="M472" s="2"/>
      <c r="N472" s="2"/>
      <c r="O472" s="2"/>
      <c r="P472" s="2"/>
      <c r="Q472" s="2"/>
      <c r="R472" s="2"/>
      <c r="S472" s="7"/>
      <c r="T472" s="2"/>
      <c r="U472" s="10"/>
      <c r="V472" s="2"/>
      <c r="W472" s="7"/>
      <c r="X472" s="7"/>
      <c r="Y472" s="2"/>
      <c r="Z472" s="2"/>
      <c r="AA472" s="2"/>
    </row>
    <row r="473">
      <c r="A473" s="2"/>
      <c r="B473" s="2"/>
      <c r="C473" s="2"/>
      <c r="D473" s="2"/>
      <c r="E473" s="2"/>
      <c r="F473" s="2"/>
      <c r="G473" s="2"/>
      <c r="H473" s="2"/>
      <c r="I473" s="2"/>
      <c r="J473" s="2"/>
      <c r="K473" s="2"/>
      <c r="L473" s="2"/>
      <c r="M473" s="2"/>
      <c r="N473" s="2"/>
      <c r="O473" s="2"/>
      <c r="P473" s="2"/>
      <c r="Q473" s="2"/>
      <c r="R473" s="2"/>
      <c r="S473" s="7"/>
      <c r="T473" s="2"/>
      <c r="U473" s="10"/>
      <c r="V473" s="2"/>
      <c r="W473" s="7"/>
      <c r="X473" s="7"/>
      <c r="Y473" s="2"/>
      <c r="Z473" s="2"/>
      <c r="AA473" s="2"/>
    </row>
    <row r="474">
      <c r="A474" s="2"/>
      <c r="B474" s="2"/>
      <c r="C474" s="2"/>
      <c r="D474" s="2"/>
      <c r="E474" s="2"/>
      <c r="F474" s="2"/>
      <c r="G474" s="2"/>
      <c r="H474" s="2"/>
      <c r="I474" s="2"/>
      <c r="J474" s="2"/>
      <c r="K474" s="2"/>
      <c r="L474" s="2"/>
      <c r="M474" s="2"/>
      <c r="N474" s="2"/>
      <c r="O474" s="2"/>
      <c r="P474" s="2"/>
      <c r="Q474" s="2"/>
      <c r="R474" s="2"/>
      <c r="S474" s="7"/>
      <c r="T474" s="2"/>
      <c r="U474" s="10"/>
      <c r="V474" s="2"/>
      <c r="W474" s="7"/>
      <c r="X474" s="7"/>
      <c r="Y474" s="2"/>
      <c r="Z474" s="2"/>
      <c r="AA474" s="2"/>
    </row>
    <row r="475">
      <c r="A475" s="2"/>
      <c r="B475" s="2"/>
      <c r="C475" s="2"/>
      <c r="D475" s="2"/>
      <c r="E475" s="2"/>
      <c r="F475" s="2"/>
      <c r="G475" s="2"/>
      <c r="H475" s="2"/>
      <c r="I475" s="2"/>
      <c r="J475" s="2"/>
      <c r="K475" s="2"/>
      <c r="L475" s="2"/>
      <c r="M475" s="2"/>
      <c r="N475" s="2"/>
      <c r="O475" s="2"/>
      <c r="P475" s="2"/>
      <c r="Q475" s="2"/>
      <c r="R475" s="2"/>
      <c r="S475" s="7"/>
      <c r="T475" s="2"/>
      <c r="U475" s="10"/>
      <c r="V475" s="2"/>
      <c r="W475" s="7"/>
      <c r="X475" s="7"/>
      <c r="Y475" s="2"/>
      <c r="Z475" s="2"/>
      <c r="AA475" s="2"/>
    </row>
    <row r="476">
      <c r="A476" s="2"/>
      <c r="B476" s="2"/>
      <c r="C476" s="2"/>
      <c r="D476" s="2"/>
      <c r="E476" s="2"/>
      <c r="F476" s="2"/>
      <c r="G476" s="2"/>
      <c r="H476" s="2"/>
      <c r="I476" s="2"/>
      <c r="J476" s="2"/>
      <c r="K476" s="2"/>
      <c r="L476" s="2"/>
      <c r="M476" s="2"/>
      <c r="N476" s="2"/>
      <c r="O476" s="2"/>
      <c r="P476" s="2"/>
      <c r="Q476" s="2"/>
      <c r="R476" s="2"/>
      <c r="S476" s="7"/>
      <c r="T476" s="2"/>
      <c r="U476" s="10"/>
      <c r="V476" s="2"/>
      <c r="W476" s="7"/>
      <c r="X476" s="7"/>
      <c r="Y476" s="2"/>
      <c r="Z476" s="2"/>
      <c r="AA476" s="2"/>
    </row>
    <row r="477">
      <c r="A477" s="2"/>
      <c r="B477" s="2"/>
      <c r="C477" s="2"/>
      <c r="D477" s="2"/>
      <c r="E477" s="2"/>
      <c r="F477" s="2"/>
      <c r="G477" s="2"/>
      <c r="H477" s="2"/>
      <c r="I477" s="2"/>
      <c r="J477" s="2"/>
      <c r="K477" s="2"/>
      <c r="L477" s="2"/>
      <c r="M477" s="2"/>
      <c r="N477" s="2"/>
      <c r="O477" s="2"/>
      <c r="P477" s="2"/>
      <c r="Q477" s="2"/>
      <c r="R477" s="2"/>
      <c r="S477" s="7"/>
      <c r="T477" s="2"/>
      <c r="U477" s="10"/>
      <c r="V477" s="2"/>
      <c r="W477" s="7"/>
      <c r="X477" s="7"/>
      <c r="Y477" s="2"/>
      <c r="Z477" s="2"/>
      <c r="AA477" s="2"/>
    </row>
    <row r="478">
      <c r="A478" s="2"/>
      <c r="B478" s="2"/>
      <c r="C478" s="2"/>
      <c r="D478" s="2"/>
      <c r="E478" s="2"/>
      <c r="F478" s="2"/>
      <c r="G478" s="2"/>
      <c r="H478" s="2"/>
      <c r="I478" s="2"/>
      <c r="J478" s="2"/>
      <c r="K478" s="2"/>
      <c r="L478" s="2"/>
      <c r="M478" s="2"/>
      <c r="N478" s="2"/>
      <c r="O478" s="2"/>
      <c r="P478" s="2"/>
      <c r="Q478" s="2"/>
      <c r="R478" s="2"/>
      <c r="S478" s="7"/>
      <c r="T478" s="2"/>
      <c r="U478" s="10"/>
      <c r="V478" s="2"/>
      <c r="W478" s="7"/>
      <c r="X478" s="7"/>
      <c r="Y478" s="2"/>
      <c r="Z478" s="2"/>
      <c r="AA478" s="2"/>
    </row>
    <row r="479">
      <c r="A479" s="2"/>
      <c r="B479" s="2"/>
      <c r="C479" s="2"/>
      <c r="D479" s="2"/>
      <c r="E479" s="2"/>
      <c r="F479" s="2"/>
      <c r="G479" s="2"/>
      <c r="H479" s="2"/>
      <c r="I479" s="2"/>
      <c r="J479" s="2"/>
      <c r="K479" s="2"/>
      <c r="L479" s="2"/>
      <c r="M479" s="2"/>
      <c r="N479" s="2"/>
      <c r="O479" s="2"/>
      <c r="P479" s="2"/>
      <c r="Q479" s="2"/>
      <c r="R479" s="2"/>
      <c r="S479" s="7"/>
      <c r="T479" s="2"/>
      <c r="U479" s="10"/>
      <c r="V479" s="2"/>
      <c r="W479" s="7"/>
      <c r="X479" s="7"/>
      <c r="Y479" s="2"/>
      <c r="Z479" s="2"/>
      <c r="AA479" s="2"/>
    </row>
    <row r="480">
      <c r="A480" s="2"/>
      <c r="B480" s="2"/>
      <c r="C480" s="2"/>
      <c r="D480" s="2"/>
      <c r="E480" s="2"/>
      <c r="F480" s="2"/>
      <c r="G480" s="2"/>
      <c r="H480" s="2"/>
      <c r="I480" s="2"/>
      <c r="J480" s="2"/>
      <c r="K480" s="2"/>
      <c r="L480" s="2"/>
      <c r="M480" s="2"/>
      <c r="N480" s="2"/>
      <c r="O480" s="2"/>
      <c r="P480" s="2"/>
      <c r="Q480" s="2"/>
      <c r="R480" s="2"/>
      <c r="S480" s="7"/>
      <c r="T480" s="2"/>
      <c r="U480" s="10"/>
      <c r="V480" s="2"/>
      <c r="W480" s="7"/>
      <c r="X480" s="7"/>
      <c r="Y480" s="2"/>
      <c r="Z480" s="2"/>
      <c r="AA480" s="2"/>
    </row>
    <row r="481">
      <c r="A481" s="2"/>
      <c r="B481" s="2"/>
      <c r="C481" s="2"/>
      <c r="D481" s="2"/>
      <c r="E481" s="2"/>
      <c r="F481" s="2"/>
      <c r="G481" s="2"/>
      <c r="H481" s="2"/>
      <c r="I481" s="2"/>
      <c r="J481" s="2"/>
      <c r="K481" s="2"/>
      <c r="L481" s="2"/>
      <c r="M481" s="2"/>
      <c r="N481" s="2"/>
      <c r="O481" s="2"/>
      <c r="P481" s="2"/>
      <c r="Q481" s="2"/>
      <c r="R481" s="2"/>
      <c r="S481" s="7"/>
      <c r="T481" s="2"/>
      <c r="U481" s="10"/>
      <c r="V481" s="2"/>
      <c r="W481" s="7"/>
      <c r="X481" s="7"/>
      <c r="Y481" s="2"/>
      <c r="Z481" s="2"/>
      <c r="AA481" s="2"/>
    </row>
    <row r="482">
      <c r="A482" s="2"/>
      <c r="B482" s="2"/>
      <c r="C482" s="2"/>
      <c r="D482" s="2"/>
      <c r="E482" s="2"/>
      <c r="F482" s="2"/>
      <c r="G482" s="2"/>
      <c r="H482" s="2"/>
      <c r="I482" s="2"/>
      <c r="J482" s="2"/>
      <c r="K482" s="2"/>
      <c r="L482" s="2"/>
      <c r="M482" s="2"/>
      <c r="N482" s="2"/>
      <c r="O482" s="2"/>
      <c r="P482" s="2"/>
      <c r="Q482" s="2"/>
      <c r="R482" s="2"/>
      <c r="S482" s="7"/>
      <c r="T482" s="2"/>
      <c r="U482" s="10"/>
      <c r="V482" s="2"/>
      <c r="W482" s="7"/>
      <c r="X482" s="7"/>
      <c r="Y482" s="2"/>
      <c r="Z482" s="2"/>
      <c r="AA482" s="2"/>
    </row>
    <row r="483">
      <c r="A483" s="2"/>
      <c r="B483" s="2"/>
      <c r="C483" s="2"/>
      <c r="D483" s="2"/>
      <c r="E483" s="2"/>
      <c r="F483" s="2"/>
      <c r="G483" s="2"/>
      <c r="H483" s="2"/>
      <c r="I483" s="2"/>
      <c r="J483" s="2"/>
      <c r="K483" s="2"/>
      <c r="L483" s="2"/>
      <c r="M483" s="2"/>
      <c r="N483" s="2"/>
      <c r="O483" s="2"/>
      <c r="P483" s="2"/>
      <c r="Q483" s="2"/>
      <c r="R483" s="2"/>
      <c r="S483" s="7"/>
      <c r="T483" s="2"/>
      <c r="U483" s="10"/>
      <c r="V483" s="2"/>
      <c r="W483" s="7"/>
      <c r="X483" s="7"/>
      <c r="Y483" s="2"/>
      <c r="Z483" s="2"/>
      <c r="AA483" s="2"/>
    </row>
    <row r="484">
      <c r="A484" s="2"/>
      <c r="B484" s="2"/>
      <c r="C484" s="2"/>
      <c r="D484" s="2"/>
      <c r="E484" s="2"/>
      <c r="F484" s="2"/>
      <c r="G484" s="2"/>
      <c r="H484" s="2"/>
      <c r="I484" s="2"/>
      <c r="J484" s="2"/>
      <c r="K484" s="2"/>
      <c r="L484" s="2"/>
      <c r="M484" s="2"/>
      <c r="N484" s="2"/>
      <c r="O484" s="2"/>
      <c r="P484" s="2"/>
      <c r="Q484" s="2"/>
      <c r="R484" s="2"/>
      <c r="S484" s="7"/>
      <c r="T484" s="2"/>
      <c r="U484" s="10"/>
      <c r="V484" s="2"/>
      <c r="W484" s="7"/>
      <c r="X484" s="7"/>
      <c r="Y484" s="2"/>
      <c r="Z484" s="2"/>
      <c r="AA484" s="2"/>
    </row>
    <row r="485">
      <c r="A485" s="2"/>
      <c r="B485" s="2"/>
      <c r="C485" s="2"/>
      <c r="D485" s="2"/>
      <c r="E485" s="2"/>
      <c r="F485" s="2"/>
      <c r="G485" s="2"/>
      <c r="H485" s="2"/>
      <c r="I485" s="2"/>
      <c r="J485" s="2"/>
      <c r="K485" s="2"/>
      <c r="L485" s="2"/>
      <c r="M485" s="2"/>
      <c r="N485" s="2"/>
      <c r="O485" s="2"/>
      <c r="P485" s="2"/>
      <c r="Q485" s="2"/>
      <c r="R485" s="2"/>
      <c r="S485" s="7"/>
      <c r="T485" s="2"/>
      <c r="U485" s="10"/>
      <c r="V485" s="2"/>
      <c r="W485" s="7"/>
      <c r="X485" s="7"/>
      <c r="Y485" s="2"/>
      <c r="Z485" s="2"/>
      <c r="AA485" s="2"/>
    </row>
    <row r="486">
      <c r="A486" s="2"/>
      <c r="B486" s="2"/>
      <c r="C486" s="2"/>
      <c r="D486" s="2"/>
      <c r="E486" s="2"/>
      <c r="F486" s="2"/>
      <c r="G486" s="2"/>
      <c r="H486" s="2"/>
      <c r="I486" s="2"/>
      <c r="J486" s="2"/>
      <c r="K486" s="2"/>
      <c r="L486" s="2"/>
      <c r="M486" s="2"/>
      <c r="N486" s="2"/>
      <c r="O486" s="2"/>
      <c r="P486" s="2"/>
      <c r="Q486" s="2"/>
      <c r="R486" s="2"/>
      <c r="S486" s="7"/>
      <c r="T486" s="2"/>
      <c r="U486" s="10"/>
      <c r="V486" s="2"/>
      <c r="W486" s="7"/>
      <c r="X486" s="7"/>
      <c r="Y486" s="2"/>
      <c r="Z486" s="2"/>
      <c r="AA486" s="2"/>
    </row>
    <row r="487">
      <c r="A487" s="2"/>
      <c r="B487" s="2"/>
      <c r="C487" s="2"/>
      <c r="D487" s="2"/>
      <c r="E487" s="2"/>
      <c r="F487" s="2"/>
      <c r="G487" s="2"/>
      <c r="H487" s="2"/>
      <c r="I487" s="2"/>
      <c r="J487" s="2"/>
      <c r="K487" s="2"/>
      <c r="L487" s="2"/>
      <c r="M487" s="2"/>
      <c r="N487" s="2"/>
      <c r="O487" s="2"/>
      <c r="P487" s="2"/>
      <c r="Q487" s="2"/>
      <c r="R487" s="2"/>
      <c r="S487" s="7"/>
      <c r="T487" s="2"/>
      <c r="U487" s="10"/>
      <c r="V487" s="2"/>
      <c r="W487" s="7"/>
      <c r="X487" s="7"/>
      <c r="Y487" s="2"/>
      <c r="Z487" s="2"/>
      <c r="AA487" s="2"/>
    </row>
    <row r="488">
      <c r="A488" s="2"/>
      <c r="B488" s="2"/>
      <c r="C488" s="2"/>
      <c r="D488" s="2"/>
      <c r="E488" s="2"/>
      <c r="F488" s="2"/>
      <c r="G488" s="2"/>
      <c r="H488" s="2"/>
      <c r="I488" s="2"/>
      <c r="J488" s="2"/>
      <c r="K488" s="2"/>
      <c r="L488" s="2"/>
      <c r="M488" s="2"/>
      <c r="N488" s="2"/>
      <c r="O488" s="2"/>
      <c r="P488" s="2"/>
      <c r="Q488" s="2"/>
      <c r="R488" s="2"/>
      <c r="S488" s="7"/>
      <c r="T488" s="2"/>
      <c r="U488" s="10"/>
      <c r="V488" s="2"/>
      <c r="W488" s="7"/>
      <c r="X488" s="7"/>
      <c r="Y488" s="2"/>
      <c r="Z488" s="2"/>
      <c r="AA488" s="2"/>
    </row>
    <row r="489">
      <c r="A489" s="2"/>
      <c r="B489" s="2"/>
      <c r="C489" s="2"/>
      <c r="D489" s="2"/>
      <c r="E489" s="2"/>
      <c r="F489" s="2"/>
      <c r="G489" s="2"/>
      <c r="H489" s="2"/>
      <c r="I489" s="2"/>
      <c r="J489" s="2"/>
      <c r="K489" s="2"/>
      <c r="L489" s="2"/>
      <c r="M489" s="2"/>
      <c r="N489" s="2"/>
      <c r="O489" s="2"/>
      <c r="P489" s="2"/>
      <c r="Q489" s="2"/>
      <c r="R489" s="2"/>
      <c r="S489" s="7"/>
      <c r="T489" s="2"/>
      <c r="U489" s="10"/>
      <c r="V489" s="2"/>
      <c r="W489" s="7"/>
      <c r="X489" s="7"/>
      <c r="Y489" s="2"/>
      <c r="Z489" s="2"/>
      <c r="AA489" s="2"/>
    </row>
    <row r="490">
      <c r="A490" s="2"/>
      <c r="B490" s="2"/>
      <c r="C490" s="2"/>
      <c r="D490" s="2"/>
      <c r="E490" s="2"/>
      <c r="F490" s="2"/>
      <c r="G490" s="2"/>
      <c r="H490" s="2"/>
      <c r="I490" s="2"/>
      <c r="J490" s="2"/>
      <c r="K490" s="2"/>
      <c r="L490" s="2"/>
      <c r="M490" s="2"/>
      <c r="N490" s="2"/>
      <c r="O490" s="2"/>
      <c r="P490" s="2"/>
      <c r="Q490" s="2"/>
      <c r="R490" s="2"/>
      <c r="S490" s="7"/>
      <c r="T490" s="2"/>
      <c r="U490" s="10"/>
      <c r="V490" s="2"/>
      <c r="W490" s="7"/>
      <c r="X490" s="7"/>
      <c r="Y490" s="2"/>
      <c r="Z490" s="2"/>
      <c r="AA490" s="2"/>
    </row>
    <row r="491">
      <c r="A491" s="2"/>
      <c r="B491" s="2"/>
      <c r="C491" s="2"/>
      <c r="D491" s="2"/>
      <c r="E491" s="2"/>
      <c r="F491" s="2"/>
      <c r="G491" s="2"/>
      <c r="H491" s="2"/>
      <c r="I491" s="2"/>
      <c r="J491" s="2"/>
      <c r="K491" s="2"/>
      <c r="L491" s="2"/>
      <c r="M491" s="2"/>
      <c r="N491" s="2"/>
      <c r="O491" s="2"/>
      <c r="P491" s="2"/>
      <c r="Q491" s="2"/>
      <c r="R491" s="2"/>
      <c r="S491" s="7"/>
      <c r="T491" s="2"/>
      <c r="U491" s="10"/>
      <c r="V491" s="2"/>
      <c r="W491" s="7"/>
      <c r="X491" s="7"/>
      <c r="Y491" s="2"/>
      <c r="Z491" s="2"/>
      <c r="AA491" s="2"/>
    </row>
    <row r="492">
      <c r="A492" s="2"/>
      <c r="B492" s="2"/>
      <c r="C492" s="2"/>
      <c r="D492" s="2"/>
      <c r="E492" s="2"/>
      <c r="F492" s="2"/>
      <c r="G492" s="2"/>
      <c r="H492" s="2"/>
      <c r="I492" s="2"/>
      <c r="J492" s="2"/>
      <c r="K492" s="2"/>
      <c r="L492" s="2"/>
      <c r="M492" s="2"/>
      <c r="N492" s="2"/>
      <c r="O492" s="2"/>
      <c r="P492" s="2"/>
      <c r="Q492" s="2"/>
      <c r="R492" s="2"/>
      <c r="S492" s="7"/>
      <c r="T492" s="2"/>
      <c r="U492" s="10"/>
      <c r="V492" s="2"/>
      <c r="W492" s="7"/>
      <c r="X492" s="7"/>
      <c r="Y492" s="2"/>
      <c r="Z492" s="2"/>
      <c r="AA492" s="2"/>
    </row>
    <row r="493">
      <c r="A493" s="2"/>
      <c r="B493" s="2"/>
      <c r="C493" s="2"/>
      <c r="D493" s="2"/>
      <c r="E493" s="2"/>
      <c r="F493" s="2"/>
      <c r="G493" s="2"/>
      <c r="H493" s="2"/>
      <c r="I493" s="2"/>
      <c r="J493" s="2"/>
      <c r="K493" s="2"/>
      <c r="L493" s="2"/>
      <c r="M493" s="2"/>
      <c r="N493" s="2"/>
      <c r="O493" s="2"/>
      <c r="P493" s="2"/>
      <c r="Q493" s="2"/>
      <c r="R493" s="2"/>
      <c r="S493" s="7"/>
      <c r="T493" s="2"/>
      <c r="U493" s="10"/>
      <c r="V493" s="2"/>
      <c r="W493" s="7"/>
      <c r="X493" s="7"/>
      <c r="Y493" s="2"/>
      <c r="Z493" s="2"/>
      <c r="AA493" s="2"/>
    </row>
    <row r="494">
      <c r="A494" s="2"/>
      <c r="B494" s="2"/>
      <c r="C494" s="2"/>
      <c r="D494" s="2"/>
      <c r="E494" s="2"/>
      <c r="F494" s="2"/>
      <c r="G494" s="2"/>
      <c r="H494" s="2"/>
      <c r="I494" s="2"/>
      <c r="J494" s="2"/>
      <c r="K494" s="2"/>
      <c r="L494" s="2"/>
      <c r="M494" s="2"/>
      <c r="N494" s="2"/>
      <c r="O494" s="2"/>
      <c r="P494" s="2"/>
      <c r="Q494" s="2"/>
      <c r="R494" s="2"/>
      <c r="S494" s="7"/>
      <c r="T494" s="2"/>
      <c r="U494" s="10"/>
      <c r="V494" s="2"/>
      <c r="W494" s="7"/>
      <c r="X494" s="7"/>
      <c r="Y494" s="2"/>
      <c r="Z494" s="2"/>
      <c r="AA494" s="2"/>
    </row>
    <row r="495">
      <c r="A495" s="2"/>
      <c r="B495" s="2"/>
      <c r="C495" s="2"/>
      <c r="D495" s="2"/>
      <c r="E495" s="2"/>
      <c r="F495" s="2"/>
      <c r="G495" s="2"/>
      <c r="H495" s="2"/>
      <c r="I495" s="2"/>
      <c r="J495" s="2"/>
      <c r="K495" s="2"/>
      <c r="L495" s="2"/>
      <c r="M495" s="2"/>
      <c r="N495" s="2"/>
      <c r="O495" s="2"/>
      <c r="P495" s="2"/>
      <c r="Q495" s="2"/>
      <c r="R495" s="2"/>
      <c r="S495" s="7"/>
      <c r="T495" s="2"/>
      <c r="U495" s="10"/>
      <c r="V495" s="2"/>
      <c r="W495" s="7"/>
      <c r="X495" s="7"/>
      <c r="Y495" s="2"/>
      <c r="Z495" s="2"/>
      <c r="AA495" s="2"/>
    </row>
    <row r="496">
      <c r="A496" s="2"/>
      <c r="B496" s="2"/>
      <c r="C496" s="2"/>
      <c r="D496" s="2"/>
      <c r="E496" s="2"/>
      <c r="F496" s="2"/>
      <c r="G496" s="2"/>
      <c r="H496" s="2"/>
      <c r="I496" s="2"/>
      <c r="J496" s="2"/>
      <c r="K496" s="2"/>
      <c r="L496" s="2"/>
      <c r="M496" s="2"/>
      <c r="N496" s="2"/>
      <c r="O496" s="2"/>
      <c r="P496" s="2"/>
      <c r="Q496" s="2"/>
      <c r="R496" s="2"/>
      <c r="S496" s="7"/>
      <c r="T496" s="2"/>
      <c r="U496" s="10"/>
      <c r="V496" s="2"/>
      <c r="W496" s="7"/>
      <c r="X496" s="7"/>
      <c r="Y496" s="2"/>
      <c r="Z496" s="2"/>
      <c r="AA496" s="2"/>
    </row>
    <row r="497">
      <c r="A497" s="2"/>
      <c r="B497" s="2"/>
      <c r="C497" s="2"/>
      <c r="D497" s="2"/>
      <c r="E497" s="2"/>
      <c r="F497" s="2"/>
      <c r="G497" s="2"/>
      <c r="H497" s="2"/>
      <c r="I497" s="2"/>
      <c r="J497" s="2"/>
      <c r="K497" s="2"/>
      <c r="L497" s="2"/>
      <c r="M497" s="2"/>
      <c r="N497" s="2"/>
      <c r="O497" s="2"/>
      <c r="P497" s="2"/>
      <c r="Q497" s="2"/>
      <c r="R497" s="2"/>
      <c r="S497" s="7"/>
      <c r="T497" s="2"/>
      <c r="U497" s="10"/>
      <c r="V497" s="2"/>
      <c r="W497" s="7"/>
      <c r="X497" s="7"/>
      <c r="Y497" s="2"/>
      <c r="Z497" s="2"/>
      <c r="AA497" s="2"/>
    </row>
    <row r="498">
      <c r="A498" s="2"/>
      <c r="B498" s="2"/>
      <c r="C498" s="2"/>
      <c r="D498" s="2"/>
      <c r="E498" s="2"/>
      <c r="F498" s="2"/>
      <c r="G498" s="2"/>
      <c r="H498" s="2"/>
      <c r="I498" s="2"/>
      <c r="J498" s="2"/>
      <c r="K498" s="2"/>
      <c r="L498" s="2"/>
      <c r="M498" s="2"/>
      <c r="N498" s="2"/>
      <c r="O498" s="2"/>
      <c r="P498" s="2"/>
      <c r="Q498" s="2"/>
      <c r="R498" s="2"/>
      <c r="S498" s="7"/>
      <c r="T498" s="2"/>
      <c r="U498" s="10"/>
      <c r="V498" s="2"/>
      <c r="W498" s="7"/>
      <c r="X498" s="7"/>
      <c r="Y498" s="2"/>
      <c r="Z498" s="2"/>
      <c r="AA498" s="2"/>
    </row>
    <row r="499">
      <c r="A499" s="2"/>
      <c r="B499" s="2"/>
      <c r="C499" s="2"/>
      <c r="D499" s="2"/>
      <c r="E499" s="2"/>
      <c r="F499" s="2"/>
      <c r="G499" s="2"/>
      <c r="H499" s="2"/>
      <c r="I499" s="2"/>
      <c r="J499" s="2"/>
      <c r="K499" s="2"/>
      <c r="L499" s="2"/>
      <c r="M499" s="2"/>
      <c r="N499" s="2"/>
      <c r="O499" s="2"/>
      <c r="P499" s="2"/>
      <c r="Q499" s="2"/>
      <c r="R499" s="2"/>
      <c r="S499" s="7"/>
      <c r="T499" s="2"/>
      <c r="U499" s="10"/>
      <c r="V499" s="2"/>
      <c r="W499" s="7"/>
      <c r="X499" s="7"/>
      <c r="Y499" s="2"/>
      <c r="Z499" s="2"/>
      <c r="AA499" s="2"/>
    </row>
    <row r="500">
      <c r="A500" s="2"/>
      <c r="B500" s="2"/>
      <c r="C500" s="2"/>
      <c r="D500" s="2"/>
      <c r="E500" s="2"/>
      <c r="F500" s="2"/>
      <c r="G500" s="2"/>
      <c r="H500" s="2"/>
      <c r="I500" s="2"/>
      <c r="J500" s="2"/>
      <c r="K500" s="2"/>
      <c r="L500" s="2"/>
      <c r="M500" s="2"/>
      <c r="N500" s="2"/>
      <c r="O500" s="2"/>
      <c r="P500" s="2"/>
      <c r="Q500" s="2"/>
      <c r="R500" s="2"/>
      <c r="S500" s="7"/>
      <c r="T500" s="2"/>
      <c r="U500" s="10"/>
      <c r="V500" s="2"/>
      <c r="W500" s="7"/>
      <c r="X500" s="7"/>
      <c r="Y500" s="2"/>
      <c r="Z500" s="2"/>
      <c r="AA500" s="2"/>
    </row>
    <row r="501">
      <c r="A501" s="2"/>
      <c r="B501" s="2"/>
      <c r="C501" s="2"/>
      <c r="D501" s="2"/>
      <c r="E501" s="2"/>
      <c r="F501" s="2"/>
      <c r="G501" s="2"/>
      <c r="H501" s="2"/>
      <c r="I501" s="2"/>
      <c r="J501" s="2"/>
      <c r="K501" s="2"/>
      <c r="L501" s="2"/>
      <c r="M501" s="2"/>
      <c r="N501" s="2"/>
      <c r="O501" s="2"/>
      <c r="P501" s="2"/>
      <c r="Q501" s="2"/>
      <c r="R501" s="2"/>
      <c r="S501" s="7"/>
      <c r="T501" s="2"/>
      <c r="U501" s="10"/>
      <c r="V501" s="2"/>
      <c r="W501" s="7"/>
      <c r="X501" s="7"/>
      <c r="Y501" s="2"/>
      <c r="Z501" s="2"/>
      <c r="AA501" s="2"/>
    </row>
    <row r="502">
      <c r="A502" s="2"/>
      <c r="B502" s="2"/>
      <c r="C502" s="2"/>
      <c r="D502" s="2"/>
      <c r="E502" s="2"/>
      <c r="F502" s="2"/>
      <c r="G502" s="2"/>
      <c r="H502" s="2"/>
      <c r="I502" s="2"/>
      <c r="J502" s="2"/>
      <c r="K502" s="2"/>
      <c r="L502" s="2"/>
      <c r="M502" s="2"/>
      <c r="N502" s="2"/>
      <c r="O502" s="2"/>
      <c r="P502" s="2"/>
      <c r="Q502" s="2"/>
      <c r="R502" s="2"/>
      <c r="S502" s="7"/>
      <c r="T502" s="2"/>
      <c r="U502" s="10"/>
      <c r="V502" s="2"/>
      <c r="W502" s="7"/>
      <c r="X502" s="7"/>
      <c r="Y502" s="2"/>
      <c r="Z502" s="2"/>
      <c r="AA502" s="2"/>
    </row>
    <row r="503">
      <c r="A503" s="2"/>
      <c r="B503" s="2"/>
      <c r="C503" s="2"/>
      <c r="D503" s="2"/>
      <c r="E503" s="2"/>
      <c r="F503" s="2"/>
      <c r="G503" s="2"/>
      <c r="H503" s="2"/>
      <c r="I503" s="2"/>
      <c r="J503" s="2"/>
      <c r="K503" s="2"/>
      <c r="L503" s="2"/>
      <c r="M503" s="2"/>
      <c r="N503" s="2"/>
      <c r="O503" s="2"/>
      <c r="P503" s="2"/>
      <c r="Q503" s="2"/>
      <c r="R503" s="2"/>
      <c r="S503" s="7"/>
      <c r="T503" s="2"/>
      <c r="U503" s="10"/>
      <c r="V503" s="2"/>
      <c r="W503" s="7"/>
      <c r="X503" s="7"/>
      <c r="Y503" s="2"/>
      <c r="Z503" s="2"/>
      <c r="AA503" s="2"/>
    </row>
    <row r="504">
      <c r="A504" s="2"/>
      <c r="B504" s="2"/>
      <c r="C504" s="2"/>
      <c r="D504" s="2"/>
      <c r="E504" s="2"/>
      <c r="F504" s="2"/>
      <c r="G504" s="2"/>
      <c r="H504" s="2"/>
      <c r="I504" s="2"/>
      <c r="J504" s="2"/>
      <c r="K504" s="2"/>
      <c r="L504" s="2"/>
      <c r="M504" s="2"/>
      <c r="N504" s="2"/>
      <c r="O504" s="2"/>
      <c r="P504" s="2"/>
      <c r="Q504" s="2"/>
      <c r="R504" s="2"/>
      <c r="S504" s="7"/>
      <c r="T504" s="2"/>
      <c r="U504" s="10"/>
      <c r="V504" s="2"/>
      <c r="W504" s="7"/>
      <c r="X504" s="7"/>
      <c r="Y504" s="2"/>
      <c r="Z504" s="2"/>
      <c r="AA504" s="2"/>
    </row>
    <row r="505">
      <c r="A505" s="2"/>
      <c r="B505" s="2"/>
      <c r="C505" s="2"/>
      <c r="D505" s="2"/>
      <c r="E505" s="2"/>
      <c r="F505" s="2"/>
      <c r="G505" s="2"/>
      <c r="H505" s="2"/>
      <c r="I505" s="2"/>
      <c r="J505" s="2"/>
      <c r="K505" s="2"/>
      <c r="L505" s="2"/>
      <c r="M505" s="2"/>
      <c r="N505" s="2"/>
      <c r="O505" s="2"/>
      <c r="P505" s="2"/>
      <c r="Q505" s="2"/>
      <c r="R505" s="2"/>
      <c r="S505" s="7"/>
      <c r="T505" s="2"/>
      <c r="U505" s="10"/>
      <c r="V505" s="2"/>
      <c r="W505" s="7"/>
      <c r="X505" s="7"/>
      <c r="Y505" s="2"/>
      <c r="Z505" s="2"/>
      <c r="AA505" s="2"/>
    </row>
    <row r="506">
      <c r="A506" s="2"/>
      <c r="B506" s="2"/>
      <c r="C506" s="2"/>
      <c r="D506" s="2"/>
      <c r="E506" s="2"/>
      <c r="F506" s="2"/>
      <c r="G506" s="2"/>
      <c r="H506" s="2"/>
      <c r="I506" s="2"/>
      <c r="J506" s="2"/>
      <c r="K506" s="2"/>
      <c r="L506" s="2"/>
      <c r="M506" s="2"/>
      <c r="N506" s="2"/>
      <c r="O506" s="2"/>
      <c r="P506" s="2"/>
      <c r="Q506" s="2"/>
      <c r="R506" s="2"/>
      <c r="S506" s="7"/>
      <c r="T506" s="2"/>
      <c r="U506" s="10"/>
      <c r="V506" s="2"/>
      <c r="W506" s="7"/>
      <c r="X506" s="7"/>
      <c r="Y506" s="2"/>
      <c r="Z506" s="2"/>
      <c r="AA506" s="2"/>
    </row>
    <row r="507">
      <c r="A507" s="2"/>
      <c r="B507" s="2"/>
      <c r="C507" s="2"/>
      <c r="D507" s="2"/>
      <c r="E507" s="2"/>
      <c r="F507" s="2"/>
      <c r="G507" s="2"/>
      <c r="H507" s="2"/>
      <c r="I507" s="2"/>
      <c r="J507" s="2"/>
      <c r="K507" s="2"/>
      <c r="L507" s="2"/>
      <c r="M507" s="2"/>
      <c r="N507" s="2"/>
      <c r="O507" s="2"/>
      <c r="P507" s="2"/>
      <c r="Q507" s="2"/>
      <c r="R507" s="2"/>
      <c r="S507" s="7"/>
      <c r="T507" s="2"/>
      <c r="U507" s="10"/>
      <c r="V507" s="2"/>
      <c r="W507" s="7"/>
      <c r="X507" s="7"/>
      <c r="Y507" s="2"/>
      <c r="Z507" s="2"/>
      <c r="AA507" s="2"/>
    </row>
    <row r="508">
      <c r="A508" s="2"/>
      <c r="B508" s="2"/>
      <c r="C508" s="2"/>
      <c r="D508" s="2"/>
      <c r="E508" s="2"/>
      <c r="F508" s="2"/>
      <c r="G508" s="2"/>
      <c r="H508" s="2"/>
      <c r="I508" s="2"/>
      <c r="J508" s="2"/>
      <c r="K508" s="2"/>
      <c r="L508" s="2"/>
      <c r="M508" s="2"/>
      <c r="N508" s="2"/>
      <c r="O508" s="2"/>
      <c r="P508" s="2"/>
      <c r="Q508" s="2"/>
      <c r="R508" s="2"/>
      <c r="S508" s="7"/>
      <c r="T508" s="2"/>
      <c r="U508" s="10"/>
      <c r="V508" s="2"/>
      <c r="W508" s="7"/>
      <c r="X508" s="7"/>
      <c r="Y508" s="2"/>
      <c r="Z508" s="2"/>
      <c r="AA508" s="2"/>
    </row>
    <row r="509">
      <c r="A509" s="2"/>
      <c r="B509" s="2"/>
      <c r="C509" s="2"/>
      <c r="D509" s="2"/>
      <c r="E509" s="2"/>
      <c r="F509" s="2"/>
      <c r="G509" s="2"/>
      <c r="H509" s="2"/>
      <c r="I509" s="2"/>
      <c r="J509" s="2"/>
      <c r="K509" s="2"/>
      <c r="L509" s="2"/>
      <c r="M509" s="2"/>
      <c r="N509" s="2"/>
      <c r="O509" s="2"/>
      <c r="P509" s="2"/>
      <c r="Q509" s="2"/>
      <c r="R509" s="2"/>
      <c r="S509" s="7"/>
      <c r="T509" s="2"/>
      <c r="U509" s="10"/>
      <c r="V509" s="2"/>
      <c r="W509" s="7"/>
      <c r="X509" s="7"/>
      <c r="Y509" s="2"/>
      <c r="Z509" s="2"/>
      <c r="AA509" s="2"/>
    </row>
    <row r="510">
      <c r="A510" s="2"/>
      <c r="B510" s="2"/>
      <c r="C510" s="2"/>
      <c r="D510" s="2"/>
      <c r="E510" s="2"/>
      <c r="F510" s="2"/>
      <c r="G510" s="2"/>
      <c r="H510" s="2"/>
      <c r="I510" s="2"/>
      <c r="J510" s="2"/>
      <c r="K510" s="2"/>
      <c r="L510" s="2"/>
      <c r="M510" s="2"/>
      <c r="N510" s="2"/>
      <c r="O510" s="2"/>
      <c r="P510" s="2"/>
      <c r="Q510" s="2"/>
      <c r="R510" s="2"/>
      <c r="S510" s="7"/>
      <c r="T510" s="2"/>
      <c r="U510" s="10"/>
      <c r="V510" s="2"/>
      <c r="W510" s="7"/>
      <c r="X510" s="7"/>
      <c r="Y510" s="2"/>
      <c r="Z510" s="2"/>
      <c r="AA510" s="2"/>
    </row>
    <row r="511">
      <c r="A511" s="2"/>
      <c r="B511" s="2"/>
      <c r="C511" s="2"/>
      <c r="D511" s="2"/>
      <c r="E511" s="2"/>
      <c r="F511" s="2"/>
      <c r="G511" s="2"/>
      <c r="H511" s="2"/>
      <c r="I511" s="2"/>
      <c r="J511" s="2"/>
      <c r="K511" s="2"/>
      <c r="L511" s="2"/>
      <c r="M511" s="2"/>
      <c r="N511" s="2"/>
      <c r="O511" s="2"/>
      <c r="P511" s="2"/>
      <c r="Q511" s="2"/>
      <c r="R511" s="2"/>
      <c r="S511" s="7"/>
      <c r="T511" s="2"/>
      <c r="U511" s="10"/>
      <c r="V511" s="2"/>
      <c r="W511" s="7"/>
      <c r="X511" s="7"/>
      <c r="Y511" s="2"/>
      <c r="Z511" s="2"/>
      <c r="AA511" s="2"/>
    </row>
    <row r="512">
      <c r="A512" s="2"/>
      <c r="B512" s="2"/>
      <c r="C512" s="2"/>
      <c r="D512" s="2"/>
      <c r="E512" s="2"/>
      <c r="F512" s="2"/>
      <c r="G512" s="2"/>
      <c r="H512" s="2"/>
      <c r="I512" s="2"/>
      <c r="J512" s="2"/>
      <c r="K512" s="2"/>
      <c r="L512" s="2"/>
      <c r="M512" s="2"/>
      <c r="N512" s="2"/>
      <c r="O512" s="2"/>
      <c r="P512" s="2"/>
      <c r="Q512" s="2"/>
      <c r="R512" s="2"/>
      <c r="S512" s="7"/>
      <c r="T512" s="2"/>
      <c r="U512" s="10"/>
      <c r="V512" s="2"/>
      <c r="W512" s="7"/>
      <c r="X512" s="7"/>
      <c r="Y512" s="2"/>
      <c r="Z512" s="2"/>
      <c r="AA512" s="2"/>
    </row>
    <row r="513">
      <c r="A513" s="2"/>
      <c r="B513" s="2"/>
      <c r="C513" s="2"/>
      <c r="D513" s="2"/>
      <c r="E513" s="2"/>
      <c r="F513" s="2"/>
      <c r="G513" s="2"/>
      <c r="H513" s="2"/>
      <c r="I513" s="2"/>
      <c r="J513" s="2"/>
      <c r="K513" s="2"/>
      <c r="L513" s="2"/>
      <c r="M513" s="2"/>
      <c r="N513" s="2"/>
      <c r="O513" s="2"/>
      <c r="P513" s="2"/>
      <c r="Q513" s="2"/>
      <c r="R513" s="2"/>
      <c r="S513" s="7"/>
      <c r="T513" s="2"/>
      <c r="U513" s="10"/>
      <c r="V513" s="2"/>
      <c r="W513" s="7"/>
      <c r="X513" s="7"/>
      <c r="Y513" s="2"/>
      <c r="Z513" s="2"/>
      <c r="AA513" s="2"/>
    </row>
    <row r="514">
      <c r="A514" s="2"/>
      <c r="B514" s="2"/>
      <c r="C514" s="2"/>
      <c r="D514" s="2"/>
      <c r="E514" s="2"/>
      <c r="F514" s="2"/>
      <c r="G514" s="2"/>
      <c r="H514" s="2"/>
      <c r="I514" s="2"/>
      <c r="J514" s="2"/>
      <c r="K514" s="2"/>
      <c r="L514" s="2"/>
      <c r="M514" s="2"/>
      <c r="N514" s="2"/>
      <c r="O514" s="2"/>
      <c r="P514" s="2"/>
      <c r="Q514" s="2"/>
      <c r="R514" s="2"/>
      <c r="S514" s="7"/>
      <c r="T514" s="2"/>
      <c r="U514" s="10"/>
      <c r="V514" s="2"/>
      <c r="W514" s="7"/>
      <c r="X514" s="7"/>
      <c r="Y514" s="2"/>
      <c r="Z514" s="2"/>
      <c r="AA514" s="2"/>
    </row>
    <row r="515">
      <c r="A515" s="2"/>
      <c r="B515" s="2"/>
      <c r="C515" s="2"/>
      <c r="D515" s="2"/>
      <c r="E515" s="2"/>
      <c r="F515" s="2"/>
      <c r="G515" s="2"/>
      <c r="H515" s="2"/>
      <c r="I515" s="2"/>
      <c r="J515" s="2"/>
      <c r="K515" s="2"/>
      <c r="L515" s="2"/>
      <c r="M515" s="2"/>
      <c r="N515" s="2"/>
      <c r="O515" s="2"/>
      <c r="P515" s="2"/>
      <c r="Q515" s="2"/>
      <c r="R515" s="2"/>
      <c r="S515" s="7"/>
      <c r="T515" s="2"/>
      <c r="U515" s="10"/>
      <c r="V515" s="2"/>
      <c r="W515" s="7"/>
      <c r="X515" s="7"/>
      <c r="Y515" s="2"/>
      <c r="Z515" s="2"/>
      <c r="AA515" s="2"/>
    </row>
    <row r="516">
      <c r="A516" s="2"/>
      <c r="B516" s="2"/>
      <c r="C516" s="2"/>
      <c r="D516" s="2"/>
      <c r="E516" s="2"/>
      <c r="F516" s="2"/>
      <c r="G516" s="2"/>
      <c r="H516" s="2"/>
      <c r="I516" s="2"/>
      <c r="J516" s="2"/>
      <c r="K516" s="2"/>
      <c r="L516" s="2"/>
      <c r="M516" s="2"/>
      <c r="N516" s="2"/>
      <c r="O516" s="2"/>
      <c r="P516" s="2"/>
      <c r="Q516" s="2"/>
      <c r="R516" s="2"/>
      <c r="S516" s="7"/>
      <c r="T516" s="2"/>
      <c r="U516" s="10"/>
      <c r="V516" s="2"/>
      <c r="W516" s="7"/>
      <c r="X516" s="7"/>
      <c r="Y516" s="2"/>
      <c r="Z516" s="2"/>
      <c r="AA516" s="2"/>
    </row>
    <row r="517">
      <c r="A517" s="2"/>
      <c r="B517" s="2"/>
      <c r="C517" s="2"/>
      <c r="D517" s="2"/>
      <c r="E517" s="2"/>
      <c r="F517" s="2"/>
      <c r="G517" s="2"/>
      <c r="H517" s="2"/>
      <c r="I517" s="2"/>
      <c r="J517" s="2"/>
      <c r="K517" s="2"/>
      <c r="L517" s="2"/>
      <c r="M517" s="2"/>
      <c r="N517" s="2"/>
      <c r="O517" s="2"/>
      <c r="P517" s="2"/>
      <c r="Q517" s="2"/>
      <c r="R517" s="2"/>
      <c r="S517" s="7"/>
      <c r="T517" s="2"/>
      <c r="U517" s="10"/>
      <c r="V517" s="2"/>
      <c r="W517" s="7"/>
      <c r="X517" s="7"/>
      <c r="Y517" s="2"/>
      <c r="Z517" s="2"/>
      <c r="AA517" s="2"/>
    </row>
    <row r="518">
      <c r="A518" s="2"/>
      <c r="B518" s="2"/>
      <c r="C518" s="2"/>
      <c r="D518" s="2"/>
      <c r="E518" s="2"/>
      <c r="F518" s="2"/>
      <c r="G518" s="2"/>
      <c r="H518" s="2"/>
      <c r="I518" s="2"/>
      <c r="J518" s="2"/>
      <c r="K518" s="2"/>
      <c r="L518" s="2"/>
      <c r="M518" s="2"/>
      <c r="N518" s="2"/>
      <c r="O518" s="2"/>
      <c r="P518" s="2"/>
      <c r="Q518" s="2"/>
      <c r="R518" s="2"/>
      <c r="S518" s="7"/>
      <c r="T518" s="2"/>
      <c r="U518" s="10"/>
      <c r="V518" s="2"/>
      <c r="W518" s="7"/>
      <c r="X518" s="7"/>
      <c r="Y518" s="2"/>
      <c r="Z518" s="2"/>
      <c r="AA518" s="2"/>
    </row>
    <row r="519">
      <c r="A519" s="2"/>
      <c r="B519" s="2"/>
      <c r="C519" s="2"/>
      <c r="D519" s="2"/>
      <c r="E519" s="2"/>
      <c r="F519" s="2"/>
      <c r="G519" s="2"/>
      <c r="H519" s="2"/>
      <c r="I519" s="2"/>
      <c r="J519" s="2"/>
      <c r="K519" s="2"/>
      <c r="L519" s="2"/>
      <c r="M519" s="2"/>
      <c r="N519" s="2"/>
      <c r="O519" s="2"/>
      <c r="P519" s="2"/>
      <c r="Q519" s="2"/>
      <c r="R519" s="2"/>
      <c r="S519" s="7"/>
      <c r="T519" s="2"/>
      <c r="U519" s="10"/>
      <c r="V519" s="2"/>
      <c r="W519" s="7"/>
      <c r="X519" s="7"/>
      <c r="Y519" s="2"/>
      <c r="Z519" s="2"/>
      <c r="AA519" s="2"/>
    </row>
    <row r="520">
      <c r="A520" s="2"/>
      <c r="B520" s="2"/>
      <c r="C520" s="2"/>
      <c r="D520" s="2"/>
      <c r="E520" s="2"/>
      <c r="F520" s="2"/>
      <c r="G520" s="2"/>
      <c r="H520" s="2"/>
      <c r="I520" s="2"/>
      <c r="J520" s="2"/>
      <c r="K520" s="2"/>
      <c r="L520" s="2"/>
      <c r="M520" s="2"/>
      <c r="N520" s="2"/>
      <c r="O520" s="2"/>
      <c r="P520" s="2"/>
      <c r="Q520" s="2"/>
      <c r="R520" s="2"/>
      <c r="S520" s="7"/>
      <c r="T520" s="2"/>
      <c r="U520" s="10"/>
      <c r="V520" s="2"/>
      <c r="W520" s="7"/>
      <c r="X520" s="7"/>
      <c r="Y520" s="2"/>
      <c r="Z520" s="2"/>
      <c r="AA520" s="2"/>
    </row>
    <row r="521">
      <c r="A521" s="2"/>
      <c r="B521" s="2"/>
      <c r="C521" s="2"/>
      <c r="D521" s="2"/>
      <c r="E521" s="2"/>
      <c r="F521" s="2"/>
      <c r="G521" s="2"/>
      <c r="H521" s="2"/>
      <c r="I521" s="2"/>
      <c r="J521" s="2"/>
      <c r="K521" s="2"/>
      <c r="L521" s="2"/>
      <c r="M521" s="2"/>
      <c r="N521" s="2"/>
      <c r="O521" s="2"/>
      <c r="P521" s="2"/>
      <c r="Q521" s="2"/>
      <c r="R521" s="2"/>
      <c r="S521" s="7"/>
      <c r="T521" s="2"/>
      <c r="U521" s="10"/>
      <c r="V521" s="2"/>
      <c r="W521" s="7"/>
      <c r="X521" s="7"/>
      <c r="Y521" s="2"/>
      <c r="Z521" s="2"/>
      <c r="AA521" s="2"/>
    </row>
    <row r="522">
      <c r="A522" s="2"/>
      <c r="B522" s="2"/>
      <c r="C522" s="2"/>
      <c r="D522" s="2"/>
      <c r="E522" s="2"/>
      <c r="F522" s="2"/>
      <c r="G522" s="2"/>
      <c r="H522" s="2"/>
      <c r="I522" s="2"/>
      <c r="J522" s="2"/>
      <c r="K522" s="2"/>
      <c r="L522" s="2"/>
      <c r="M522" s="2"/>
      <c r="N522" s="2"/>
      <c r="O522" s="2"/>
      <c r="P522" s="2"/>
      <c r="Q522" s="2"/>
      <c r="R522" s="2"/>
      <c r="S522" s="7"/>
      <c r="T522" s="2"/>
      <c r="U522" s="10"/>
      <c r="V522" s="2"/>
      <c r="W522" s="7"/>
      <c r="X522" s="7"/>
      <c r="Y522" s="2"/>
      <c r="Z522" s="2"/>
      <c r="AA522" s="2"/>
    </row>
    <row r="523">
      <c r="A523" s="2"/>
      <c r="B523" s="2"/>
      <c r="C523" s="2"/>
      <c r="D523" s="2"/>
      <c r="E523" s="2"/>
      <c r="F523" s="2"/>
      <c r="G523" s="2"/>
      <c r="H523" s="2"/>
      <c r="I523" s="2"/>
      <c r="J523" s="2"/>
      <c r="K523" s="2"/>
      <c r="L523" s="2"/>
      <c r="M523" s="2"/>
      <c r="N523" s="2"/>
      <c r="O523" s="2"/>
      <c r="P523" s="2"/>
      <c r="Q523" s="2"/>
      <c r="R523" s="2"/>
      <c r="S523" s="7"/>
      <c r="T523" s="2"/>
      <c r="U523" s="10"/>
      <c r="V523" s="2"/>
      <c r="W523" s="7"/>
      <c r="X523" s="7"/>
      <c r="Y523" s="2"/>
      <c r="Z523" s="2"/>
      <c r="AA523" s="2"/>
    </row>
    <row r="524">
      <c r="A524" s="2"/>
      <c r="B524" s="2"/>
      <c r="C524" s="2"/>
      <c r="D524" s="2"/>
      <c r="E524" s="2"/>
      <c r="F524" s="2"/>
      <c r="G524" s="2"/>
      <c r="H524" s="2"/>
      <c r="I524" s="2"/>
      <c r="J524" s="2"/>
      <c r="K524" s="2"/>
      <c r="L524" s="2"/>
      <c r="M524" s="2"/>
      <c r="N524" s="2"/>
      <c r="O524" s="2"/>
      <c r="P524" s="2"/>
      <c r="Q524" s="2"/>
      <c r="R524" s="2"/>
      <c r="S524" s="7"/>
      <c r="T524" s="2"/>
      <c r="U524" s="10"/>
      <c r="V524" s="2"/>
      <c r="W524" s="7"/>
      <c r="X524" s="7"/>
      <c r="Y524" s="2"/>
      <c r="Z524" s="2"/>
      <c r="AA524" s="2"/>
    </row>
    <row r="525">
      <c r="A525" s="2"/>
      <c r="B525" s="2"/>
      <c r="C525" s="2"/>
      <c r="D525" s="2"/>
      <c r="E525" s="2"/>
      <c r="F525" s="2"/>
      <c r="G525" s="2"/>
      <c r="H525" s="2"/>
      <c r="I525" s="2"/>
      <c r="J525" s="2"/>
      <c r="K525" s="2"/>
      <c r="L525" s="2"/>
      <c r="M525" s="2"/>
      <c r="N525" s="2"/>
      <c r="O525" s="2"/>
      <c r="P525" s="2"/>
      <c r="Q525" s="2"/>
      <c r="R525" s="2"/>
      <c r="S525" s="7"/>
      <c r="T525" s="2"/>
      <c r="U525" s="10"/>
      <c r="V525" s="2"/>
      <c r="W525" s="7"/>
      <c r="X525" s="7"/>
      <c r="Y525" s="2"/>
      <c r="Z525" s="2"/>
      <c r="AA525" s="2"/>
    </row>
    <row r="526">
      <c r="A526" s="2"/>
      <c r="B526" s="2"/>
      <c r="C526" s="2"/>
      <c r="D526" s="2"/>
      <c r="E526" s="2"/>
      <c r="F526" s="2"/>
      <c r="G526" s="2"/>
      <c r="H526" s="2"/>
      <c r="I526" s="2"/>
      <c r="J526" s="2"/>
      <c r="K526" s="2"/>
      <c r="L526" s="2"/>
      <c r="M526" s="2"/>
      <c r="N526" s="2"/>
      <c r="O526" s="2"/>
      <c r="P526" s="2"/>
      <c r="Q526" s="2"/>
      <c r="R526" s="2"/>
      <c r="S526" s="7"/>
      <c r="T526" s="2"/>
      <c r="U526" s="10"/>
      <c r="V526" s="2"/>
      <c r="W526" s="7"/>
      <c r="X526" s="7"/>
      <c r="Y526" s="2"/>
      <c r="Z526" s="2"/>
      <c r="AA526" s="2"/>
    </row>
    <row r="527">
      <c r="A527" s="2"/>
      <c r="B527" s="2"/>
      <c r="C527" s="2"/>
      <c r="D527" s="2"/>
      <c r="E527" s="2"/>
      <c r="F527" s="2"/>
      <c r="G527" s="2"/>
      <c r="H527" s="2"/>
      <c r="I527" s="2"/>
      <c r="J527" s="2"/>
      <c r="K527" s="2"/>
      <c r="L527" s="2"/>
      <c r="M527" s="2"/>
      <c r="N527" s="2"/>
      <c r="O527" s="2"/>
      <c r="P527" s="2"/>
      <c r="Q527" s="2"/>
      <c r="R527" s="2"/>
      <c r="S527" s="7"/>
      <c r="T527" s="2"/>
      <c r="U527" s="10"/>
      <c r="V527" s="2"/>
      <c r="W527" s="7"/>
      <c r="X527" s="7"/>
      <c r="Y527" s="2"/>
      <c r="Z527" s="2"/>
      <c r="AA527" s="2"/>
    </row>
    <row r="528">
      <c r="A528" s="2"/>
      <c r="B528" s="2"/>
      <c r="C528" s="2"/>
      <c r="D528" s="2"/>
      <c r="E528" s="2"/>
      <c r="F528" s="2"/>
      <c r="G528" s="2"/>
      <c r="H528" s="2"/>
      <c r="I528" s="2"/>
      <c r="J528" s="2"/>
      <c r="K528" s="2"/>
      <c r="L528" s="2"/>
      <c r="M528" s="2"/>
      <c r="N528" s="2"/>
      <c r="O528" s="2"/>
      <c r="P528" s="2"/>
      <c r="Q528" s="2"/>
      <c r="R528" s="2"/>
      <c r="S528" s="7"/>
      <c r="T528" s="2"/>
      <c r="U528" s="10"/>
      <c r="V528" s="2"/>
      <c r="W528" s="7"/>
      <c r="X528" s="7"/>
      <c r="Y528" s="2"/>
      <c r="Z528" s="2"/>
      <c r="AA528" s="2"/>
    </row>
    <row r="529">
      <c r="A529" s="2"/>
      <c r="B529" s="2"/>
      <c r="C529" s="2"/>
      <c r="D529" s="2"/>
      <c r="E529" s="2"/>
      <c r="F529" s="2"/>
      <c r="G529" s="2"/>
      <c r="H529" s="2"/>
      <c r="I529" s="2"/>
      <c r="J529" s="2"/>
      <c r="K529" s="2"/>
      <c r="L529" s="2"/>
      <c r="M529" s="2"/>
      <c r="N529" s="2"/>
      <c r="O529" s="2"/>
      <c r="P529" s="2"/>
      <c r="Q529" s="2"/>
      <c r="R529" s="2"/>
      <c r="S529" s="7"/>
      <c r="T529" s="2"/>
      <c r="U529" s="10"/>
      <c r="V529" s="2"/>
      <c r="W529" s="7"/>
      <c r="X529" s="7"/>
      <c r="Y529" s="2"/>
      <c r="Z529" s="2"/>
      <c r="AA529" s="2"/>
    </row>
    <row r="530">
      <c r="A530" s="2"/>
      <c r="B530" s="2"/>
      <c r="C530" s="2"/>
      <c r="D530" s="2"/>
      <c r="E530" s="2"/>
      <c r="F530" s="2"/>
      <c r="G530" s="2"/>
      <c r="H530" s="2"/>
      <c r="I530" s="2"/>
      <c r="J530" s="2"/>
      <c r="K530" s="2"/>
      <c r="L530" s="2"/>
      <c r="M530" s="2"/>
      <c r="N530" s="2"/>
      <c r="O530" s="2"/>
      <c r="P530" s="2"/>
      <c r="Q530" s="2"/>
      <c r="R530" s="2"/>
      <c r="S530" s="7"/>
      <c r="T530" s="2"/>
      <c r="U530" s="10"/>
      <c r="V530" s="2"/>
      <c r="W530" s="7"/>
      <c r="X530" s="7"/>
      <c r="Y530" s="2"/>
      <c r="Z530" s="2"/>
      <c r="AA530" s="2"/>
    </row>
    <row r="531">
      <c r="A531" s="2"/>
      <c r="B531" s="2"/>
      <c r="C531" s="2"/>
      <c r="D531" s="2"/>
      <c r="E531" s="2"/>
      <c r="F531" s="2"/>
      <c r="G531" s="2"/>
      <c r="H531" s="2"/>
      <c r="I531" s="2"/>
      <c r="J531" s="2"/>
      <c r="K531" s="2"/>
      <c r="L531" s="2"/>
      <c r="M531" s="2"/>
      <c r="N531" s="2"/>
      <c r="O531" s="2"/>
      <c r="P531" s="2"/>
      <c r="Q531" s="2"/>
      <c r="R531" s="2"/>
      <c r="S531" s="7"/>
      <c r="T531" s="2"/>
      <c r="U531" s="10"/>
      <c r="V531" s="2"/>
      <c r="W531" s="7"/>
      <c r="X531" s="7"/>
      <c r="Y531" s="2"/>
      <c r="Z531" s="2"/>
      <c r="AA531" s="2"/>
    </row>
    <row r="532">
      <c r="A532" s="2"/>
      <c r="B532" s="2"/>
      <c r="C532" s="2"/>
      <c r="D532" s="2"/>
      <c r="E532" s="2"/>
      <c r="F532" s="2"/>
      <c r="G532" s="2"/>
      <c r="H532" s="2"/>
      <c r="I532" s="2"/>
      <c r="J532" s="2"/>
      <c r="K532" s="2"/>
      <c r="L532" s="2"/>
      <c r="M532" s="2"/>
      <c r="N532" s="2"/>
      <c r="O532" s="2"/>
      <c r="P532" s="2"/>
      <c r="Q532" s="2"/>
      <c r="R532" s="2"/>
      <c r="S532" s="7"/>
      <c r="T532" s="2"/>
      <c r="U532" s="10"/>
      <c r="V532" s="2"/>
      <c r="W532" s="7"/>
      <c r="X532" s="7"/>
      <c r="Y532" s="2"/>
      <c r="Z532" s="2"/>
      <c r="AA532" s="2"/>
    </row>
    <row r="533">
      <c r="A533" s="2"/>
      <c r="B533" s="2"/>
      <c r="C533" s="2"/>
      <c r="D533" s="2"/>
      <c r="E533" s="2"/>
      <c r="F533" s="2"/>
      <c r="G533" s="2"/>
      <c r="H533" s="2"/>
      <c r="I533" s="2"/>
      <c r="J533" s="2"/>
      <c r="K533" s="2"/>
      <c r="L533" s="2"/>
      <c r="M533" s="2"/>
      <c r="N533" s="2"/>
      <c r="O533" s="2"/>
      <c r="P533" s="2"/>
      <c r="Q533" s="2"/>
      <c r="R533" s="2"/>
      <c r="S533" s="7"/>
      <c r="T533" s="2"/>
      <c r="U533" s="10"/>
      <c r="V533" s="2"/>
      <c r="W533" s="7"/>
      <c r="X533" s="7"/>
      <c r="Y533" s="2"/>
      <c r="Z533" s="2"/>
      <c r="AA533" s="2"/>
    </row>
    <row r="534">
      <c r="A534" s="2"/>
      <c r="B534" s="2"/>
      <c r="C534" s="2"/>
      <c r="D534" s="2"/>
      <c r="E534" s="2"/>
      <c r="F534" s="2"/>
      <c r="G534" s="2"/>
      <c r="H534" s="2"/>
      <c r="I534" s="2"/>
      <c r="J534" s="2"/>
      <c r="K534" s="2"/>
      <c r="L534" s="2"/>
      <c r="M534" s="2"/>
      <c r="N534" s="2"/>
      <c r="O534" s="2"/>
      <c r="P534" s="2"/>
      <c r="Q534" s="2"/>
      <c r="R534" s="2"/>
      <c r="S534" s="7"/>
      <c r="T534" s="2"/>
      <c r="U534" s="10"/>
      <c r="V534" s="2"/>
      <c r="W534" s="7"/>
      <c r="X534" s="7"/>
      <c r="Y534" s="2"/>
      <c r="Z534" s="2"/>
      <c r="AA534" s="2"/>
    </row>
    <row r="535">
      <c r="A535" s="2"/>
      <c r="B535" s="2"/>
      <c r="C535" s="2"/>
      <c r="D535" s="2"/>
      <c r="E535" s="2"/>
      <c r="F535" s="2"/>
      <c r="G535" s="2"/>
      <c r="H535" s="2"/>
      <c r="I535" s="2"/>
      <c r="J535" s="2"/>
      <c r="K535" s="2"/>
      <c r="L535" s="2"/>
      <c r="M535" s="2"/>
      <c r="N535" s="2"/>
      <c r="O535" s="2"/>
      <c r="P535" s="2"/>
      <c r="Q535" s="2"/>
      <c r="R535" s="2"/>
      <c r="S535" s="7"/>
      <c r="T535" s="2"/>
      <c r="U535" s="10"/>
      <c r="V535" s="2"/>
      <c r="W535" s="7"/>
      <c r="X535" s="7"/>
      <c r="Y535" s="2"/>
      <c r="Z535" s="2"/>
      <c r="AA535" s="2"/>
    </row>
    <row r="536">
      <c r="A536" s="2"/>
      <c r="B536" s="2"/>
      <c r="C536" s="2"/>
      <c r="D536" s="2"/>
      <c r="E536" s="2"/>
      <c r="F536" s="2"/>
      <c r="G536" s="2"/>
      <c r="H536" s="2"/>
      <c r="I536" s="2"/>
      <c r="J536" s="2"/>
      <c r="K536" s="2"/>
      <c r="L536" s="2"/>
      <c r="M536" s="2"/>
      <c r="N536" s="2"/>
      <c r="O536" s="2"/>
      <c r="P536" s="2"/>
      <c r="Q536" s="2"/>
      <c r="R536" s="2"/>
      <c r="S536" s="7"/>
      <c r="T536" s="2"/>
      <c r="U536" s="10"/>
      <c r="V536" s="2"/>
      <c r="W536" s="7"/>
      <c r="X536" s="7"/>
      <c r="Y536" s="2"/>
      <c r="Z536" s="2"/>
      <c r="AA536" s="2"/>
    </row>
    <row r="537">
      <c r="A537" s="2"/>
      <c r="B537" s="2"/>
      <c r="C537" s="2"/>
      <c r="D537" s="2"/>
      <c r="E537" s="2"/>
      <c r="F537" s="2"/>
      <c r="G537" s="2"/>
      <c r="H537" s="2"/>
      <c r="I537" s="2"/>
      <c r="J537" s="2"/>
      <c r="K537" s="2"/>
      <c r="L537" s="2"/>
      <c r="M537" s="2"/>
      <c r="N537" s="2"/>
      <c r="O537" s="2"/>
      <c r="P537" s="2"/>
      <c r="Q537" s="2"/>
      <c r="R537" s="2"/>
      <c r="S537" s="7"/>
      <c r="T537" s="2"/>
      <c r="U537" s="10"/>
      <c r="V537" s="2"/>
      <c r="W537" s="7"/>
      <c r="X537" s="7"/>
      <c r="Y537" s="2"/>
      <c r="Z537" s="2"/>
      <c r="AA537" s="2"/>
    </row>
    <row r="538">
      <c r="A538" s="2"/>
      <c r="B538" s="2"/>
      <c r="C538" s="2"/>
      <c r="D538" s="2"/>
      <c r="E538" s="2"/>
      <c r="F538" s="2"/>
      <c r="G538" s="2"/>
      <c r="H538" s="2"/>
      <c r="I538" s="2"/>
      <c r="J538" s="2"/>
      <c r="K538" s="2"/>
      <c r="L538" s="2"/>
      <c r="M538" s="2"/>
      <c r="N538" s="2"/>
      <c r="O538" s="2"/>
      <c r="P538" s="2"/>
      <c r="Q538" s="2"/>
      <c r="R538" s="2"/>
      <c r="S538" s="7"/>
      <c r="T538" s="2"/>
      <c r="U538" s="10"/>
      <c r="V538" s="2"/>
      <c r="W538" s="7"/>
      <c r="X538" s="7"/>
      <c r="Y538" s="2"/>
      <c r="Z538" s="2"/>
      <c r="AA538" s="2"/>
    </row>
    <row r="539">
      <c r="A539" s="2"/>
      <c r="B539" s="2"/>
      <c r="C539" s="2"/>
      <c r="D539" s="2"/>
      <c r="E539" s="2"/>
      <c r="F539" s="2"/>
      <c r="G539" s="2"/>
      <c r="H539" s="2"/>
      <c r="I539" s="2"/>
      <c r="J539" s="2"/>
      <c r="K539" s="2"/>
      <c r="L539" s="2"/>
      <c r="M539" s="2"/>
      <c r="N539" s="2"/>
      <c r="O539" s="2"/>
      <c r="P539" s="2"/>
      <c r="Q539" s="2"/>
      <c r="R539" s="2"/>
      <c r="S539" s="7"/>
      <c r="T539" s="2"/>
      <c r="U539" s="10"/>
      <c r="V539" s="2"/>
      <c r="W539" s="7"/>
      <c r="X539" s="7"/>
      <c r="Y539" s="2"/>
      <c r="Z539" s="2"/>
      <c r="AA539" s="2"/>
    </row>
    <row r="540">
      <c r="A540" s="2"/>
      <c r="B540" s="2"/>
      <c r="C540" s="2"/>
      <c r="D540" s="2"/>
      <c r="E540" s="2"/>
      <c r="F540" s="2"/>
      <c r="G540" s="2"/>
      <c r="H540" s="2"/>
      <c r="I540" s="2"/>
      <c r="J540" s="2"/>
      <c r="K540" s="2"/>
      <c r="L540" s="2"/>
      <c r="M540" s="2"/>
      <c r="N540" s="2"/>
      <c r="O540" s="2"/>
      <c r="P540" s="2"/>
      <c r="Q540" s="2"/>
      <c r="R540" s="2"/>
      <c r="S540" s="7"/>
      <c r="T540" s="2"/>
      <c r="U540" s="10"/>
      <c r="V540" s="2"/>
      <c r="W540" s="7"/>
      <c r="X540" s="7"/>
      <c r="Y540" s="2"/>
      <c r="Z540" s="2"/>
      <c r="AA540" s="2"/>
    </row>
    <row r="541">
      <c r="A541" s="2"/>
      <c r="B541" s="2"/>
      <c r="C541" s="2"/>
      <c r="D541" s="2"/>
      <c r="E541" s="2"/>
      <c r="F541" s="2"/>
      <c r="G541" s="2"/>
      <c r="H541" s="2"/>
      <c r="I541" s="2"/>
      <c r="J541" s="2"/>
      <c r="K541" s="2"/>
      <c r="L541" s="2"/>
      <c r="M541" s="2"/>
      <c r="N541" s="2"/>
      <c r="O541" s="2"/>
      <c r="P541" s="2"/>
      <c r="Q541" s="2"/>
      <c r="R541" s="2"/>
      <c r="S541" s="7"/>
      <c r="T541" s="2"/>
      <c r="U541" s="10"/>
      <c r="V541" s="2"/>
      <c r="W541" s="7"/>
      <c r="X541" s="7"/>
      <c r="Y541" s="2"/>
      <c r="Z541" s="2"/>
      <c r="AA541" s="2"/>
    </row>
    <row r="542">
      <c r="A542" s="2"/>
      <c r="B542" s="2"/>
      <c r="C542" s="2"/>
      <c r="D542" s="2"/>
      <c r="E542" s="2"/>
      <c r="F542" s="2"/>
      <c r="G542" s="2"/>
      <c r="H542" s="2"/>
      <c r="I542" s="2"/>
      <c r="J542" s="2"/>
      <c r="K542" s="2"/>
      <c r="L542" s="2"/>
      <c r="M542" s="2"/>
      <c r="N542" s="2"/>
      <c r="O542" s="2"/>
      <c r="P542" s="2"/>
      <c r="Q542" s="2"/>
      <c r="R542" s="2"/>
      <c r="S542" s="7"/>
      <c r="T542" s="2"/>
      <c r="U542" s="10"/>
      <c r="V542" s="2"/>
      <c r="W542" s="7"/>
      <c r="X542" s="7"/>
      <c r="Y542" s="2"/>
      <c r="Z542" s="2"/>
      <c r="AA542" s="2"/>
    </row>
    <row r="543">
      <c r="A543" s="2"/>
      <c r="B543" s="2"/>
      <c r="C543" s="2"/>
      <c r="D543" s="2"/>
      <c r="E543" s="2"/>
      <c r="F543" s="2"/>
      <c r="G543" s="2"/>
      <c r="H543" s="2"/>
      <c r="I543" s="2"/>
      <c r="J543" s="2"/>
      <c r="K543" s="2"/>
      <c r="L543" s="2"/>
      <c r="M543" s="2"/>
      <c r="N543" s="2"/>
      <c r="O543" s="2"/>
      <c r="P543" s="2"/>
      <c r="Q543" s="2"/>
      <c r="R543" s="2"/>
      <c r="S543" s="7"/>
      <c r="T543" s="2"/>
      <c r="U543" s="10"/>
      <c r="V543" s="2"/>
      <c r="W543" s="7"/>
      <c r="X543" s="7"/>
      <c r="Y543" s="2"/>
      <c r="Z543" s="2"/>
      <c r="AA543" s="2"/>
    </row>
    <row r="544">
      <c r="A544" s="2"/>
      <c r="B544" s="2"/>
      <c r="C544" s="2"/>
      <c r="D544" s="2"/>
      <c r="E544" s="2"/>
      <c r="F544" s="2"/>
      <c r="G544" s="2"/>
      <c r="H544" s="2"/>
      <c r="I544" s="2"/>
      <c r="J544" s="2"/>
      <c r="K544" s="2"/>
      <c r="L544" s="2"/>
      <c r="M544" s="2"/>
      <c r="N544" s="2"/>
      <c r="O544" s="2"/>
      <c r="P544" s="2"/>
      <c r="Q544" s="2"/>
      <c r="R544" s="2"/>
      <c r="S544" s="7"/>
      <c r="T544" s="2"/>
      <c r="U544" s="10"/>
      <c r="V544" s="2"/>
      <c r="W544" s="7"/>
      <c r="X544" s="7"/>
      <c r="Y544" s="2"/>
      <c r="Z544" s="2"/>
      <c r="AA544" s="2"/>
    </row>
    <row r="545">
      <c r="A545" s="2"/>
      <c r="B545" s="2"/>
      <c r="C545" s="2"/>
      <c r="D545" s="2"/>
      <c r="E545" s="2"/>
      <c r="F545" s="2"/>
      <c r="G545" s="2"/>
      <c r="H545" s="2"/>
      <c r="I545" s="2"/>
      <c r="J545" s="2"/>
      <c r="K545" s="2"/>
      <c r="L545" s="2"/>
      <c r="M545" s="2"/>
      <c r="N545" s="2"/>
      <c r="O545" s="2"/>
      <c r="P545" s="2"/>
      <c r="Q545" s="2"/>
      <c r="R545" s="2"/>
      <c r="S545" s="7"/>
      <c r="T545" s="2"/>
      <c r="U545" s="10"/>
      <c r="V545" s="2"/>
      <c r="W545" s="7"/>
      <c r="X545" s="7"/>
      <c r="Y545" s="2"/>
      <c r="Z545" s="2"/>
      <c r="AA545" s="2"/>
    </row>
    <row r="546">
      <c r="A546" s="2"/>
      <c r="B546" s="2"/>
      <c r="C546" s="2"/>
      <c r="D546" s="2"/>
      <c r="E546" s="2"/>
      <c r="F546" s="2"/>
      <c r="G546" s="2"/>
      <c r="H546" s="2"/>
      <c r="I546" s="2"/>
      <c r="J546" s="2"/>
      <c r="K546" s="2"/>
      <c r="L546" s="2"/>
      <c r="M546" s="2"/>
      <c r="N546" s="2"/>
      <c r="O546" s="2"/>
      <c r="P546" s="2"/>
      <c r="Q546" s="2"/>
      <c r="R546" s="2"/>
      <c r="S546" s="7"/>
      <c r="T546" s="2"/>
      <c r="U546" s="10"/>
      <c r="V546" s="2"/>
      <c r="W546" s="7"/>
      <c r="X546" s="7"/>
      <c r="Y546" s="2"/>
      <c r="Z546" s="2"/>
      <c r="AA546" s="2"/>
    </row>
    <row r="547">
      <c r="A547" s="2"/>
      <c r="B547" s="2"/>
      <c r="C547" s="2"/>
      <c r="D547" s="2"/>
      <c r="E547" s="2"/>
      <c r="F547" s="2"/>
      <c r="G547" s="2"/>
      <c r="H547" s="2"/>
      <c r="I547" s="2"/>
      <c r="J547" s="2"/>
      <c r="K547" s="2"/>
      <c r="L547" s="2"/>
      <c r="M547" s="2"/>
      <c r="N547" s="2"/>
      <c r="O547" s="2"/>
      <c r="P547" s="2"/>
      <c r="Q547" s="2"/>
      <c r="R547" s="2"/>
      <c r="S547" s="7"/>
      <c r="T547" s="2"/>
      <c r="U547" s="10"/>
      <c r="V547" s="2"/>
      <c r="W547" s="7"/>
      <c r="X547" s="7"/>
      <c r="Y547" s="2"/>
      <c r="Z547" s="2"/>
      <c r="AA547" s="2"/>
    </row>
    <row r="548">
      <c r="A548" s="2"/>
      <c r="B548" s="2"/>
      <c r="C548" s="2"/>
      <c r="D548" s="2"/>
      <c r="E548" s="2"/>
      <c r="F548" s="2"/>
      <c r="G548" s="2"/>
      <c r="H548" s="2"/>
      <c r="I548" s="2"/>
      <c r="J548" s="2"/>
      <c r="K548" s="2"/>
      <c r="L548" s="2"/>
      <c r="M548" s="2"/>
      <c r="N548" s="2"/>
      <c r="O548" s="2"/>
      <c r="P548" s="2"/>
      <c r="Q548" s="2"/>
      <c r="R548" s="2"/>
      <c r="S548" s="7"/>
      <c r="T548" s="2"/>
      <c r="U548" s="10"/>
      <c r="V548" s="2"/>
      <c r="W548" s="7"/>
      <c r="X548" s="7"/>
      <c r="Y548" s="2"/>
      <c r="Z548" s="2"/>
      <c r="AA548" s="2"/>
    </row>
    <row r="549">
      <c r="A549" s="2"/>
      <c r="B549" s="2"/>
      <c r="C549" s="2"/>
      <c r="D549" s="2"/>
      <c r="E549" s="2"/>
      <c r="F549" s="2"/>
      <c r="G549" s="2"/>
      <c r="H549" s="2"/>
      <c r="I549" s="2"/>
      <c r="J549" s="2"/>
      <c r="K549" s="2"/>
      <c r="L549" s="2"/>
      <c r="M549" s="2"/>
      <c r="N549" s="2"/>
      <c r="O549" s="2"/>
      <c r="P549" s="2"/>
      <c r="Q549" s="2"/>
      <c r="R549" s="2"/>
      <c r="S549" s="7"/>
      <c r="T549" s="2"/>
      <c r="U549" s="10"/>
      <c r="V549" s="2"/>
      <c r="W549" s="7"/>
      <c r="X549" s="7"/>
      <c r="Y549" s="2"/>
      <c r="Z549" s="2"/>
      <c r="AA549" s="2"/>
    </row>
    <row r="550">
      <c r="A550" s="2"/>
      <c r="B550" s="2"/>
      <c r="C550" s="2"/>
      <c r="D550" s="2"/>
      <c r="E550" s="2"/>
      <c r="F550" s="2"/>
      <c r="G550" s="2"/>
      <c r="H550" s="2"/>
      <c r="I550" s="2"/>
      <c r="J550" s="2"/>
      <c r="K550" s="2"/>
      <c r="L550" s="2"/>
      <c r="M550" s="2"/>
      <c r="N550" s="2"/>
      <c r="O550" s="2"/>
      <c r="P550" s="2"/>
      <c r="Q550" s="2"/>
      <c r="R550" s="2"/>
      <c r="S550" s="7"/>
      <c r="T550" s="2"/>
      <c r="U550" s="10"/>
      <c r="V550" s="2"/>
      <c r="W550" s="7"/>
      <c r="X550" s="7"/>
      <c r="Y550" s="2"/>
      <c r="Z550" s="2"/>
      <c r="AA550" s="2"/>
    </row>
    <row r="551">
      <c r="A551" s="2"/>
      <c r="B551" s="2"/>
      <c r="C551" s="2"/>
      <c r="D551" s="2"/>
      <c r="E551" s="2"/>
      <c r="F551" s="2"/>
      <c r="G551" s="2"/>
      <c r="H551" s="2"/>
      <c r="I551" s="2"/>
      <c r="J551" s="2"/>
      <c r="K551" s="2"/>
      <c r="L551" s="2"/>
      <c r="M551" s="2"/>
      <c r="N551" s="2"/>
      <c r="O551" s="2"/>
      <c r="P551" s="2"/>
      <c r="Q551" s="2"/>
      <c r="R551" s="2"/>
      <c r="S551" s="7"/>
      <c r="T551" s="2"/>
      <c r="U551" s="10"/>
      <c r="V551" s="2"/>
      <c r="W551" s="7"/>
      <c r="X551" s="7"/>
      <c r="Y551" s="2"/>
      <c r="Z551" s="2"/>
      <c r="AA551" s="2"/>
    </row>
    <row r="552">
      <c r="A552" s="2"/>
      <c r="B552" s="2"/>
      <c r="C552" s="2"/>
      <c r="D552" s="2"/>
      <c r="E552" s="2"/>
      <c r="F552" s="2"/>
      <c r="G552" s="2"/>
      <c r="H552" s="2"/>
      <c r="I552" s="2"/>
      <c r="J552" s="2"/>
      <c r="K552" s="2"/>
      <c r="L552" s="2"/>
      <c r="M552" s="2"/>
      <c r="N552" s="2"/>
      <c r="O552" s="2"/>
      <c r="P552" s="2"/>
      <c r="Q552" s="2"/>
      <c r="R552" s="2"/>
      <c r="S552" s="7"/>
      <c r="T552" s="2"/>
      <c r="U552" s="10"/>
      <c r="V552" s="2"/>
      <c r="W552" s="7"/>
      <c r="X552" s="7"/>
      <c r="Y552" s="2"/>
      <c r="Z552" s="2"/>
      <c r="AA552" s="2"/>
    </row>
    <row r="553">
      <c r="A553" s="2"/>
      <c r="B553" s="2"/>
      <c r="C553" s="2"/>
      <c r="D553" s="2"/>
      <c r="E553" s="2"/>
      <c r="F553" s="2"/>
      <c r="G553" s="2"/>
      <c r="H553" s="2"/>
      <c r="I553" s="2"/>
      <c r="J553" s="2"/>
      <c r="K553" s="2"/>
      <c r="L553" s="2"/>
      <c r="M553" s="2"/>
      <c r="N553" s="2"/>
      <c r="O553" s="2"/>
      <c r="P553" s="2"/>
      <c r="Q553" s="2"/>
      <c r="R553" s="2"/>
      <c r="S553" s="7"/>
      <c r="T553" s="2"/>
      <c r="U553" s="10"/>
      <c r="V553" s="2"/>
      <c r="W553" s="7"/>
      <c r="X553" s="7"/>
      <c r="Y553" s="2"/>
      <c r="Z553" s="2"/>
      <c r="AA553" s="2"/>
    </row>
    <row r="554">
      <c r="A554" s="2"/>
      <c r="B554" s="2"/>
      <c r="C554" s="2"/>
      <c r="D554" s="2"/>
      <c r="E554" s="2"/>
      <c r="F554" s="2"/>
      <c r="G554" s="2"/>
      <c r="H554" s="2"/>
      <c r="I554" s="2"/>
      <c r="J554" s="2"/>
      <c r="K554" s="2"/>
      <c r="L554" s="2"/>
      <c r="M554" s="2"/>
      <c r="N554" s="2"/>
      <c r="O554" s="2"/>
      <c r="P554" s="2"/>
      <c r="Q554" s="2"/>
      <c r="R554" s="2"/>
      <c r="S554" s="7"/>
      <c r="T554" s="2"/>
      <c r="U554" s="10"/>
      <c r="V554" s="2"/>
      <c r="W554" s="7"/>
      <c r="X554" s="7"/>
      <c r="Y554" s="2"/>
      <c r="Z554" s="2"/>
      <c r="AA554" s="2"/>
    </row>
    <row r="555">
      <c r="A555" s="2"/>
      <c r="B555" s="2"/>
      <c r="C555" s="2"/>
      <c r="D555" s="2"/>
      <c r="E555" s="2"/>
      <c r="F555" s="2"/>
      <c r="G555" s="2"/>
      <c r="H555" s="2"/>
      <c r="I555" s="2"/>
      <c r="J555" s="2"/>
      <c r="K555" s="2"/>
      <c r="L555" s="2"/>
      <c r="M555" s="2"/>
      <c r="N555" s="2"/>
      <c r="O555" s="2"/>
      <c r="P555" s="2"/>
      <c r="Q555" s="2"/>
      <c r="R555" s="2"/>
      <c r="S555" s="7"/>
      <c r="T555" s="2"/>
      <c r="U555" s="10"/>
      <c r="V555" s="2"/>
      <c r="W555" s="7"/>
      <c r="X555" s="7"/>
      <c r="Y555" s="2"/>
      <c r="Z555" s="2"/>
      <c r="AA555" s="2"/>
    </row>
    <row r="556">
      <c r="A556" s="2"/>
      <c r="B556" s="2"/>
      <c r="C556" s="2"/>
      <c r="D556" s="2"/>
      <c r="E556" s="2"/>
      <c r="F556" s="2"/>
      <c r="G556" s="2"/>
      <c r="H556" s="2"/>
      <c r="I556" s="2"/>
      <c r="J556" s="2"/>
      <c r="K556" s="2"/>
      <c r="L556" s="2"/>
      <c r="M556" s="2"/>
      <c r="N556" s="2"/>
      <c r="O556" s="2"/>
      <c r="P556" s="2"/>
      <c r="Q556" s="2"/>
      <c r="R556" s="2"/>
      <c r="S556" s="7"/>
      <c r="T556" s="2"/>
      <c r="U556" s="10"/>
      <c r="V556" s="2"/>
      <c r="W556" s="7"/>
      <c r="X556" s="7"/>
      <c r="Y556" s="2"/>
      <c r="Z556" s="2"/>
      <c r="AA556" s="2"/>
    </row>
    <row r="557">
      <c r="A557" s="2"/>
      <c r="B557" s="2"/>
      <c r="C557" s="2"/>
      <c r="D557" s="2"/>
      <c r="E557" s="2"/>
      <c r="F557" s="2"/>
      <c r="G557" s="2"/>
      <c r="H557" s="2"/>
      <c r="I557" s="2"/>
      <c r="J557" s="2"/>
      <c r="K557" s="2"/>
      <c r="L557" s="2"/>
      <c r="M557" s="2"/>
      <c r="N557" s="2"/>
      <c r="O557" s="2"/>
      <c r="P557" s="2"/>
      <c r="Q557" s="2"/>
      <c r="R557" s="2"/>
      <c r="S557" s="7"/>
      <c r="T557" s="2"/>
      <c r="U557" s="10"/>
      <c r="V557" s="2"/>
      <c r="W557" s="7"/>
      <c r="X557" s="7"/>
      <c r="Y557" s="2"/>
      <c r="Z557" s="2"/>
      <c r="AA557" s="2"/>
    </row>
    <row r="558">
      <c r="A558" s="2"/>
      <c r="B558" s="2"/>
      <c r="C558" s="2"/>
      <c r="D558" s="2"/>
      <c r="E558" s="2"/>
      <c r="F558" s="2"/>
      <c r="G558" s="2"/>
      <c r="H558" s="2"/>
      <c r="I558" s="2"/>
      <c r="J558" s="2"/>
      <c r="K558" s="2"/>
      <c r="L558" s="2"/>
      <c r="M558" s="2"/>
      <c r="N558" s="2"/>
      <c r="O558" s="2"/>
      <c r="P558" s="2"/>
      <c r="Q558" s="2"/>
      <c r="R558" s="2"/>
      <c r="S558" s="7"/>
      <c r="T558" s="2"/>
      <c r="U558" s="10"/>
      <c r="V558" s="2"/>
      <c r="W558" s="7"/>
      <c r="X558" s="7"/>
      <c r="Y558" s="2"/>
      <c r="Z558" s="2"/>
      <c r="AA558" s="2"/>
    </row>
    <row r="559">
      <c r="A559" s="2"/>
      <c r="B559" s="2"/>
      <c r="C559" s="2"/>
      <c r="D559" s="2"/>
      <c r="E559" s="2"/>
      <c r="F559" s="2"/>
      <c r="G559" s="2"/>
      <c r="H559" s="2"/>
      <c r="I559" s="2"/>
      <c r="J559" s="2"/>
      <c r="K559" s="2"/>
      <c r="L559" s="2"/>
      <c r="M559" s="2"/>
      <c r="N559" s="2"/>
      <c r="O559" s="2"/>
      <c r="P559" s="2"/>
      <c r="Q559" s="2"/>
      <c r="R559" s="2"/>
      <c r="S559" s="7"/>
      <c r="T559" s="2"/>
      <c r="U559" s="10"/>
      <c r="V559" s="2"/>
      <c r="W559" s="7"/>
      <c r="X559" s="7"/>
      <c r="Y559" s="2"/>
      <c r="Z559" s="2"/>
      <c r="AA559" s="2"/>
    </row>
    <row r="560">
      <c r="A560" s="2"/>
      <c r="B560" s="2"/>
      <c r="C560" s="2"/>
      <c r="D560" s="2"/>
      <c r="E560" s="2"/>
      <c r="F560" s="2"/>
      <c r="G560" s="2"/>
      <c r="H560" s="2"/>
      <c r="I560" s="2"/>
      <c r="J560" s="2"/>
      <c r="K560" s="2"/>
      <c r="L560" s="2"/>
      <c r="M560" s="2"/>
      <c r="N560" s="2"/>
      <c r="O560" s="2"/>
      <c r="P560" s="2"/>
      <c r="Q560" s="2"/>
      <c r="R560" s="2"/>
      <c r="S560" s="7"/>
      <c r="T560" s="2"/>
      <c r="U560" s="10"/>
      <c r="V560" s="2"/>
      <c r="W560" s="7"/>
      <c r="X560" s="7"/>
      <c r="Y560" s="2"/>
      <c r="Z560" s="2"/>
      <c r="AA560" s="2"/>
    </row>
    <row r="561">
      <c r="A561" s="2"/>
      <c r="B561" s="2"/>
      <c r="C561" s="2"/>
      <c r="D561" s="2"/>
      <c r="E561" s="2"/>
      <c r="F561" s="2"/>
      <c r="G561" s="2"/>
      <c r="H561" s="2"/>
      <c r="I561" s="2"/>
      <c r="J561" s="2"/>
      <c r="K561" s="2"/>
      <c r="L561" s="2"/>
      <c r="M561" s="2"/>
      <c r="N561" s="2"/>
      <c r="O561" s="2"/>
      <c r="P561" s="2"/>
      <c r="Q561" s="2"/>
      <c r="R561" s="2"/>
      <c r="S561" s="7"/>
      <c r="T561" s="2"/>
      <c r="U561" s="10"/>
      <c r="V561" s="2"/>
      <c r="W561" s="7"/>
      <c r="X561" s="7"/>
      <c r="Y561" s="2"/>
      <c r="Z561" s="2"/>
      <c r="AA561" s="2"/>
    </row>
    <row r="562">
      <c r="A562" s="2"/>
      <c r="B562" s="2"/>
      <c r="C562" s="2"/>
      <c r="D562" s="2"/>
      <c r="E562" s="2"/>
      <c r="F562" s="2"/>
      <c r="G562" s="2"/>
      <c r="H562" s="2"/>
      <c r="I562" s="2"/>
      <c r="J562" s="2"/>
      <c r="K562" s="2"/>
      <c r="L562" s="2"/>
      <c r="M562" s="2"/>
      <c r="N562" s="2"/>
      <c r="O562" s="2"/>
      <c r="P562" s="2"/>
      <c r="Q562" s="2"/>
      <c r="R562" s="2"/>
      <c r="S562" s="7"/>
      <c r="T562" s="2"/>
      <c r="U562" s="10"/>
      <c r="V562" s="2"/>
      <c r="W562" s="7"/>
      <c r="X562" s="7"/>
      <c r="Y562" s="2"/>
      <c r="Z562" s="2"/>
      <c r="AA562" s="2"/>
    </row>
    <row r="563">
      <c r="A563" s="2"/>
      <c r="B563" s="2"/>
      <c r="C563" s="2"/>
      <c r="D563" s="2"/>
      <c r="E563" s="2"/>
      <c r="F563" s="2"/>
      <c r="G563" s="2"/>
      <c r="H563" s="2"/>
      <c r="I563" s="2"/>
      <c r="J563" s="2"/>
      <c r="K563" s="2"/>
      <c r="L563" s="2"/>
      <c r="M563" s="2"/>
      <c r="N563" s="2"/>
      <c r="O563" s="2"/>
      <c r="P563" s="2"/>
      <c r="Q563" s="2"/>
      <c r="R563" s="2"/>
      <c r="S563" s="7"/>
      <c r="T563" s="2"/>
      <c r="U563" s="10"/>
      <c r="V563" s="2"/>
      <c r="W563" s="7"/>
      <c r="X563" s="7"/>
      <c r="Y563" s="2"/>
      <c r="Z563" s="2"/>
      <c r="AA563" s="2"/>
    </row>
    <row r="564">
      <c r="A564" s="2"/>
      <c r="B564" s="2"/>
      <c r="C564" s="2"/>
      <c r="D564" s="2"/>
      <c r="E564" s="2"/>
      <c r="F564" s="2"/>
      <c r="G564" s="2"/>
      <c r="H564" s="2"/>
      <c r="I564" s="2"/>
      <c r="J564" s="2"/>
      <c r="K564" s="2"/>
      <c r="L564" s="2"/>
      <c r="M564" s="2"/>
      <c r="N564" s="2"/>
      <c r="O564" s="2"/>
      <c r="P564" s="2"/>
      <c r="Q564" s="2"/>
      <c r="R564" s="2"/>
      <c r="S564" s="7"/>
      <c r="T564" s="2"/>
      <c r="U564" s="10"/>
      <c r="V564" s="2"/>
      <c r="W564" s="7"/>
      <c r="X564" s="7"/>
      <c r="Y564" s="2"/>
      <c r="Z564" s="2"/>
      <c r="AA564" s="2"/>
    </row>
    <row r="565">
      <c r="A565" s="2"/>
      <c r="B565" s="2"/>
      <c r="C565" s="2"/>
      <c r="D565" s="2"/>
      <c r="E565" s="2"/>
      <c r="F565" s="2"/>
      <c r="G565" s="2"/>
      <c r="H565" s="2"/>
      <c r="I565" s="2"/>
      <c r="J565" s="2"/>
      <c r="K565" s="2"/>
      <c r="L565" s="2"/>
      <c r="M565" s="2"/>
      <c r="N565" s="2"/>
      <c r="O565" s="2"/>
      <c r="P565" s="2"/>
      <c r="Q565" s="2"/>
      <c r="R565" s="2"/>
      <c r="S565" s="7"/>
      <c r="T565" s="2"/>
      <c r="U565" s="10"/>
      <c r="V565" s="2"/>
      <c r="W565" s="7"/>
      <c r="X565" s="7"/>
      <c r="Y565" s="2"/>
      <c r="Z565" s="2"/>
      <c r="AA565" s="2"/>
    </row>
    <row r="566">
      <c r="A566" s="2"/>
      <c r="B566" s="2"/>
      <c r="C566" s="2"/>
      <c r="D566" s="2"/>
      <c r="E566" s="2"/>
      <c r="F566" s="2"/>
      <c r="G566" s="2"/>
      <c r="H566" s="2"/>
      <c r="I566" s="2"/>
      <c r="J566" s="2"/>
      <c r="K566" s="2"/>
      <c r="L566" s="2"/>
      <c r="M566" s="2"/>
      <c r="N566" s="2"/>
      <c r="O566" s="2"/>
      <c r="P566" s="2"/>
      <c r="Q566" s="2"/>
      <c r="R566" s="2"/>
      <c r="S566" s="7"/>
      <c r="T566" s="2"/>
      <c r="U566" s="10"/>
      <c r="V566" s="2"/>
      <c r="W566" s="7"/>
      <c r="X566" s="7"/>
      <c r="Y566" s="2"/>
      <c r="Z566" s="2"/>
      <c r="AA566" s="2"/>
    </row>
    <row r="567">
      <c r="A567" s="2"/>
      <c r="B567" s="2"/>
      <c r="C567" s="2"/>
      <c r="D567" s="2"/>
      <c r="E567" s="2"/>
      <c r="F567" s="2"/>
      <c r="G567" s="2"/>
      <c r="H567" s="2"/>
      <c r="I567" s="2"/>
      <c r="J567" s="2"/>
      <c r="K567" s="2"/>
      <c r="L567" s="2"/>
      <c r="M567" s="2"/>
      <c r="N567" s="2"/>
      <c r="O567" s="2"/>
      <c r="P567" s="2"/>
      <c r="Q567" s="2"/>
      <c r="R567" s="2"/>
      <c r="S567" s="7"/>
      <c r="T567" s="2"/>
      <c r="U567" s="10"/>
      <c r="V567" s="2"/>
      <c r="W567" s="7"/>
      <c r="X567" s="7"/>
      <c r="Y567" s="2"/>
      <c r="Z567" s="2"/>
      <c r="AA567" s="2"/>
    </row>
    <row r="568">
      <c r="A568" s="2"/>
      <c r="B568" s="2"/>
      <c r="C568" s="2"/>
      <c r="D568" s="2"/>
      <c r="E568" s="2"/>
      <c r="F568" s="2"/>
      <c r="G568" s="2"/>
      <c r="H568" s="2"/>
      <c r="I568" s="2"/>
      <c r="J568" s="2"/>
      <c r="K568" s="2"/>
      <c r="L568" s="2"/>
      <c r="M568" s="2"/>
      <c r="N568" s="2"/>
      <c r="O568" s="2"/>
      <c r="P568" s="2"/>
      <c r="Q568" s="2"/>
      <c r="R568" s="2"/>
      <c r="S568" s="7"/>
      <c r="T568" s="2"/>
      <c r="U568" s="10"/>
      <c r="V568" s="2"/>
      <c r="W568" s="7"/>
      <c r="X568" s="7"/>
      <c r="Y568" s="2"/>
      <c r="Z568" s="2"/>
      <c r="AA568" s="2"/>
    </row>
    <row r="569">
      <c r="A569" s="2"/>
      <c r="B569" s="2"/>
      <c r="C569" s="2"/>
      <c r="D569" s="2"/>
      <c r="E569" s="2"/>
      <c r="F569" s="2"/>
      <c r="G569" s="2"/>
      <c r="H569" s="2"/>
      <c r="I569" s="2"/>
      <c r="J569" s="2"/>
      <c r="K569" s="2"/>
      <c r="L569" s="2"/>
      <c r="M569" s="2"/>
      <c r="N569" s="2"/>
      <c r="O569" s="2"/>
      <c r="P569" s="2"/>
      <c r="Q569" s="2"/>
      <c r="R569" s="2"/>
      <c r="S569" s="7"/>
      <c r="T569" s="2"/>
      <c r="U569" s="10"/>
      <c r="V569" s="2"/>
      <c r="W569" s="7"/>
      <c r="X569" s="7"/>
      <c r="Y569" s="2"/>
      <c r="Z569" s="2"/>
      <c r="AA569" s="2"/>
    </row>
    <row r="570">
      <c r="A570" s="2"/>
      <c r="B570" s="2"/>
      <c r="C570" s="2"/>
      <c r="D570" s="2"/>
      <c r="E570" s="2"/>
      <c r="F570" s="2"/>
      <c r="G570" s="2"/>
      <c r="H570" s="2"/>
      <c r="I570" s="2"/>
      <c r="J570" s="2"/>
      <c r="K570" s="2"/>
      <c r="L570" s="2"/>
      <c r="M570" s="2"/>
      <c r="N570" s="2"/>
      <c r="O570" s="2"/>
      <c r="P570" s="2"/>
      <c r="Q570" s="2"/>
      <c r="R570" s="2"/>
      <c r="S570" s="7"/>
      <c r="T570" s="2"/>
      <c r="U570" s="10"/>
      <c r="V570" s="2"/>
      <c r="W570" s="7"/>
      <c r="X570" s="7"/>
      <c r="Y570" s="2"/>
      <c r="Z570" s="2"/>
      <c r="AA570" s="2"/>
    </row>
    <row r="571">
      <c r="A571" s="2"/>
      <c r="B571" s="2"/>
      <c r="C571" s="2"/>
      <c r="D571" s="2"/>
      <c r="E571" s="2"/>
      <c r="F571" s="2"/>
      <c r="G571" s="2"/>
      <c r="H571" s="2"/>
      <c r="I571" s="2"/>
      <c r="J571" s="2"/>
      <c r="K571" s="2"/>
      <c r="L571" s="2"/>
      <c r="M571" s="2"/>
      <c r="N571" s="2"/>
      <c r="O571" s="2"/>
      <c r="P571" s="2"/>
      <c r="Q571" s="2"/>
      <c r="R571" s="2"/>
      <c r="S571" s="7"/>
      <c r="T571" s="2"/>
      <c r="U571" s="10"/>
      <c r="V571" s="2"/>
      <c r="W571" s="7"/>
      <c r="X571" s="7"/>
      <c r="Y571" s="2"/>
      <c r="Z571" s="2"/>
      <c r="AA571" s="2"/>
    </row>
    <row r="572">
      <c r="A572" s="2"/>
      <c r="B572" s="2"/>
      <c r="C572" s="2"/>
      <c r="D572" s="2"/>
      <c r="E572" s="2"/>
      <c r="F572" s="2"/>
      <c r="G572" s="2"/>
      <c r="H572" s="2"/>
      <c r="I572" s="2"/>
      <c r="J572" s="2"/>
      <c r="K572" s="2"/>
      <c r="L572" s="2"/>
      <c r="M572" s="2"/>
      <c r="N572" s="2"/>
      <c r="O572" s="2"/>
      <c r="P572" s="2"/>
      <c r="Q572" s="2"/>
      <c r="R572" s="2"/>
      <c r="S572" s="7"/>
      <c r="T572" s="2"/>
      <c r="U572" s="10"/>
      <c r="V572" s="2"/>
      <c r="W572" s="7"/>
      <c r="X572" s="7"/>
      <c r="Y572" s="2"/>
      <c r="Z572" s="2"/>
      <c r="AA572" s="2"/>
    </row>
    <row r="573">
      <c r="A573" s="2"/>
      <c r="B573" s="2"/>
      <c r="C573" s="2"/>
      <c r="D573" s="2"/>
      <c r="E573" s="2"/>
      <c r="F573" s="2"/>
      <c r="G573" s="2"/>
      <c r="H573" s="2"/>
      <c r="I573" s="2"/>
      <c r="J573" s="2"/>
      <c r="K573" s="2"/>
      <c r="L573" s="2"/>
      <c r="M573" s="2"/>
      <c r="N573" s="2"/>
      <c r="O573" s="2"/>
      <c r="P573" s="2"/>
      <c r="Q573" s="2"/>
      <c r="R573" s="2"/>
      <c r="S573" s="7"/>
      <c r="T573" s="2"/>
      <c r="U573" s="10"/>
      <c r="V573" s="2"/>
      <c r="W573" s="7"/>
      <c r="X573" s="7"/>
      <c r="Y573" s="2"/>
      <c r="Z573" s="2"/>
      <c r="AA573" s="2"/>
    </row>
    <row r="574">
      <c r="A574" s="2"/>
      <c r="B574" s="2"/>
      <c r="C574" s="2"/>
      <c r="D574" s="2"/>
      <c r="E574" s="2"/>
      <c r="F574" s="2"/>
      <c r="G574" s="2"/>
      <c r="H574" s="2"/>
      <c r="I574" s="2"/>
      <c r="J574" s="2"/>
      <c r="K574" s="2"/>
      <c r="L574" s="2"/>
      <c r="M574" s="2"/>
      <c r="N574" s="2"/>
      <c r="O574" s="2"/>
      <c r="P574" s="2"/>
      <c r="Q574" s="2"/>
      <c r="R574" s="2"/>
      <c r="S574" s="7"/>
      <c r="T574" s="2"/>
      <c r="U574" s="10"/>
      <c r="V574" s="2"/>
      <c r="W574" s="7"/>
      <c r="X574" s="7"/>
      <c r="Y574" s="2"/>
      <c r="Z574" s="2"/>
      <c r="AA574" s="2"/>
    </row>
    <row r="575">
      <c r="A575" s="2"/>
      <c r="B575" s="2"/>
      <c r="C575" s="2"/>
      <c r="D575" s="2"/>
      <c r="E575" s="2"/>
      <c r="F575" s="2"/>
      <c r="G575" s="2"/>
      <c r="H575" s="2"/>
      <c r="I575" s="2"/>
      <c r="J575" s="2"/>
      <c r="K575" s="2"/>
      <c r="L575" s="2"/>
      <c r="M575" s="2"/>
      <c r="N575" s="2"/>
      <c r="O575" s="2"/>
      <c r="P575" s="2"/>
      <c r="Q575" s="2"/>
      <c r="R575" s="2"/>
      <c r="S575" s="7"/>
      <c r="T575" s="2"/>
      <c r="U575" s="10"/>
      <c r="V575" s="2"/>
      <c r="W575" s="7"/>
      <c r="X575" s="7"/>
      <c r="Y575" s="2"/>
      <c r="Z575" s="2"/>
      <c r="AA575" s="2"/>
    </row>
    <row r="576">
      <c r="A576" s="2"/>
      <c r="B576" s="2"/>
      <c r="C576" s="2"/>
      <c r="D576" s="2"/>
      <c r="E576" s="2"/>
      <c r="F576" s="2"/>
      <c r="G576" s="2"/>
      <c r="H576" s="2"/>
      <c r="I576" s="2"/>
      <c r="J576" s="2"/>
      <c r="K576" s="2"/>
      <c r="L576" s="2"/>
      <c r="M576" s="2"/>
      <c r="N576" s="2"/>
      <c r="O576" s="2"/>
      <c r="P576" s="2"/>
      <c r="Q576" s="2"/>
      <c r="R576" s="2"/>
      <c r="S576" s="7"/>
      <c r="T576" s="2"/>
      <c r="U576" s="10"/>
      <c r="V576" s="2"/>
      <c r="W576" s="7"/>
      <c r="X576" s="7"/>
      <c r="Y576" s="2"/>
      <c r="Z576" s="2"/>
      <c r="AA576" s="2"/>
    </row>
    <row r="577">
      <c r="A577" s="2"/>
      <c r="B577" s="2"/>
      <c r="C577" s="2"/>
      <c r="D577" s="2"/>
      <c r="E577" s="2"/>
      <c r="F577" s="2"/>
      <c r="G577" s="2"/>
      <c r="H577" s="2"/>
      <c r="I577" s="2"/>
      <c r="J577" s="2"/>
      <c r="K577" s="2"/>
      <c r="L577" s="2"/>
      <c r="M577" s="2"/>
      <c r="N577" s="2"/>
      <c r="O577" s="2"/>
      <c r="P577" s="2"/>
      <c r="Q577" s="2"/>
      <c r="R577" s="2"/>
      <c r="S577" s="7"/>
      <c r="T577" s="2"/>
      <c r="U577" s="10"/>
      <c r="V577" s="2"/>
      <c r="W577" s="7"/>
      <c r="X577" s="7"/>
      <c r="Y577" s="2"/>
      <c r="Z577" s="2"/>
      <c r="AA577" s="2"/>
    </row>
    <row r="578">
      <c r="A578" s="2"/>
      <c r="B578" s="2"/>
      <c r="C578" s="2"/>
      <c r="D578" s="2"/>
      <c r="E578" s="2"/>
      <c r="F578" s="2"/>
      <c r="G578" s="2"/>
      <c r="H578" s="2"/>
      <c r="I578" s="2"/>
      <c r="J578" s="2"/>
      <c r="K578" s="2"/>
      <c r="L578" s="2"/>
      <c r="M578" s="2"/>
      <c r="N578" s="2"/>
      <c r="O578" s="2"/>
      <c r="P578" s="2"/>
      <c r="Q578" s="2"/>
      <c r="R578" s="2"/>
      <c r="S578" s="7"/>
      <c r="T578" s="2"/>
      <c r="U578" s="10"/>
      <c r="V578" s="2"/>
      <c r="W578" s="7"/>
      <c r="X578" s="7"/>
      <c r="Y578" s="2"/>
      <c r="Z578" s="2"/>
      <c r="AA578" s="2"/>
    </row>
    <row r="579">
      <c r="A579" s="2"/>
      <c r="B579" s="2"/>
      <c r="C579" s="2"/>
      <c r="D579" s="2"/>
      <c r="E579" s="2"/>
      <c r="F579" s="2"/>
      <c r="G579" s="2"/>
      <c r="H579" s="2"/>
      <c r="I579" s="2"/>
      <c r="J579" s="2"/>
      <c r="K579" s="2"/>
      <c r="L579" s="2"/>
      <c r="M579" s="2"/>
      <c r="N579" s="2"/>
      <c r="O579" s="2"/>
      <c r="P579" s="2"/>
      <c r="Q579" s="2"/>
      <c r="R579" s="2"/>
      <c r="S579" s="7"/>
      <c r="T579" s="2"/>
      <c r="U579" s="10"/>
      <c r="V579" s="2"/>
      <c r="W579" s="7"/>
      <c r="X579" s="7"/>
      <c r="Y579" s="2"/>
      <c r="Z579" s="2"/>
      <c r="AA579" s="2"/>
    </row>
    <row r="580">
      <c r="A580" s="2"/>
      <c r="B580" s="2"/>
      <c r="C580" s="2"/>
      <c r="D580" s="2"/>
      <c r="E580" s="2"/>
      <c r="F580" s="2"/>
      <c r="G580" s="2"/>
      <c r="H580" s="2"/>
      <c r="I580" s="2"/>
      <c r="J580" s="2"/>
      <c r="K580" s="2"/>
      <c r="L580" s="2"/>
      <c r="M580" s="2"/>
      <c r="N580" s="2"/>
      <c r="O580" s="2"/>
      <c r="P580" s="2"/>
      <c r="Q580" s="2"/>
      <c r="R580" s="2"/>
      <c r="S580" s="7"/>
      <c r="T580" s="2"/>
      <c r="U580" s="10"/>
      <c r="V580" s="2"/>
      <c r="W580" s="7"/>
      <c r="X580" s="7"/>
      <c r="Y580" s="2"/>
      <c r="Z580" s="2"/>
      <c r="AA580" s="2"/>
    </row>
    <row r="581">
      <c r="A581" s="2"/>
      <c r="B581" s="2"/>
      <c r="C581" s="2"/>
      <c r="D581" s="2"/>
      <c r="E581" s="2"/>
      <c r="F581" s="2"/>
      <c r="G581" s="2"/>
      <c r="H581" s="2"/>
      <c r="I581" s="2"/>
      <c r="J581" s="2"/>
      <c r="K581" s="2"/>
      <c r="L581" s="2"/>
      <c r="M581" s="2"/>
      <c r="N581" s="2"/>
      <c r="O581" s="2"/>
      <c r="P581" s="2"/>
      <c r="Q581" s="2"/>
      <c r="R581" s="2"/>
      <c r="S581" s="7"/>
      <c r="T581" s="2"/>
      <c r="U581" s="10"/>
      <c r="V581" s="2"/>
      <c r="W581" s="7"/>
      <c r="X581" s="7"/>
      <c r="Y581" s="2"/>
      <c r="Z581" s="2"/>
      <c r="AA581" s="2"/>
    </row>
    <row r="582">
      <c r="A582" s="2"/>
      <c r="B582" s="2"/>
      <c r="C582" s="2"/>
      <c r="D582" s="2"/>
      <c r="E582" s="2"/>
      <c r="F582" s="2"/>
      <c r="G582" s="2"/>
      <c r="H582" s="2"/>
      <c r="I582" s="2"/>
      <c r="J582" s="2"/>
      <c r="K582" s="2"/>
      <c r="L582" s="2"/>
      <c r="M582" s="2"/>
      <c r="N582" s="2"/>
      <c r="O582" s="2"/>
      <c r="P582" s="2"/>
      <c r="Q582" s="2"/>
      <c r="R582" s="2"/>
      <c r="S582" s="7"/>
      <c r="T582" s="2"/>
      <c r="U582" s="10"/>
      <c r="V582" s="2"/>
      <c r="W582" s="7"/>
      <c r="X582" s="7"/>
      <c r="Y582" s="2"/>
      <c r="Z582" s="2"/>
      <c r="AA582" s="2"/>
    </row>
    <row r="583">
      <c r="A583" s="2"/>
      <c r="B583" s="2"/>
      <c r="C583" s="2"/>
      <c r="D583" s="2"/>
      <c r="E583" s="2"/>
      <c r="F583" s="2"/>
      <c r="G583" s="2"/>
      <c r="H583" s="2"/>
      <c r="I583" s="2"/>
      <c r="J583" s="2"/>
      <c r="K583" s="2"/>
      <c r="L583" s="2"/>
      <c r="M583" s="2"/>
      <c r="N583" s="2"/>
      <c r="O583" s="2"/>
      <c r="P583" s="2"/>
      <c r="Q583" s="2"/>
      <c r="R583" s="2"/>
      <c r="S583" s="7"/>
      <c r="T583" s="2"/>
      <c r="U583" s="10"/>
      <c r="V583" s="2"/>
      <c r="W583" s="7"/>
      <c r="X583" s="7"/>
      <c r="Y583" s="2"/>
      <c r="Z583" s="2"/>
      <c r="AA583" s="2"/>
    </row>
    <row r="584">
      <c r="A584" s="2"/>
      <c r="B584" s="2"/>
      <c r="C584" s="2"/>
      <c r="D584" s="2"/>
      <c r="E584" s="2"/>
      <c r="F584" s="2"/>
      <c r="G584" s="2"/>
      <c r="H584" s="2"/>
      <c r="I584" s="2"/>
      <c r="J584" s="2"/>
      <c r="K584" s="2"/>
      <c r="L584" s="2"/>
      <c r="M584" s="2"/>
      <c r="N584" s="2"/>
      <c r="O584" s="2"/>
      <c r="P584" s="2"/>
      <c r="Q584" s="2"/>
      <c r="R584" s="2"/>
      <c r="S584" s="7"/>
      <c r="T584" s="2"/>
      <c r="U584" s="10"/>
      <c r="V584" s="2"/>
      <c r="W584" s="7"/>
      <c r="X584" s="7"/>
      <c r="Y584" s="2"/>
      <c r="Z584" s="2"/>
      <c r="AA584" s="2"/>
    </row>
    <row r="585">
      <c r="A585" s="2"/>
      <c r="B585" s="2"/>
      <c r="C585" s="2"/>
      <c r="D585" s="2"/>
      <c r="E585" s="2"/>
      <c r="F585" s="2"/>
      <c r="G585" s="2"/>
      <c r="H585" s="2"/>
      <c r="I585" s="2"/>
      <c r="J585" s="2"/>
      <c r="K585" s="2"/>
      <c r="L585" s="2"/>
      <c r="M585" s="2"/>
      <c r="N585" s="2"/>
      <c r="O585" s="2"/>
      <c r="P585" s="2"/>
      <c r="Q585" s="2"/>
      <c r="R585" s="2"/>
      <c r="S585" s="7"/>
      <c r="T585" s="2"/>
      <c r="U585" s="10"/>
      <c r="V585" s="2"/>
      <c r="W585" s="7"/>
      <c r="X585" s="7"/>
      <c r="Y585" s="2"/>
      <c r="Z585" s="2"/>
      <c r="AA585" s="2"/>
    </row>
    <row r="586">
      <c r="A586" s="2"/>
      <c r="B586" s="2"/>
      <c r="C586" s="2"/>
      <c r="D586" s="2"/>
      <c r="E586" s="2"/>
      <c r="F586" s="2"/>
      <c r="G586" s="2"/>
      <c r="H586" s="2"/>
      <c r="I586" s="2"/>
      <c r="J586" s="2"/>
      <c r="K586" s="2"/>
      <c r="L586" s="2"/>
      <c r="M586" s="2"/>
      <c r="N586" s="2"/>
      <c r="O586" s="2"/>
      <c r="P586" s="2"/>
      <c r="Q586" s="2"/>
      <c r="R586" s="2"/>
      <c r="S586" s="7"/>
      <c r="T586" s="2"/>
      <c r="U586" s="10"/>
      <c r="V586" s="2"/>
      <c r="W586" s="7"/>
      <c r="X586" s="7"/>
      <c r="Y586" s="2"/>
      <c r="Z586" s="2"/>
      <c r="AA586" s="2"/>
    </row>
    <row r="587">
      <c r="A587" s="2"/>
      <c r="B587" s="2"/>
      <c r="C587" s="2"/>
      <c r="D587" s="2"/>
      <c r="E587" s="2"/>
      <c r="F587" s="2"/>
      <c r="G587" s="2"/>
      <c r="H587" s="2"/>
      <c r="I587" s="2"/>
      <c r="J587" s="2"/>
      <c r="K587" s="2"/>
      <c r="L587" s="2"/>
      <c r="M587" s="2"/>
      <c r="N587" s="2"/>
      <c r="O587" s="2"/>
      <c r="P587" s="2"/>
      <c r="Q587" s="2"/>
      <c r="R587" s="2"/>
      <c r="S587" s="7"/>
      <c r="T587" s="2"/>
      <c r="U587" s="10"/>
      <c r="V587" s="2"/>
      <c r="W587" s="7"/>
      <c r="X587" s="7"/>
      <c r="Y587" s="2"/>
      <c r="Z587" s="2"/>
      <c r="AA587" s="2"/>
    </row>
    <row r="588">
      <c r="A588" s="2"/>
      <c r="B588" s="2"/>
      <c r="C588" s="2"/>
      <c r="D588" s="2"/>
      <c r="E588" s="2"/>
      <c r="F588" s="2"/>
      <c r="G588" s="2"/>
      <c r="H588" s="2"/>
      <c r="I588" s="2"/>
      <c r="J588" s="2"/>
      <c r="K588" s="2"/>
      <c r="L588" s="2"/>
      <c r="M588" s="2"/>
      <c r="N588" s="2"/>
      <c r="O588" s="2"/>
      <c r="P588" s="2"/>
      <c r="Q588" s="2"/>
      <c r="R588" s="2"/>
      <c r="S588" s="7"/>
      <c r="T588" s="2"/>
      <c r="U588" s="10"/>
      <c r="V588" s="2"/>
      <c r="W588" s="7"/>
      <c r="X588" s="7"/>
      <c r="Y588" s="2"/>
      <c r="Z588" s="2"/>
      <c r="AA588" s="2"/>
    </row>
    <row r="589">
      <c r="A589" s="2"/>
      <c r="B589" s="2"/>
      <c r="C589" s="2"/>
      <c r="D589" s="2"/>
      <c r="E589" s="2"/>
      <c r="F589" s="2"/>
      <c r="G589" s="2"/>
      <c r="H589" s="2"/>
      <c r="I589" s="2"/>
      <c r="J589" s="2"/>
      <c r="K589" s="2"/>
      <c r="L589" s="2"/>
      <c r="M589" s="2"/>
      <c r="N589" s="2"/>
      <c r="O589" s="2"/>
      <c r="P589" s="2"/>
      <c r="Q589" s="2"/>
      <c r="R589" s="2"/>
      <c r="S589" s="7"/>
      <c r="T589" s="2"/>
      <c r="U589" s="10"/>
      <c r="V589" s="2"/>
      <c r="W589" s="7"/>
      <c r="X589" s="7"/>
      <c r="Y589" s="2"/>
      <c r="Z589" s="2"/>
      <c r="AA589" s="2"/>
    </row>
    <row r="590">
      <c r="A590" s="2"/>
      <c r="B590" s="2"/>
      <c r="C590" s="2"/>
      <c r="D590" s="2"/>
      <c r="E590" s="2"/>
      <c r="F590" s="2"/>
      <c r="G590" s="2"/>
      <c r="H590" s="2"/>
      <c r="I590" s="2"/>
      <c r="J590" s="2"/>
      <c r="K590" s="2"/>
      <c r="L590" s="2"/>
      <c r="M590" s="2"/>
      <c r="N590" s="2"/>
      <c r="O590" s="2"/>
      <c r="P590" s="2"/>
      <c r="Q590" s="2"/>
      <c r="R590" s="2"/>
      <c r="S590" s="7"/>
      <c r="T590" s="2"/>
      <c r="U590" s="10"/>
      <c r="V590" s="2"/>
      <c r="W590" s="7"/>
      <c r="X590" s="7"/>
      <c r="Y590" s="2"/>
      <c r="Z590" s="2"/>
      <c r="AA590" s="2"/>
    </row>
    <row r="591">
      <c r="A591" s="2"/>
      <c r="B591" s="2"/>
      <c r="C591" s="2"/>
      <c r="D591" s="2"/>
      <c r="E591" s="2"/>
      <c r="F591" s="2"/>
      <c r="G591" s="2"/>
      <c r="H591" s="2"/>
      <c r="I591" s="2"/>
      <c r="J591" s="2"/>
      <c r="K591" s="2"/>
      <c r="L591" s="2"/>
      <c r="M591" s="2"/>
      <c r="N591" s="2"/>
      <c r="O591" s="2"/>
      <c r="P591" s="2"/>
      <c r="Q591" s="2"/>
      <c r="R591" s="2"/>
      <c r="S591" s="7"/>
      <c r="T591" s="2"/>
      <c r="U591" s="10"/>
      <c r="V591" s="2"/>
      <c r="W591" s="7"/>
      <c r="X591" s="7"/>
      <c r="Y591" s="2"/>
      <c r="Z591" s="2"/>
      <c r="AA591" s="2"/>
    </row>
    <row r="592">
      <c r="A592" s="2"/>
      <c r="B592" s="2"/>
      <c r="C592" s="2"/>
      <c r="D592" s="2"/>
      <c r="E592" s="2"/>
      <c r="F592" s="2"/>
      <c r="G592" s="2"/>
      <c r="H592" s="2"/>
      <c r="I592" s="2"/>
      <c r="J592" s="2"/>
      <c r="K592" s="2"/>
      <c r="L592" s="2"/>
      <c r="M592" s="2"/>
      <c r="N592" s="2"/>
      <c r="O592" s="2"/>
      <c r="P592" s="2"/>
      <c r="Q592" s="2"/>
      <c r="R592" s="2"/>
      <c r="S592" s="7"/>
      <c r="T592" s="2"/>
      <c r="U592" s="10"/>
      <c r="V592" s="2"/>
      <c r="W592" s="7"/>
      <c r="X592" s="7"/>
      <c r="Y592" s="2"/>
      <c r="Z592" s="2"/>
      <c r="AA592" s="2"/>
    </row>
    <row r="593">
      <c r="A593" s="2"/>
      <c r="B593" s="2"/>
      <c r="C593" s="2"/>
      <c r="D593" s="2"/>
      <c r="E593" s="2"/>
      <c r="F593" s="2"/>
      <c r="G593" s="2"/>
      <c r="H593" s="2"/>
      <c r="I593" s="2"/>
      <c r="J593" s="2"/>
      <c r="K593" s="2"/>
      <c r="L593" s="2"/>
      <c r="M593" s="2"/>
      <c r="N593" s="2"/>
      <c r="O593" s="2"/>
      <c r="P593" s="2"/>
      <c r="Q593" s="2"/>
      <c r="R593" s="2"/>
      <c r="S593" s="7"/>
      <c r="T593" s="2"/>
      <c r="U593" s="10"/>
      <c r="V593" s="2"/>
      <c r="W593" s="7"/>
      <c r="X593" s="7"/>
      <c r="Y593" s="2"/>
      <c r="Z593" s="2"/>
      <c r="AA593" s="2"/>
    </row>
    <row r="594">
      <c r="A594" s="2"/>
      <c r="B594" s="2"/>
      <c r="C594" s="2"/>
      <c r="D594" s="2"/>
      <c r="E594" s="2"/>
      <c r="F594" s="2"/>
      <c r="G594" s="2"/>
      <c r="H594" s="2"/>
      <c r="I594" s="2"/>
      <c r="J594" s="2"/>
      <c r="K594" s="2"/>
      <c r="L594" s="2"/>
      <c r="M594" s="2"/>
      <c r="N594" s="2"/>
      <c r="O594" s="2"/>
      <c r="P594" s="2"/>
      <c r="Q594" s="2"/>
      <c r="R594" s="2"/>
      <c r="S594" s="7"/>
      <c r="T594" s="2"/>
      <c r="U594" s="10"/>
      <c r="V594" s="2"/>
      <c r="W594" s="7"/>
      <c r="X594" s="7"/>
      <c r="Y594" s="2"/>
      <c r="Z594" s="2"/>
      <c r="AA594" s="2"/>
    </row>
    <row r="595">
      <c r="A595" s="2"/>
      <c r="B595" s="2"/>
      <c r="C595" s="2"/>
      <c r="D595" s="2"/>
      <c r="E595" s="2"/>
      <c r="F595" s="2"/>
      <c r="G595" s="2"/>
      <c r="H595" s="2"/>
      <c r="I595" s="2"/>
      <c r="J595" s="2"/>
      <c r="K595" s="2"/>
      <c r="L595" s="2"/>
      <c r="M595" s="2"/>
      <c r="N595" s="2"/>
      <c r="O595" s="2"/>
      <c r="P595" s="2"/>
      <c r="Q595" s="2"/>
      <c r="R595" s="2"/>
      <c r="S595" s="7"/>
      <c r="T595" s="2"/>
      <c r="U595" s="10"/>
      <c r="V595" s="2"/>
      <c r="W595" s="7"/>
      <c r="X595" s="7"/>
      <c r="Y595" s="2"/>
      <c r="Z595" s="2"/>
      <c r="AA595" s="2"/>
    </row>
    <row r="596">
      <c r="A596" s="2"/>
      <c r="B596" s="2"/>
      <c r="C596" s="2"/>
      <c r="D596" s="2"/>
      <c r="E596" s="2"/>
      <c r="F596" s="2"/>
      <c r="G596" s="2"/>
      <c r="H596" s="2"/>
      <c r="I596" s="2"/>
      <c r="J596" s="2"/>
      <c r="K596" s="2"/>
      <c r="L596" s="2"/>
      <c r="M596" s="2"/>
      <c r="N596" s="2"/>
      <c r="O596" s="2"/>
      <c r="P596" s="2"/>
      <c r="Q596" s="2"/>
      <c r="R596" s="2"/>
      <c r="S596" s="7"/>
      <c r="T596" s="2"/>
      <c r="U596" s="10"/>
      <c r="V596" s="2"/>
      <c r="W596" s="7"/>
      <c r="X596" s="7"/>
      <c r="Y596" s="2"/>
      <c r="Z596" s="2"/>
      <c r="AA596" s="2"/>
    </row>
    <row r="597">
      <c r="A597" s="2"/>
      <c r="B597" s="2"/>
      <c r="C597" s="2"/>
      <c r="D597" s="2"/>
      <c r="E597" s="2"/>
      <c r="F597" s="2"/>
      <c r="G597" s="2"/>
      <c r="H597" s="2"/>
      <c r="I597" s="2"/>
      <c r="J597" s="2"/>
      <c r="K597" s="2"/>
      <c r="L597" s="2"/>
      <c r="M597" s="2"/>
      <c r="N597" s="2"/>
      <c r="O597" s="2"/>
      <c r="P597" s="2"/>
      <c r="Q597" s="2"/>
      <c r="R597" s="2"/>
      <c r="S597" s="7"/>
      <c r="T597" s="2"/>
      <c r="U597" s="10"/>
      <c r="V597" s="2"/>
      <c r="W597" s="7"/>
      <c r="X597" s="7"/>
      <c r="Y597" s="2"/>
      <c r="Z597" s="2"/>
      <c r="AA597" s="2"/>
    </row>
    <row r="598">
      <c r="A598" s="2"/>
      <c r="B598" s="2"/>
      <c r="C598" s="2"/>
      <c r="D598" s="2"/>
      <c r="E598" s="2"/>
      <c r="F598" s="2"/>
      <c r="G598" s="2"/>
      <c r="H598" s="2"/>
      <c r="I598" s="2"/>
      <c r="J598" s="2"/>
      <c r="K598" s="2"/>
      <c r="L598" s="2"/>
      <c r="M598" s="2"/>
      <c r="N598" s="2"/>
      <c r="O598" s="2"/>
      <c r="P598" s="2"/>
      <c r="Q598" s="2"/>
      <c r="R598" s="2"/>
      <c r="S598" s="7"/>
      <c r="T598" s="2"/>
      <c r="U598" s="10"/>
      <c r="V598" s="2"/>
      <c r="W598" s="7"/>
      <c r="X598" s="7"/>
      <c r="Y598" s="2"/>
      <c r="Z598" s="2"/>
      <c r="AA598" s="2"/>
    </row>
    <row r="599">
      <c r="A599" s="2"/>
      <c r="B599" s="2"/>
      <c r="C599" s="2"/>
      <c r="D599" s="2"/>
      <c r="E599" s="2"/>
      <c r="F599" s="2"/>
      <c r="G599" s="2"/>
      <c r="H599" s="2"/>
      <c r="I599" s="2"/>
      <c r="J599" s="2"/>
      <c r="K599" s="2"/>
      <c r="L599" s="2"/>
      <c r="M599" s="2"/>
      <c r="N599" s="2"/>
      <c r="O599" s="2"/>
      <c r="P599" s="2"/>
      <c r="Q599" s="2"/>
      <c r="R599" s="2"/>
      <c r="S599" s="7"/>
      <c r="T599" s="2"/>
      <c r="U599" s="10"/>
      <c r="V599" s="2"/>
      <c r="W599" s="7"/>
      <c r="X599" s="7"/>
      <c r="Y599" s="2"/>
      <c r="Z599" s="2"/>
      <c r="AA599" s="2"/>
    </row>
    <row r="600">
      <c r="A600" s="2"/>
      <c r="B600" s="2"/>
      <c r="C600" s="2"/>
      <c r="D600" s="2"/>
      <c r="E600" s="2"/>
      <c r="F600" s="2"/>
      <c r="G600" s="2"/>
      <c r="H600" s="2"/>
      <c r="I600" s="2"/>
      <c r="J600" s="2"/>
      <c r="K600" s="2"/>
      <c r="L600" s="2"/>
      <c r="M600" s="2"/>
      <c r="N600" s="2"/>
      <c r="O600" s="2"/>
      <c r="P600" s="2"/>
      <c r="Q600" s="2"/>
      <c r="R600" s="2"/>
      <c r="S600" s="7"/>
      <c r="T600" s="2"/>
      <c r="U600" s="10"/>
      <c r="V600" s="2"/>
      <c r="W600" s="7"/>
      <c r="X600" s="7"/>
      <c r="Y600" s="2"/>
      <c r="Z600" s="2"/>
      <c r="AA600" s="2"/>
    </row>
    <row r="601">
      <c r="A601" s="2"/>
      <c r="B601" s="2"/>
      <c r="C601" s="2"/>
      <c r="D601" s="2"/>
      <c r="E601" s="2"/>
      <c r="F601" s="2"/>
      <c r="G601" s="2"/>
      <c r="H601" s="2"/>
      <c r="I601" s="2"/>
      <c r="J601" s="2"/>
      <c r="K601" s="2"/>
      <c r="L601" s="2"/>
      <c r="M601" s="2"/>
      <c r="N601" s="2"/>
      <c r="O601" s="2"/>
      <c r="P601" s="2"/>
      <c r="Q601" s="2"/>
      <c r="R601" s="2"/>
      <c r="S601" s="7"/>
      <c r="T601" s="2"/>
      <c r="U601" s="10"/>
      <c r="V601" s="2"/>
      <c r="W601" s="7"/>
      <c r="X601" s="7"/>
      <c r="Y601" s="2"/>
      <c r="Z601" s="2"/>
      <c r="AA601" s="2"/>
    </row>
    <row r="602">
      <c r="A602" s="2"/>
      <c r="B602" s="2"/>
      <c r="C602" s="2"/>
      <c r="D602" s="2"/>
      <c r="E602" s="2"/>
      <c r="F602" s="2"/>
      <c r="G602" s="2"/>
      <c r="H602" s="2"/>
      <c r="I602" s="2"/>
      <c r="J602" s="2"/>
      <c r="K602" s="2"/>
      <c r="L602" s="2"/>
      <c r="M602" s="2"/>
      <c r="N602" s="2"/>
      <c r="O602" s="2"/>
      <c r="P602" s="2"/>
      <c r="Q602" s="2"/>
      <c r="R602" s="2"/>
      <c r="S602" s="7"/>
      <c r="T602" s="2"/>
      <c r="U602" s="10"/>
      <c r="V602" s="2"/>
      <c r="W602" s="7"/>
      <c r="X602" s="7"/>
      <c r="Y602" s="2"/>
      <c r="Z602" s="2"/>
      <c r="AA602" s="2"/>
    </row>
    <row r="603">
      <c r="A603" s="2"/>
      <c r="B603" s="2"/>
      <c r="C603" s="2"/>
      <c r="D603" s="2"/>
      <c r="E603" s="2"/>
      <c r="F603" s="2"/>
      <c r="G603" s="2"/>
      <c r="H603" s="2"/>
      <c r="I603" s="2"/>
      <c r="J603" s="2"/>
      <c r="K603" s="2"/>
      <c r="L603" s="2"/>
      <c r="M603" s="2"/>
      <c r="N603" s="2"/>
      <c r="O603" s="2"/>
      <c r="P603" s="2"/>
      <c r="Q603" s="2"/>
      <c r="R603" s="2"/>
      <c r="S603" s="7"/>
      <c r="T603" s="2"/>
      <c r="U603" s="10"/>
      <c r="V603" s="2"/>
      <c r="W603" s="7"/>
      <c r="X603" s="7"/>
      <c r="Y603" s="2"/>
      <c r="Z603" s="2"/>
      <c r="AA603" s="2"/>
    </row>
    <row r="604">
      <c r="A604" s="2"/>
      <c r="B604" s="2"/>
      <c r="C604" s="2"/>
      <c r="D604" s="2"/>
      <c r="E604" s="2"/>
      <c r="F604" s="2"/>
      <c r="G604" s="2"/>
      <c r="H604" s="2"/>
      <c r="I604" s="2"/>
      <c r="J604" s="2"/>
      <c r="K604" s="2"/>
      <c r="L604" s="2"/>
      <c r="M604" s="2"/>
      <c r="N604" s="2"/>
      <c r="O604" s="2"/>
      <c r="P604" s="2"/>
      <c r="Q604" s="2"/>
      <c r="R604" s="2"/>
      <c r="S604" s="7"/>
      <c r="T604" s="2"/>
      <c r="U604" s="10"/>
      <c r="V604" s="2"/>
      <c r="W604" s="7"/>
      <c r="X604" s="7"/>
      <c r="Y604" s="2"/>
      <c r="Z604" s="2"/>
      <c r="AA604" s="2"/>
    </row>
    <row r="605">
      <c r="A605" s="2"/>
      <c r="B605" s="2"/>
      <c r="C605" s="2"/>
      <c r="D605" s="2"/>
      <c r="E605" s="2"/>
      <c r="F605" s="2"/>
      <c r="G605" s="2"/>
      <c r="H605" s="2"/>
      <c r="I605" s="2"/>
      <c r="J605" s="2"/>
      <c r="K605" s="2"/>
      <c r="L605" s="2"/>
      <c r="M605" s="2"/>
      <c r="N605" s="2"/>
      <c r="O605" s="2"/>
      <c r="P605" s="2"/>
      <c r="Q605" s="2"/>
      <c r="R605" s="2"/>
      <c r="S605" s="7"/>
      <c r="T605" s="2"/>
      <c r="U605" s="10"/>
      <c r="V605" s="2"/>
      <c r="W605" s="7"/>
      <c r="X605" s="7"/>
      <c r="Y605" s="2"/>
      <c r="Z605" s="2"/>
      <c r="AA605" s="2"/>
    </row>
    <row r="606">
      <c r="A606" s="2"/>
      <c r="B606" s="2"/>
      <c r="C606" s="2"/>
      <c r="D606" s="2"/>
      <c r="E606" s="2"/>
      <c r="F606" s="2"/>
      <c r="G606" s="2"/>
      <c r="H606" s="2"/>
      <c r="I606" s="2"/>
      <c r="J606" s="2"/>
      <c r="K606" s="2"/>
      <c r="L606" s="2"/>
      <c r="M606" s="2"/>
      <c r="N606" s="2"/>
      <c r="O606" s="2"/>
      <c r="P606" s="2"/>
      <c r="Q606" s="2"/>
      <c r="R606" s="2"/>
      <c r="S606" s="7"/>
      <c r="T606" s="2"/>
      <c r="U606" s="10"/>
      <c r="V606" s="2"/>
      <c r="W606" s="7"/>
      <c r="X606" s="7"/>
      <c r="Y606" s="2"/>
      <c r="Z606" s="2"/>
      <c r="AA606" s="2"/>
    </row>
    <row r="607">
      <c r="A607" s="2"/>
      <c r="B607" s="2"/>
      <c r="C607" s="2"/>
      <c r="D607" s="2"/>
      <c r="E607" s="2"/>
      <c r="F607" s="2"/>
      <c r="G607" s="2"/>
      <c r="H607" s="2"/>
      <c r="I607" s="2"/>
      <c r="J607" s="2"/>
      <c r="K607" s="2"/>
      <c r="L607" s="2"/>
      <c r="M607" s="2"/>
      <c r="N607" s="2"/>
      <c r="O607" s="2"/>
      <c r="P607" s="2"/>
      <c r="Q607" s="2"/>
      <c r="R607" s="2"/>
      <c r="S607" s="7"/>
      <c r="T607" s="2"/>
      <c r="U607" s="10"/>
      <c r="V607" s="2"/>
      <c r="W607" s="7"/>
      <c r="X607" s="7"/>
      <c r="Y607" s="2"/>
      <c r="Z607" s="2"/>
      <c r="AA607" s="2"/>
    </row>
    <row r="608">
      <c r="A608" s="2"/>
      <c r="B608" s="2"/>
      <c r="C608" s="2"/>
      <c r="D608" s="2"/>
      <c r="E608" s="2"/>
      <c r="F608" s="2"/>
      <c r="G608" s="2"/>
      <c r="H608" s="2"/>
      <c r="I608" s="2"/>
      <c r="J608" s="2"/>
      <c r="K608" s="2"/>
      <c r="L608" s="2"/>
      <c r="M608" s="2"/>
      <c r="N608" s="2"/>
      <c r="O608" s="2"/>
      <c r="P608" s="2"/>
      <c r="Q608" s="2"/>
      <c r="R608" s="2"/>
      <c r="S608" s="7"/>
      <c r="T608" s="2"/>
      <c r="U608" s="10"/>
      <c r="V608" s="2"/>
      <c r="W608" s="7"/>
      <c r="X608" s="7"/>
      <c r="Y608" s="2"/>
      <c r="Z608" s="2"/>
      <c r="AA608" s="2"/>
    </row>
    <row r="609">
      <c r="A609" s="2"/>
      <c r="B609" s="2"/>
      <c r="C609" s="2"/>
      <c r="D609" s="2"/>
      <c r="E609" s="2"/>
      <c r="F609" s="2"/>
      <c r="G609" s="2"/>
      <c r="H609" s="2"/>
      <c r="I609" s="2"/>
      <c r="J609" s="2"/>
      <c r="K609" s="2"/>
      <c r="L609" s="2"/>
      <c r="M609" s="2"/>
      <c r="N609" s="2"/>
      <c r="O609" s="2"/>
      <c r="P609" s="2"/>
      <c r="Q609" s="2"/>
      <c r="R609" s="2"/>
      <c r="S609" s="7"/>
      <c r="T609" s="2"/>
      <c r="U609" s="10"/>
      <c r="V609" s="2"/>
      <c r="W609" s="7"/>
      <c r="X609" s="7"/>
      <c r="Y609" s="2"/>
      <c r="Z609" s="2"/>
      <c r="AA609" s="2"/>
    </row>
    <row r="610">
      <c r="A610" s="2"/>
      <c r="B610" s="2"/>
      <c r="C610" s="2"/>
      <c r="D610" s="2"/>
      <c r="E610" s="2"/>
      <c r="F610" s="2"/>
      <c r="G610" s="2"/>
      <c r="H610" s="2"/>
      <c r="I610" s="2"/>
      <c r="J610" s="2"/>
      <c r="K610" s="2"/>
      <c r="L610" s="2"/>
      <c r="M610" s="2"/>
      <c r="N610" s="2"/>
      <c r="O610" s="2"/>
      <c r="P610" s="2"/>
      <c r="Q610" s="2"/>
      <c r="R610" s="2"/>
      <c r="S610" s="7"/>
      <c r="T610" s="2"/>
      <c r="U610" s="10"/>
      <c r="V610" s="2"/>
      <c r="W610" s="7"/>
      <c r="X610" s="7"/>
      <c r="Y610" s="2"/>
      <c r="Z610" s="2"/>
      <c r="AA610" s="2"/>
    </row>
    <row r="611">
      <c r="A611" s="2"/>
      <c r="B611" s="2"/>
      <c r="C611" s="2"/>
      <c r="D611" s="2"/>
      <c r="E611" s="2"/>
      <c r="F611" s="2"/>
      <c r="G611" s="2"/>
      <c r="H611" s="2"/>
      <c r="I611" s="2"/>
      <c r="J611" s="2"/>
      <c r="K611" s="2"/>
      <c r="L611" s="2"/>
      <c r="M611" s="2"/>
      <c r="N611" s="2"/>
      <c r="O611" s="2"/>
      <c r="P611" s="2"/>
      <c r="Q611" s="2"/>
      <c r="R611" s="2"/>
      <c r="S611" s="7"/>
      <c r="T611" s="2"/>
      <c r="U611" s="10"/>
      <c r="V611" s="2"/>
      <c r="W611" s="7"/>
      <c r="X611" s="7"/>
      <c r="Y611" s="2"/>
      <c r="Z611" s="2"/>
      <c r="AA611" s="2"/>
    </row>
    <row r="612">
      <c r="A612" s="2"/>
      <c r="B612" s="2"/>
      <c r="C612" s="2"/>
      <c r="D612" s="2"/>
      <c r="E612" s="2"/>
      <c r="F612" s="2"/>
      <c r="G612" s="2"/>
      <c r="H612" s="2"/>
      <c r="I612" s="2"/>
      <c r="J612" s="2"/>
      <c r="K612" s="2"/>
      <c r="L612" s="2"/>
      <c r="M612" s="2"/>
      <c r="N612" s="2"/>
      <c r="O612" s="2"/>
      <c r="P612" s="2"/>
      <c r="Q612" s="2"/>
      <c r="R612" s="2"/>
      <c r="S612" s="7"/>
      <c r="T612" s="2"/>
      <c r="U612" s="10"/>
      <c r="V612" s="2"/>
      <c r="W612" s="7"/>
      <c r="X612" s="7"/>
      <c r="Y612" s="2"/>
      <c r="Z612" s="2"/>
      <c r="AA612" s="2"/>
    </row>
    <row r="613">
      <c r="A613" s="2"/>
      <c r="B613" s="2"/>
      <c r="C613" s="2"/>
      <c r="D613" s="2"/>
      <c r="E613" s="2"/>
      <c r="F613" s="2"/>
      <c r="G613" s="2"/>
      <c r="H613" s="2"/>
      <c r="I613" s="2"/>
      <c r="J613" s="2"/>
      <c r="K613" s="2"/>
      <c r="L613" s="2"/>
      <c r="M613" s="2"/>
      <c r="N613" s="2"/>
      <c r="O613" s="2"/>
      <c r="P613" s="2"/>
      <c r="Q613" s="2"/>
      <c r="R613" s="2"/>
      <c r="S613" s="7"/>
      <c r="T613" s="2"/>
      <c r="U613" s="10"/>
      <c r="V613" s="2"/>
      <c r="W613" s="7"/>
      <c r="X613" s="7"/>
      <c r="Y613" s="2"/>
      <c r="Z613" s="2"/>
      <c r="AA613" s="2"/>
    </row>
    <row r="614">
      <c r="A614" s="2"/>
      <c r="B614" s="2"/>
      <c r="C614" s="2"/>
      <c r="D614" s="2"/>
      <c r="E614" s="2"/>
      <c r="F614" s="2"/>
      <c r="G614" s="2"/>
      <c r="H614" s="2"/>
      <c r="I614" s="2"/>
      <c r="J614" s="2"/>
      <c r="K614" s="2"/>
      <c r="L614" s="2"/>
      <c r="M614" s="2"/>
      <c r="N614" s="2"/>
      <c r="O614" s="2"/>
      <c r="P614" s="2"/>
      <c r="Q614" s="2"/>
      <c r="R614" s="2"/>
      <c r="S614" s="7"/>
      <c r="T614" s="2"/>
      <c r="U614" s="10"/>
      <c r="V614" s="2"/>
      <c r="W614" s="7"/>
      <c r="X614" s="7"/>
      <c r="Y614" s="2"/>
      <c r="Z614" s="2"/>
      <c r="AA614" s="2"/>
    </row>
    <row r="615">
      <c r="A615" s="2"/>
      <c r="B615" s="2"/>
      <c r="C615" s="2"/>
      <c r="D615" s="2"/>
      <c r="E615" s="2"/>
      <c r="F615" s="2"/>
      <c r="G615" s="2"/>
      <c r="H615" s="2"/>
      <c r="I615" s="2"/>
      <c r="J615" s="2"/>
      <c r="K615" s="2"/>
      <c r="L615" s="2"/>
      <c r="M615" s="2"/>
      <c r="N615" s="2"/>
      <c r="O615" s="2"/>
      <c r="P615" s="2"/>
      <c r="Q615" s="2"/>
      <c r="R615" s="2"/>
      <c r="S615" s="7"/>
      <c r="T615" s="2"/>
      <c r="U615" s="10"/>
      <c r="V615" s="2"/>
      <c r="W615" s="7"/>
      <c r="X615" s="7"/>
      <c r="Y615" s="2"/>
      <c r="Z615" s="2"/>
      <c r="AA615" s="2"/>
    </row>
    <row r="616">
      <c r="A616" s="2"/>
      <c r="B616" s="2"/>
      <c r="C616" s="2"/>
      <c r="D616" s="2"/>
      <c r="E616" s="2"/>
      <c r="F616" s="2"/>
      <c r="G616" s="2"/>
      <c r="H616" s="2"/>
      <c r="I616" s="2"/>
      <c r="J616" s="2"/>
      <c r="K616" s="2"/>
      <c r="L616" s="2"/>
      <c r="M616" s="2"/>
      <c r="N616" s="2"/>
      <c r="O616" s="2"/>
      <c r="P616" s="2"/>
      <c r="Q616" s="2"/>
      <c r="R616" s="2"/>
      <c r="S616" s="7"/>
      <c r="T616" s="2"/>
      <c r="U616" s="10"/>
      <c r="V616" s="2"/>
      <c r="W616" s="7"/>
      <c r="X616" s="7"/>
      <c r="Y616" s="2"/>
      <c r="Z616" s="2"/>
      <c r="AA616" s="2"/>
    </row>
    <row r="617">
      <c r="A617" s="2"/>
      <c r="B617" s="2"/>
      <c r="C617" s="2"/>
      <c r="D617" s="2"/>
      <c r="E617" s="2"/>
      <c r="F617" s="2"/>
      <c r="G617" s="2"/>
      <c r="H617" s="2"/>
      <c r="I617" s="2"/>
      <c r="J617" s="2"/>
      <c r="K617" s="2"/>
      <c r="L617" s="2"/>
      <c r="M617" s="2"/>
      <c r="N617" s="2"/>
      <c r="O617" s="2"/>
      <c r="P617" s="2"/>
      <c r="Q617" s="2"/>
      <c r="R617" s="2"/>
      <c r="S617" s="7"/>
      <c r="T617" s="2"/>
      <c r="U617" s="10"/>
      <c r="V617" s="2"/>
      <c r="W617" s="7"/>
      <c r="X617" s="7"/>
      <c r="Y617" s="2"/>
      <c r="Z617" s="2"/>
      <c r="AA617" s="2"/>
    </row>
    <row r="618">
      <c r="A618" s="2"/>
      <c r="B618" s="2"/>
      <c r="C618" s="2"/>
      <c r="D618" s="2"/>
      <c r="E618" s="2"/>
      <c r="F618" s="2"/>
      <c r="G618" s="2"/>
      <c r="H618" s="2"/>
      <c r="I618" s="2"/>
      <c r="J618" s="2"/>
      <c r="K618" s="2"/>
      <c r="L618" s="2"/>
      <c r="M618" s="2"/>
      <c r="N618" s="2"/>
      <c r="O618" s="2"/>
      <c r="P618" s="2"/>
      <c r="Q618" s="2"/>
      <c r="R618" s="2"/>
      <c r="S618" s="7"/>
      <c r="T618" s="2"/>
      <c r="U618" s="10"/>
      <c r="V618" s="2"/>
      <c r="W618" s="7"/>
      <c r="X618" s="7"/>
      <c r="Y618" s="2"/>
      <c r="Z618" s="2"/>
      <c r="AA618" s="2"/>
    </row>
    <row r="619">
      <c r="A619" s="2"/>
      <c r="B619" s="2"/>
      <c r="C619" s="2"/>
      <c r="D619" s="2"/>
      <c r="E619" s="2"/>
      <c r="F619" s="2"/>
      <c r="G619" s="2"/>
      <c r="H619" s="2"/>
      <c r="I619" s="2"/>
      <c r="J619" s="2"/>
      <c r="K619" s="2"/>
      <c r="L619" s="2"/>
      <c r="M619" s="2"/>
      <c r="N619" s="2"/>
      <c r="O619" s="2"/>
      <c r="P619" s="2"/>
      <c r="Q619" s="2"/>
      <c r="R619" s="2"/>
      <c r="S619" s="7"/>
      <c r="T619" s="2"/>
      <c r="U619" s="10"/>
      <c r="V619" s="2"/>
      <c r="W619" s="7"/>
      <c r="X619" s="7"/>
      <c r="Y619" s="2"/>
      <c r="Z619" s="2"/>
      <c r="AA619" s="2"/>
    </row>
    <row r="620">
      <c r="A620" s="2"/>
      <c r="B620" s="2"/>
      <c r="C620" s="2"/>
      <c r="D620" s="2"/>
      <c r="E620" s="2"/>
      <c r="F620" s="2"/>
      <c r="G620" s="2"/>
      <c r="H620" s="2"/>
      <c r="I620" s="2"/>
      <c r="J620" s="2"/>
      <c r="K620" s="2"/>
      <c r="L620" s="2"/>
      <c r="M620" s="2"/>
      <c r="N620" s="2"/>
      <c r="O620" s="2"/>
      <c r="P620" s="2"/>
      <c r="Q620" s="2"/>
      <c r="R620" s="2"/>
      <c r="S620" s="7"/>
      <c r="T620" s="2"/>
      <c r="U620" s="10"/>
      <c r="V620" s="2"/>
      <c r="W620" s="7"/>
      <c r="X620" s="7"/>
      <c r="Y620" s="2"/>
      <c r="Z620" s="2"/>
      <c r="AA620" s="2"/>
    </row>
    <row r="621">
      <c r="A621" s="2"/>
      <c r="B621" s="2"/>
      <c r="C621" s="2"/>
      <c r="D621" s="2"/>
      <c r="E621" s="2"/>
      <c r="F621" s="2"/>
      <c r="G621" s="2"/>
      <c r="H621" s="2"/>
      <c r="I621" s="2"/>
      <c r="J621" s="2"/>
      <c r="K621" s="2"/>
      <c r="L621" s="2"/>
      <c r="M621" s="2"/>
      <c r="N621" s="2"/>
      <c r="O621" s="2"/>
      <c r="P621" s="2"/>
      <c r="Q621" s="2"/>
      <c r="R621" s="2"/>
      <c r="S621" s="7"/>
      <c r="T621" s="2"/>
      <c r="U621" s="10"/>
      <c r="V621" s="2"/>
      <c r="W621" s="7"/>
      <c r="X621" s="7"/>
      <c r="Y621" s="2"/>
      <c r="Z621" s="2"/>
      <c r="AA621" s="2"/>
    </row>
    <row r="622">
      <c r="A622" s="2"/>
      <c r="B622" s="2"/>
      <c r="C622" s="2"/>
      <c r="D622" s="2"/>
      <c r="E622" s="2"/>
      <c r="F622" s="2"/>
      <c r="G622" s="2"/>
      <c r="H622" s="2"/>
      <c r="I622" s="2"/>
      <c r="J622" s="2"/>
      <c r="K622" s="2"/>
      <c r="L622" s="2"/>
      <c r="M622" s="2"/>
      <c r="N622" s="2"/>
      <c r="O622" s="2"/>
      <c r="P622" s="2"/>
      <c r="Q622" s="2"/>
      <c r="R622" s="2"/>
      <c r="S622" s="7"/>
      <c r="T622" s="2"/>
      <c r="U622" s="10"/>
      <c r="V622" s="2"/>
      <c r="W622" s="7"/>
      <c r="X622" s="7"/>
      <c r="Y622" s="2"/>
      <c r="Z622" s="2"/>
      <c r="AA622" s="2"/>
    </row>
    <row r="623">
      <c r="A623" s="2"/>
      <c r="B623" s="2"/>
      <c r="C623" s="2"/>
      <c r="D623" s="2"/>
      <c r="E623" s="2"/>
      <c r="F623" s="2"/>
      <c r="G623" s="2"/>
      <c r="H623" s="2"/>
      <c r="I623" s="2"/>
      <c r="J623" s="2"/>
      <c r="K623" s="2"/>
      <c r="L623" s="2"/>
      <c r="M623" s="2"/>
      <c r="N623" s="2"/>
      <c r="O623" s="2"/>
      <c r="P623" s="2"/>
      <c r="Q623" s="2"/>
      <c r="R623" s="2"/>
      <c r="S623" s="7"/>
      <c r="T623" s="2"/>
      <c r="U623" s="10"/>
      <c r="V623" s="2"/>
      <c r="W623" s="7"/>
      <c r="X623" s="7"/>
      <c r="Y623" s="2"/>
      <c r="Z623" s="2"/>
      <c r="AA623" s="2"/>
    </row>
    <row r="624">
      <c r="A624" s="2"/>
      <c r="B624" s="2"/>
      <c r="C624" s="2"/>
      <c r="D624" s="2"/>
      <c r="E624" s="2"/>
      <c r="F624" s="2"/>
      <c r="G624" s="2"/>
      <c r="H624" s="2"/>
      <c r="I624" s="2"/>
      <c r="J624" s="2"/>
      <c r="K624" s="2"/>
      <c r="L624" s="2"/>
      <c r="M624" s="2"/>
      <c r="N624" s="2"/>
      <c r="O624" s="2"/>
      <c r="P624" s="2"/>
      <c r="Q624" s="2"/>
      <c r="R624" s="2"/>
      <c r="S624" s="7"/>
      <c r="T624" s="2"/>
      <c r="U624" s="10"/>
      <c r="V624" s="2"/>
      <c r="W624" s="7"/>
      <c r="X624" s="7"/>
      <c r="Y624" s="2"/>
      <c r="Z624" s="2"/>
      <c r="AA624" s="2"/>
    </row>
    <row r="625">
      <c r="A625" s="2"/>
      <c r="B625" s="2"/>
      <c r="C625" s="2"/>
      <c r="D625" s="2"/>
      <c r="E625" s="2"/>
      <c r="F625" s="2"/>
      <c r="G625" s="2"/>
      <c r="H625" s="2"/>
      <c r="I625" s="2"/>
      <c r="J625" s="2"/>
      <c r="K625" s="2"/>
      <c r="L625" s="2"/>
      <c r="M625" s="2"/>
      <c r="N625" s="2"/>
      <c r="O625" s="2"/>
      <c r="P625" s="2"/>
      <c r="Q625" s="2"/>
      <c r="R625" s="2"/>
      <c r="S625" s="7"/>
      <c r="T625" s="2"/>
      <c r="U625" s="10"/>
      <c r="V625" s="2"/>
      <c r="W625" s="7"/>
      <c r="X625" s="7"/>
      <c r="Y625" s="2"/>
      <c r="Z625" s="2"/>
      <c r="AA625" s="2"/>
    </row>
    <row r="626">
      <c r="A626" s="2"/>
      <c r="B626" s="2"/>
      <c r="C626" s="2"/>
      <c r="D626" s="2"/>
      <c r="E626" s="2"/>
      <c r="F626" s="2"/>
      <c r="G626" s="2"/>
      <c r="H626" s="2"/>
      <c r="I626" s="2"/>
      <c r="J626" s="2"/>
      <c r="K626" s="2"/>
      <c r="L626" s="2"/>
      <c r="M626" s="2"/>
      <c r="N626" s="2"/>
      <c r="O626" s="2"/>
      <c r="P626" s="2"/>
      <c r="Q626" s="2"/>
      <c r="R626" s="2"/>
      <c r="S626" s="7"/>
      <c r="T626" s="2"/>
      <c r="U626" s="10"/>
      <c r="V626" s="2"/>
      <c r="W626" s="7"/>
      <c r="X626" s="7"/>
      <c r="Y626" s="2"/>
      <c r="Z626" s="2"/>
      <c r="AA626" s="2"/>
    </row>
    <row r="627">
      <c r="A627" s="2"/>
      <c r="B627" s="2"/>
      <c r="C627" s="2"/>
      <c r="D627" s="2"/>
      <c r="E627" s="2"/>
      <c r="F627" s="2"/>
      <c r="G627" s="2"/>
      <c r="H627" s="2"/>
      <c r="I627" s="2"/>
      <c r="J627" s="2"/>
      <c r="K627" s="2"/>
      <c r="L627" s="2"/>
      <c r="M627" s="2"/>
      <c r="N627" s="2"/>
      <c r="O627" s="2"/>
      <c r="P627" s="2"/>
      <c r="Q627" s="2"/>
      <c r="R627" s="2"/>
      <c r="S627" s="7"/>
      <c r="T627" s="2"/>
      <c r="U627" s="10"/>
      <c r="V627" s="2"/>
      <c r="W627" s="7"/>
      <c r="X627" s="7"/>
      <c r="Y627" s="2"/>
      <c r="Z627" s="2"/>
      <c r="AA627" s="2"/>
    </row>
    <row r="628">
      <c r="A628" s="2"/>
      <c r="B628" s="2"/>
      <c r="C628" s="2"/>
      <c r="D628" s="2"/>
      <c r="E628" s="2"/>
      <c r="F628" s="2"/>
      <c r="G628" s="2"/>
      <c r="H628" s="2"/>
      <c r="I628" s="2"/>
      <c r="J628" s="2"/>
      <c r="K628" s="2"/>
      <c r="L628" s="2"/>
      <c r="M628" s="2"/>
      <c r="N628" s="2"/>
      <c r="O628" s="2"/>
      <c r="P628" s="2"/>
      <c r="Q628" s="2"/>
      <c r="R628" s="2"/>
      <c r="S628" s="7"/>
      <c r="T628" s="2"/>
      <c r="U628" s="10"/>
      <c r="V628" s="2"/>
      <c r="W628" s="7"/>
      <c r="X628" s="7"/>
      <c r="Y628" s="2"/>
      <c r="Z628" s="2"/>
      <c r="AA628" s="2"/>
    </row>
    <row r="629">
      <c r="A629" s="2"/>
      <c r="B629" s="2"/>
      <c r="C629" s="2"/>
      <c r="D629" s="2"/>
      <c r="E629" s="2"/>
      <c r="F629" s="2"/>
      <c r="G629" s="2"/>
      <c r="H629" s="2"/>
      <c r="I629" s="2"/>
      <c r="J629" s="2"/>
      <c r="K629" s="2"/>
      <c r="L629" s="2"/>
      <c r="M629" s="2"/>
      <c r="N629" s="2"/>
      <c r="O629" s="2"/>
      <c r="P629" s="2"/>
      <c r="Q629" s="2"/>
      <c r="R629" s="2"/>
      <c r="S629" s="7"/>
      <c r="T629" s="2"/>
      <c r="U629" s="10"/>
      <c r="V629" s="2"/>
      <c r="W629" s="7"/>
      <c r="X629" s="7"/>
      <c r="Y629" s="2"/>
      <c r="Z629" s="2"/>
      <c r="AA629" s="2"/>
    </row>
    <row r="630">
      <c r="A630" s="2"/>
      <c r="B630" s="2"/>
      <c r="C630" s="2"/>
      <c r="D630" s="2"/>
      <c r="E630" s="2"/>
      <c r="F630" s="2"/>
      <c r="G630" s="2"/>
      <c r="H630" s="2"/>
      <c r="I630" s="2"/>
      <c r="J630" s="2"/>
      <c r="K630" s="2"/>
      <c r="L630" s="2"/>
      <c r="M630" s="2"/>
      <c r="N630" s="2"/>
      <c r="O630" s="2"/>
      <c r="P630" s="2"/>
      <c r="Q630" s="2"/>
      <c r="R630" s="2"/>
      <c r="S630" s="7"/>
      <c r="T630" s="2"/>
      <c r="U630" s="10"/>
      <c r="V630" s="2"/>
      <c r="W630" s="7"/>
      <c r="X630" s="7"/>
      <c r="Y630" s="2"/>
      <c r="Z630" s="2"/>
      <c r="AA630" s="2"/>
    </row>
    <row r="631">
      <c r="A631" s="2"/>
      <c r="B631" s="2"/>
      <c r="C631" s="2"/>
      <c r="D631" s="2"/>
      <c r="E631" s="2"/>
      <c r="F631" s="2"/>
      <c r="G631" s="2"/>
      <c r="H631" s="2"/>
      <c r="I631" s="2"/>
      <c r="J631" s="2"/>
      <c r="K631" s="2"/>
      <c r="L631" s="2"/>
      <c r="M631" s="2"/>
      <c r="N631" s="2"/>
      <c r="O631" s="2"/>
      <c r="P631" s="2"/>
      <c r="Q631" s="2"/>
      <c r="R631" s="2"/>
      <c r="S631" s="7"/>
      <c r="T631" s="2"/>
      <c r="U631" s="10"/>
      <c r="V631" s="2"/>
      <c r="W631" s="7"/>
      <c r="X631" s="7"/>
      <c r="Y631" s="2"/>
      <c r="Z631" s="2"/>
      <c r="AA631" s="2"/>
    </row>
    <row r="632">
      <c r="A632" s="2"/>
      <c r="B632" s="2"/>
      <c r="C632" s="2"/>
      <c r="D632" s="2"/>
      <c r="E632" s="2"/>
      <c r="F632" s="2"/>
      <c r="G632" s="2"/>
      <c r="H632" s="2"/>
      <c r="I632" s="2"/>
      <c r="J632" s="2"/>
      <c r="K632" s="2"/>
      <c r="L632" s="2"/>
      <c r="M632" s="2"/>
      <c r="N632" s="2"/>
      <c r="O632" s="2"/>
      <c r="P632" s="2"/>
      <c r="Q632" s="2"/>
      <c r="R632" s="2"/>
      <c r="S632" s="7"/>
      <c r="T632" s="2"/>
      <c r="U632" s="10"/>
      <c r="V632" s="2"/>
      <c r="W632" s="7"/>
      <c r="X632" s="7"/>
      <c r="Y632" s="2"/>
      <c r="Z632" s="2"/>
      <c r="AA632" s="2"/>
    </row>
    <row r="633">
      <c r="A633" s="2"/>
      <c r="B633" s="2"/>
      <c r="C633" s="2"/>
      <c r="D633" s="2"/>
      <c r="E633" s="2"/>
      <c r="F633" s="2"/>
      <c r="G633" s="2"/>
      <c r="H633" s="2"/>
      <c r="I633" s="2"/>
      <c r="J633" s="2"/>
      <c r="K633" s="2"/>
      <c r="L633" s="2"/>
      <c r="M633" s="2"/>
      <c r="N633" s="2"/>
      <c r="O633" s="2"/>
      <c r="P633" s="2"/>
      <c r="Q633" s="2"/>
      <c r="R633" s="2"/>
      <c r="S633" s="7"/>
      <c r="T633" s="2"/>
      <c r="U633" s="10"/>
      <c r="V633" s="2"/>
      <c r="W633" s="7"/>
      <c r="X633" s="7"/>
      <c r="Y633" s="2"/>
      <c r="Z633" s="2"/>
      <c r="AA633" s="2"/>
    </row>
    <row r="634">
      <c r="A634" s="2"/>
      <c r="B634" s="2"/>
      <c r="C634" s="2"/>
      <c r="D634" s="2"/>
      <c r="E634" s="2"/>
      <c r="F634" s="2"/>
      <c r="G634" s="2"/>
      <c r="H634" s="2"/>
      <c r="I634" s="2"/>
      <c r="J634" s="2"/>
      <c r="K634" s="2"/>
      <c r="L634" s="2"/>
      <c r="M634" s="2"/>
      <c r="N634" s="2"/>
      <c r="O634" s="2"/>
      <c r="P634" s="2"/>
      <c r="Q634" s="2"/>
      <c r="R634" s="2"/>
      <c r="S634" s="7"/>
      <c r="T634" s="2"/>
      <c r="U634" s="10"/>
      <c r="V634" s="2"/>
      <c r="W634" s="7"/>
      <c r="X634" s="7"/>
      <c r="Y634" s="2"/>
      <c r="Z634" s="2"/>
      <c r="AA634" s="2"/>
    </row>
    <row r="635">
      <c r="A635" s="2"/>
      <c r="B635" s="2"/>
      <c r="C635" s="2"/>
      <c r="D635" s="2"/>
      <c r="E635" s="2"/>
      <c r="F635" s="2"/>
      <c r="G635" s="2"/>
      <c r="H635" s="2"/>
      <c r="I635" s="2"/>
      <c r="J635" s="2"/>
      <c r="K635" s="2"/>
      <c r="L635" s="2"/>
      <c r="M635" s="2"/>
      <c r="N635" s="2"/>
      <c r="O635" s="2"/>
      <c r="P635" s="2"/>
      <c r="Q635" s="2"/>
      <c r="R635" s="2"/>
      <c r="S635" s="7"/>
      <c r="T635" s="2"/>
      <c r="U635" s="10"/>
      <c r="V635" s="2"/>
      <c r="W635" s="7"/>
      <c r="X635" s="7"/>
      <c r="Y635" s="2"/>
      <c r="Z635" s="2"/>
      <c r="AA635" s="2"/>
    </row>
    <row r="636">
      <c r="A636" s="2"/>
      <c r="B636" s="2"/>
      <c r="C636" s="2"/>
      <c r="D636" s="2"/>
      <c r="E636" s="2"/>
      <c r="F636" s="2"/>
      <c r="G636" s="2"/>
      <c r="H636" s="2"/>
      <c r="I636" s="2"/>
      <c r="J636" s="2"/>
      <c r="K636" s="2"/>
      <c r="L636" s="2"/>
      <c r="M636" s="2"/>
      <c r="N636" s="2"/>
      <c r="O636" s="2"/>
      <c r="P636" s="2"/>
      <c r="Q636" s="2"/>
      <c r="R636" s="2"/>
      <c r="S636" s="7"/>
      <c r="T636" s="2"/>
      <c r="U636" s="10"/>
      <c r="V636" s="2"/>
      <c r="W636" s="7"/>
      <c r="X636" s="7"/>
      <c r="Y636" s="2"/>
      <c r="Z636" s="2"/>
      <c r="AA636" s="2"/>
    </row>
    <row r="637">
      <c r="A637" s="2"/>
      <c r="B637" s="2"/>
      <c r="C637" s="2"/>
      <c r="D637" s="2"/>
      <c r="E637" s="2"/>
      <c r="F637" s="2"/>
      <c r="G637" s="2"/>
      <c r="H637" s="2"/>
      <c r="I637" s="2"/>
      <c r="J637" s="2"/>
      <c r="K637" s="2"/>
      <c r="L637" s="2"/>
      <c r="M637" s="2"/>
      <c r="N637" s="2"/>
      <c r="O637" s="2"/>
      <c r="P637" s="2"/>
      <c r="Q637" s="2"/>
      <c r="R637" s="2"/>
      <c r="S637" s="7"/>
      <c r="T637" s="2"/>
      <c r="U637" s="10"/>
      <c r="V637" s="2"/>
      <c r="W637" s="7"/>
      <c r="X637" s="7"/>
      <c r="Y637" s="2"/>
      <c r="Z637" s="2"/>
      <c r="AA637" s="2"/>
    </row>
    <row r="638">
      <c r="A638" s="2"/>
      <c r="B638" s="2"/>
      <c r="C638" s="2"/>
      <c r="D638" s="2"/>
      <c r="E638" s="2"/>
      <c r="F638" s="2"/>
      <c r="G638" s="2"/>
      <c r="H638" s="2"/>
      <c r="I638" s="2"/>
      <c r="J638" s="2"/>
      <c r="K638" s="2"/>
      <c r="L638" s="2"/>
      <c r="M638" s="2"/>
      <c r="N638" s="2"/>
      <c r="O638" s="2"/>
      <c r="P638" s="2"/>
      <c r="Q638" s="2"/>
      <c r="R638" s="2"/>
      <c r="S638" s="7"/>
      <c r="T638" s="2"/>
      <c r="U638" s="10"/>
      <c r="V638" s="2"/>
      <c r="W638" s="7"/>
      <c r="X638" s="7"/>
      <c r="Y638" s="2"/>
      <c r="Z638" s="2"/>
      <c r="AA638" s="2"/>
    </row>
    <row r="639">
      <c r="A639" s="2"/>
      <c r="B639" s="2"/>
      <c r="C639" s="2"/>
      <c r="D639" s="2"/>
      <c r="E639" s="2"/>
      <c r="F639" s="2"/>
      <c r="G639" s="2"/>
      <c r="H639" s="2"/>
      <c r="I639" s="2"/>
      <c r="J639" s="2"/>
      <c r="K639" s="2"/>
      <c r="L639" s="2"/>
      <c r="M639" s="2"/>
      <c r="N639" s="2"/>
      <c r="O639" s="2"/>
      <c r="P639" s="2"/>
      <c r="Q639" s="2"/>
      <c r="R639" s="2"/>
      <c r="S639" s="7"/>
      <c r="T639" s="2"/>
      <c r="U639" s="10"/>
      <c r="V639" s="2"/>
      <c r="W639" s="7"/>
      <c r="X639" s="7"/>
      <c r="Y639" s="2"/>
      <c r="Z639" s="2"/>
      <c r="AA639" s="2"/>
    </row>
    <row r="640">
      <c r="A640" s="2"/>
      <c r="B640" s="2"/>
      <c r="C640" s="2"/>
      <c r="D640" s="2"/>
      <c r="E640" s="2"/>
      <c r="F640" s="2"/>
      <c r="G640" s="2"/>
      <c r="H640" s="2"/>
      <c r="I640" s="2"/>
      <c r="J640" s="2"/>
      <c r="K640" s="2"/>
      <c r="L640" s="2"/>
      <c r="M640" s="2"/>
      <c r="N640" s="2"/>
      <c r="O640" s="2"/>
      <c r="P640" s="2"/>
      <c r="Q640" s="2"/>
      <c r="R640" s="2"/>
      <c r="S640" s="7"/>
      <c r="T640" s="2"/>
      <c r="U640" s="10"/>
      <c r="V640" s="2"/>
      <c r="W640" s="7"/>
      <c r="X640" s="7"/>
      <c r="Y640" s="2"/>
      <c r="Z640" s="2"/>
      <c r="AA640" s="2"/>
    </row>
    <row r="641">
      <c r="A641" s="2"/>
      <c r="B641" s="2"/>
      <c r="C641" s="2"/>
      <c r="D641" s="2"/>
      <c r="E641" s="2"/>
      <c r="F641" s="2"/>
      <c r="G641" s="2"/>
      <c r="H641" s="2"/>
      <c r="I641" s="2"/>
      <c r="J641" s="2"/>
      <c r="K641" s="2"/>
      <c r="L641" s="2"/>
      <c r="M641" s="2"/>
      <c r="N641" s="2"/>
      <c r="O641" s="2"/>
      <c r="P641" s="2"/>
      <c r="Q641" s="2"/>
      <c r="R641" s="2"/>
      <c r="S641" s="7"/>
      <c r="T641" s="2"/>
      <c r="U641" s="10"/>
      <c r="V641" s="2"/>
      <c r="W641" s="7"/>
      <c r="X641" s="7"/>
      <c r="Y641" s="2"/>
      <c r="Z641" s="2"/>
      <c r="AA641" s="2"/>
    </row>
    <row r="642">
      <c r="A642" s="2"/>
      <c r="B642" s="2"/>
      <c r="C642" s="2"/>
      <c r="D642" s="2"/>
      <c r="E642" s="2"/>
      <c r="F642" s="2"/>
      <c r="G642" s="2"/>
      <c r="H642" s="2"/>
      <c r="I642" s="2"/>
      <c r="J642" s="2"/>
      <c r="K642" s="2"/>
      <c r="L642" s="2"/>
      <c r="M642" s="2"/>
      <c r="N642" s="2"/>
      <c r="O642" s="2"/>
      <c r="P642" s="2"/>
      <c r="Q642" s="2"/>
      <c r="R642" s="2"/>
      <c r="S642" s="7"/>
      <c r="T642" s="2"/>
      <c r="U642" s="10"/>
      <c r="V642" s="2"/>
      <c r="W642" s="7"/>
      <c r="X642" s="7"/>
      <c r="Y642" s="2"/>
      <c r="Z642" s="2"/>
      <c r="AA642" s="2"/>
    </row>
    <row r="643">
      <c r="A643" s="2"/>
      <c r="B643" s="2"/>
      <c r="C643" s="2"/>
      <c r="D643" s="2"/>
      <c r="E643" s="2"/>
      <c r="F643" s="2"/>
      <c r="G643" s="2"/>
      <c r="H643" s="2"/>
      <c r="I643" s="2"/>
      <c r="J643" s="2"/>
      <c r="K643" s="2"/>
      <c r="L643" s="2"/>
      <c r="M643" s="2"/>
      <c r="N643" s="2"/>
      <c r="O643" s="2"/>
      <c r="P643" s="2"/>
      <c r="Q643" s="2"/>
      <c r="R643" s="2"/>
      <c r="S643" s="7"/>
      <c r="T643" s="2"/>
      <c r="U643" s="10"/>
      <c r="V643" s="2"/>
      <c r="W643" s="7"/>
      <c r="X643" s="7"/>
      <c r="Y643" s="2"/>
      <c r="Z643" s="2"/>
      <c r="AA643" s="2"/>
    </row>
    <row r="644">
      <c r="A644" s="2"/>
      <c r="B644" s="2"/>
      <c r="C644" s="2"/>
      <c r="D644" s="2"/>
      <c r="E644" s="2"/>
      <c r="F644" s="2"/>
      <c r="G644" s="2"/>
      <c r="H644" s="2"/>
      <c r="I644" s="2"/>
      <c r="J644" s="2"/>
      <c r="K644" s="2"/>
      <c r="L644" s="2"/>
      <c r="M644" s="2"/>
      <c r="N644" s="2"/>
      <c r="O644" s="2"/>
      <c r="P644" s="2"/>
      <c r="Q644" s="2"/>
      <c r="R644" s="2"/>
      <c r="S644" s="7"/>
      <c r="T644" s="2"/>
      <c r="U644" s="10"/>
      <c r="V644" s="2"/>
      <c r="W644" s="7"/>
      <c r="X644" s="7"/>
      <c r="Y644" s="2"/>
      <c r="Z644" s="2"/>
      <c r="AA644" s="2"/>
    </row>
    <row r="645">
      <c r="A645" s="2"/>
      <c r="B645" s="2"/>
      <c r="C645" s="2"/>
      <c r="D645" s="2"/>
      <c r="E645" s="2"/>
      <c r="F645" s="2"/>
      <c r="G645" s="2"/>
      <c r="H645" s="2"/>
      <c r="I645" s="2"/>
      <c r="J645" s="2"/>
      <c r="K645" s="2"/>
      <c r="L645" s="2"/>
      <c r="M645" s="2"/>
      <c r="N645" s="2"/>
      <c r="O645" s="2"/>
      <c r="P645" s="2"/>
      <c r="Q645" s="2"/>
      <c r="R645" s="2"/>
      <c r="S645" s="7"/>
      <c r="T645" s="2"/>
      <c r="U645" s="10"/>
      <c r="V645" s="2"/>
      <c r="W645" s="7"/>
      <c r="X645" s="7"/>
      <c r="Y645" s="2"/>
      <c r="Z645" s="2"/>
      <c r="AA645" s="2"/>
    </row>
    <row r="646">
      <c r="A646" s="2"/>
      <c r="B646" s="2"/>
      <c r="C646" s="2"/>
      <c r="D646" s="2"/>
      <c r="E646" s="2"/>
      <c r="F646" s="2"/>
      <c r="G646" s="2"/>
      <c r="H646" s="2"/>
      <c r="I646" s="2"/>
      <c r="J646" s="2"/>
      <c r="K646" s="2"/>
      <c r="L646" s="2"/>
      <c r="M646" s="2"/>
      <c r="N646" s="2"/>
      <c r="O646" s="2"/>
      <c r="P646" s="2"/>
      <c r="Q646" s="2"/>
      <c r="R646" s="2"/>
      <c r="S646" s="7"/>
      <c r="T646" s="2"/>
      <c r="U646" s="10"/>
      <c r="V646" s="2"/>
      <c r="W646" s="7"/>
      <c r="X646" s="7"/>
      <c r="Y646" s="2"/>
      <c r="Z646" s="2"/>
      <c r="AA646" s="2"/>
    </row>
    <row r="647">
      <c r="A647" s="2"/>
      <c r="B647" s="2"/>
      <c r="C647" s="2"/>
      <c r="D647" s="2"/>
      <c r="E647" s="2"/>
      <c r="F647" s="2"/>
      <c r="G647" s="2"/>
      <c r="H647" s="2"/>
      <c r="I647" s="2"/>
      <c r="J647" s="2"/>
      <c r="K647" s="2"/>
      <c r="L647" s="2"/>
      <c r="M647" s="2"/>
      <c r="N647" s="2"/>
      <c r="O647" s="2"/>
      <c r="P647" s="2"/>
      <c r="Q647" s="2"/>
      <c r="R647" s="2"/>
      <c r="S647" s="7"/>
      <c r="T647" s="2"/>
      <c r="U647" s="10"/>
      <c r="V647" s="2"/>
      <c r="W647" s="7"/>
      <c r="X647" s="7"/>
      <c r="Y647" s="2"/>
      <c r="Z647" s="2"/>
      <c r="AA647" s="2"/>
    </row>
    <row r="648">
      <c r="A648" s="2"/>
      <c r="B648" s="2"/>
      <c r="C648" s="2"/>
      <c r="D648" s="2"/>
      <c r="E648" s="2"/>
      <c r="F648" s="2"/>
      <c r="G648" s="2"/>
      <c r="H648" s="2"/>
      <c r="I648" s="2"/>
      <c r="J648" s="2"/>
      <c r="K648" s="2"/>
      <c r="L648" s="2"/>
      <c r="M648" s="2"/>
      <c r="N648" s="2"/>
      <c r="O648" s="2"/>
      <c r="P648" s="2"/>
      <c r="Q648" s="2"/>
      <c r="R648" s="2"/>
      <c r="S648" s="7"/>
      <c r="T648" s="2"/>
      <c r="U648" s="10"/>
      <c r="V648" s="2"/>
      <c r="W648" s="7"/>
      <c r="X648" s="7"/>
      <c r="Y648" s="2"/>
      <c r="Z648" s="2"/>
      <c r="AA648" s="2"/>
    </row>
    <row r="649">
      <c r="A649" s="2"/>
      <c r="B649" s="2"/>
      <c r="C649" s="2"/>
      <c r="D649" s="2"/>
      <c r="E649" s="2"/>
      <c r="F649" s="2"/>
      <c r="G649" s="2"/>
      <c r="H649" s="2"/>
      <c r="I649" s="2"/>
      <c r="J649" s="2"/>
      <c r="K649" s="2"/>
      <c r="L649" s="2"/>
      <c r="M649" s="2"/>
      <c r="N649" s="2"/>
      <c r="O649" s="2"/>
      <c r="P649" s="2"/>
      <c r="Q649" s="2"/>
      <c r="R649" s="2"/>
      <c r="S649" s="7"/>
      <c r="T649" s="2"/>
      <c r="U649" s="10"/>
      <c r="V649" s="2"/>
      <c r="W649" s="7"/>
      <c r="X649" s="7"/>
      <c r="Y649" s="2"/>
      <c r="Z649" s="2"/>
      <c r="AA649" s="2"/>
    </row>
    <row r="650">
      <c r="A650" s="2"/>
      <c r="B650" s="2"/>
      <c r="C650" s="2"/>
      <c r="D650" s="2"/>
      <c r="E650" s="2"/>
      <c r="F650" s="2"/>
      <c r="G650" s="2"/>
      <c r="H650" s="2"/>
      <c r="I650" s="2"/>
      <c r="J650" s="2"/>
      <c r="K650" s="2"/>
      <c r="L650" s="2"/>
      <c r="M650" s="2"/>
      <c r="N650" s="2"/>
      <c r="O650" s="2"/>
      <c r="P650" s="2"/>
      <c r="Q650" s="2"/>
      <c r="R650" s="2"/>
      <c r="S650" s="7"/>
      <c r="T650" s="2"/>
      <c r="U650" s="10"/>
      <c r="V650" s="2"/>
      <c r="W650" s="7"/>
      <c r="X650" s="7"/>
      <c r="Y650" s="2"/>
      <c r="Z650" s="2"/>
      <c r="AA650" s="2"/>
    </row>
    <row r="651">
      <c r="A651" s="2"/>
      <c r="B651" s="2"/>
      <c r="C651" s="2"/>
      <c r="D651" s="2"/>
      <c r="E651" s="2"/>
      <c r="F651" s="2"/>
      <c r="G651" s="2"/>
      <c r="H651" s="2"/>
      <c r="I651" s="2"/>
      <c r="J651" s="2"/>
      <c r="K651" s="2"/>
      <c r="L651" s="2"/>
      <c r="M651" s="2"/>
      <c r="N651" s="2"/>
      <c r="O651" s="2"/>
      <c r="P651" s="2"/>
      <c r="Q651" s="2"/>
      <c r="R651" s="2"/>
      <c r="S651" s="7"/>
      <c r="T651" s="2"/>
      <c r="U651" s="10"/>
      <c r="V651" s="2"/>
      <c r="W651" s="7"/>
      <c r="X651" s="7"/>
      <c r="Y651" s="2"/>
      <c r="Z651" s="2"/>
      <c r="AA651" s="2"/>
    </row>
    <row r="652">
      <c r="A652" s="2"/>
      <c r="B652" s="2"/>
      <c r="C652" s="2"/>
      <c r="D652" s="2"/>
      <c r="E652" s="2"/>
      <c r="F652" s="2"/>
      <c r="G652" s="2"/>
      <c r="H652" s="2"/>
      <c r="I652" s="2"/>
      <c r="J652" s="2"/>
      <c r="K652" s="2"/>
      <c r="L652" s="2"/>
      <c r="M652" s="2"/>
      <c r="N652" s="2"/>
      <c r="O652" s="2"/>
      <c r="P652" s="2"/>
      <c r="Q652" s="2"/>
      <c r="R652" s="2"/>
      <c r="S652" s="7"/>
      <c r="T652" s="2"/>
      <c r="U652" s="10"/>
      <c r="V652" s="2"/>
      <c r="W652" s="7"/>
      <c r="X652" s="7"/>
      <c r="Y652" s="2"/>
      <c r="Z652" s="2"/>
      <c r="AA652" s="2"/>
    </row>
    <row r="653">
      <c r="A653" s="2"/>
      <c r="B653" s="2"/>
      <c r="C653" s="2"/>
      <c r="D653" s="2"/>
      <c r="E653" s="2"/>
      <c r="F653" s="2"/>
      <c r="G653" s="2"/>
      <c r="H653" s="2"/>
      <c r="I653" s="2"/>
      <c r="J653" s="2"/>
      <c r="K653" s="2"/>
      <c r="L653" s="2"/>
      <c r="M653" s="2"/>
      <c r="N653" s="2"/>
      <c r="O653" s="2"/>
      <c r="P653" s="2"/>
      <c r="Q653" s="2"/>
      <c r="R653" s="2"/>
      <c r="S653" s="7"/>
      <c r="T653" s="2"/>
      <c r="U653" s="10"/>
      <c r="V653" s="2"/>
      <c r="W653" s="7"/>
      <c r="X653" s="7"/>
      <c r="Y653" s="2"/>
      <c r="Z653" s="2"/>
      <c r="AA653" s="2"/>
    </row>
    <row r="654">
      <c r="A654" s="2"/>
      <c r="B654" s="2"/>
      <c r="C654" s="2"/>
      <c r="D654" s="2"/>
      <c r="E654" s="2"/>
      <c r="F654" s="2"/>
      <c r="G654" s="2"/>
      <c r="H654" s="2"/>
      <c r="I654" s="2"/>
      <c r="J654" s="2"/>
      <c r="K654" s="2"/>
      <c r="L654" s="2"/>
      <c r="M654" s="2"/>
      <c r="N654" s="2"/>
      <c r="O654" s="2"/>
      <c r="P654" s="2"/>
      <c r="Q654" s="2"/>
      <c r="R654" s="2"/>
      <c r="S654" s="7"/>
      <c r="T654" s="2"/>
      <c r="U654" s="10"/>
      <c r="V654" s="2"/>
      <c r="W654" s="7"/>
      <c r="X654" s="7"/>
      <c r="Y654" s="2"/>
      <c r="Z654" s="2"/>
      <c r="AA654" s="2"/>
    </row>
    <row r="655">
      <c r="A655" s="2"/>
      <c r="B655" s="2"/>
      <c r="C655" s="2"/>
      <c r="D655" s="2"/>
      <c r="E655" s="2"/>
      <c r="F655" s="2"/>
      <c r="G655" s="2"/>
      <c r="H655" s="2"/>
      <c r="I655" s="2"/>
      <c r="J655" s="2"/>
      <c r="K655" s="2"/>
      <c r="L655" s="2"/>
      <c r="M655" s="2"/>
      <c r="N655" s="2"/>
      <c r="O655" s="2"/>
      <c r="P655" s="2"/>
      <c r="Q655" s="2"/>
      <c r="R655" s="2"/>
      <c r="S655" s="7"/>
      <c r="T655" s="2"/>
      <c r="U655" s="10"/>
      <c r="V655" s="2"/>
      <c r="W655" s="7"/>
      <c r="X655" s="7"/>
      <c r="Y655" s="2"/>
      <c r="Z655" s="2"/>
      <c r="AA655" s="2"/>
    </row>
    <row r="656">
      <c r="A656" s="2"/>
      <c r="B656" s="2"/>
      <c r="C656" s="2"/>
      <c r="D656" s="2"/>
      <c r="E656" s="2"/>
      <c r="F656" s="2"/>
      <c r="G656" s="2"/>
      <c r="H656" s="2"/>
      <c r="I656" s="2"/>
      <c r="J656" s="2"/>
      <c r="K656" s="2"/>
      <c r="L656" s="2"/>
      <c r="M656" s="2"/>
      <c r="N656" s="2"/>
      <c r="O656" s="2"/>
      <c r="P656" s="2"/>
      <c r="Q656" s="2"/>
      <c r="R656" s="2"/>
      <c r="S656" s="7"/>
      <c r="T656" s="2"/>
      <c r="U656" s="10"/>
      <c r="V656" s="2"/>
      <c r="W656" s="7"/>
      <c r="X656" s="7"/>
      <c r="Y656" s="2"/>
      <c r="Z656" s="2"/>
      <c r="AA656" s="2"/>
    </row>
    <row r="657">
      <c r="A657" s="2"/>
      <c r="B657" s="2"/>
      <c r="C657" s="2"/>
      <c r="D657" s="2"/>
      <c r="E657" s="2"/>
      <c r="F657" s="2"/>
      <c r="G657" s="2"/>
      <c r="H657" s="2"/>
      <c r="I657" s="2"/>
      <c r="J657" s="2"/>
      <c r="K657" s="2"/>
      <c r="L657" s="2"/>
      <c r="M657" s="2"/>
      <c r="N657" s="2"/>
      <c r="O657" s="2"/>
      <c r="P657" s="2"/>
      <c r="Q657" s="2"/>
      <c r="R657" s="2"/>
      <c r="S657" s="7"/>
      <c r="T657" s="2"/>
      <c r="U657" s="10"/>
      <c r="V657" s="2"/>
      <c r="W657" s="7"/>
      <c r="X657" s="7"/>
      <c r="Y657" s="2"/>
      <c r="Z657" s="2"/>
      <c r="AA657" s="2"/>
    </row>
    <row r="658">
      <c r="A658" s="2"/>
      <c r="B658" s="2"/>
      <c r="C658" s="2"/>
      <c r="D658" s="2"/>
      <c r="E658" s="2"/>
      <c r="F658" s="2"/>
      <c r="G658" s="2"/>
      <c r="H658" s="2"/>
      <c r="I658" s="2"/>
      <c r="J658" s="2"/>
      <c r="K658" s="2"/>
      <c r="L658" s="2"/>
      <c r="M658" s="2"/>
      <c r="N658" s="2"/>
      <c r="O658" s="2"/>
      <c r="P658" s="2"/>
      <c r="Q658" s="2"/>
      <c r="R658" s="2"/>
      <c r="S658" s="7"/>
      <c r="T658" s="2"/>
      <c r="U658" s="10"/>
      <c r="V658" s="2"/>
      <c r="W658" s="7"/>
      <c r="X658" s="7"/>
      <c r="Y658" s="2"/>
      <c r="Z658" s="2"/>
      <c r="AA658" s="2"/>
    </row>
    <row r="659">
      <c r="A659" s="2"/>
      <c r="B659" s="2"/>
      <c r="C659" s="2"/>
      <c r="D659" s="2"/>
      <c r="E659" s="2"/>
      <c r="F659" s="2"/>
      <c r="G659" s="2"/>
      <c r="H659" s="2"/>
      <c r="I659" s="2"/>
      <c r="J659" s="2"/>
      <c r="K659" s="2"/>
      <c r="L659" s="2"/>
      <c r="M659" s="2"/>
      <c r="N659" s="2"/>
      <c r="O659" s="2"/>
      <c r="P659" s="2"/>
      <c r="Q659" s="2"/>
      <c r="R659" s="2"/>
      <c r="S659" s="7"/>
      <c r="T659" s="2"/>
      <c r="U659" s="10"/>
      <c r="V659" s="2"/>
      <c r="W659" s="7"/>
      <c r="X659" s="7"/>
      <c r="Y659" s="2"/>
      <c r="Z659" s="2"/>
      <c r="AA659" s="2"/>
    </row>
    <row r="660">
      <c r="A660" s="2"/>
      <c r="B660" s="2"/>
      <c r="C660" s="2"/>
      <c r="D660" s="2"/>
      <c r="E660" s="2"/>
      <c r="F660" s="2"/>
      <c r="G660" s="2"/>
      <c r="H660" s="2"/>
      <c r="I660" s="2"/>
      <c r="J660" s="2"/>
      <c r="K660" s="2"/>
      <c r="L660" s="2"/>
      <c r="M660" s="2"/>
      <c r="N660" s="2"/>
      <c r="O660" s="2"/>
      <c r="P660" s="2"/>
      <c r="Q660" s="2"/>
      <c r="R660" s="2"/>
      <c r="S660" s="7"/>
      <c r="T660" s="2"/>
      <c r="U660" s="10"/>
      <c r="V660" s="2"/>
      <c r="W660" s="7"/>
      <c r="X660" s="7"/>
      <c r="Y660" s="2"/>
      <c r="Z660" s="2"/>
      <c r="AA660" s="2"/>
    </row>
    <row r="661">
      <c r="A661" s="2"/>
      <c r="B661" s="2"/>
      <c r="C661" s="2"/>
      <c r="D661" s="2"/>
      <c r="E661" s="2"/>
      <c r="F661" s="2"/>
      <c r="G661" s="2"/>
      <c r="H661" s="2"/>
      <c r="I661" s="2"/>
      <c r="J661" s="2"/>
      <c r="K661" s="2"/>
      <c r="L661" s="2"/>
      <c r="M661" s="2"/>
      <c r="N661" s="2"/>
      <c r="O661" s="2"/>
      <c r="P661" s="2"/>
      <c r="Q661" s="2"/>
      <c r="R661" s="2"/>
      <c r="S661" s="7"/>
      <c r="T661" s="2"/>
      <c r="U661" s="10"/>
      <c r="V661" s="2"/>
      <c r="W661" s="7"/>
      <c r="X661" s="7"/>
      <c r="Y661" s="2"/>
      <c r="Z661" s="2"/>
      <c r="AA661" s="2"/>
    </row>
    <row r="662">
      <c r="A662" s="2"/>
      <c r="B662" s="2"/>
      <c r="C662" s="2"/>
      <c r="D662" s="2"/>
      <c r="E662" s="2"/>
      <c r="F662" s="2"/>
      <c r="G662" s="2"/>
      <c r="H662" s="2"/>
      <c r="I662" s="2"/>
      <c r="J662" s="2"/>
      <c r="K662" s="2"/>
      <c r="L662" s="2"/>
      <c r="M662" s="2"/>
      <c r="N662" s="2"/>
      <c r="O662" s="2"/>
      <c r="P662" s="2"/>
      <c r="Q662" s="2"/>
      <c r="R662" s="2"/>
      <c r="S662" s="7"/>
      <c r="T662" s="2"/>
      <c r="U662" s="10"/>
      <c r="V662" s="2"/>
      <c r="W662" s="7"/>
      <c r="X662" s="7"/>
      <c r="Y662" s="2"/>
      <c r="Z662" s="2"/>
      <c r="AA662" s="2"/>
    </row>
    <row r="663">
      <c r="A663" s="2"/>
      <c r="B663" s="2"/>
      <c r="C663" s="2"/>
      <c r="D663" s="2"/>
      <c r="E663" s="2"/>
      <c r="F663" s="2"/>
      <c r="G663" s="2"/>
      <c r="H663" s="2"/>
      <c r="I663" s="2"/>
      <c r="J663" s="2"/>
      <c r="K663" s="2"/>
      <c r="L663" s="2"/>
      <c r="M663" s="2"/>
      <c r="N663" s="2"/>
      <c r="O663" s="2"/>
      <c r="P663" s="2"/>
      <c r="Q663" s="2"/>
      <c r="R663" s="2"/>
      <c r="S663" s="7"/>
      <c r="T663" s="2"/>
      <c r="U663" s="10"/>
      <c r="V663" s="2"/>
      <c r="W663" s="7"/>
      <c r="X663" s="7"/>
      <c r="Y663" s="2"/>
      <c r="Z663" s="2"/>
      <c r="AA663" s="2"/>
    </row>
    <row r="664">
      <c r="A664" s="2"/>
      <c r="B664" s="2"/>
      <c r="C664" s="2"/>
      <c r="D664" s="2"/>
      <c r="E664" s="2"/>
      <c r="F664" s="2"/>
      <c r="G664" s="2"/>
      <c r="H664" s="2"/>
      <c r="I664" s="2"/>
      <c r="J664" s="2"/>
      <c r="K664" s="2"/>
      <c r="L664" s="2"/>
      <c r="M664" s="2"/>
      <c r="N664" s="2"/>
      <c r="O664" s="2"/>
      <c r="P664" s="2"/>
      <c r="Q664" s="2"/>
      <c r="R664" s="2"/>
      <c r="S664" s="7"/>
      <c r="T664" s="2"/>
      <c r="U664" s="10"/>
      <c r="V664" s="2"/>
      <c r="W664" s="7"/>
      <c r="X664" s="7"/>
      <c r="Y664" s="2"/>
      <c r="Z664" s="2"/>
      <c r="AA664" s="2"/>
    </row>
    <row r="665">
      <c r="A665" s="2"/>
      <c r="B665" s="2"/>
      <c r="C665" s="2"/>
      <c r="D665" s="2"/>
      <c r="E665" s="2"/>
      <c r="F665" s="2"/>
      <c r="G665" s="2"/>
      <c r="H665" s="2"/>
      <c r="I665" s="2"/>
      <c r="J665" s="2"/>
      <c r="K665" s="2"/>
      <c r="L665" s="2"/>
      <c r="M665" s="2"/>
      <c r="N665" s="2"/>
      <c r="O665" s="2"/>
      <c r="P665" s="2"/>
      <c r="Q665" s="2"/>
      <c r="R665" s="2"/>
      <c r="S665" s="7"/>
      <c r="T665" s="2"/>
      <c r="U665" s="10"/>
      <c r="V665" s="2"/>
      <c r="W665" s="7"/>
      <c r="X665" s="7"/>
      <c r="Y665" s="2"/>
      <c r="Z665" s="2"/>
      <c r="AA665" s="2"/>
    </row>
    <row r="666">
      <c r="A666" s="2"/>
      <c r="B666" s="2"/>
      <c r="C666" s="2"/>
      <c r="D666" s="2"/>
      <c r="E666" s="2"/>
      <c r="F666" s="2"/>
      <c r="G666" s="2"/>
      <c r="H666" s="2"/>
      <c r="I666" s="2"/>
      <c r="J666" s="2"/>
      <c r="K666" s="2"/>
      <c r="L666" s="2"/>
      <c r="M666" s="2"/>
      <c r="N666" s="2"/>
      <c r="O666" s="2"/>
      <c r="P666" s="2"/>
      <c r="Q666" s="2"/>
      <c r="R666" s="2"/>
      <c r="S666" s="7"/>
      <c r="T666" s="2"/>
      <c r="U666" s="10"/>
      <c r="V666" s="2"/>
      <c r="W666" s="7"/>
      <c r="X666" s="7"/>
      <c r="Y666" s="2"/>
      <c r="Z666" s="2"/>
      <c r="AA666" s="2"/>
    </row>
    <row r="667">
      <c r="A667" s="2"/>
      <c r="B667" s="2"/>
      <c r="C667" s="2"/>
      <c r="D667" s="2"/>
      <c r="E667" s="2"/>
      <c r="F667" s="2"/>
      <c r="G667" s="2"/>
      <c r="H667" s="2"/>
      <c r="I667" s="2"/>
      <c r="J667" s="2"/>
      <c r="K667" s="2"/>
      <c r="L667" s="2"/>
      <c r="M667" s="2"/>
      <c r="N667" s="2"/>
      <c r="O667" s="2"/>
      <c r="P667" s="2"/>
      <c r="Q667" s="2"/>
      <c r="R667" s="2"/>
      <c r="S667" s="7"/>
      <c r="T667" s="2"/>
      <c r="U667" s="10"/>
      <c r="V667" s="2"/>
      <c r="W667" s="7"/>
      <c r="X667" s="7"/>
      <c r="Y667" s="2"/>
      <c r="Z667" s="2"/>
      <c r="AA667" s="2"/>
    </row>
    <row r="668">
      <c r="A668" s="2"/>
      <c r="B668" s="2"/>
      <c r="C668" s="2"/>
      <c r="D668" s="2"/>
      <c r="E668" s="2"/>
      <c r="F668" s="2"/>
      <c r="G668" s="2"/>
      <c r="H668" s="2"/>
      <c r="I668" s="2"/>
      <c r="J668" s="2"/>
      <c r="K668" s="2"/>
      <c r="L668" s="2"/>
      <c r="M668" s="2"/>
      <c r="N668" s="2"/>
      <c r="O668" s="2"/>
      <c r="P668" s="2"/>
      <c r="Q668" s="2"/>
      <c r="R668" s="2"/>
      <c r="S668" s="7"/>
      <c r="T668" s="2"/>
      <c r="U668" s="10"/>
      <c r="V668" s="2"/>
      <c r="W668" s="7"/>
      <c r="X668" s="7"/>
      <c r="Y668" s="2"/>
      <c r="Z668" s="2"/>
      <c r="AA668" s="2"/>
    </row>
    <row r="669">
      <c r="A669" s="2"/>
      <c r="B669" s="2"/>
      <c r="C669" s="2"/>
      <c r="D669" s="2"/>
      <c r="E669" s="2"/>
      <c r="F669" s="2"/>
      <c r="G669" s="2"/>
      <c r="H669" s="2"/>
      <c r="I669" s="2"/>
      <c r="J669" s="2"/>
      <c r="K669" s="2"/>
      <c r="L669" s="2"/>
      <c r="M669" s="2"/>
      <c r="N669" s="2"/>
      <c r="O669" s="2"/>
      <c r="P669" s="2"/>
      <c r="Q669" s="2"/>
      <c r="R669" s="2"/>
      <c r="S669" s="7"/>
      <c r="T669" s="2"/>
      <c r="U669" s="10"/>
      <c r="V669" s="2"/>
      <c r="W669" s="7"/>
      <c r="X669" s="7"/>
      <c r="Y669" s="2"/>
      <c r="Z669" s="2"/>
      <c r="AA669" s="2"/>
    </row>
    <row r="670">
      <c r="A670" s="2"/>
      <c r="B670" s="2"/>
      <c r="C670" s="2"/>
      <c r="D670" s="2"/>
      <c r="E670" s="2"/>
      <c r="F670" s="2"/>
      <c r="G670" s="2"/>
      <c r="H670" s="2"/>
      <c r="I670" s="2"/>
      <c r="J670" s="2"/>
      <c r="K670" s="2"/>
      <c r="L670" s="2"/>
      <c r="M670" s="2"/>
      <c r="N670" s="2"/>
      <c r="O670" s="2"/>
      <c r="P670" s="2"/>
      <c r="Q670" s="2"/>
      <c r="R670" s="2"/>
      <c r="S670" s="7"/>
      <c r="T670" s="2"/>
      <c r="U670" s="10"/>
      <c r="V670" s="2"/>
      <c r="W670" s="7"/>
      <c r="X670" s="7"/>
      <c r="Y670" s="2"/>
      <c r="Z670" s="2"/>
      <c r="AA670" s="2"/>
    </row>
    <row r="671">
      <c r="A671" s="2"/>
      <c r="B671" s="2"/>
      <c r="C671" s="2"/>
      <c r="D671" s="2"/>
      <c r="E671" s="2"/>
      <c r="F671" s="2"/>
      <c r="G671" s="2"/>
      <c r="H671" s="2"/>
      <c r="I671" s="2"/>
      <c r="J671" s="2"/>
      <c r="K671" s="2"/>
      <c r="L671" s="2"/>
      <c r="M671" s="2"/>
      <c r="N671" s="2"/>
      <c r="O671" s="2"/>
      <c r="P671" s="2"/>
      <c r="Q671" s="2"/>
      <c r="R671" s="2"/>
      <c r="S671" s="7"/>
      <c r="T671" s="2"/>
      <c r="U671" s="10"/>
      <c r="V671" s="2"/>
      <c r="W671" s="7"/>
      <c r="X671" s="7"/>
      <c r="Y671" s="2"/>
      <c r="Z671" s="2"/>
      <c r="AA671" s="2"/>
    </row>
    <row r="672">
      <c r="A672" s="2"/>
      <c r="B672" s="2"/>
      <c r="C672" s="2"/>
      <c r="D672" s="2"/>
      <c r="E672" s="2"/>
      <c r="F672" s="2"/>
      <c r="G672" s="2"/>
      <c r="H672" s="2"/>
      <c r="I672" s="2"/>
      <c r="J672" s="2"/>
      <c r="K672" s="2"/>
      <c r="L672" s="2"/>
      <c r="M672" s="2"/>
      <c r="N672" s="2"/>
      <c r="O672" s="2"/>
      <c r="P672" s="2"/>
      <c r="Q672" s="2"/>
      <c r="R672" s="2"/>
      <c r="S672" s="7"/>
      <c r="T672" s="2"/>
      <c r="U672" s="10"/>
      <c r="V672" s="2"/>
      <c r="W672" s="7"/>
      <c r="X672" s="7"/>
      <c r="Y672" s="2"/>
      <c r="Z672" s="2"/>
      <c r="AA672" s="2"/>
    </row>
    <row r="673">
      <c r="A673" s="2"/>
      <c r="B673" s="2"/>
      <c r="C673" s="2"/>
      <c r="D673" s="2"/>
      <c r="E673" s="2"/>
      <c r="F673" s="2"/>
      <c r="G673" s="2"/>
      <c r="H673" s="2"/>
      <c r="I673" s="2"/>
      <c r="J673" s="2"/>
      <c r="K673" s="2"/>
      <c r="L673" s="2"/>
      <c r="M673" s="2"/>
      <c r="N673" s="2"/>
      <c r="O673" s="2"/>
      <c r="P673" s="2"/>
      <c r="Q673" s="2"/>
      <c r="R673" s="2"/>
      <c r="S673" s="7"/>
      <c r="T673" s="2"/>
      <c r="U673" s="10"/>
      <c r="V673" s="2"/>
      <c r="W673" s="7"/>
      <c r="X673" s="7"/>
      <c r="Y673" s="2"/>
      <c r="Z673" s="2"/>
      <c r="AA673" s="2"/>
    </row>
    <row r="674">
      <c r="A674" s="2"/>
      <c r="B674" s="2"/>
      <c r="C674" s="2"/>
      <c r="D674" s="2"/>
      <c r="E674" s="2"/>
      <c r="F674" s="2"/>
      <c r="G674" s="2"/>
      <c r="H674" s="2"/>
      <c r="I674" s="2"/>
      <c r="J674" s="2"/>
      <c r="K674" s="2"/>
      <c r="L674" s="2"/>
      <c r="M674" s="2"/>
      <c r="N674" s="2"/>
      <c r="O674" s="2"/>
      <c r="P674" s="2"/>
      <c r="Q674" s="2"/>
      <c r="R674" s="2"/>
      <c r="S674" s="7"/>
      <c r="T674" s="2"/>
      <c r="U674" s="10"/>
      <c r="V674" s="2"/>
      <c r="W674" s="7"/>
      <c r="X674" s="7"/>
      <c r="Y674" s="2"/>
      <c r="Z674" s="2"/>
      <c r="AA674" s="2"/>
    </row>
    <row r="675">
      <c r="A675" s="2"/>
      <c r="B675" s="2"/>
      <c r="C675" s="2"/>
      <c r="D675" s="2"/>
      <c r="E675" s="2"/>
      <c r="F675" s="2"/>
      <c r="G675" s="2"/>
      <c r="H675" s="2"/>
      <c r="I675" s="2"/>
      <c r="J675" s="2"/>
      <c r="K675" s="2"/>
      <c r="L675" s="2"/>
      <c r="M675" s="2"/>
      <c r="N675" s="2"/>
      <c r="O675" s="2"/>
      <c r="P675" s="2"/>
      <c r="Q675" s="2"/>
      <c r="R675" s="2"/>
      <c r="S675" s="7"/>
      <c r="T675" s="2"/>
      <c r="U675" s="10"/>
      <c r="V675" s="2"/>
      <c r="W675" s="7"/>
      <c r="X675" s="7"/>
      <c r="Y675" s="2"/>
      <c r="Z675" s="2"/>
      <c r="AA675" s="2"/>
    </row>
    <row r="676">
      <c r="A676" s="2"/>
      <c r="B676" s="2"/>
      <c r="C676" s="2"/>
      <c r="D676" s="2"/>
      <c r="E676" s="2"/>
      <c r="F676" s="2"/>
      <c r="G676" s="2"/>
      <c r="H676" s="2"/>
      <c r="I676" s="2"/>
      <c r="J676" s="2"/>
      <c r="K676" s="2"/>
      <c r="L676" s="2"/>
      <c r="M676" s="2"/>
      <c r="N676" s="2"/>
      <c r="O676" s="2"/>
      <c r="P676" s="2"/>
      <c r="Q676" s="2"/>
      <c r="R676" s="2"/>
      <c r="S676" s="7"/>
      <c r="T676" s="2"/>
      <c r="U676" s="10"/>
      <c r="V676" s="2"/>
      <c r="W676" s="7"/>
      <c r="X676" s="7"/>
      <c r="Y676" s="2"/>
      <c r="Z676" s="2"/>
      <c r="AA676" s="2"/>
    </row>
    <row r="677">
      <c r="A677" s="2"/>
      <c r="B677" s="2"/>
      <c r="C677" s="2"/>
      <c r="D677" s="2"/>
      <c r="E677" s="2"/>
      <c r="F677" s="2"/>
      <c r="G677" s="2"/>
      <c r="H677" s="2"/>
      <c r="I677" s="2"/>
      <c r="J677" s="2"/>
      <c r="K677" s="2"/>
      <c r="L677" s="2"/>
      <c r="M677" s="2"/>
      <c r="N677" s="2"/>
      <c r="O677" s="2"/>
      <c r="P677" s="2"/>
      <c r="Q677" s="2"/>
      <c r="R677" s="2"/>
      <c r="S677" s="7"/>
      <c r="T677" s="2"/>
      <c r="U677" s="10"/>
      <c r="V677" s="2"/>
      <c r="W677" s="7"/>
      <c r="X677" s="7"/>
      <c r="Y677" s="2"/>
      <c r="Z677" s="2"/>
      <c r="AA677" s="2"/>
    </row>
    <row r="678">
      <c r="A678" s="2"/>
      <c r="B678" s="2"/>
      <c r="C678" s="2"/>
      <c r="D678" s="2"/>
      <c r="E678" s="2"/>
      <c r="F678" s="2"/>
      <c r="G678" s="2"/>
      <c r="H678" s="2"/>
      <c r="I678" s="2"/>
      <c r="J678" s="2"/>
      <c r="K678" s="2"/>
      <c r="L678" s="2"/>
      <c r="M678" s="2"/>
      <c r="N678" s="2"/>
      <c r="O678" s="2"/>
      <c r="P678" s="2"/>
      <c r="Q678" s="2"/>
      <c r="R678" s="2"/>
      <c r="S678" s="7"/>
      <c r="T678" s="2"/>
      <c r="U678" s="10"/>
      <c r="V678" s="2"/>
      <c r="W678" s="7"/>
      <c r="X678" s="7"/>
      <c r="Y678" s="2"/>
      <c r="Z678" s="2"/>
      <c r="AA678" s="2"/>
    </row>
    <row r="679">
      <c r="A679" s="2"/>
      <c r="B679" s="2"/>
      <c r="C679" s="2"/>
      <c r="D679" s="2"/>
      <c r="E679" s="2"/>
      <c r="F679" s="2"/>
      <c r="G679" s="2"/>
      <c r="H679" s="2"/>
      <c r="I679" s="2"/>
      <c r="J679" s="2"/>
      <c r="K679" s="2"/>
      <c r="L679" s="2"/>
      <c r="M679" s="2"/>
      <c r="N679" s="2"/>
      <c r="O679" s="2"/>
      <c r="P679" s="2"/>
      <c r="Q679" s="2"/>
      <c r="R679" s="2"/>
      <c r="S679" s="7"/>
      <c r="T679" s="2"/>
      <c r="U679" s="10"/>
      <c r="V679" s="2"/>
      <c r="W679" s="7"/>
      <c r="X679" s="7"/>
      <c r="Y679" s="2"/>
      <c r="Z679" s="2"/>
      <c r="AA679" s="2"/>
    </row>
    <row r="680">
      <c r="A680" s="2"/>
      <c r="B680" s="2"/>
      <c r="C680" s="2"/>
      <c r="D680" s="2"/>
      <c r="E680" s="2"/>
      <c r="F680" s="2"/>
      <c r="G680" s="2"/>
      <c r="H680" s="2"/>
      <c r="I680" s="2"/>
      <c r="J680" s="2"/>
      <c r="K680" s="2"/>
      <c r="L680" s="2"/>
      <c r="M680" s="2"/>
      <c r="N680" s="2"/>
      <c r="O680" s="2"/>
      <c r="P680" s="2"/>
      <c r="Q680" s="2"/>
      <c r="R680" s="2"/>
      <c r="S680" s="7"/>
      <c r="T680" s="2"/>
      <c r="U680" s="10"/>
      <c r="V680" s="2"/>
      <c r="W680" s="7"/>
      <c r="X680" s="7"/>
      <c r="Y680" s="2"/>
      <c r="Z680" s="2"/>
      <c r="AA680" s="2"/>
    </row>
    <row r="681">
      <c r="A681" s="2"/>
      <c r="B681" s="2"/>
      <c r="C681" s="2"/>
      <c r="D681" s="2"/>
      <c r="E681" s="2"/>
      <c r="F681" s="2"/>
      <c r="G681" s="2"/>
      <c r="H681" s="2"/>
      <c r="I681" s="2"/>
      <c r="J681" s="2"/>
      <c r="K681" s="2"/>
      <c r="L681" s="2"/>
      <c r="M681" s="2"/>
      <c r="N681" s="2"/>
      <c r="O681" s="2"/>
      <c r="P681" s="2"/>
      <c r="Q681" s="2"/>
      <c r="R681" s="2"/>
      <c r="S681" s="7"/>
      <c r="T681" s="2"/>
      <c r="U681" s="10"/>
      <c r="V681" s="2"/>
      <c r="W681" s="7"/>
      <c r="X681" s="7"/>
      <c r="Y681" s="2"/>
      <c r="Z681" s="2"/>
      <c r="AA681" s="2"/>
    </row>
    <row r="682">
      <c r="A682" s="2"/>
      <c r="B682" s="2"/>
      <c r="C682" s="2"/>
      <c r="D682" s="2"/>
      <c r="E682" s="2"/>
      <c r="F682" s="2"/>
      <c r="G682" s="2"/>
      <c r="H682" s="2"/>
      <c r="I682" s="2"/>
      <c r="J682" s="2"/>
      <c r="K682" s="2"/>
      <c r="L682" s="2"/>
      <c r="M682" s="2"/>
      <c r="N682" s="2"/>
      <c r="O682" s="2"/>
      <c r="P682" s="2"/>
      <c r="Q682" s="2"/>
      <c r="R682" s="2"/>
      <c r="S682" s="7"/>
      <c r="T682" s="2"/>
      <c r="U682" s="10"/>
      <c r="V682" s="2"/>
      <c r="W682" s="7"/>
      <c r="X682" s="7"/>
      <c r="Y682" s="2"/>
      <c r="Z682" s="2"/>
      <c r="AA682" s="2"/>
    </row>
    <row r="683">
      <c r="A683" s="2"/>
      <c r="B683" s="2"/>
      <c r="C683" s="2"/>
      <c r="D683" s="2"/>
      <c r="E683" s="2"/>
      <c r="F683" s="2"/>
      <c r="G683" s="2"/>
      <c r="H683" s="2"/>
      <c r="I683" s="2"/>
      <c r="J683" s="2"/>
      <c r="K683" s="2"/>
      <c r="L683" s="2"/>
      <c r="M683" s="2"/>
      <c r="N683" s="2"/>
      <c r="O683" s="2"/>
      <c r="P683" s="2"/>
      <c r="Q683" s="2"/>
      <c r="R683" s="2"/>
      <c r="S683" s="7"/>
      <c r="T683" s="2"/>
      <c r="U683" s="10"/>
      <c r="V683" s="2"/>
      <c r="W683" s="7"/>
      <c r="X683" s="7"/>
      <c r="Y683" s="2"/>
      <c r="Z683" s="2"/>
      <c r="AA683" s="2"/>
    </row>
    <row r="684">
      <c r="A684" s="2"/>
      <c r="B684" s="2"/>
      <c r="C684" s="2"/>
      <c r="D684" s="2"/>
      <c r="E684" s="2"/>
      <c r="F684" s="2"/>
      <c r="G684" s="2"/>
      <c r="H684" s="2"/>
      <c r="I684" s="2"/>
      <c r="J684" s="2"/>
      <c r="K684" s="2"/>
      <c r="L684" s="2"/>
      <c r="M684" s="2"/>
      <c r="N684" s="2"/>
      <c r="O684" s="2"/>
      <c r="P684" s="2"/>
      <c r="Q684" s="2"/>
      <c r="R684" s="2"/>
      <c r="S684" s="7"/>
      <c r="T684" s="2"/>
      <c r="U684" s="10"/>
      <c r="V684" s="2"/>
      <c r="W684" s="7"/>
      <c r="X684" s="7"/>
      <c r="Y684" s="2"/>
      <c r="Z684" s="2"/>
      <c r="AA684" s="2"/>
    </row>
    <row r="685">
      <c r="A685" s="2"/>
      <c r="B685" s="2"/>
      <c r="C685" s="2"/>
      <c r="D685" s="2"/>
      <c r="E685" s="2"/>
      <c r="F685" s="2"/>
      <c r="G685" s="2"/>
      <c r="H685" s="2"/>
      <c r="I685" s="2"/>
      <c r="J685" s="2"/>
      <c r="K685" s="2"/>
      <c r="L685" s="2"/>
      <c r="M685" s="2"/>
      <c r="N685" s="2"/>
      <c r="O685" s="2"/>
      <c r="P685" s="2"/>
      <c r="Q685" s="2"/>
      <c r="R685" s="2"/>
      <c r="S685" s="7"/>
      <c r="T685" s="2"/>
      <c r="U685" s="10"/>
      <c r="V685" s="2"/>
      <c r="W685" s="7"/>
      <c r="X685" s="7"/>
      <c r="Y685" s="2"/>
      <c r="Z685" s="2"/>
      <c r="AA685" s="2"/>
    </row>
    <row r="686">
      <c r="A686" s="2"/>
      <c r="B686" s="2"/>
      <c r="C686" s="2"/>
      <c r="D686" s="2"/>
      <c r="E686" s="2"/>
      <c r="F686" s="2"/>
      <c r="G686" s="2"/>
      <c r="H686" s="2"/>
      <c r="I686" s="2"/>
      <c r="J686" s="2"/>
      <c r="K686" s="2"/>
      <c r="L686" s="2"/>
      <c r="M686" s="2"/>
      <c r="N686" s="2"/>
      <c r="O686" s="2"/>
      <c r="P686" s="2"/>
      <c r="Q686" s="2"/>
      <c r="R686" s="2"/>
      <c r="S686" s="7"/>
      <c r="T686" s="2"/>
      <c r="U686" s="10"/>
      <c r="V686" s="2"/>
      <c r="W686" s="7"/>
      <c r="X686" s="7"/>
      <c r="Y686" s="2"/>
      <c r="Z686" s="2"/>
      <c r="AA686" s="2"/>
    </row>
    <row r="687">
      <c r="A687" s="2"/>
      <c r="B687" s="2"/>
      <c r="C687" s="2"/>
      <c r="D687" s="2"/>
      <c r="E687" s="2"/>
      <c r="F687" s="2"/>
      <c r="G687" s="2"/>
      <c r="H687" s="2"/>
      <c r="I687" s="2"/>
      <c r="J687" s="2"/>
      <c r="K687" s="2"/>
      <c r="L687" s="2"/>
      <c r="M687" s="2"/>
      <c r="N687" s="2"/>
      <c r="O687" s="2"/>
      <c r="P687" s="2"/>
      <c r="Q687" s="2"/>
      <c r="R687" s="2"/>
      <c r="S687" s="7"/>
      <c r="T687" s="2"/>
      <c r="U687" s="10"/>
      <c r="V687" s="2"/>
      <c r="W687" s="7"/>
      <c r="X687" s="7"/>
      <c r="Y687" s="2"/>
      <c r="Z687" s="2"/>
      <c r="AA687" s="2"/>
    </row>
    <row r="688">
      <c r="A688" s="2"/>
      <c r="B688" s="2"/>
      <c r="C688" s="2"/>
      <c r="D688" s="2"/>
      <c r="E688" s="2"/>
      <c r="F688" s="2"/>
      <c r="G688" s="2"/>
      <c r="H688" s="2"/>
      <c r="I688" s="2"/>
      <c r="J688" s="2"/>
      <c r="K688" s="2"/>
      <c r="L688" s="2"/>
      <c r="M688" s="2"/>
      <c r="N688" s="2"/>
      <c r="O688" s="2"/>
      <c r="P688" s="2"/>
      <c r="Q688" s="2"/>
      <c r="R688" s="2"/>
      <c r="S688" s="7"/>
      <c r="T688" s="2"/>
      <c r="U688" s="10"/>
      <c r="V688" s="2"/>
      <c r="W688" s="7"/>
      <c r="X688" s="7"/>
      <c r="Y688" s="2"/>
      <c r="Z688" s="2"/>
      <c r="AA688" s="2"/>
    </row>
    <row r="689">
      <c r="A689" s="2"/>
      <c r="B689" s="2"/>
      <c r="C689" s="2"/>
      <c r="D689" s="2"/>
      <c r="E689" s="2"/>
      <c r="F689" s="2"/>
      <c r="G689" s="2"/>
      <c r="H689" s="2"/>
      <c r="I689" s="2"/>
      <c r="J689" s="2"/>
      <c r="K689" s="2"/>
      <c r="L689" s="2"/>
      <c r="M689" s="2"/>
      <c r="N689" s="2"/>
      <c r="O689" s="2"/>
      <c r="P689" s="2"/>
      <c r="Q689" s="2"/>
      <c r="R689" s="2"/>
      <c r="S689" s="7"/>
      <c r="T689" s="2"/>
      <c r="U689" s="10"/>
      <c r="V689" s="2"/>
      <c r="W689" s="7"/>
      <c r="X689" s="7"/>
      <c r="Y689" s="2"/>
      <c r="Z689" s="2"/>
      <c r="AA689" s="2"/>
    </row>
    <row r="690">
      <c r="A690" s="2"/>
      <c r="B690" s="2"/>
      <c r="C690" s="2"/>
      <c r="D690" s="2"/>
      <c r="E690" s="2"/>
      <c r="F690" s="2"/>
      <c r="G690" s="2"/>
      <c r="H690" s="2"/>
      <c r="I690" s="2"/>
      <c r="J690" s="2"/>
      <c r="K690" s="2"/>
      <c r="L690" s="2"/>
      <c r="M690" s="2"/>
      <c r="N690" s="2"/>
      <c r="O690" s="2"/>
      <c r="P690" s="2"/>
      <c r="Q690" s="2"/>
      <c r="R690" s="2"/>
      <c r="S690" s="7"/>
      <c r="T690" s="2"/>
      <c r="U690" s="10"/>
      <c r="V690" s="2"/>
      <c r="W690" s="7"/>
      <c r="X690" s="7"/>
      <c r="Y690" s="2"/>
      <c r="Z690" s="2"/>
      <c r="AA690" s="2"/>
    </row>
    <row r="691">
      <c r="A691" s="2"/>
      <c r="B691" s="2"/>
      <c r="C691" s="2"/>
      <c r="D691" s="2"/>
      <c r="E691" s="2"/>
      <c r="F691" s="2"/>
      <c r="G691" s="2"/>
      <c r="H691" s="2"/>
      <c r="I691" s="2"/>
      <c r="J691" s="2"/>
      <c r="K691" s="2"/>
      <c r="L691" s="2"/>
      <c r="M691" s="2"/>
      <c r="N691" s="2"/>
      <c r="O691" s="2"/>
      <c r="P691" s="2"/>
      <c r="Q691" s="2"/>
      <c r="R691" s="2"/>
      <c r="S691" s="7"/>
      <c r="T691" s="2"/>
      <c r="U691" s="10"/>
      <c r="V691" s="2"/>
      <c r="W691" s="7"/>
      <c r="X691" s="7"/>
      <c r="Y691" s="2"/>
      <c r="Z691" s="2"/>
      <c r="AA691" s="2"/>
    </row>
    <row r="692">
      <c r="A692" s="2"/>
      <c r="B692" s="2"/>
      <c r="C692" s="2"/>
      <c r="D692" s="2"/>
      <c r="E692" s="2"/>
      <c r="F692" s="2"/>
      <c r="G692" s="2"/>
      <c r="H692" s="2"/>
      <c r="I692" s="2"/>
      <c r="J692" s="2"/>
      <c r="K692" s="2"/>
      <c r="L692" s="2"/>
      <c r="M692" s="2"/>
      <c r="N692" s="2"/>
      <c r="O692" s="2"/>
      <c r="P692" s="2"/>
      <c r="Q692" s="2"/>
      <c r="R692" s="2"/>
      <c r="S692" s="7"/>
      <c r="T692" s="2"/>
      <c r="U692" s="10"/>
      <c r="V692" s="2"/>
      <c r="W692" s="7"/>
      <c r="X692" s="7"/>
      <c r="Y692" s="2"/>
      <c r="Z692" s="2"/>
      <c r="AA692" s="2"/>
    </row>
    <row r="693">
      <c r="A693" s="2"/>
      <c r="B693" s="2"/>
      <c r="C693" s="2"/>
      <c r="D693" s="2"/>
      <c r="E693" s="2"/>
      <c r="F693" s="2"/>
      <c r="G693" s="2"/>
      <c r="H693" s="2"/>
      <c r="I693" s="2"/>
      <c r="J693" s="2"/>
      <c r="K693" s="2"/>
      <c r="L693" s="2"/>
      <c r="M693" s="2"/>
      <c r="N693" s="2"/>
      <c r="O693" s="2"/>
      <c r="P693" s="2"/>
      <c r="Q693" s="2"/>
      <c r="R693" s="2"/>
      <c r="S693" s="7"/>
      <c r="T693" s="2"/>
      <c r="U693" s="10"/>
      <c r="V693" s="2"/>
      <c r="W693" s="7"/>
      <c r="X693" s="7"/>
      <c r="Y693" s="2"/>
      <c r="Z693" s="2"/>
      <c r="AA693" s="2"/>
    </row>
    <row r="694">
      <c r="A694" s="2"/>
      <c r="B694" s="2"/>
      <c r="C694" s="2"/>
      <c r="D694" s="2"/>
      <c r="E694" s="2"/>
      <c r="F694" s="2"/>
      <c r="G694" s="2"/>
      <c r="H694" s="2"/>
      <c r="I694" s="2"/>
      <c r="J694" s="2"/>
      <c r="K694" s="2"/>
      <c r="L694" s="2"/>
      <c r="M694" s="2"/>
      <c r="N694" s="2"/>
      <c r="O694" s="2"/>
      <c r="P694" s="2"/>
      <c r="Q694" s="2"/>
      <c r="R694" s="2"/>
      <c r="S694" s="7"/>
      <c r="T694" s="2"/>
      <c r="U694" s="10"/>
      <c r="V694" s="2"/>
      <c r="W694" s="7"/>
      <c r="X694" s="7"/>
      <c r="Y694" s="2"/>
      <c r="Z694" s="2"/>
      <c r="AA694" s="2"/>
    </row>
    <row r="695">
      <c r="A695" s="2"/>
      <c r="B695" s="2"/>
      <c r="C695" s="2"/>
      <c r="D695" s="2"/>
      <c r="E695" s="2"/>
      <c r="F695" s="2"/>
      <c r="G695" s="2"/>
      <c r="H695" s="2"/>
      <c r="I695" s="2"/>
      <c r="J695" s="2"/>
      <c r="K695" s="2"/>
      <c r="L695" s="2"/>
      <c r="M695" s="2"/>
      <c r="N695" s="2"/>
      <c r="O695" s="2"/>
      <c r="P695" s="2"/>
      <c r="Q695" s="2"/>
      <c r="R695" s="2"/>
      <c r="S695" s="7"/>
      <c r="T695" s="2"/>
      <c r="U695" s="10"/>
      <c r="V695" s="2"/>
      <c r="W695" s="7"/>
      <c r="X695" s="7"/>
      <c r="Y695" s="2"/>
      <c r="Z695" s="2"/>
      <c r="AA695" s="2"/>
    </row>
    <row r="696">
      <c r="A696" s="2"/>
      <c r="B696" s="2"/>
      <c r="C696" s="2"/>
      <c r="D696" s="2"/>
      <c r="E696" s="2"/>
      <c r="F696" s="2"/>
      <c r="G696" s="2"/>
      <c r="H696" s="2"/>
      <c r="I696" s="2"/>
      <c r="J696" s="2"/>
      <c r="K696" s="2"/>
      <c r="L696" s="2"/>
      <c r="M696" s="2"/>
      <c r="N696" s="2"/>
      <c r="O696" s="2"/>
      <c r="P696" s="2"/>
      <c r="Q696" s="2"/>
      <c r="R696" s="2"/>
      <c r="S696" s="7"/>
      <c r="T696" s="2"/>
      <c r="U696" s="10"/>
      <c r="V696" s="2"/>
      <c r="W696" s="7"/>
      <c r="X696" s="7"/>
      <c r="Y696" s="2"/>
      <c r="Z696" s="2"/>
      <c r="AA696" s="2"/>
    </row>
    <row r="697">
      <c r="A697" s="2"/>
      <c r="B697" s="2"/>
      <c r="C697" s="2"/>
      <c r="D697" s="2"/>
      <c r="E697" s="2"/>
      <c r="F697" s="2"/>
      <c r="G697" s="2"/>
      <c r="H697" s="2"/>
      <c r="I697" s="2"/>
      <c r="J697" s="2"/>
      <c r="K697" s="2"/>
      <c r="L697" s="2"/>
      <c r="M697" s="2"/>
      <c r="N697" s="2"/>
      <c r="O697" s="2"/>
      <c r="P697" s="2"/>
      <c r="Q697" s="2"/>
      <c r="R697" s="2"/>
      <c r="S697" s="7"/>
      <c r="T697" s="2"/>
      <c r="U697" s="10"/>
      <c r="V697" s="2"/>
      <c r="W697" s="7"/>
      <c r="X697" s="7"/>
      <c r="Y697" s="2"/>
      <c r="Z697" s="2"/>
      <c r="AA697" s="2"/>
    </row>
    <row r="698">
      <c r="A698" s="2"/>
      <c r="B698" s="2"/>
      <c r="C698" s="2"/>
      <c r="D698" s="2"/>
      <c r="E698" s="2"/>
      <c r="F698" s="2"/>
      <c r="G698" s="2"/>
      <c r="H698" s="2"/>
      <c r="I698" s="2"/>
      <c r="J698" s="2"/>
      <c r="K698" s="2"/>
      <c r="L698" s="2"/>
      <c r="M698" s="2"/>
      <c r="N698" s="2"/>
      <c r="O698" s="2"/>
      <c r="P698" s="2"/>
      <c r="Q698" s="2"/>
      <c r="R698" s="2"/>
      <c r="S698" s="7"/>
      <c r="T698" s="2"/>
      <c r="U698" s="10"/>
      <c r="V698" s="2"/>
      <c r="W698" s="7"/>
      <c r="X698" s="7"/>
      <c r="Y698" s="2"/>
      <c r="Z698" s="2"/>
      <c r="AA698" s="2"/>
    </row>
    <row r="699">
      <c r="A699" s="2"/>
      <c r="B699" s="2"/>
      <c r="C699" s="2"/>
      <c r="D699" s="2"/>
      <c r="E699" s="2"/>
      <c r="F699" s="2"/>
      <c r="G699" s="2"/>
      <c r="H699" s="2"/>
      <c r="I699" s="2"/>
      <c r="J699" s="2"/>
      <c r="K699" s="2"/>
      <c r="L699" s="2"/>
      <c r="M699" s="2"/>
      <c r="N699" s="2"/>
      <c r="O699" s="2"/>
      <c r="P699" s="2"/>
      <c r="Q699" s="2"/>
      <c r="R699" s="2"/>
      <c r="S699" s="7"/>
      <c r="T699" s="2"/>
      <c r="U699" s="10"/>
      <c r="V699" s="2"/>
      <c r="W699" s="7"/>
      <c r="X699" s="7"/>
      <c r="Y699" s="2"/>
      <c r="Z699" s="2"/>
      <c r="AA699" s="2"/>
    </row>
    <row r="700">
      <c r="A700" s="2"/>
      <c r="B700" s="2"/>
      <c r="C700" s="2"/>
      <c r="D700" s="2"/>
      <c r="E700" s="2"/>
      <c r="F700" s="2"/>
      <c r="G700" s="2"/>
      <c r="H700" s="2"/>
      <c r="I700" s="2"/>
      <c r="J700" s="2"/>
      <c r="K700" s="2"/>
      <c r="L700" s="2"/>
      <c r="M700" s="2"/>
      <c r="N700" s="2"/>
      <c r="O700" s="2"/>
      <c r="P700" s="2"/>
      <c r="Q700" s="2"/>
      <c r="R700" s="2"/>
      <c r="S700" s="7"/>
      <c r="T700" s="2"/>
      <c r="U700" s="10"/>
      <c r="V700" s="2"/>
      <c r="W700" s="7"/>
      <c r="X700" s="7"/>
      <c r="Y700" s="2"/>
      <c r="Z700" s="2"/>
      <c r="AA700" s="2"/>
    </row>
    <row r="701">
      <c r="A701" s="2"/>
      <c r="B701" s="2"/>
      <c r="C701" s="2"/>
      <c r="D701" s="2"/>
      <c r="E701" s="2"/>
      <c r="F701" s="2"/>
      <c r="G701" s="2"/>
      <c r="H701" s="2"/>
      <c r="I701" s="2"/>
      <c r="J701" s="2"/>
      <c r="K701" s="2"/>
      <c r="L701" s="2"/>
      <c r="M701" s="2"/>
      <c r="N701" s="2"/>
      <c r="O701" s="2"/>
      <c r="P701" s="2"/>
      <c r="Q701" s="2"/>
      <c r="R701" s="2"/>
      <c r="S701" s="7"/>
      <c r="T701" s="2"/>
      <c r="U701" s="10"/>
      <c r="V701" s="2"/>
      <c r="W701" s="7"/>
      <c r="X701" s="7"/>
      <c r="Y701" s="2"/>
      <c r="Z701" s="2"/>
      <c r="AA701" s="2"/>
    </row>
    <row r="702">
      <c r="A702" s="2"/>
      <c r="B702" s="2"/>
      <c r="C702" s="2"/>
      <c r="D702" s="2"/>
      <c r="E702" s="2"/>
      <c r="F702" s="2"/>
      <c r="G702" s="2"/>
      <c r="H702" s="2"/>
      <c r="I702" s="2"/>
      <c r="J702" s="2"/>
      <c r="K702" s="2"/>
      <c r="L702" s="2"/>
      <c r="M702" s="2"/>
      <c r="N702" s="2"/>
      <c r="O702" s="2"/>
      <c r="P702" s="2"/>
      <c r="Q702" s="2"/>
      <c r="R702" s="2"/>
      <c r="S702" s="7"/>
      <c r="T702" s="2"/>
      <c r="U702" s="10"/>
      <c r="V702" s="2"/>
      <c r="W702" s="7"/>
      <c r="X702" s="7"/>
      <c r="Y702" s="2"/>
      <c r="Z702" s="2"/>
      <c r="AA702" s="2"/>
    </row>
    <row r="703">
      <c r="A703" s="2"/>
      <c r="B703" s="2"/>
      <c r="C703" s="2"/>
      <c r="D703" s="2"/>
      <c r="E703" s="2"/>
      <c r="F703" s="2"/>
      <c r="G703" s="2"/>
      <c r="H703" s="2"/>
      <c r="I703" s="2"/>
      <c r="J703" s="2"/>
      <c r="K703" s="2"/>
      <c r="L703" s="2"/>
      <c r="M703" s="2"/>
      <c r="N703" s="2"/>
      <c r="O703" s="2"/>
      <c r="P703" s="2"/>
      <c r="Q703" s="2"/>
      <c r="R703" s="2"/>
      <c r="S703" s="7"/>
      <c r="T703" s="2"/>
      <c r="U703" s="10"/>
      <c r="V703" s="2"/>
      <c r="W703" s="7"/>
      <c r="X703" s="7"/>
      <c r="Y703" s="2"/>
      <c r="Z703" s="2"/>
      <c r="AA703" s="2"/>
    </row>
    <row r="704">
      <c r="A704" s="2"/>
      <c r="B704" s="2"/>
      <c r="C704" s="2"/>
      <c r="D704" s="2"/>
      <c r="E704" s="2"/>
      <c r="F704" s="2"/>
      <c r="G704" s="2"/>
      <c r="H704" s="2"/>
      <c r="I704" s="2"/>
      <c r="J704" s="2"/>
      <c r="K704" s="2"/>
      <c r="L704" s="2"/>
      <c r="M704" s="2"/>
      <c r="N704" s="2"/>
      <c r="O704" s="2"/>
      <c r="P704" s="2"/>
      <c r="Q704" s="2"/>
      <c r="R704" s="2"/>
      <c r="S704" s="7"/>
      <c r="T704" s="2"/>
      <c r="U704" s="10"/>
      <c r="V704" s="2"/>
      <c r="W704" s="7"/>
      <c r="X704" s="7"/>
      <c r="Y704" s="2"/>
      <c r="Z704" s="2"/>
      <c r="AA704" s="2"/>
    </row>
    <row r="705">
      <c r="A705" s="2"/>
      <c r="B705" s="2"/>
      <c r="C705" s="2"/>
      <c r="D705" s="2"/>
      <c r="E705" s="2"/>
      <c r="F705" s="2"/>
      <c r="G705" s="2"/>
      <c r="H705" s="2"/>
      <c r="I705" s="2"/>
      <c r="J705" s="2"/>
      <c r="K705" s="2"/>
      <c r="L705" s="2"/>
      <c r="M705" s="2"/>
      <c r="N705" s="2"/>
      <c r="O705" s="2"/>
      <c r="P705" s="2"/>
      <c r="Q705" s="2"/>
      <c r="R705" s="2"/>
      <c r="S705" s="7"/>
      <c r="T705" s="2"/>
      <c r="U705" s="10"/>
      <c r="V705" s="2"/>
      <c r="W705" s="7"/>
      <c r="X705" s="7"/>
      <c r="Y705" s="2"/>
      <c r="Z705" s="2"/>
      <c r="AA705" s="2"/>
    </row>
    <row r="706">
      <c r="A706" s="2"/>
      <c r="B706" s="2"/>
      <c r="C706" s="2"/>
      <c r="D706" s="2"/>
      <c r="E706" s="2"/>
      <c r="F706" s="2"/>
      <c r="G706" s="2"/>
      <c r="H706" s="2"/>
      <c r="I706" s="2"/>
      <c r="J706" s="2"/>
      <c r="K706" s="2"/>
      <c r="L706" s="2"/>
      <c r="M706" s="2"/>
      <c r="N706" s="2"/>
      <c r="O706" s="2"/>
      <c r="P706" s="2"/>
      <c r="Q706" s="2"/>
      <c r="R706" s="2"/>
      <c r="S706" s="7"/>
      <c r="T706" s="2"/>
      <c r="U706" s="10"/>
      <c r="V706" s="2"/>
      <c r="W706" s="7"/>
      <c r="X706" s="7"/>
      <c r="Y706" s="2"/>
      <c r="Z706" s="2"/>
      <c r="AA706" s="2"/>
    </row>
    <row r="707">
      <c r="A707" s="2"/>
      <c r="B707" s="2"/>
      <c r="C707" s="2"/>
      <c r="D707" s="2"/>
      <c r="E707" s="2"/>
      <c r="F707" s="2"/>
      <c r="G707" s="2"/>
      <c r="H707" s="2"/>
      <c r="I707" s="2"/>
      <c r="J707" s="2"/>
      <c r="K707" s="2"/>
      <c r="L707" s="2"/>
      <c r="M707" s="2"/>
      <c r="N707" s="2"/>
      <c r="O707" s="2"/>
      <c r="P707" s="2"/>
      <c r="Q707" s="2"/>
      <c r="R707" s="2"/>
      <c r="S707" s="7"/>
      <c r="T707" s="2"/>
      <c r="U707" s="10"/>
      <c r="V707" s="2"/>
      <c r="W707" s="7"/>
      <c r="X707" s="7"/>
      <c r="Y707" s="2"/>
      <c r="Z707" s="2"/>
      <c r="AA707" s="2"/>
    </row>
    <row r="708">
      <c r="A708" s="2"/>
      <c r="B708" s="2"/>
      <c r="C708" s="2"/>
      <c r="D708" s="2"/>
      <c r="E708" s="2"/>
      <c r="F708" s="2"/>
      <c r="G708" s="2"/>
      <c r="H708" s="2"/>
      <c r="I708" s="2"/>
      <c r="J708" s="2"/>
      <c r="K708" s="2"/>
      <c r="L708" s="2"/>
      <c r="M708" s="2"/>
      <c r="N708" s="2"/>
      <c r="O708" s="2"/>
      <c r="P708" s="2"/>
      <c r="Q708" s="2"/>
      <c r="R708" s="2"/>
      <c r="S708" s="7"/>
      <c r="T708" s="2"/>
      <c r="U708" s="10"/>
      <c r="V708" s="2"/>
      <c r="W708" s="7"/>
      <c r="X708" s="7"/>
      <c r="Y708" s="2"/>
      <c r="Z708" s="2"/>
      <c r="AA708" s="2"/>
    </row>
    <row r="709">
      <c r="A709" s="2"/>
      <c r="B709" s="2"/>
      <c r="C709" s="2"/>
      <c r="D709" s="2"/>
      <c r="E709" s="2"/>
      <c r="F709" s="2"/>
      <c r="G709" s="2"/>
      <c r="H709" s="2"/>
      <c r="I709" s="2"/>
      <c r="J709" s="2"/>
      <c r="K709" s="2"/>
      <c r="L709" s="2"/>
      <c r="M709" s="2"/>
      <c r="N709" s="2"/>
      <c r="O709" s="2"/>
      <c r="P709" s="2"/>
      <c r="Q709" s="2"/>
      <c r="R709" s="2"/>
      <c r="S709" s="7"/>
      <c r="T709" s="2"/>
      <c r="U709" s="10"/>
      <c r="V709" s="2"/>
      <c r="W709" s="7"/>
      <c r="X709" s="7"/>
      <c r="Y709" s="2"/>
      <c r="Z709" s="2"/>
      <c r="AA709" s="2"/>
    </row>
    <row r="710">
      <c r="A710" s="2"/>
      <c r="B710" s="2"/>
      <c r="C710" s="2"/>
      <c r="D710" s="2"/>
      <c r="E710" s="2"/>
      <c r="F710" s="2"/>
      <c r="G710" s="2"/>
      <c r="H710" s="2"/>
      <c r="I710" s="2"/>
      <c r="J710" s="2"/>
      <c r="K710" s="2"/>
      <c r="L710" s="2"/>
      <c r="M710" s="2"/>
      <c r="N710" s="2"/>
      <c r="O710" s="2"/>
      <c r="P710" s="2"/>
      <c r="Q710" s="2"/>
      <c r="R710" s="2"/>
      <c r="S710" s="7"/>
      <c r="T710" s="2"/>
      <c r="U710" s="10"/>
      <c r="V710" s="2"/>
      <c r="W710" s="7"/>
      <c r="X710" s="7"/>
      <c r="Y710" s="2"/>
      <c r="Z710" s="2"/>
      <c r="AA710" s="2"/>
    </row>
    <row r="711">
      <c r="A711" s="2"/>
      <c r="B711" s="2"/>
      <c r="C711" s="2"/>
      <c r="D711" s="2"/>
      <c r="E711" s="2"/>
      <c r="F711" s="2"/>
      <c r="G711" s="2"/>
      <c r="H711" s="2"/>
      <c r="I711" s="2"/>
      <c r="J711" s="2"/>
      <c r="K711" s="2"/>
      <c r="L711" s="2"/>
      <c r="M711" s="2"/>
      <c r="N711" s="2"/>
      <c r="O711" s="2"/>
      <c r="P711" s="2"/>
      <c r="Q711" s="2"/>
      <c r="R711" s="2"/>
      <c r="S711" s="7"/>
      <c r="T711" s="2"/>
      <c r="U711" s="10"/>
      <c r="V711" s="2"/>
      <c r="W711" s="7"/>
      <c r="X711" s="7"/>
      <c r="Y711" s="2"/>
      <c r="Z711" s="2"/>
      <c r="AA711" s="2"/>
    </row>
    <row r="712">
      <c r="A712" s="2"/>
      <c r="B712" s="2"/>
      <c r="C712" s="2"/>
      <c r="D712" s="2"/>
      <c r="E712" s="2"/>
      <c r="F712" s="2"/>
      <c r="G712" s="2"/>
      <c r="H712" s="2"/>
      <c r="I712" s="2"/>
      <c r="J712" s="2"/>
      <c r="K712" s="2"/>
      <c r="L712" s="2"/>
      <c r="M712" s="2"/>
      <c r="N712" s="2"/>
      <c r="O712" s="2"/>
      <c r="P712" s="2"/>
      <c r="Q712" s="2"/>
      <c r="R712" s="2"/>
      <c r="S712" s="7"/>
      <c r="T712" s="2"/>
      <c r="U712" s="10"/>
      <c r="V712" s="2"/>
      <c r="W712" s="7"/>
      <c r="X712" s="7"/>
      <c r="Y712" s="2"/>
      <c r="Z712" s="2"/>
      <c r="AA712" s="2"/>
    </row>
    <row r="713">
      <c r="A713" s="2"/>
      <c r="B713" s="2"/>
      <c r="C713" s="2"/>
      <c r="D713" s="2"/>
      <c r="E713" s="2"/>
      <c r="F713" s="2"/>
      <c r="G713" s="2"/>
      <c r="H713" s="2"/>
      <c r="I713" s="2"/>
      <c r="J713" s="2"/>
      <c r="K713" s="2"/>
      <c r="L713" s="2"/>
      <c r="M713" s="2"/>
      <c r="N713" s="2"/>
      <c r="O713" s="2"/>
      <c r="P713" s="2"/>
      <c r="Q713" s="2"/>
      <c r="R713" s="2"/>
      <c r="S713" s="7"/>
      <c r="T713" s="2"/>
      <c r="U713" s="10"/>
      <c r="V713" s="2"/>
      <c r="W713" s="7"/>
      <c r="X713" s="7"/>
      <c r="Y713" s="2"/>
      <c r="Z713" s="2"/>
      <c r="AA713" s="2"/>
    </row>
    <row r="714">
      <c r="A714" s="2"/>
      <c r="B714" s="2"/>
      <c r="C714" s="2"/>
      <c r="D714" s="2"/>
      <c r="E714" s="2"/>
      <c r="F714" s="2"/>
      <c r="G714" s="2"/>
      <c r="H714" s="2"/>
      <c r="I714" s="2"/>
      <c r="J714" s="2"/>
      <c r="K714" s="2"/>
      <c r="L714" s="2"/>
      <c r="M714" s="2"/>
      <c r="N714" s="2"/>
      <c r="O714" s="2"/>
      <c r="P714" s="2"/>
      <c r="Q714" s="2"/>
      <c r="R714" s="2"/>
      <c r="S714" s="7"/>
      <c r="T714" s="2"/>
      <c r="U714" s="10"/>
      <c r="V714" s="2"/>
      <c r="W714" s="7"/>
      <c r="X714" s="7"/>
      <c r="Y714" s="2"/>
      <c r="Z714" s="2"/>
      <c r="AA714" s="2"/>
    </row>
    <row r="715">
      <c r="A715" s="2"/>
      <c r="B715" s="2"/>
      <c r="C715" s="2"/>
      <c r="D715" s="2"/>
      <c r="E715" s="2"/>
      <c r="F715" s="2"/>
      <c r="G715" s="2"/>
      <c r="H715" s="2"/>
      <c r="I715" s="2"/>
      <c r="J715" s="2"/>
      <c r="K715" s="2"/>
      <c r="L715" s="2"/>
      <c r="M715" s="2"/>
      <c r="N715" s="2"/>
      <c r="O715" s="2"/>
      <c r="P715" s="2"/>
      <c r="Q715" s="2"/>
      <c r="R715" s="2"/>
      <c r="S715" s="7"/>
      <c r="T715" s="2"/>
      <c r="U715" s="10"/>
      <c r="V715" s="2"/>
      <c r="W715" s="7"/>
      <c r="X715" s="7"/>
      <c r="Y715" s="2"/>
      <c r="Z715" s="2"/>
      <c r="AA715" s="2"/>
    </row>
    <row r="716">
      <c r="A716" s="2"/>
      <c r="B716" s="2"/>
      <c r="C716" s="2"/>
      <c r="D716" s="2"/>
      <c r="E716" s="2"/>
      <c r="F716" s="2"/>
      <c r="G716" s="2"/>
      <c r="H716" s="2"/>
      <c r="I716" s="2"/>
      <c r="J716" s="2"/>
      <c r="K716" s="2"/>
      <c r="L716" s="2"/>
      <c r="M716" s="2"/>
      <c r="N716" s="2"/>
      <c r="O716" s="2"/>
      <c r="P716" s="2"/>
      <c r="Q716" s="2"/>
      <c r="R716" s="2"/>
      <c r="S716" s="7"/>
      <c r="T716" s="2"/>
      <c r="U716" s="10"/>
      <c r="V716" s="2"/>
      <c r="W716" s="7"/>
      <c r="X716" s="7"/>
      <c r="Y716" s="2"/>
      <c r="Z716" s="2"/>
      <c r="AA716" s="2"/>
    </row>
    <row r="717">
      <c r="A717" s="2"/>
      <c r="B717" s="2"/>
      <c r="C717" s="2"/>
      <c r="D717" s="2"/>
      <c r="E717" s="2"/>
      <c r="F717" s="2"/>
      <c r="G717" s="2"/>
      <c r="H717" s="2"/>
      <c r="I717" s="2"/>
      <c r="J717" s="2"/>
      <c r="K717" s="2"/>
      <c r="L717" s="2"/>
      <c r="M717" s="2"/>
      <c r="N717" s="2"/>
      <c r="O717" s="2"/>
      <c r="P717" s="2"/>
      <c r="Q717" s="2"/>
      <c r="R717" s="2"/>
      <c r="S717" s="7"/>
      <c r="T717" s="2"/>
      <c r="U717" s="10"/>
      <c r="V717" s="2"/>
      <c r="W717" s="7"/>
      <c r="X717" s="7"/>
      <c r="Y717" s="2"/>
      <c r="Z717" s="2"/>
      <c r="AA717" s="2"/>
    </row>
    <row r="718">
      <c r="A718" s="2"/>
      <c r="B718" s="2"/>
      <c r="C718" s="2"/>
      <c r="D718" s="2"/>
      <c r="E718" s="2"/>
      <c r="F718" s="2"/>
      <c r="G718" s="2"/>
      <c r="H718" s="2"/>
      <c r="I718" s="2"/>
      <c r="J718" s="2"/>
      <c r="K718" s="2"/>
      <c r="L718" s="2"/>
      <c r="M718" s="2"/>
      <c r="N718" s="2"/>
      <c r="O718" s="2"/>
      <c r="P718" s="2"/>
      <c r="Q718" s="2"/>
      <c r="R718" s="2"/>
      <c r="S718" s="7"/>
      <c r="T718" s="2"/>
      <c r="U718" s="10"/>
      <c r="V718" s="2"/>
      <c r="W718" s="7"/>
      <c r="X718" s="7"/>
      <c r="Y718" s="2"/>
      <c r="Z718" s="2"/>
      <c r="AA718" s="2"/>
    </row>
    <row r="719">
      <c r="A719" s="2"/>
      <c r="B719" s="2"/>
      <c r="C719" s="2"/>
      <c r="D719" s="2"/>
      <c r="E719" s="2"/>
      <c r="F719" s="2"/>
      <c r="G719" s="2"/>
      <c r="H719" s="2"/>
      <c r="I719" s="2"/>
      <c r="J719" s="2"/>
      <c r="K719" s="2"/>
      <c r="L719" s="2"/>
      <c r="M719" s="2"/>
      <c r="N719" s="2"/>
      <c r="O719" s="2"/>
      <c r="P719" s="2"/>
      <c r="Q719" s="2"/>
      <c r="R719" s="2"/>
      <c r="S719" s="7"/>
      <c r="T719" s="2"/>
      <c r="U719" s="10"/>
      <c r="V719" s="2"/>
      <c r="W719" s="7"/>
      <c r="X719" s="7"/>
      <c r="Y719" s="2"/>
      <c r="Z719" s="2"/>
      <c r="AA719" s="2"/>
    </row>
    <row r="720">
      <c r="A720" s="2"/>
      <c r="B720" s="2"/>
      <c r="C720" s="2"/>
      <c r="D720" s="2"/>
      <c r="E720" s="2"/>
      <c r="F720" s="2"/>
      <c r="G720" s="2"/>
      <c r="H720" s="2"/>
      <c r="I720" s="2"/>
      <c r="J720" s="2"/>
      <c r="K720" s="2"/>
      <c r="L720" s="2"/>
      <c r="M720" s="2"/>
      <c r="N720" s="2"/>
      <c r="O720" s="2"/>
      <c r="P720" s="2"/>
      <c r="Q720" s="2"/>
      <c r="R720" s="2"/>
      <c r="S720" s="7"/>
      <c r="T720" s="2"/>
      <c r="U720" s="10"/>
      <c r="V720" s="2"/>
      <c r="W720" s="7"/>
      <c r="X720" s="7"/>
      <c r="Y720" s="2"/>
      <c r="Z720" s="2"/>
      <c r="AA720" s="2"/>
    </row>
    <row r="721">
      <c r="A721" s="2"/>
      <c r="B721" s="2"/>
      <c r="C721" s="2"/>
      <c r="D721" s="2"/>
      <c r="E721" s="2"/>
      <c r="F721" s="2"/>
      <c r="G721" s="2"/>
      <c r="H721" s="2"/>
      <c r="I721" s="2"/>
      <c r="J721" s="2"/>
      <c r="K721" s="2"/>
      <c r="L721" s="2"/>
      <c r="M721" s="2"/>
      <c r="N721" s="2"/>
      <c r="O721" s="2"/>
      <c r="P721" s="2"/>
      <c r="Q721" s="2"/>
      <c r="R721" s="2"/>
      <c r="S721" s="7"/>
      <c r="T721" s="2"/>
      <c r="U721" s="10"/>
      <c r="V721" s="2"/>
      <c r="W721" s="7"/>
      <c r="X721" s="7"/>
      <c r="Y721" s="2"/>
      <c r="Z721" s="2"/>
      <c r="AA721" s="2"/>
    </row>
    <row r="722">
      <c r="A722" s="2"/>
      <c r="B722" s="2"/>
      <c r="C722" s="2"/>
      <c r="D722" s="2"/>
      <c r="E722" s="2"/>
      <c r="F722" s="2"/>
      <c r="G722" s="2"/>
      <c r="H722" s="2"/>
      <c r="I722" s="2"/>
      <c r="J722" s="2"/>
      <c r="K722" s="2"/>
      <c r="L722" s="2"/>
      <c r="M722" s="2"/>
      <c r="N722" s="2"/>
      <c r="O722" s="2"/>
      <c r="P722" s="2"/>
      <c r="Q722" s="2"/>
      <c r="R722" s="2"/>
      <c r="S722" s="7"/>
      <c r="T722" s="2"/>
      <c r="U722" s="10"/>
      <c r="V722" s="2"/>
      <c r="W722" s="7"/>
      <c r="X722" s="7"/>
      <c r="Y722" s="2"/>
      <c r="Z722" s="2"/>
      <c r="AA722" s="2"/>
    </row>
    <row r="723">
      <c r="A723" s="2"/>
      <c r="B723" s="2"/>
      <c r="C723" s="2"/>
      <c r="D723" s="2"/>
      <c r="E723" s="2"/>
      <c r="F723" s="2"/>
      <c r="G723" s="2"/>
      <c r="H723" s="2"/>
      <c r="I723" s="2"/>
      <c r="J723" s="2"/>
      <c r="K723" s="2"/>
      <c r="L723" s="2"/>
      <c r="M723" s="2"/>
      <c r="N723" s="2"/>
      <c r="O723" s="2"/>
      <c r="P723" s="2"/>
      <c r="Q723" s="2"/>
      <c r="R723" s="2"/>
      <c r="S723" s="7"/>
      <c r="T723" s="2"/>
      <c r="U723" s="10"/>
      <c r="V723" s="2"/>
      <c r="W723" s="7"/>
      <c r="X723" s="7"/>
      <c r="Y723" s="2"/>
      <c r="Z723" s="2"/>
      <c r="AA723" s="2"/>
    </row>
    <row r="724">
      <c r="A724" s="2"/>
      <c r="B724" s="2"/>
      <c r="C724" s="2"/>
      <c r="D724" s="2"/>
      <c r="E724" s="2"/>
      <c r="F724" s="2"/>
      <c r="G724" s="2"/>
      <c r="H724" s="2"/>
      <c r="I724" s="2"/>
      <c r="J724" s="2"/>
      <c r="K724" s="2"/>
      <c r="L724" s="2"/>
      <c r="M724" s="2"/>
      <c r="N724" s="2"/>
      <c r="O724" s="2"/>
      <c r="P724" s="2"/>
      <c r="Q724" s="2"/>
      <c r="R724" s="2"/>
      <c r="S724" s="7"/>
      <c r="T724" s="2"/>
      <c r="U724" s="10"/>
      <c r="V724" s="2"/>
      <c r="W724" s="7"/>
      <c r="X724" s="7"/>
      <c r="Y724" s="2"/>
      <c r="Z724" s="2"/>
      <c r="AA724" s="2"/>
    </row>
    <row r="725">
      <c r="A725" s="2"/>
      <c r="B725" s="2"/>
      <c r="C725" s="2"/>
      <c r="D725" s="2"/>
      <c r="E725" s="2"/>
      <c r="F725" s="2"/>
      <c r="G725" s="2"/>
      <c r="H725" s="2"/>
      <c r="I725" s="2"/>
      <c r="J725" s="2"/>
      <c r="K725" s="2"/>
      <c r="L725" s="2"/>
      <c r="M725" s="2"/>
      <c r="N725" s="2"/>
      <c r="O725" s="2"/>
      <c r="P725" s="2"/>
      <c r="Q725" s="2"/>
      <c r="R725" s="2"/>
      <c r="S725" s="7"/>
      <c r="T725" s="2"/>
      <c r="U725" s="10"/>
      <c r="V725" s="2"/>
      <c r="W725" s="7"/>
      <c r="X725" s="7"/>
      <c r="Y725" s="2"/>
      <c r="Z725" s="2"/>
      <c r="AA725" s="2"/>
    </row>
    <row r="726">
      <c r="A726" s="2"/>
      <c r="B726" s="2"/>
      <c r="C726" s="2"/>
      <c r="D726" s="2"/>
      <c r="E726" s="2"/>
      <c r="F726" s="2"/>
      <c r="G726" s="2"/>
      <c r="H726" s="2"/>
      <c r="I726" s="2"/>
      <c r="J726" s="2"/>
      <c r="K726" s="2"/>
      <c r="L726" s="2"/>
      <c r="M726" s="2"/>
      <c r="N726" s="2"/>
      <c r="O726" s="2"/>
      <c r="P726" s="2"/>
      <c r="Q726" s="2"/>
      <c r="R726" s="2"/>
      <c r="S726" s="7"/>
      <c r="T726" s="2"/>
      <c r="U726" s="10"/>
      <c r="V726" s="2"/>
      <c r="W726" s="7"/>
      <c r="X726" s="7"/>
      <c r="Y726" s="2"/>
      <c r="Z726" s="2"/>
      <c r="AA726" s="2"/>
    </row>
    <row r="727">
      <c r="A727" s="2"/>
      <c r="B727" s="2"/>
      <c r="C727" s="2"/>
      <c r="D727" s="2"/>
      <c r="E727" s="2"/>
      <c r="F727" s="2"/>
      <c r="G727" s="2"/>
      <c r="H727" s="2"/>
      <c r="I727" s="2"/>
      <c r="J727" s="2"/>
      <c r="K727" s="2"/>
      <c r="L727" s="2"/>
      <c r="M727" s="2"/>
      <c r="N727" s="2"/>
      <c r="O727" s="2"/>
      <c r="P727" s="2"/>
      <c r="Q727" s="2"/>
      <c r="R727" s="2"/>
      <c r="S727" s="7"/>
      <c r="T727" s="2"/>
      <c r="U727" s="10"/>
      <c r="V727" s="2"/>
      <c r="W727" s="7"/>
      <c r="X727" s="7"/>
      <c r="Y727" s="2"/>
      <c r="Z727" s="2"/>
      <c r="AA727" s="2"/>
    </row>
    <row r="728">
      <c r="A728" s="2"/>
      <c r="B728" s="2"/>
      <c r="C728" s="2"/>
      <c r="D728" s="2"/>
      <c r="E728" s="2"/>
      <c r="F728" s="2"/>
      <c r="G728" s="2"/>
      <c r="H728" s="2"/>
      <c r="I728" s="2"/>
      <c r="J728" s="2"/>
      <c r="K728" s="2"/>
      <c r="L728" s="2"/>
      <c r="M728" s="2"/>
      <c r="N728" s="2"/>
      <c r="O728" s="2"/>
      <c r="P728" s="2"/>
      <c r="Q728" s="2"/>
      <c r="R728" s="2"/>
      <c r="S728" s="7"/>
      <c r="T728" s="2"/>
      <c r="U728" s="10"/>
      <c r="V728" s="2"/>
      <c r="W728" s="7"/>
      <c r="X728" s="7"/>
      <c r="Y728" s="2"/>
      <c r="Z728" s="2"/>
      <c r="AA728" s="2"/>
    </row>
    <row r="729">
      <c r="A729" s="2"/>
      <c r="B729" s="2"/>
      <c r="C729" s="2"/>
      <c r="D729" s="2"/>
      <c r="E729" s="2"/>
      <c r="F729" s="2"/>
      <c r="G729" s="2"/>
      <c r="H729" s="2"/>
      <c r="I729" s="2"/>
      <c r="J729" s="2"/>
      <c r="K729" s="2"/>
      <c r="L729" s="2"/>
      <c r="M729" s="2"/>
      <c r="N729" s="2"/>
      <c r="O729" s="2"/>
      <c r="P729" s="2"/>
      <c r="Q729" s="2"/>
      <c r="R729" s="2"/>
      <c r="S729" s="7"/>
      <c r="T729" s="2"/>
      <c r="U729" s="10"/>
      <c r="V729" s="2"/>
      <c r="W729" s="7"/>
      <c r="X729" s="7"/>
      <c r="Y729" s="2"/>
      <c r="Z729" s="2"/>
      <c r="AA729" s="2"/>
    </row>
    <row r="730">
      <c r="A730" s="2"/>
      <c r="B730" s="2"/>
      <c r="C730" s="2"/>
      <c r="D730" s="2"/>
      <c r="E730" s="2"/>
      <c r="F730" s="2"/>
      <c r="G730" s="2"/>
      <c r="H730" s="2"/>
      <c r="I730" s="2"/>
      <c r="J730" s="2"/>
      <c r="K730" s="2"/>
      <c r="L730" s="2"/>
      <c r="M730" s="2"/>
      <c r="N730" s="2"/>
      <c r="O730" s="2"/>
      <c r="P730" s="2"/>
      <c r="Q730" s="2"/>
      <c r="R730" s="2"/>
      <c r="S730" s="7"/>
      <c r="T730" s="2"/>
      <c r="U730" s="10"/>
      <c r="V730" s="2"/>
      <c r="W730" s="7"/>
      <c r="X730" s="7"/>
      <c r="Y730" s="2"/>
      <c r="Z730" s="2"/>
      <c r="AA730" s="2"/>
    </row>
    <row r="731">
      <c r="A731" s="2"/>
      <c r="B731" s="2"/>
      <c r="C731" s="2"/>
      <c r="D731" s="2"/>
      <c r="E731" s="2"/>
      <c r="F731" s="2"/>
      <c r="G731" s="2"/>
      <c r="H731" s="2"/>
      <c r="I731" s="2"/>
      <c r="J731" s="2"/>
      <c r="K731" s="2"/>
      <c r="L731" s="2"/>
      <c r="M731" s="2"/>
      <c r="N731" s="2"/>
      <c r="O731" s="2"/>
      <c r="P731" s="2"/>
      <c r="Q731" s="2"/>
      <c r="R731" s="2"/>
      <c r="S731" s="7"/>
      <c r="T731" s="2"/>
      <c r="U731" s="10"/>
      <c r="V731" s="2"/>
      <c r="W731" s="7"/>
      <c r="X731" s="7"/>
      <c r="Y731" s="2"/>
      <c r="Z731" s="2"/>
      <c r="AA731" s="2"/>
    </row>
    <row r="732">
      <c r="A732" s="2"/>
      <c r="B732" s="2"/>
      <c r="C732" s="2"/>
      <c r="D732" s="2"/>
      <c r="E732" s="2"/>
      <c r="F732" s="2"/>
      <c r="G732" s="2"/>
      <c r="H732" s="2"/>
      <c r="I732" s="2"/>
      <c r="J732" s="2"/>
      <c r="K732" s="2"/>
      <c r="L732" s="2"/>
      <c r="M732" s="2"/>
      <c r="N732" s="2"/>
      <c r="O732" s="2"/>
      <c r="P732" s="2"/>
      <c r="Q732" s="2"/>
      <c r="R732" s="2"/>
      <c r="S732" s="7"/>
      <c r="T732" s="2"/>
      <c r="U732" s="10"/>
      <c r="V732" s="2"/>
      <c r="W732" s="7"/>
      <c r="X732" s="7"/>
      <c r="Y732" s="2"/>
      <c r="Z732" s="2"/>
      <c r="AA732" s="2"/>
    </row>
    <row r="733">
      <c r="A733" s="2"/>
      <c r="B733" s="2"/>
      <c r="C733" s="2"/>
      <c r="D733" s="2"/>
      <c r="E733" s="2"/>
      <c r="F733" s="2"/>
      <c r="G733" s="2"/>
      <c r="H733" s="2"/>
      <c r="I733" s="2"/>
      <c r="J733" s="2"/>
      <c r="K733" s="2"/>
      <c r="L733" s="2"/>
      <c r="M733" s="2"/>
      <c r="N733" s="2"/>
      <c r="O733" s="2"/>
      <c r="P733" s="2"/>
      <c r="Q733" s="2"/>
      <c r="R733" s="2"/>
      <c r="S733" s="7"/>
      <c r="T733" s="2"/>
      <c r="U733" s="10"/>
      <c r="V733" s="2"/>
      <c r="W733" s="7"/>
      <c r="X733" s="7"/>
      <c r="Y733" s="2"/>
      <c r="Z733" s="2"/>
      <c r="AA733" s="2"/>
    </row>
    <row r="734">
      <c r="A734" s="2"/>
      <c r="B734" s="2"/>
      <c r="C734" s="2"/>
      <c r="D734" s="2"/>
      <c r="E734" s="2"/>
      <c r="F734" s="2"/>
      <c r="G734" s="2"/>
      <c r="H734" s="2"/>
      <c r="I734" s="2"/>
      <c r="J734" s="2"/>
      <c r="K734" s="2"/>
      <c r="L734" s="2"/>
      <c r="M734" s="2"/>
      <c r="N734" s="2"/>
      <c r="O734" s="2"/>
      <c r="P734" s="2"/>
      <c r="Q734" s="2"/>
      <c r="R734" s="2"/>
      <c r="S734" s="7"/>
      <c r="T734" s="2"/>
      <c r="U734" s="10"/>
      <c r="V734" s="2"/>
      <c r="W734" s="7"/>
      <c r="X734" s="7"/>
      <c r="Y734" s="2"/>
      <c r="Z734" s="2"/>
      <c r="AA734" s="2"/>
    </row>
    <row r="735">
      <c r="A735" s="2"/>
      <c r="B735" s="2"/>
      <c r="C735" s="2"/>
      <c r="D735" s="2"/>
      <c r="E735" s="2"/>
      <c r="F735" s="2"/>
      <c r="G735" s="2"/>
      <c r="H735" s="2"/>
      <c r="I735" s="2"/>
      <c r="J735" s="2"/>
      <c r="K735" s="2"/>
      <c r="L735" s="2"/>
      <c r="M735" s="2"/>
      <c r="N735" s="2"/>
      <c r="O735" s="2"/>
      <c r="P735" s="2"/>
      <c r="Q735" s="2"/>
      <c r="R735" s="2"/>
      <c r="S735" s="7"/>
      <c r="T735" s="2"/>
      <c r="U735" s="10"/>
      <c r="V735" s="2"/>
      <c r="W735" s="7"/>
      <c r="X735" s="7"/>
      <c r="Y735" s="2"/>
      <c r="Z735" s="2"/>
      <c r="AA735" s="2"/>
    </row>
    <row r="736">
      <c r="A736" s="2"/>
      <c r="B736" s="2"/>
      <c r="C736" s="2"/>
      <c r="D736" s="2"/>
      <c r="E736" s="2"/>
      <c r="F736" s="2"/>
      <c r="G736" s="2"/>
      <c r="H736" s="2"/>
      <c r="I736" s="2"/>
      <c r="J736" s="2"/>
      <c r="K736" s="2"/>
      <c r="L736" s="2"/>
      <c r="M736" s="2"/>
      <c r="N736" s="2"/>
      <c r="O736" s="2"/>
      <c r="P736" s="2"/>
      <c r="Q736" s="2"/>
      <c r="R736" s="2"/>
      <c r="S736" s="7"/>
      <c r="T736" s="2"/>
      <c r="U736" s="10"/>
      <c r="V736" s="2"/>
      <c r="W736" s="7"/>
      <c r="X736" s="7"/>
      <c r="Y736" s="2"/>
      <c r="Z736" s="2"/>
      <c r="AA736" s="2"/>
    </row>
    <row r="737">
      <c r="A737" s="2"/>
      <c r="B737" s="2"/>
      <c r="C737" s="2"/>
      <c r="D737" s="2"/>
      <c r="E737" s="2"/>
      <c r="F737" s="2"/>
      <c r="G737" s="2"/>
      <c r="H737" s="2"/>
      <c r="I737" s="2"/>
      <c r="J737" s="2"/>
      <c r="K737" s="2"/>
      <c r="L737" s="2"/>
      <c r="M737" s="2"/>
      <c r="N737" s="2"/>
      <c r="O737" s="2"/>
      <c r="P737" s="2"/>
      <c r="Q737" s="2"/>
      <c r="R737" s="2"/>
      <c r="S737" s="7"/>
      <c r="T737" s="2"/>
      <c r="U737" s="10"/>
      <c r="V737" s="2"/>
      <c r="W737" s="7"/>
      <c r="X737" s="7"/>
      <c r="Y737" s="2"/>
      <c r="Z737" s="2"/>
      <c r="AA737" s="2"/>
    </row>
    <row r="738">
      <c r="A738" s="2"/>
      <c r="B738" s="2"/>
      <c r="C738" s="2"/>
      <c r="D738" s="2"/>
      <c r="E738" s="2"/>
      <c r="F738" s="2"/>
      <c r="G738" s="2"/>
      <c r="H738" s="2"/>
      <c r="I738" s="2"/>
      <c r="J738" s="2"/>
      <c r="K738" s="2"/>
      <c r="L738" s="2"/>
      <c r="M738" s="2"/>
      <c r="N738" s="2"/>
      <c r="O738" s="2"/>
      <c r="P738" s="2"/>
      <c r="Q738" s="2"/>
      <c r="R738" s="2"/>
      <c r="S738" s="7"/>
      <c r="T738" s="2"/>
      <c r="U738" s="10"/>
      <c r="V738" s="2"/>
      <c r="W738" s="7"/>
      <c r="X738" s="7"/>
      <c r="Y738" s="2"/>
      <c r="Z738" s="2"/>
      <c r="AA738" s="2"/>
    </row>
    <row r="739">
      <c r="A739" s="2"/>
      <c r="B739" s="2"/>
      <c r="C739" s="2"/>
      <c r="D739" s="2"/>
      <c r="E739" s="2"/>
      <c r="F739" s="2"/>
      <c r="G739" s="2"/>
      <c r="H739" s="2"/>
      <c r="I739" s="2"/>
      <c r="J739" s="2"/>
      <c r="K739" s="2"/>
      <c r="L739" s="2"/>
      <c r="M739" s="2"/>
      <c r="N739" s="2"/>
      <c r="O739" s="2"/>
      <c r="P739" s="2"/>
      <c r="Q739" s="2"/>
      <c r="R739" s="2"/>
      <c r="S739" s="7"/>
      <c r="T739" s="2"/>
      <c r="U739" s="10"/>
      <c r="V739" s="2"/>
      <c r="W739" s="7"/>
      <c r="X739" s="7"/>
      <c r="Y739" s="2"/>
      <c r="Z739" s="2"/>
      <c r="AA739" s="2"/>
    </row>
    <row r="740">
      <c r="A740" s="2"/>
      <c r="B740" s="2"/>
      <c r="C740" s="2"/>
      <c r="D740" s="2"/>
      <c r="E740" s="2"/>
      <c r="F740" s="2"/>
      <c r="G740" s="2"/>
      <c r="H740" s="2"/>
      <c r="I740" s="2"/>
      <c r="J740" s="2"/>
      <c r="K740" s="2"/>
      <c r="L740" s="2"/>
      <c r="M740" s="2"/>
      <c r="N740" s="2"/>
      <c r="O740" s="2"/>
      <c r="P740" s="2"/>
      <c r="Q740" s="2"/>
      <c r="R740" s="2"/>
      <c r="S740" s="7"/>
      <c r="T740" s="2"/>
      <c r="U740" s="10"/>
      <c r="V740" s="2"/>
      <c r="W740" s="7"/>
      <c r="X740" s="7"/>
      <c r="Y740" s="2"/>
      <c r="Z740" s="2"/>
      <c r="AA740" s="2"/>
    </row>
    <row r="741">
      <c r="A741" s="2"/>
      <c r="B741" s="2"/>
      <c r="C741" s="2"/>
      <c r="D741" s="2"/>
      <c r="E741" s="2"/>
      <c r="F741" s="2"/>
      <c r="G741" s="2"/>
      <c r="H741" s="2"/>
      <c r="I741" s="2"/>
      <c r="J741" s="2"/>
      <c r="K741" s="2"/>
      <c r="L741" s="2"/>
      <c r="M741" s="2"/>
      <c r="N741" s="2"/>
      <c r="O741" s="2"/>
      <c r="P741" s="2"/>
      <c r="Q741" s="2"/>
      <c r="R741" s="2"/>
      <c r="S741" s="7"/>
      <c r="T741" s="2"/>
      <c r="U741" s="10"/>
      <c r="V741" s="2"/>
      <c r="W741" s="7"/>
      <c r="X741" s="7"/>
      <c r="Y741" s="2"/>
      <c r="Z741" s="2"/>
      <c r="AA741" s="2"/>
    </row>
    <row r="742">
      <c r="A742" s="2"/>
      <c r="B742" s="2"/>
      <c r="C742" s="2"/>
      <c r="D742" s="2"/>
      <c r="E742" s="2"/>
      <c r="F742" s="2"/>
      <c r="G742" s="2"/>
      <c r="H742" s="2"/>
      <c r="I742" s="2"/>
      <c r="J742" s="2"/>
      <c r="K742" s="2"/>
      <c r="L742" s="2"/>
      <c r="M742" s="2"/>
      <c r="N742" s="2"/>
      <c r="O742" s="2"/>
      <c r="P742" s="2"/>
      <c r="Q742" s="2"/>
      <c r="R742" s="2"/>
      <c r="S742" s="7"/>
      <c r="T742" s="2"/>
      <c r="U742" s="10"/>
      <c r="V742" s="2"/>
      <c r="W742" s="7"/>
      <c r="X742" s="7"/>
      <c r="Y742" s="2"/>
      <c r="Z742" s="2"/>
      <c r="AA742" s="2"/>
    </row>
    <row r="743">
      <c r="A743" s="2"/>
      <c r="B743" s="2"/>
      <c r="C743" s="2"/>
      <c r="D743" s="2"/>
      <c r="E743" s="2"/>
      <c r="F743" s="2"/>
      <c r="G743" s="2"/>
      <c r="H743" s="2"/>
      <c r="I743" s="2"/>
      <c r="J743" s="2"/>
      <c r="K743" s="2"/>
      <c r="L743" s="2"/>
      <c r="M743" s="2"/>
      <c r="N743" s="2"/>
      <c r="O743" s="2"/>
      <c r="P743" s="2"/>
      <c r="Q743" s="2"/>
      <c r="R743" s="2"/>
      <c r="S743" s="7"/>
      <c r="T743" s="2"/>
      <c r="U743" s="10"/>
      <c r="V743" s="2"/>
      <c r="W743" s="7"/>
      <c r="X743" s="7"/>
      <c r="Y743" s="2"/>
      <c r="Z743" s="2"/>
      <c r="AA743" s="2"/>
    </row>
    <row r="744">
      <c r="A744" s="2"/>
      <c r="B744" s="2"/>
      <c r="C744" s="2"/>
      <c r="D744" s="2"/>
      <c r="E744" s="2"/>
      <c r="F744" s="2"/>
      <c r="G744" s="2"/>
      <c r="H744" s="2"/>
      <c r="I744" s="2"/>
      <c r="J744" s="2"/>
      <c r="K744" s="2"/>
      <c r="L744" s="2"/>
      <c r="M744" s="2"/>
      <c r="N744" s="2"/>
      <c r="O744" s="2"/>
      <c r="P744" s="2"/>
      <c r="Q744" s="2"/>
      <c r="R744" s="2"/>
      <c r="S744" s="7"/>
      <c r="T744" s="2"/>
      <c r="U744" s="10"/>
      <c r="V744" s="2"/>
      <c r="W744" s="7"/>
      <c r="X744" s="7"/>
      <c r="Y744" s="2"/>
      <c r="Z744" s="2"/>
      <c r="AA744" s="2"/>
    </row>
    <row r="745">
      <c r="A745" s="2"/>
      <c r="B745" s="2"/>
      <c r="C745" s="2"/>
      <c r="D745" s="2"/>
      <c r="E745" s="2"/>
      <c r="F745" s="2"/>
      <c r="G745" s="2"/>
      <c r="H745" s="2"/>
      <c r="I745" s="2"/>
      <c r="J745" s="2"/>
      <c r="K745" s="2"/>
      <c r="L745" s="2"/>
      <c r="M745" s="2"/>
      <c r="N745" s="2"/>
      <c r="O745" s="2"/>
      <c r="P745" s="2"/>
      <c r="Q745" s="2"/>
      <c r="R745" s="2"/>
      <c r="S745" s="7"/>
      <c r="T745" s="2"/>
      <c r="U745" s="10"/>
      <c r="V745" s="2"/>
      <c r="W745" s="7"/>
      <c r="X745" s="7"/>
      <c r="Y745" s="2"/>
      <c r="Z745" s="2"/>
      <c r="AA745" s="2"/>
    </row>
    <row r="746">
      <c r="A746" s="2"/>
      <c r="B746" s="2"/>
      <c r="C746" s="2"/>
      <c r="D746" s="2"/>
      <c r="E746" s="2"/>
      <c r="F746" s="2"/>
      <c r="G746" s="2"/>
      <c r="H746" s="2"/>
      <c r="I746" s="2"/>
      <c r="J746" s="2"/>
      <c r="K746" s="2"/>
      <c r="L746" s="2"/>
      <c r="M746" s="2"/>
      <c r="N746" s="2"/>
      <c r="O746" s="2"/>
      <c r="P746" s="2"/>
      <c r="Q746" s="2"/>
      <c r="R746" s="2"/>
      <c r="S746" s="7"/>
      <c r="T746" s="2"/>
      <c r="U746" s="10"/>
      <c r="V746" s="2"/>
      <c r="W746" s="7"/>
      <c r="X746" s="7"/>
      <c r="Y746" s="2"/>
      <c r="Z746" s="2"/>
      <c r="AA746" s="2"/>
    </row>
    <row r="747">
      <c r="A747" s="2"/>
      <c r="B747" s="2"/>
      <c r="C747" s="2"/>
      <c r="D747" s="2"/>
      <c r="E747" s="2"/>
      <c r="F747" s="2"/>
      <c r="G747" s="2"/>
      <c r="H747" s="2"/>
      <c r="I747" s="2"/>
      <c r="J747" s="2"/>
      <c r="K747" s="2"/>
      <c r="L747" s="2"/>
      <c r="M747" s="2"/>
      <c r="N747" s="2"/>
      <c r="O747" s="2"/>
      <c r="P747" s="2"/>
      <c r="Q747" s="2"/>
      <c r="R747" s="2"/>
      <c r="S747" s="7"/>
      <c r="T747" s="2"/>
      <c r="U747" s="10"/>
      <c r="V747" s="2"/>
      <c r="W747" s="7"/>
      <c r="X747" s="7"/>
      <c r="Y747" s="2"/>
      <c r="Z747" s="2"/>
      <c r="AA747" s="2"/>
    </row>
    <row r="748">
      <c r="A748" s="2"/>
      <c r="B748" s="2"/>
      <c r="C748" s="2"/>
      <c r="D748" s="2"/>
      <c r="E748" s="2"/>
      <c r="F748" s="2"/>
      <c r="G748" s="2"/>
      <c r="H748" s="2"/>
      <c r="I748" s="2"/>
      <c r="J748" s="2"/>
      <c r="K748" s="2"/>
      <c r="L748" s="2"/>
      <c r="M748" s="2"/>
      <c r="N748" s="2"/>
      <c r="O748" s="2"/>
      <c r="P748" s="2"/>
      <c r="Q748" s="2"/>
      <c r="R748" s="2"/>
      <c r="S748" s="7"/>
      <c r="T748" s="2"/>
      <c r="U748" s="10"/>
      <c r="V748" s="2"/>
      <c r="W748" s="7"/>
      <c r="X748" s="7"/>
      <c r="Y748" s="2"/>
      <c r="Z748" s="2"/>
      <c r="AA748" s="2"/>
    </row>
    <row r="749">
      <c r="A749" s="2"/>
      <c r="B749" s="2"/>
      <c r="C749" s="2"/>
      <c r="D749" s="2"/>
      <c r="E749" s="2"/>
      <c r="F749" s="2"/>
      <c r="G749" s="2"/>
      <c r="H749" s="2"/>
      <c r="I749" s="2"/>
      <c r="J749" s="2"/>
      <c r="K749" s="2"/>
      <c r="L749" s="2"/>
      <c r="M749" s="2"/>
      <c r="N749" s="2"/>
      <c r="O749" s="2"/>
      <c r="P749" s="2"/>
      <c r="Q749" s="2"/>
      <c r="R749" s="2"/>
      <c r="S749" s="7"/>
      <c r="T749" s="2"/>
      <c r="U749" s="10"/>
      <c r="V749" s="2"/>
      <c r="W749" s="7"/>
      <c r="X749" s="7"/>
      <c r="Y749" s="2"/>
      <c r="Z749" s="2"/>
      <c r="AA749" s="2"/>
    </row>
    <row r="750">
      <c r="A750" s="2"/>
      <c r="B750" s="2"/>
      <c r="C750" s="2"/>
      <c r="D750" s="2"/>
      <c r="E750" s="2"/>
      <c r="F750" s="2"/>
      <c r="G750" s="2"/>
      <c r="H750" s="2"/>
      <c r="I750" s="2"/>
      <c r="J750" s="2"/>
      <c r="K750" s="2"/>
      <c r="L750" s="2"/>
      <c r="M750" s="2"/>
      <c r="N750" s="2"/>
      <c r="O750" s="2"/>
      <c r="P750" s="2"/>
      <c r="Q750" s="2"/>
      <c r="R750" s="2"/>
      <c r="S750" s="7"/>
      <c r="T750" s="2"/>
      <c r="U750" s="10"/>
      <c r="V750" s="2"/>
      <c r="W750" s="7"/>
      <c r="X750" s="7"/>
      <c r="Y750" s="2"/>
      <c r="Z750" s="2"/>
      <c r="AA750" s="2"/>
    </row>
    <row r="751">
      <c r="A751" s="2"/>
      <c r="B751" s="2"/>
      <c r="C751" s="2"/>
      <c r="D751" s="2"/>
      <c r="E751" s="2"/>
      <c r="F751" s="2"/>
      <c r="G751" s="2"/>
      <c r="H751" s="2"/>
      <c r="I751" s="2"/>
      <c r="J751" s="2"/>
      <c r="K751" s="2"/>
      <c r="L751" s="2"/>
      <c r="M751" s="2"/>
      <c r="N751" s="2"/>
      <c r="O751" s="2"/>
      <c r="P751" s="2"/>
      <c r="Q751" s="2"/>
      <c r="R751" s="2"/>
      <c r="S751" s="7"/>
      <c r="T751" s="2"/>
      <c r="U751" s="10"/>
      <c r="V751" s="2"/>
      <c r="W751" s="7"/>
      <c r="X751" s="7"/>
      <c r="Y751" s="2"/>
      <c r="Z751" s="2"/>
      <c r="AA751" s="2"/>
    </row>
    <row r="752">
      <c r="A752" s="2"/>
      <c r="B752" s="2"/>
      <c r="C752" s="2"/>
      <c r="D752" s="2"/>
      <c r="E752" s="2"/>
      <c r="F752" s="2"/>
      <c r="G752" s="2"/>
      <c r="H752" s="2"/>
      <c r="I752" s="2"/>
      <c r="J752" s="2"/>
      <c r="K752" s="2"/>
      <c r="L752" s="2"/>
      <c r="M752" s="2"/>
      <c r="N752" s="2"/>
      <c r="O752" s="2"/>
      <c r="P752" s="2"/>
      <c r="Q752" s="2"/>
      <c r="R752" s="2"/>
      <c r="S752" s="7"/>
      <c r="T752" s="2"/>
      <c r="U752" s="10"/>
      <c r="V752" s="2"/>
      <c r="W752" s="7"/>
      <c r="X752" s="7"/>
      <c r="Y752" s="2"/>
      <c r="Z752" s="2"/>
      <c r="AA752" s="2"/>
    </row>
    <row r="753">
      <c r="A753" s="2"/>
      <c r="B753" s="2"/>
      <c r="C753" s="2"/>
      <c r="D753" s="2"/>
      <c r="E753" s="2"/>
      <c r="F753" s="2"/>
      <c r="G753" s="2"/>
      <c r="H753" s="2"/>
      <c r="I753" s="2"/>
      <c r="J753" s="2"/>
      <c r="K753" s="2"/>
      <c r="L753" s="2"/>
      <c r="M753" s="2"/>
      <c r="N753" s="2"/>
      <c r="O753" s="2"/>
      <c r="P753" s="2"/>
      <c r="Q753" s="2"/>
      <c r="R753" s="2"/>
      <c r="S753" s="7"/>
      <c r="T753" s="2"/>
      <c r="U753" s="10"/>
      <c r="V753" s="2"/>
      <c r="W753" s="7"/>
      <c r="X753" s="7"/>
      <c r="Y753" s="2"/>
      <c r="Z753" s="2"/>
      <c r="AA753" s="2"/>
    </row>
    <row r="754">
      <c r="A754" s="2"/>
      <c r="B754" s="2"/>
      <c r="C754" s="2"/>
      <c r="D754" s="2"/>
      <c r="E754" s="2"/>
      <c r="F754" s="2"/>
      <c r="G754" s="2"/>
      <c r="H754" s="2"/>
      <c r="I754" s="2"/>
      <c r="J754" s="2"/>
      <c r="K754" s="2"/>
      <c r="L754" s="2"/>
      <c r="M754" s="2"/>
      <c r="N754" s="2"/>
      <c r="O754" s="2"/>
      <c r="P754" s="2"/>
      <c r="Q754" s="2"/>
      <c r="R754" s="2"/>
      <c r="S754" s="7"/>
      <c r="T754" s="2"/>
      <c r="U754" s="10"/>
      <c r="V754" s="2"/>
      <c r="W754" s="7"/>
      <c r="X754" s="7"/>
      <c r="Y754" s="2"/>
      <c r="Z754" s="2"/>
      <c r="AA754" s="2"/>
    </row>
    <row r="755">
      <c r="A755" s="2"/>
      <c r="B755" s="2"/>
      <c r="C755" s="2"/>
      <c r="D755" s="2"/>
      <c r="E755" s="2"/>
      <c r="F755" s="2"/>
      <c r="G755" s="2"/>
      <c r="H755" s="2"/>
      <c r="I755" s="2"/>
      <c r="J755" s="2"/>
      <c r="K755" s="2"/>
      <c r="L755" s="2"/>
      <c r="M755" s="2"/>
      <c r="N755" s="2"/>
      <c r="O755" s="2"/>
      <c r="P755" s="2"/>
      <c r="Q755" s="2"/>
      <c r="R755" s="2"/>
      <c r="S755" s="7"/>
      <c r="T755" s="2"/>
      <c r="U755" s="10"/>
      <c r="V755" s="2"/>
      <c r="W755" s="7"/>
      <c r="X755" s="7"/>
      <c r="Y755" s="2"/>
      <c r="Z755" s="2"/>
      <c r="AA755" s="2"/>
    </row>
    <row r="756">
      <c r="A756" s="2"/>
      <c r="B756" s="2"/>
      <c r="C756" s="2"/>
      <c r="D756" s="2"/>
      <c r="E756" s="2"/>
      <c r="F756" s="2"/>
      <c r="G756" s="2"/>
      <c r="H756" s="2"/>
      <c r="I756" s="2"/>
      <c r="J756" s="2"/>
      <c r="K756" s="2"/>
      <c r="L756" s="2"/>
      <c r="M756" s="2"/>
      <c r="N756" s="2"/>
      <c r="O756" s="2"/>
      <c r="P756" s="2"/>
      <c r="Q756" s="2"/>
      <c r="R756" s="2"/>
      <c r="S756" s="7"/>
      <c r="T756" s="2"/>
      <c r="U756" s="10"/>
      <c r="V756" s="2"/>
      <c r="W756" s="7"/>
      <c r="X756" s="7"/>
      <c r="Y756" s="2"/>
      <c r="Z756" s="2"/>
      <c r="AA756" s="2"/>
    </row>
    <row r="757">
      <c r="A757" s="2"/>
      <c r="B757" s="2"/>
      <c r="C757" s="2"/>
      <c r="D757" s="2"/>
      <c r="E757" s="2"/>
      <c r="F757" s="2"/>
      <c r="G757" s="2"/>
      <c r="H757" s="2"/>
      <c r="I757" s="2"/>
      <c r="J757" s="2"/>
      <c r="K757" s="2"/>
      <c r="L757" s="2"/>
      <c r="M757" s="2"/>
      <c r="N757" s="2"/>
      <c r="O757" s="2"/>
      <c r="P757" s="2"/>
      <c r="Q757" s="2"/>
      <c r="R757" s="2"/>
      <c r="S757" s="7"/>
      <c r="T757" s="2"/>
      <c r="U757" s="10"/>
      <c r="V757" s="2"/>
      <c r="W757" s="7"/>
      <c r="X757" s="7"/>
      <c r="Y757" s="2"/>
      <c r="Z757" s="2"/>
      <c r="AA757" s="2"/>
    </row>
    <row r="758">
      <c r="A758" s="2"/>
      <c r="B758" s="2"/>
      <c r="C758" s="2"/>
      <c r="D758" s="2"/>
      <c r="E758" s="2"/>
      <c r="F758" s="2"/>
      <c r="G758" s="2"/>
      <c r="H758" s="2"/>
      <c r="I758" s="2"/>
      <c r="J758" s="2"/>
      <c r="K758" s="2"/>
      <c r="L758" s="2"/>
      <c r="M758" s="2"/>
      <c r="N758" s="2"/>
      <c r="O758" s="2"/>
      <c r="P758" s="2"/>
      <c r="Q758" s="2"/>
      <c r="R758" s="2"/>
      <c r="S758" s="7"/>
      <c r="T758" s="2"/>
      <c r="U758" s="10"/>
      <c r="V758" s="2"/>
      <c r="W758" s="7"/>
      <c r="X758" s="7"/>
      <c r="Y758" s="2"/>
      <c r="Z758" s="2"/>
      <c r="AA758" s="2"/>
    </row>
    <row r="759">
      <c r="A759" s="2"/>
      <c r="B759" s="2"/>
      <c r="C759" s="2"/>
      <c r="D759" s="2"/>
      <c r="E759" s="2"/>
      <c r="F759" s="2"/>
      <c r="G759" s="2"/>
      <c r="H759" s="2"/>
      <c r="I759" s="2"/>
      <c r="J759" s="2"/>
      <c r="K759" s="2"/>
      <c r="L759" s="2"/>
      <c r="M759" s="2"/>
      <c r="N759" s="2"/>
      <c r="O759" s="2"/>
      <c r="P759" s="2"/>
      <c r="Q759" s="2"/>
      <c r="R759" s="2"/>
      <c r="S759" s="7"/>
      <c r="T759" s="2"/>
      <c r="U759" s="10"/>
      <c r="V759" s="2"/>
      <c r="W759" s="7"/>
      <c r="X759" s="7"/>
      <c r="Y759" s="2"/>
      <c r="Z759" s="2"/>
      <c r="AA759" s="2"/>
    </row>
    <row r="760">
      <c r="A760" s="2"/>
      <c r="B760" s="2"/>
      <c r="C760" s="2"/>
      <c r="D760" s="2"/>
      <c r="E760" s="2"/>
      <c r="F760" s="2"/>
      <c r="G760" s="2"/>
      <c r="H760" s="2"/>
      <c r="I760" s="2"/>
      <c r="J760" s="2"/>
      <c r="K760" s="2"/>
      <c r="L760" s="2"/>
      <c r="M760" s="2"/>
      <c r="N760" s="2"/>
      <c r="O760" s="2"/>
      <c r="P760" s="2"/>
      <c r="Q760" s="2"/>
      <c r="R760" s="2"/>
      <c r="S760" s="7"/>
      <c r="T760" s="2"/>
      <c r="U760" s="10"/>
      <c r="V760" s="2"/>
      <c r="W760" s="7"/>
      <c r="X760" s="7"/>
      <c r="Y760" s="2"/>
      <c r="Z760" s="2"/>
      <c r="AA760" s="2"/>
    </row>
    <row r="761">
      <c r="A761" s="2"/>
      <c r="B761" s="2"/>
      <c r="C761" s="2"/>
      <c r="D761" s="2"/>
      <c r="E761" s="2"/>
      <c r="F761" s="2"/>
      <c r="G761" s="2"/>
      <c r="H761" s="2"/>
      <c r="I761" s="2"/>
      <c r="J761" s="2"/>
      <c r="K761" s="2"/>
      <c r="L761" s="2"/>
      <c r="M761" s="2"/>
      <c r="N761" s="2"/>
      <c r="O761" s="2"/>
      <c r="P761" s="2"/>
      <c r="Q761" s="2"/>
      <c r="R761" s="2"/>
      <c r="S761" s="7"/>
      <c r="T761" s="2"/>
      <c r="U761" s="10"/>
      <c r="V761" s="2"/>
      <c r="W761" s="7"/>
      <c r="X761" s="7"/>
      <c r="Y761" s="2"/>
      <c r="Z761" s="2"/>
      <c r="AA761" s="2"/>
    </row>
    <row r="762">
      <c r="A762" s="2"/>
      <c r="B762" s="2"/>
      <c r="C762" s="2"/>
      <c r="D762" s="2"/>
      <c r="E762" s="2"/>
      <c r="F762" s="2"/>
      <c r="G762" s="2"/>
      <c r="H762" s="2"/>
      <c r="I762" s="2"/>
      <c r="J762" s="2"/>
      <c r="K762" s="2"/>
      <c r="L762" s="2"/>
      <c r="M762" s="2"/>
      <c r="N762" s="2"/>
      <c r="O762" s="2"/>
      <c r="P762" s="2"/>
      <c r="Q762" s="2"/>
      <c r="R762" s="2"/>
      <c r="S762" s="7"/>
      <c r="T762" s="2"/>
      <c r="U762" s="10"/>
      <c r="V762" s="2"/>
      <c r="W762" s="7"/>
      <c r="X762" s="7"/>
      <c r="Y762" s="2"/>
      <c r="Z762" s="2"/>
      <c r="AA762" s="2"/>
    </row>
    <row r="763">
      <c r="A763" s="2"/>
      <c r="B763" s="2"/>
      <c r="C763" s="2"/>
      <c r="D763" s="2"/>
      <c r="E763" s="2"/>
      <c r="F763" s="2"/>
      <c r="G763" s="2"/>
      <c r="H763" s="2"/>
      <c r="I763" s="2"/>
      <c r="J763" s="2"/>
      <c r="K763" s="2"/>
      <c r="L763" s="2"/>
      <c r="M763" s="2"/>
      <c r="N763" s="2"/>
      <c r="O763" s="2"/>
      <c r="P763" s="2"/>
      <c r="Q763" s="2"/>
      <c r="R763" s="2"/>
      <c r="S763" s="7"/>
      <c r="T763" s="2"/>
      <c r="U763" s="10"/>
      <c r="V763" s="2"/>
      <c r="W763" s="7"/>
      <c r="X763" s="7"/>
      <c r="Y763" s="2"/>
      <c r="Z763" s="2"/>
      <c r="AA763" s="2"/>
    </row>
    <row r="764">
      <c r="A764" s="2"/>
      <c r="B764" s="2"/>
      <c r="C764" s="2"/>
      <c r="D764" s="2"/>
      <c r="E764" s="2"/>
      <c r="F764" s="2"/>
      <c r="G764" s="2"/>
      <c r="H764" s="2"/>
      <c r="I764" s="2"/>
      <c r="J764" s="2"/>
      <c r="K764" s="2"/>
      <c r="L764" s="2"/>
      <c r="M764" s="2"/>
      <c r="N764" s="2"/>
      <c r="O764" s="2"/>
      <c r="P764" s="2"/>
      <c r="Q764" s="2"/>
      <c r="R764" s="2"/>
      <c r="S764" s="7"/>
      <c r="T764" s="2"/>
      <c r="U764" s="10"/>
      <c r="V764" s="2"/>
      <c r="W764" s="7"/>
      <c r="X764" s="7"/>
      <c r="Y764" s="2"/>
      <c r="Z764" s="2"/>
      <c r="AA764" s="2"/>
    </row>
    <row r="765">
      <c r="A765" s="2"/>
      <c r="B765" s="2"/>
      <c r="C765" s="2"/>
      <c r="D765" s="2"/>
      <c r="E765" s="2"/>
      <c r="F765" s="2"/>
      <c r="G765" s="2"/>
      <c r="H765" s="2"/>
      <c r="I765" s="2"/>
      <c r="J765" s="2"/>
      <c r="K765" s="2"/>
      <c r="L765" s="2"/>
      <c r="M765" s="2"/>
      <c r="N765" s="2"/>
      <c r="O765" s="2"/>
      <c r="P765" s="2"/>
      <c r="Q765" s="2"/>
      <c r="R765" s="2"/>
      <c r="S765" s="7"/>
      <c r="T765" s="2"/>
      <c r="U765" s="10"/>
      <c r="V765" s="2"/>
      <c r="W765" s="7"/>
      <c r="X765" s="7"/>
      <c r="Y765" s="2"/>
      <c r="Z765" s="2"/>
      <c r="AA765" s="2"/>
    </row>
    <row r="766">
      <c r="A766" s="2"/>
      <c r="B766" s="2"/>
      <c r="C766" s="2"/>
      <c r="D766" s="2"/>
      <c r="E766" s="2"/>
      <c r="F766" s="2"/>
      <c r="G766" s="2"/>
      <c r="H766" s="2"/>
      <c r="I766" s="2"/>
      <c r="J766" s="2"/>
      <c r="K766" s="2"/>
      <c r="L766" s="2"/>
      <c r="M766" s="2"/>
      <c r="N766" s="2"/>
      <c r="O766" s="2"/>
      <c r="P766" s="2"/>
      <c r="Q766" s="2"/>
      <c r="R766" s="2"/>
      <c r="S766" s="7"/>
      <c r="T766" s="2"/>
      <c r="U766" s="10"/>
      <c r="V766" s="2"/>
      <c r="W766" s="7"/>
      <c r="X766" s="7"/>
      <c r="Y766" s="2"/>
      <c r="Z766" s="2"/>
      <c r="AA766" s="2"/>
    </row>
    <row r="767">
      <c r="A767" s="2"/>
      <c r="B767" s="2"/>
      <c r="C767" s="2"/>
      <c r="D767" s="2"/>
      <c r="E767" s="2"/>
      <c r="F767" s="2"/>
      <c r="G767" s="2"/>
      <c r="H767" s="2"/>
      <c r="I767" s="2"/>
      <c r="J767" s="2"/>
      <c r="K767" s="2"/>
      <c r="L767" s="2"/>
      <c r="M767" s="2"/>
      <c r="N767" s="2"/>
      <c r="O767" s="2"/>
      <c r="P767" s="2"/>
      <c r="Q767" s="2"/>
      <c r="R767" s="2"/>
      <c r="S767" s="7"/>
      <c r="T767" s="2"/>
      <c r="U767" s="10"/>
      <c r="V767" s="2"/>
      <c r="W767" s="7"/>
      <c r="X767" s="7"/>
      <c r="Y767" s="2"/>
      <c r="Z767" s="2"/>
      <c r="AA767" s="2"/>
    </row>
    <row r="768">
      <c r="A768" s="2"/>
      <c r="B768" s="2"/>
      <c r="C768" s="2"/>
      <c r="D768" s="2"/>
      <c r="E768" s="2"/>
      <c r="F768" s="2"/>
      <c r="G768" s="2"/>
      <c r="H768" s="2"/>
      <c r="I768" s="2"/>
      <c r="J768" s="2"/>
      <c r="K768" s="2"/>
      <c r="L768" s="2"/>
      <c r="M768" s="2"/>
      <c r="N768" s="2"/>
      <c r="O768" s="2"/>
      <c r="P768" s="2"/>
      <c r="Q768" s="2"/>
      <c r="R768" s="2"/>
      <c r="S768" s="7"/>
      <c r="T768" s="2"/>
      <c r="U768" s="10"/>
      <c r="V768" s="2"/>
      <c r="W768" s="7"/>
      <c r="X768" s="7"/>
      <c r="Y768" s="2"/>
      <c r="Z768" s="2"/>
      <c r="AA768" s="2"/>
    </row>
    <row r="769">
      <c r="A769" s="2"/>
      <c r="B769" s="2"/>
      <c r="C769" s="2"/>
      <c r="D769" s="2"/>
      <c r="E769" s="2"/>
      <c r="F769" s="2"/>
      <c r="G769" s="2"/>
      <c r="H769" s="2"/>
      <c r="I769" s="2"/>
      <c r="J769" s="2"/>
      <c r="K769" s="2"/>
      <c r="L769" s="2"/>
      <c r="M769" s="2"/>
      <c r="N769" s="2"/>
      <c r="O769" s="2"/>
      <c r="P769" s="2"/>
      <c r="Q769" s="2"/>
      <c r="R769" s="2"/>
      <c r="S769" s="7"/>
      <c r="T769" s="2"/>
      <c r="U769" s="10"/>
      <c r="V769" s="2"/>
      <c r="W769" s="7"/>
      <c r="X769" s="7"/>
      <c r="Y769" s="2"/>
      <c r="Z769" s="2"/>
      <c r="AA769" s="2"/>
    </row>
    <row r="770">
      <c r="A770" s="2"/>
      <c r="B770" s="2"/>
      <c r="C770" s="2"/>
      <c r="D770" s="2"/>
      <c r="E770" s="2"/>
      <c r="F770" s="2"/>
      <c r="G770" s="2"/>
      <c r="H770" s="2"/>
      <c r="I770" s="2"/>
      <c r="J770" s="2"/>
      <c r="K770" s="2"/>
      <c r="L770" s="2"/>
      <c r="M770" s="2"/>
      <c r="N770" s="2"/>
      <c r="O770" s="2"/>
      <c r="P770" s="2"/>
      <c r="Q770" s="2"/>
      <c r="R770" s="2"/>
      <c r="S770" s="7"/>
      <c r="T770" s="2"/>
      <c r="U770" s="10"/>
      <c r="V770" s="2"/>
      <c r="W770" s="7"/>
      <c r="X770" s="7"/>
      <c r="Y770" s="2"/>
      <c r="Z770" s="2"/>
      <c r="AA770" s="2"/>
    </row>
    <row r="771">
      <c r="A771" s="2"/>
      <c r="B771" s="2"/>
      <c r="C771" s="2"/>
      <c r="D771" s="2"/>
      <c r="E771" s="2"/>
      <c r="F771" s="2"/>
      <c r="G771" s="2"/>
      <c r="H771" s="2"/>
      <c r="I771" s="2"/>
      <c r="J771" s="2"/>
      <c r="K771" s="2"/>
      <c r="L771" s="2"/>
      <c r="M771" s="2"/>
      <c r="N771" s="2"/>
      <c r="O771" s="2"/>
      <c r="P771" s="2"/>
      <c r="Q771" s="2"/>
      <c r="R771" s="2"/>
      <c r="S771" s="7"/>
      <c r="T771" s="2"/>
      <c r="U771" s="10"/>
      <c r="V771" s="2"/>
      <c r="W771" s="7"/>
      <c r="X771" s="7"/>
      <c r="Y771" s="2"/>
      <c r="Z771" s="2"/>
      <c r="AA771" s="2"/>
    </row>
    <row r="772">
      <c r="A772" s="2"/>
      <c r="B772" s="2"/>
      <c r="C772" s="2"/>
      <c r="D772" s="2"/>
      <c r="E772" s="2"/>
      <c r="F772" s="2"/>
      <c r="G772" s="2"/>
      <c r="H772" s="2"/>
      <c r="I772" s="2"/>
      <c r="J772" s="2"/>
      <c r="K772" s="2"/>
      <c r="L772" s="2"/>
      <c r="M772" s="2"/>
      <c r="N772" s="2"/>
      <c r="O772" s="2"/>
      <c r="P772" s="2"/>
      <c r="Q772" s="2"/>
      <c r="R772" s="2"/>
      <c r="S772" s="7"/>
      <c r="T772" s="2"/>
      <c r="U772" s="10"/>
      <c r="V772" s="2"/>
      <c r="W772" s="7"/>
      <c r="X772" s="7"/>
      <c r="Y772" s="2"/>
      <c r="Z772" s="2"/>
      <c r="AA772" s="2"/>
    </row>
    <row r="773">
      <c r="A773" s="2"/>
      <c r="B773" s="2"/>
      <c r="C773" s="2"/>
      <c r="D773" s="2"/>
      <c r="E773" s="2"/>
      <c r="F773" s="2"/>
      <c r="G773" s="2"/>
      <c r="H773" s="2"/>
      <c r="I773" s="2"/>
      <c r="J773" s="2"/>
      <c r="K773" s="2"/>
      <c r="L773" s="2"/>
      <c r="M773" s="2"/>
      <c r="N773" s="2"/>
      <c r="O773" s="2"/>
      <c r="P773" s="2"/>
      <c r="Q773" s="2"/>
      <c r="R773" s="2"/>
      <c r="S773" s="7"/>
      <c r="T773" s="2"/>
      <c r="U773" s="10"/>
      <c r="V773" s="2"/>
      <c r="W773" s="7"/>
      <c r="X773" s="7"/>
      <c r="Y773" s="2"/>
      <c r="Z773" s="2"/>
      <c r="AA773" s="2"/>
    </row>
    <row r="774">
      <c r="A774" s="2"/>
      <c r="B774" s="2"/>
      <c r="C774" s="2"/>
      <c r="D774" s="2"/>
      <c r="E774" s="2"/>
      <c r="F774" s="2"/>
      <c r="G774" s="2"/>
      <c r="H774" s="2"/>
      <c r="I774" s="2"/>
      <c r="J774" s="2"/>
      <c r="K774" s="2"/>
      <c r="L774" s="2"/>
      <c r="M774" s="2"/>
      <c r="N774" s="2"/>
      <c r="O774" s="2"/>
      <c r="P774" s="2"/>
      <c r="Q774" s="2"/>
      <c r="R774" s="2"/>
      <c r="S774" s="7"/>
      <c r="T774" s="2"/>
      <c r="U774" s="10"/>
      <c r="V774" s="2"/>
      <c r="W774" s="7"/>
      <c r="X774" s="7"/>
      <c r="Y774" s="2"/>
      <c r="Z774" s="2"/>
      <c r="AA774" s="2"/>
    </row>
    <row r="775">
      <c r="A775" s="2"/>
      <c r="B775" s="2"/>
      <c r="C775" s="2"/>
      <c r="D775" s="2"/>
      <c r="E775" s="2"/>
      <c r="F775" s="2"/>
      <c r="G775" s="2"/>
      <c r="H775" s="2"/>
      <c r="I775" s="2"/>
      <c r="J775" s="2"/>
      <c r="K775" s="2"/>
      <c r="L775" s="2"/>
      <c r="M775" s="2"/>
      <c r="N775" s="2"/>
      <c r="O775" s="2"/>
      <c r="P775" s="2"/>
      <c r="Q775" s="2"/>
      <c r="R775" s="2"/>
      <c r="S775" s="7"/>
      <c r="T775" s="2"/>
      <c r="U775" s="10"/>
      <c r="V775" s="2"/>
      <c r="W775" s="7"/>
      <c r="X775" s="7"/>
      <c r="Y775" s="2"/>
      <c r="Z775" s="2"/>
      <c r="AA775" s="2"/>
    </row>
    <row r="776">
      <c r="A776" s="2"/>
      <c r="B776" s="2"/>
      <c r="C776" s="2"/>
      <c r="D776" s="2"/>
      <c r="E776" s="2"/>
      <c r="F776" s="2"/>
      <c r="G776" s="2"/>
      <c r="H776" s="2"/>
      <c r="I776" s="2"/>
      <c r="J776" s="2"/>
      <c r="K776" s="2"/>
      <c r="L776" s="2"/>
      <c r="M776" s="2"/>
      <c r="N776" s="2"/>
      <c r="O776" s="2"/>
      <c r="P776" s="2"/>
      <c r="Q776" s="2"/>
      <c r="R776" s="2"/>
      <c r="S776" s="7"/>
      <c r="T776" s="2"/>
      <c r="U776" s="10"/>
      <c r="V776" s="2"/>
      <c r="W776" s="7"/>
      <c r="X776" s="7"/>
      <c r="Y776" s="2"/>
      <c r="Z776" s="2"/>
      <c r="AA776" s="2"/>
    </row>
    <row r="777">
      <c r="A777" s="2"/>
      <c r="B777" s="2"/>
      <c r="C777" s="2"/>
      <c r="D777" s="2"/>
      <c r="E777" s="2"/>
      <c r="F777" s="2"/>
      <c r="G777" s="2"/>
      <c r="H777" s="2"/>
      <c r="I777" s="2"/>
      <c r="J777" s="2"/>
      <c r="K777" s="2"/>
      <c r="L777" s="2"/>
      <c r="M777" s="2"/>
      <c r="N777" s="2"/>
      <c r="O777" s="2"/>
      <c r="P777" s="2"/>
      <c r="Q777" s="2"/>
      <c r="R777" s="2"/>
      <c r="S777" s="7"/>
      <c r="T777" s="2"/>
      <c r="U777" s="10"/>
      <c r="V777" s="2"/>
      <c r="W777" s="7"/>
      <c r="X777" s="7"/>
      <c r="Y777" s="2"/>
      <c r="Z777" s="2"/>
      <c r="AA777" s="2"/>
    </row>
    <row r="778">
      <c r="A778" s="2"/>
      <c r="B778" s="2"/>
      <c r="C778" s="2"/>
      <c r="D778" s="2"/>
      <c r="E778" s="2"/>
      <c r="F778" s="2"/>
      <c r="G778" s="2"/>
      <c r="H778" s="2"/>
      <c r="I778" s="2"/>
      <c r="J778" s="2"/>
      <c r="K778" s="2"/>
      <c r="L778" s="2"/>
      <c r="M778" s="2"/>
      <c r="N778" s="2"/>
      <c r="O778" s="2"/>
      <c r="P778" s="2"/>
      <c r="Q778" s="2"/>
      <c r="R778" s="2"/>
      <c r="S778" s="7"/>
      <c r="T778" s="2"/>
      <c r="U778" s="10"/>
      <c r="V778" s="2"/>
      <c r="W778" s="7"/>
      <c r="X778" s="7"/>
      <c r="Y778" s="2"/>
      <c r="Z778" s="2"/>
      <c r="AA778" s="2"/>
    </row>
    <row r="779">
      <c r="A779" s="2"/>
      <c r="B779" s="2"/>
      <c r="C779" s="2"/>
      <c r="D779" s="2"/>
      <c r="E779" s="2"/>
      <c r="F779" s="2"/>
      <c r="G779" s="2"/>
      <c r="H779" s="2"/>
      <c r="I779" s="2"/>
      <c r="J779" s="2"/>
      <c r="K779" s="2"/>
      <c r="L779" s="2"/>
      <c r="M779" s="2"/>
      <c r="N779" s="2"/>
      <c r="O779" s="2"/>
      <c r="P779" s="2"/>
      <c r="Q779" s="2"/>
      <c r="R779" s="2"/>
      <c r="S779" s="7"/>
      <c r="T779" s="2"/>
      <c r="U779" s="10"/>
      <c r="V779" s="2"/>
      <c r="W779" s="7"/>
      <c r="X779" s="7"/>
      <c r="Y779" s="2"/>
      <c r="Z779" s="2"/>
      <c r="AA779" s="2"/>
    </row>
    <row r="780">
      <c r="A780" s="2"/>
      <c r="B780" s="2"/>
      <c r="C780" s="2"/>
      <c r="D780" s="2"/>
      <c r="E780" s="2"/>
      <c r="F780" s="2"/>
      <c r="G780" s="2"/>
      <c r="H780" s="2"/>
      <c r="I780" s="2"/>
      <c r="J780" s="2"/>
      <c r="K780" s="2"/>
      <c r="L780" s="2"/>
      <c r="M780" s="2"/>
      <c r="N780" s="2"/>
      <c r="O780" s="2"/>
      <c r="P780" s="2"/>
      <c r="Q780" s="2"/>
      <c r="R780" s="2"/>
      <c r="S780" s="7"/>
      <c r="T780" s="2"/>
      <c r="U780" s="10"/>
      <c r="V780" s="2"/>
      <c r="W780" s="7"/>
      <c r="X780" s="7"/>
      <c r="Y780" s="2"/>
      <c r="Z780" s="2"/>
      <c r="AA780" s="2"/>
    </row>
    <row r="781">
      <c r="A781" s="2"/>
      <c r="B781" s="2"/>
      <c r="C781" s="2"/>
      <c r="D781" s="2"/>
      <c r="E781" s="2"/>
      <c r="F781" s="2"/>
      <c r="G781" s="2"/>
      <c r="H781" s="2"/>
      <c r="I781" s="2"/>
      <c r="J781" s="2"/>
      <c r="K781" s="2"/>
      <c r="L781" s="2"/>
      <c r="M781" s="2"/>
      <c r="N781" s="2"/>
      <c r="O781" s="2"/>
      <c r="P781" s="2"/>
      <c r="Q781" s="2"/>
      <c r="R781" s="2"/>
      <c r="S781" s="7"/>
      <c r="T781" s="2"/>
      <c r="U781" s="10"/>
      <c r="V781" s="2"/>
      <c r="W781" s="7"/>
      <c r="X781" s="7"/>
      <c r="Y781" s="2"/>
      <c r="Z781" s="2"/>
      <c r="AA781" s="2"/>
    </row>
    <row r="782">
      <c r="A782" s="2"/>
      <c r="B782" s="2"/>
      <c r="C782" s="2"/>
      <c r="D782" s="2"/>
      <c r="E782" s="2"/>
      <c r="F782" s="2"/>
      <c r="G782" s="2"/>
      <c r="H782" s="2"/>
      <c r="I782" s="2"/>
      <c r="J782" s="2"/>
      <c r="K782" s="2"/>
      <c r="L782" s="2"/>
      <c r="M782" s="2"/>
      <c r="N782" s="2"/>
      <c r="O782" s="2"/>
      <c r="P782" s="2"/>
      <c r="Q782" s="2"/>
      <c r="R782" s="2"/>
      <c r="S782" s="7"/>
      <c r="T782" s="2"/>
      <c r="U782" s="10"/>
      <c r="V782" s="2"/>
      <c r="W782" s="7"/>
      <c r="X782" s="7"/>
      <c r="Y782" s="2"/>
      <c r="Z782" s="2"/>
      <c r="AA782" s="2"/>
    </row>
    <row r="783">
      <c r="A783" s="2"/>
      <c r="B783" s="2"/>
      <c r="C783" s="2"/>
      <c r="D783" s="2"/>
      <c r="E783" s="2"/>
      <c r="F783" s="2"/>
      <c r="G783" s="2"/>
      <c r="H783" s="2"/>
      <c r="I783" s="2"/>
      <c r="J783" s="2"/>
      <c r="K783" s="2"/>
      <c r="L783" s="2"/>
      <c r="M783" s="2"/>
      <c r="N783" s="2"/>
      <c r="O783" s="2"/>
      <c r="P783" s="2"/>
      <c r="Q783" s="2"/>
      <c r="R783" s="2"/>
      <c r="S783" s="7"/>
      <c r="T783" s="2"/>
      <c r="U783" s="10"/>
      <c r="V783" s="2"/>
      <c r="W783" s="7"/>
      <c r="X783" s="7"/>
      <c r="Y783" s="2"/>
      <c r="Z783" s="2"/>
      <c r="AA783" s="2"/>
    </row>
    <row r="784">
      <c r="A784" s="2"/>
      <c r="B784" s="2"/>
      <c r="C784" s="2"/>
      <c r="D784" s="2"/>
      <c r="E784" s="2"/>
      <c r="F784" s="2"/>
      <c r="G784" s="2"/>
      <c r="H784" s="2"/>
      <c r="I784" s="2"/>
      <c r="J784" s="2"/>
      <c r="K784" s="2"/>
      <c r="L784" s="2"/>
      <c r="M784" s="2"/>
      <c r="N784" s="2"/>
      <c r="O784" s="2"/>
      <c r="P784" s="2"/>
      <c r="Q784" s="2"/>
      <c r="R784" s="2"/>
      <c r="S784" s="7"/>
      <c r="T784" s="2"/>
      <c r="U784" s="10"/>
      <c r="V784" s="2"/>
      <c r="W784" s="7"/>
      <c r="X784" s="7"/>
      <c r="Y784" s="2"/>
      <c r="Z784" s="2"/>
      <c r="AA784" s="2"/>
    </row>
    <row r="785">
      <c r="A785" s="2"/>
      <c r="B785" s="2"/>
      <c r="C785" s="2"/>
      <c r="D785" s="2"/>
      <c r="E785" s="2"/>
      <c r="F785" s="2"/>
      <c r="G785" s="2"/>
      <c r="H785" s="2"/>
      <c r="I785" s="2"/>
      <c r="J785" s="2"/>
      <c r="K785" s="2"/>
      <c r="L785" s="2"/>
      <c r="M785" s="2"/>
      <c r="N785" s="2"/>
      <c r="O785" s="2"/>
      <c r="P785" s="2"/>
      <c r="Q785" s="2"/>
      <c r="R785" s="2"/>
      <c r="S785" s="7"/>
      <c r="T785" s="2"/>
      <c r="U785" s="10"/>
      <c r="V785" s="2"/>
      <c r="W785" s="7"/>
      <c r="X785" s="7"/>
      <c r="Y785" s="2"/>
      <c r="Z785" s="2"/>
      <c r="AA785" s="2"/>
    </row>
    <row r="786">
      <c r="A786" s="2"/>
      <c r="B786" s="2"/>
      <c r="C786" s="2"/>
      <c r="D786" s="2"/>
      <c r="E786" s="2"/>
      <c r="F786" s="2"/>
      <c r="G786" s="2"/>
      <c r="H786" s="2"/>
      <c r="I786" s="2"/>
      <c r="J786" s="2"/>
      <c r="K786" s="2"/>
      <c r="L786" s="2"/>
      <c r="M786" s="2"/>
      <c r="N786" s="2"/>
      <c r="O786" s="2"/>
      <c r="P786" s="2"/>
      <c r="Q786" s="2"/>
      <c r="R786" s="2"/>
      <c r="S786" s="7"/>
      <c r="T786" s="2"/>
      <c r="U786" s="10"/>
      <c r="V786" s="2"/>
      <c r="W786" s="7"/>
      <c r="X786" s="7"/>
      <c r="Y786" s="2"/>
      <c r="Z786" s="2"/>
      <c r="AA786" s="2"/>
    </row>
    <row r="787">
      <c r="A787" s="2"/>
      <c r="B787" s="2"/>
      <c r="C787" s="2"/>
      <c r="D787" s="2"/>
      <c r="E787" s="2"/>
      <c r="F787" s="2"/>
      <c r="G787" s="2"/>
      <c r="H787" s="2"/>
      <c r="I787" s="2"/>
      <c r="J787" s="2"/>
      <c r="K787" s="2"/>
      <c r="L787" s="2"/>
      <c r="M787" s="2"/>
      <c r="N787" s="2"/>
      <c r="O787" s="2"/>
      <c r="P787" s="2"/>
      <c r="Q787" s="2"/>
      <c r="R787" s="2"/>
      <c r="S787" s="7"/>
      <c r="T787" s="2"/>
      <c r="U787" s="10"/>
      <c r="V787" s="2"/>
      <c r="W787" s="7"/>
      <c r="X787" s="7"/>
      <c r="Y787" s="2"/>
      <c r="Z787" s="2"/>
      <c r="AA787" s="2"/>
    </row>
    <row r="788">
      <c r="A788" s="2"/>
      <c r="B788" s="2"/>
      <c r="C788" s="2"/>
      <c r="D788" s="2"/>
      <c r="E788" s="2"/>
      <c r="F788" s="2"/>
      <c r="G788" s="2"/>
      <c r="H788" s="2"/>
      <c r="I788" s="2"/>
      <c r="J788" s="2"/>
      <c r="K788" s="2"/>
      <c r="L788" s="2"/>
      <c r="M788" s="2"/>
      <c r="N788" s="2"/>
      <c r="O788" s="2"/>
      <c r="P788" s="2"/>
      <c r="Q788" s="2"/>
      <c r="R788" s="2"/>
      <c r="S788" s="7"/>
      <c r="T788" s="2"/>
      <c r="U788" s="10"/>
      <c r="V788" s="2"/>
      <c r="W788" s="7"/>
      <c r="X788" s="7"/>
      <c r="Y788" s="2"/>
      <c r="Z788" s="2"/>
      <c r="AA788" s="2"/>
    </row>
    <row r="789">
      <c r="A789" s="2"/>
      <c r="B789" s="2"/>
      <c r="C789" s="2"/>
      <c r="D789" s="2"/>
      <c r="E789" s="2"/>
      <c r="F789" s="2"/>
      <c r="G789" s="2"/>
      <c r="H789" s="2"/>
      <c r="I789" s="2"/>
      <c r="J789" s="2"/>
      <c r="K789" s="2"/>
      <c r="L789" s="2"/>
      <c r="M789" s="2"/>
      <c r="N789" s="2"/>
      <c r="O789" s="2"/>
      <c r="P789" s="2"/>
      <c r="Q789" s="2"/>
      <c r="R789" s="2"/>
      <c r="S789" s="7"/>
      <c r="T789" s="2"/>
      <c r="U789" s="10"/>
      <c r="V789" s="2"/>
      <c r="W789" s="7"/>
      <c r="X789" s="7"/>
      <c r="Y789" s="2"/>
      <c r="Z789" s="2"/>
      <c r="AA789" s="2"/>
    </row>
    <row r="790">
      <c r="A790" s="2"/>
      <c r="B790" s="2"/>
      <c r="C790" s="2"/>
      <c r="D790" s="2"/>
      <c r="E790" s="2"/>
      <c r="F790" s="2"/>
      <c r="G790" s="2"/>
      <c r="H790" s="2"/>
      <c r="I790" s="2"/>
      <c r="J790" s="2"/>
      <c r="K790" s="2"/>
      <c r="L790" s="2"/>
      <c r="M790" s="2"/>
      <c r="N790" s="2"/>
      <c r="O790" s="2"/>
      <c r="P790" s="2"/>
      <c r="Q790" s="2"/>
      <c r="R790" s="2"/>
      <c r="S790" s="7"/>
      <c r="T790" s="2"/>
      <c r="U790" s="10"/>
      <c r="V790" s="2"/>
      <c r="W790" s="7"/>
      <c r="X790" s="7"/>
      <c r="Y790" s="2"/>
      <c r="Z790" s="2"/>
      <c r="AA790" s="2"/>
    </row>
    <row r="791">
      <c r="A791" s="2"/>
      <c r="B791" s="2"/>
      <c r="C791" s="2"/>
      <c r="D791" s="2"/>
      <c r="E791" s="2"/>
      <c r="F791" s="2"/>
      <c r="G791" s="2"/>
      <c r="H791" s="2"/>
      <c r="I791" s="2"/>
      <c r="J791" s="2"/>
      <c r="K791" s="2"/>
      <c r="L791" s="2"/>
      <c r="M791" s="2"/>
      <c r="N791" s="2"/>
      <c r="O791" s="2"/>
      <c r="P791" s="2"/>
      <c r="Q791" s="2"/>
      <c r="R791" s="2"/>
      <c r="S791" s="7"/>
      <c r="T791" s="2"/>
      <c r="U791" s="10"/>
      <c r="V791" s="2"/>
      <c r="W791" s="7"/>
      <c r="X791" s="7"/>
      <c r="Y791" s="2"/>
      <c r="Z791" s="2"/>
      <c r="AA791" s="2"/>
    </row>
    <row r="792">
      <c r="A792" s="2"/>
      <c r="B792" s="2"/>
      <c r="C792" s="2"/>
      <c r="D792" s="2"/>
      <c r="E792" s="2"/>
      <c r="F792" s="2"/>
      <c r="G792" s="2"/>
      <c r="H792" s="2"/>
      <c r="I792" s="2"/>
      <c r="J792" s="2"/>
      <c r="K792" s="2"/>
      <c r="L792" s="2"/>
      <c r="M792" s="2"/>
      <c r="N792" s="2"/>
      <c r="O792" s="2"/>
      <c r="P792" s="2"/>
      <c r="Q792" s="2"/>
      <c r="R792" s="2"/>
      <c r="S792" s="7"/>
      <c r="T792" s="2"/>
      <c r="U792" s="10"/>
      <c r="V792" s="2"/>
      <c r="W792" s="7"/>
      <c r="X792" s="7"/>
      <c r="Y792" s="2"/>
      <c r="Z792" s="2"/>
      <c r="AA792" s="2"/>
    </row>
    <row r="793">
      <c r="A793" s="2"/>
      <c r="B793" s="2"/>
      <c r="C793" s="2"/>
      <c r="D793" s="2"/>
      <c r="E793" s="2"/>
      <c r="F793" s="2"/>
      <c r="G793" s="2"/>
      <c r="H793" s="2"/>
      <c r="I793" s="2"/>
      <c r="J793" s="2"/>
      <c r="K793" s="2"/>
      <c r="L793" s="2"/>
      <c r="M793" s="2"/>
      <c r="N793" s="2"/>
      <c r="O793" s="2"/>
      <c r="P793" s="2"/>
      <c r="Q793" s="2"/>
      <c r="R793" s="2"/>
      <c r="S793" s="7"/>
      <c r="T793" s="2"/>
      <c r="U793" s="10"/>
      <c r="V793" s="2"/>
      <c r="W793" s="7"/>
      <c r="X793" s="7"/>
      <c r="Y793" s="2"/>
      <c r="Z793" s="2"/>
      <c r="AA793" s="2"/>
    </row>
    <row r="794">
      <c r="A794" s="2"/>
      <c r="B794" s="2"/>
      <c r="C794" s="2"/>
      <c r="D794" s="2"/>
      <c r="E794" s="2"/>
      <c r="F794" s="2"/>
      <c r="G794" s="2"/>
      <c r="H794" s="2"/>
      <c r="I794" s="2"/>
      <c r="J794" s="2"/>
      <c r="K794" s="2"/>
      <c r="L794" s="2"/>
      <c r="M794" s="2"/>
      <c r="N794" s="2"/>
      <c r="O794" s="2"/>
      <c r="P794" s="2"/>
      <c r="Q794" s="2"/>
      <c r="R794" s="2"/>
      <c r="S794" s="7"/>
      <c r="T794" s="2"/>
      <c r="U794" s="10"/>
      <c r="V794" s="2"/>
      <c r="W794" s="7"/>
      <c r="X794" s="7"/>
      <c r="Y794" s="2"/>
      <c r="Z794" s="2"/>
      <c r="AA794" s="2"/>
    </row>
    <row r="795">
      <c r="A795" s="2"/>
      <c r="B795" s="2"/>
      <c r="C795" s="2"/>
      <c r="D795" s="2"/>
      <c r="E795" s="2"/>
      <c r="F795" s="2"/>
      <c r="G795" s="2"/>
      <c r="H795" s="2"/>
      <c r="I795" s="2"/>
      <c r="J795" s="2"/>
      <c r="K795" s="2"/>
      <c r="L795" s="2"/>
      <c r="M795" s="2"/>
      <c r="N795" s="2"/>
      <c r="O795" s="2"/>
      <c r="P795" s="2"/>
      <c r="Q795" s="2"/>
      <c r="R795" s="2"/>
      <c r="S795" s="7"/>
      <c r="T795" s="2"/>
      <c r="U795" s="10"/>
      <c r="V795" s="2"/>
      <c r="W795" s="7"/>
      <c r="X795" s="7"/>
      <c r="Y795" s="2"/>
      <c r="Z795" s="2"/>
      <c r="AA795" s="2"/>
    </row>
    <row r="796">
      <c r="A796" s="2"/>
      <c r="B796" s="2"/>
      <c r="C796" s="2"/>
      <c r="D796" s="2"/>
      <c r="E796" s="2"/>
      <c r="F796" s="2"/>
      <c r="G796" s="2"/>
      <c r="H796" s="2"/>
      <c r="I796" s="2"/>
      <c r="J796" s="2"/>
      <c r="K796" s="2"/>
      <c r="L796" s="2"/>
      <c r="M796" s="2"/>
      <c r="N796" s="2"/>
      <c r="O796" s="2"/>
      <c r="P796" s="2"/>
      <c r="Q796" s="2"/>
      <c r="R796" s="2"/>
      <c r="S796" s="7"/>
      <c r="T796" s="2"/>
      <c r="U796" s="10"/>
      <c r="V796" s="2"/>
      <c r="W796" s="7"/>
      <c r="X796" s="7"/>
      <c r="Y796" s="2"/>
      <c r="Z796" s="2"/>
      <c r="AA796" s="2"/>
    </row>
    <row r="797">
      <c r="A797" s="2"/>
      <c r="B797" s="2"/>
      <c r="C797" s="2"/>
      <c r="D797" s="2"/>
      <c r="E797" s="2"/>
      <c r="F797" s="2"/>
      <c r="G797" s="2"/>
      <c r="H797" s="2"/>
      <c r="I797" s="2"/>
      <c r="J797" s="2"/>
      <c r="K797" s="2"/>
      <c r="L797" s="2"/>
      <c r="M797" s="2"/>
      <c r="N797" s="2"/>
      <c r="O797" s="2"/>
      <c r="P797" s="2"/>
      <c r="Q797" s="2"/>
      <c r="R797" s="2"/>
      <c r="S797" s="7"/>
      <c r="T797" s="2"/>
      <c r="U797" s="10"/>
      <c r="V797" s="2"/>
      <c r="W797" s="7"/>
      <c r="X797" s="7"/>
      <c r="Y797" s="2"/>
      <c r="Z797" s="2"/>
      <c r="AA797" s="2"/>
    </row>
    <row r="798">
      <c r="A798" s="2"/>
      <c r="B798" s="2"/>
      <c r="C798" s="2"/>
      <c r="D798" s="2"/>
      <c r="E798" s="2"/>
      <c r="F798" s="2"/>
      <c r="G798" s="2"/>
      <c r="H798" s="2"/>
      <c r="I798" s="2"/>
      <c r="J798" s="2"/>
      <c r="K798" s="2"/>
      <c r="L798" s="2"/>
      <c r="M798" s="2"/>
      <c r="N798" s="2"/>
      <c r="O798" s="2"/>
      <c r="P798" s="2"/>
      <c r="Q798" s="2"/>
      <c r="R798" s="2"/>
      <c r="S798" s="7"/>
      <c r="T798" s="2"/>
      <c r="U798" s="10"/>
      <c r="V798" s="2"/>
      <c r="W798" s="7"/>
      <c r="X798" s="7"/>
      <c r="Y798" s="2"/>
      <c r="Z798" s="2"/>
      <c r="AA798" s="2"/>
    </row>
    <row r="799">
      <c r="A799" s="2"/>
      <c r="B799" s="2"/>
      <c r="C799" s="2"/>
      <c r="D799" s="2"/>
      <c r="E799" s="2"/>
      <c r="F799" s="2"/>
      <c r="G799" s="2"/>
      <c r="H799" s="2"/>
      <c r="I799" s="2"/>
      <c r="J799" s="2"/>
      <c r="K799" s="2"/>
      <c r="L799" s="2"/>
      <c r="M799" s="2"/>
      <c r="N799" s="2"/>
      <c r="O799" s="2"/>
      <c r="P799" s="2"/>
      <c r="Q799" s="2"/>
      <c r="R799" s="2"/>
      <c r="S799" s="7"/>
      <c r="T799" s="2"/>
      <c r="U799" s="10"/>
      <c r="V799" s="2"/>
      <c r="W799" s="7"/>
      <c r="X799" s="7"/>
      <c r="Y799" s="2"/>
      <c r="Z799" s="2"/>
      <c r="AA799" s="2"/>
    </row>
    <row r="800">
      <c r="A800" s="2"/>
      <c r="B800" s="2"/>
      <c r="C800" s="2"/>
      <c r="D800" s="2"/>
      <c r="E800" s="2"/>
      <c r="F800" s="2"/>
      <c r="G800" s="2"/>
      <c r="H800" s="2"/>
      <c r="I800" s="2"/>
      <c r="J800" s="2"/>
      <c r="K800" s="2"/>
      <c r="L800" s="2"/>
      <c r="M800" s="2"/>
      <c r="N800" s="2"/>
      <c r="O800" s="2"/>
      <c r="P800" s="2"/>
      <c r="Q800" s="2"/>
      <c r="R800" s="2"/>
      <c r="S800" s="7"/>
      <c r="T800" s="2"/>
      <c r="U800" s="10"/>
      <c r="V800" s="2"/>
      <c r="W800" s="7"/>
      <c r="X800" s="7"/>
      <c r="Y800" s="2"/>
      <c r="Z800" s="2"/>
      <c r="AA800" s="2"/>
    </row>
    <row r="801">
      <c r="A801" s="2"/>
      <c r="B801" s="2"/>
      <c r="C801" s="2"/>
      <c r="D801" s="2"/>
      <c r="E801" s="2"/>
      <c r="F801" s="2"/>
      <c r="G801" s="2"/>
      <c r="H801" s="2"/>
      <c r="I801" s="2"/>
      <c r="J801" s="2"/>
      <c r="K801" s="2"/>
      <c r="L801" s="2"/>
      <c r="M801" s="2"/>
      <c r="N801" s="2"/>
      <c r="O801" s="2"/>
      <c r="P801" s="2"/>
      <c r="Q801" s="2"/>
      <c r="R801" s="2"/>
      <c r="S801" s="7"/>
      <c r="T801" s="2"/>
      <c r="U801" s="10"/>
      <c r="V801" s="2"/>
      <c r="W801" s="7"/>
      <c r="X801" s="7"/>
      <c r="Y801" s="2"/>
      <c r="Z801" s="2"/>
      <c r="AA801" s="2"/>
    </row>
    <row r="802">
      <c r="A802" s="2"/>
      <c r="B802" s="2"/>
      <c r="C802" s="2"/>
      <c r="D802" s="2"/>
      <c r="E802" s="2"/>
      <c r="F802" s="2"/>
      <c r="G802" s="2"/>
      <c r="H802" s="2"/>
      <c r="I802" s="2"/>
      <c r="J802" s="2"/>
      <c r="K802" s="2"/>
      <c r="L802" s="2"/>
      <c r="M802" s="2"/>
      <c r="N802" s="2"/>
      <c r="O802" s="2"/>
      <c r="P802" s="2"/>
      <c r="Q802" s="2"/>
      <c r="R802" s="2"/>
      <c r="S802" s="7"/>
      <c r="T802" s="2"/>
      <c r="U802" s="10"/>
      <c r="V802" s="2"/>
      <c r="W802" s="7"/>
      <c r="X802" s="7"/>
      <c r="Y802" s="2"/>
      <c r="Z802" s="2"/>
      <c r="AA802" s="2"/>
    </row>
    <row r="803">
      <c r="A803" s="2"/>
      <c r="B803" s="2"/>
      <c r="C803" s="2"/>
      <c r="D803" s="2"/>
      <c r="E803" s="2"/>
      <c r="F803" s="2"/>
      <c r="G803" s="2"/>
      <c r="H803" s="2"/>
      <c r="I803" s="2"/>
      <c r="J803" s="2"/>
      <c r="K803" s="2"/>
      <c r="L803" s="2"/>
      <c r="M803" s="2"/>
      <c r="N803" s="2"/>
      <c r="O803" s="2"/>
      <c r="P803" s="2"/>
      <c r="Q803" s="2"/>
      <c r="R803" s="2"/>
      <c r="S803" s="7"/>
      <c r="T803" s="2"/>
      <c r="U803" s="10"/>
      <c r="V803" s="2"/>
      <c r="W803" s="7"/>
      <c r="X803" s="7"/>
      <c r="Y803" s="2"/>
      <c r="Z803" s="2"/>
      <c r="AA803" s="2"/>
    </row>
    <row r="804">
      <c r="A804" s="2"/>
      <c r="B804" s="2"/>
      <c r="C804" s="2"/>
      <c r="D804" s="2"/>
      <c r="E804" s="2"/>
      <c r="F804" s="2"/>
      <c r="G804" s="2"/>
      <c r="H804" s="2"/>
      <c r="I804" s="2"/>
      <c r="J804" s="2"/>
      <c r="K804" s="2"/>
      <c r="L804" s="2"/>
      <c r="M804" s="2"/>
      <c r="N804" s="2"/>
      <c r="O804" s="2"/>
      <c r="P804" s="2"/>
      <c r="Q804" s="2"/>
      <c r="R804" s="2"/>
      <c r="S804" s="7"/>
      <c r="T804" s="2"/>
      <c r="U804" s="10"/>
      <c r="V804" s="2"/>
      <c r="W804" s="7"/>
      <c r="X804" s="7"/>
      <c r="Y804" s="2"/>
      <c r="Z804" s="2"/>
      <c r="AA804" s="2"/>
    </row>
    <row r="805">
      <c r="A805" s="2"/>
      <c r="B805" s="2"/>
      <c r="C805" s="2"/>
      <c r="D805" s="2"/>
      <c r="E805" s="2"/>
      <c r="F805" s="2"/>
      <c r="G805" s="2"/>
      <c r="H805" s="2"/>
      <c r="I805" s="2"/>
      <c r="J805" s="2"/>
      <c r="K805" s="2"/>
      <c r="L805" s="2"/>
      <c r="M805" s="2"/>
      <c r="N805" s="2"/>
      <c r="O805" s="2"/>
      <c r="P805" s="2"/>
      <c r="Q805" s="2"/>
      <c r="R805" s="2"/>
      <c r="S805" s="7"/>
      <c r="T805" s="2"/>
      <c r="U805" s="10"/>
      <c r="V805" s="2"/>
      <c r="W805" s="7"/>
      <c r="X805" s="7"/>
      <c r="Y805" s="2"/>
      <c r="Z805" s="2"/>
      <c r="AA805" s="2"/>
    </row>
    <row r="806">
      <c r="A806" s="2"/>
      <c r="B806" s="2"/>
      <c r="C806" s="2"/>
      <c r="D806" s="2"/>
      <c r="E806" s="2"/>
      <c r="F806" s="2"/>
      <c r="G806" s="2"/>
      <c r="H806" s="2"/>
      <c r="I806" s="2"/>
      <c r="J806" s="2"/>
      <c r="K806" s="2"/>
      <c r="L806" s="2"/>
      <c r="M806" s="2"/>
      <c r="N806" s="2"/>
      <c r="O806" s="2"/>
      <c r="P806" s="2"/>
      <c r="Q806" s="2"/>
      <c r="R806" s="2"/>
      <c r="S806" s="7"/>
      <c r="T806" s="2"/>
      <c r="U806" s="10"/>
      <c r="V806" s="2"/>
      <c r="W806" s="7"/>
      <c r="X806" s="7"/>
      <c r="Y806" s="2"/>
      <c r="Z806" s="2"/>
      <c r="AA806" s="2"/>
    </row>
    <row r="807">
      <c r="A807" s="2"/>
      <c r="B807" s="2"/>
      <c r="C807" s="2"/>
      <c r="D807" s="2"/>
      <c r="E807" s="2"/>
      <c r="F807" s="2"/>
      <c r="G807" s="2"/>
      <c r="H807" s="2"/>
      <c r="I807" s="2"/>
      <c r="J807" s="2"/>
      <c r="K807" s="2"/>
      <c r="L807" s="2"/>
      <c r="M807" s="2"/>
      <c r="N807" s="2"/>
      <c r="O807" s="2"/>
      <c r="P807" s="2"/>
      <c r="Q807" s="2"/>
      <c r="R807" s="2"/>
      <c r="S807" s="7"/>
      <c r="T807" s="2"/>
      <c r="U807" s="10"/>
      <c r="V807" s="2"/>
      <c r="W807" s="7"/>
      <c r="X807" s="7"/>
      <c r="Y807" s="2"/>
      <c r="Z807" s="2"/>
      <c r="AA807" s="2"/>
    </row>
    <row r="808">
      <c r="A808" s="2"/>
      <c r="B808" s="2"/>
      <c r="C808" s="2"/>
      <c r="D808" s="2"/>
      <c r="E808" s="2"/>
      <c r="F808" s="2"/>
      <c r="G808" s="2"/>
      <c r="H808" s="2"/>
      <c r="I808" s="2"/>
      <c r="J808" s="2"/>
      <c r="K808" s="2"/>
      <c r="L808" s="2"/>
      <c r="M808" s="2"/>
      <c r="N808" s="2"/>
      <c r="O808" s="2"/>
      <c r="P808" s="2"/>
      <c r="Q808" s="2"/>
      <c r="R808" s="2"/>
      <c r="S808" s="7"/>
      <c r="T808" s="2"/>
      <c r="U808" s="10"/>
      <c r="V808" s="2"/>
      <c r="W808" s="7"/>
      <c r="X808" s="7"/>
      <c r="Y808" s="2"/>
      <c r="Z808" s="2"/>
      <c r="AA808" s="2"/>
    </row>
    <row r="809">
      <c r="A809" s="2"/>
      <c r="B809" s="2"/>
      <c r="C809" s="2"/>
      <c r="D809" s="2"/>
      <c r="E809" s="2"/>
      <c r="F809" s="2"/>
      <c r="G809" s="2"/>
      <c r="H809" s="2"/>
      <c r="I809" s="2"/>
      <c r="J809" s="2"/>
      <c r="K809" s="2"/>
      <c r="L809" s="2"/>
      <c r="M809" s="2"/>
      <c r="N809" s="2"/>
      <c r="O809" s="2"/>
      <c r="P809" s="2"/>
      <c r="Q809" s="2"/>
      <c r="R809" s="2"/>
      <c r="S809" s="7"/>
      <c r="T809" s="2"/>
      <c r="U809" s="10"/>
      <c r="V809" s="2"/>
      <c r="W809" s="7"/>
      <c r="X809" s="7"/>
      <c r="Y809" s="2"/>
      <c r="Z809" s="2"/>
      <c r="AA809" s="2"/>
    </row>
    <row r="810">
      <c r="A810" s="2"/>
      <c r="B810" s="2"/>
      <c r="C810" s="2"/>
      <c r="D810" s="2"/>
      <c r="E810" s="2"/>
      <c r="F810" s="2"/>
      <c r="G810" s="2"/>
      <c r="H810" s="2"/>
      <c r="I810" s="2"/>
      <c r="J810" s="2"/>
      <c r="K810" s="2"/>
      <c r="L810" s="2"/>
      <c r="M810" s="2"/>
      <c r="N810" s="2"/>
      <c r="O810" s="2"/>
      <c r="P810" s="2"/>
      <c r="Q810" s="2"/>
      <c r="R810" s="2"/>
      <c r="S810" s="7"/>
      <c r="T810" s="2"/>
      <c r="U810" s="10"/>
      <c r="V810" s="2"/>
      <c r="W810" s="7"/>
      <c r="X810" s="7"/>
      <c r="Y810" s="2"/>
      <c r="Z810" s="2"/>
      <c r="AA810" s="2"/>
    </row>
    <row r="811">
      <c r="A811" s="2"/>
      <c r="B811" s="2"/>
      <c r="C811" s="2"/>
      <c r="D811" s="2"/>
      <c r="E811" s="2"/>
      <c r="F811" s="2"/>
      <c r="G811" s="2"/>
      <c r="H811" s="2"/>
      <c r="I811" s="2"/>
      <c r="J811" s="2"/>
      <c r="K811" s="2"/>
      <c r="L811" s="2"/>
      <c r="M811" s="2"/>
      <c r="N811" s="2"/>
      <c r="O811" s="2"/>
      <c r="P811" s="2"/>
      <c r="Q811" s="2"/>
      <c r="R811" s="2"/>
      <c r="S811" s="7"/>
      <c r="T811" s="2"/>
      <c r="U811" s="10"/>
      <c r="V811" s="2"/>
      <c r="W811" s="7"/>
      <c r="X811" s="7"/>
      <c r="Y811" s="2"/>
      <c r="Z811" s="2"/>
      <c r="AA811" s="2"/>
    </row>
    <row r="812">
      <c r="A812" s="2"/>
      <c r="B812" s="2"/>
      <c r="C812" s="2"/>
      <c r="D812" s="2"/>
      <c r="E812" s="2"/>
      <c r="F812" s="2"/>
      <c r="G812" s="2"/>
      <c r="H812" s="2"/>
      <c r="I812" s="2"/>
      <c r="J812" s="2"/>
      <c r="K812" s="2"/>
      <c r="L812" s="2"/>
      <c r="M812" s="2"/>
      <c r="N812" s="2"/>
      <c r="O812" s="2"/>
      <c r="P812" s="2"/>
      <c r="Q812" s="2"/>
      <c r="R812" s="2"/>
      <c r="S812" s="7"/>
      <c r="T812" s="2"/>
      <c r="U812" s="10"/>
      <c r="V812" s="2"/>
      <c r="W812" s="7"/>
      <c r="X812" s="7"/>
      <c r="Y812" s="2"/>
      <c r="Z812" s="2"/>
      <c r="AA812" s="2"/>
    </row>
    <row r="813">
      <c r="A813" s="2"/>
      <c r="B813" s="2"/>
      <c r="C813" s="2"/>
      <c r="D813" s="2"/>
      <c r="E813" s="2"/>
      <c r="F813" s="2"/>
      <c r="G813" s="2"/>
      <c r="H813" s="2"/>
      <c r="I813" s="2"/>
      <c r="J813" s="2"/>
      <c r="K813" s="2"/>
      <c r="L813" s="2"/>
      <c r="M813" s="2"/>
      <c r="N813" s="2"/>
      <c r="O813" s="2"/>
      <c r="P813" s="2"/>
      <c r="Q813" s="2"/>
      <c r="R813" s="2"/>
      <c r="S813" s="7"/>
      <c r="T813" s="2"/>
      <c r="U813" s="10"/>
      <c r="V813" s="2"/>
      <c r="W813" s="7"/>
      <c r="X813" s="7"/>
      <c r="Y813" s="2"/>
      <c r="Z813" s="2"/>
      <c r="AA813" s="2"/>
    </row>
    <row r="814">
      <c r="A814" s="2"/>
      <c r="B814" s="2"/>
      <c r="C814" s="2"/>
      <c r="D814" s="2"/>
      <c r="E814" s="2"/>
      <c r="F814" s="2"/>
      <c r="G814" s="2"/>
      <c r="H814" s="2"/>
      <c r="I814" s="2"/>
      <c r="J814" s="2"/>
      <c r="K814" s="2"/>
      <c r="L814" s="2"/>
      <c r="M814" s="2"/>
      <c r="N814" s="2"/>
      <c r="O814" s="2"/>
      <c r="P814" s="2"/>
      <c r="Q814" s="2"/>
      <c r="R814" s="2"/>
      <c r="S814" s="7"/>
      <c r="T814" s="2"/>
      <c r="U814" s="10"/>
      <c r="V814" s="2"/>
      <c r="W814" s="7"/>
      <c r="X814" s="7"/>
      <c r="Y814" s="2"/>
      <c r="Z814" s="2"/>
      <c r="AA814" s="2"/>
    </row>
    <row r="815">
      <c r="A815" s="2"/>
      <c r="B815" s="2"/>
      <c r="C815" s="2"/>
      <c r="D815" s="2"/>
      <c r="E815" s="2"/>
      <c r="F815" s="2"/>
      <c r="G815" s="2"/>
      <c r="H815" s="2"/>
      <c r="I815" s="2"/>
      <c r="J815" s="2"/>
      <c r="K815" s="2"/>
      <c r="L815" s="2"/>
      <c r="M815" s="2"/>
      <c r="N815" s="2"/>
      <c r="O815" s="2"/>
      <c r="P815" s="2"/>
      <c r="Q815" s="2"/>
      <c r="R815" s="2"/>
      <c r="S815" s="7"/>
      <c r="T815" s="2"/>
      <c r="U815" s="10"/>
      <c r="V815" s="2"/>
      <c r="W815" s="7"/>
      <c r="X815" s="7"/>
      <c r="Y815" s="2"/>
      <c r="Z815" s="2"/>
      <c r="AA815" s="2"/>
    </row>
    <row r="816">
      <c r="A816" s="2"/>
      <c r="B816" s="2"/>
      <c r="C816" s="2"/>
      <c r="D816" s="2"/>
      <c r="E816" s="2"/>
      <c r="F816" s="2"/>
      <c r="G816" s="2"/>
      <c r="H816" s="2"/>
      <c r="I816" s="2"/>
      <c r="J816" s="2"/>
      <c r="K816" s="2"/>
      <c r="L816" s="2"/>
      <c r="M816" s="2"/>
      <c r="N816" s="2"/>
      <c r="O816" s="2"/>
      <c r="P816" s="2"/>
      <c r="Q816" s="2"/>
      <c r="R816" s="2"/>
      <c r="S816" s="7"/>
      <c r="T816" s="2"/>
      <c r="U816" s="10"/>
      <c r="V816" s="2"/>
      <c r="W816" s="7"/>
      <c r="X816" s="7"/>
      <c r="Y816" s="2"/>
      <c r="Z816" s="2"/>
      <c r="AA816" s="2"/>
    </row>
    <row r="817">
      <c r="A817" s="2"/>
      <c r="B817" s="2"/>
      <c r="C817" s="2"/>
      <c r="D817" s="2"/>
      <c r="E817" s="2"/>
      <c r="F817" s="2"/>
      <c r="G817" s="2"/>
      <c r="H817" s="2"/>
      <c r="I817" s="2"/>
      <c r="J817" s="2"/>
      <c r="K817" s="2"/>
      <c r="L817" s="2"/>
      <c r="M817" s="2"/>
      <c r="N817" s="2"/>
      <c r="O817" s="2"/>
      <c r="P817" s="2"/>
      <c r="Q817" s="2"/>
      <c r="R817" s="2"/>
      <c r="S817" s="7"/>
      <c r="T817" s="2"/>
      <c r="U817" s="10"/>
      <c r="V817" s="2"/>
      <c r="W817" s="7"/>
      <c r="X817" s="7"/>
      <c r="Y817" s="2"/>
      <c r="Z817" s="2"/>
      <c r="AA817" s="2"/>
    </row>
    <row r="818">
      <c r="A818" s="2"/>
      <c r="B818" s="2"/>
      <c r="C818" s="2"/>
      <c r="D818" s="2"/>
      <c r="E818" s="2"/>
      <c r="F818" s="2"/>
      <c r="G818" s="2"/>
      <c r="H818" s="2"/>
      <c r="I818" s="2"/>
      <c r="J818" s="2"/>
      <c r="K818" s="2"/>
      <c r="L818" s="2"/>
      <c r="M818" s="2"/>
      <c r="N818" s="2"/>
      <c r="O818" s="2"/>
      <c r="P818" s="2"/>
      <c r="Q818" s="2"/>
      <c r="R818" s="2"/>
      <c r="S818" s="7"/>
      <c r="T818" s="2"/>
      <c r="U818" s="10"/>
      <c r="V818" s="2"/>
      <c r="W818" s="7"/>
      <c r="X818" s="7"/>
      <c r="Y818" s="2"/>
      <c r="Z818" s="2"/>
      <c r="AA818" s="2"/>
    </row>
    <row r="819">
      <c r="A819" s="2"/>
      <c r="B819" s="2"/>
      <c r="C819" s="2"/>
      <c r="D819" s="2"/>
      <c r="E819" s="2"/>
      <c r="F819" s="2"/>
      <c r="G819" s="2"/>
      <c r="H819" s="2"/>
      <c r="I819" s="2"/>
      <c r="J819" s="2"/>
      <c r="K819" s="2"/>
      <c r="L819" s="2"/>
      <c r="M819" s="2"/>
      <c r="N819" s="2"/>
      <c r="O819" s="2"/>
      <c r="P819" s="2"/>
      <c r="Q819" s="2"/>
      <c r="R819" s="2"/>
      <c r="S819" s="7"/>
      <c r="T819" s="2"/>
      <c r="U819" s="10"/>
      <c r="V819" s="2"/>
      <c r="W819" s="7"/>
      <c r="X819" s="7"/>
      <c r="Y819" s="2"/>
      <c r="Z819" s="2"/>
      <c r="AA819" s="2"/>
    </row>
    <row r="820">
      <c r="A820" s="2"/>
      <c r="B820" s="2"/>
      <c r="C820" s="2"/>
      <c r="D820" s="2"/>
      <c r="E820" s="2"/>
      <c r="F820" s="2"/>
      <c r="G820" s="2"/>
      <c r="H820" s="2"/>
      <c r="I820" s="2"/>
      <c r="J820" s="2"/>
      <c r="K820" s="2"/>
      <c r="L820" s="2"/>
      <c r="M820" s="2"/>
      <c r="N820" s="2"/>
      <c r="O820" s="2"/>
      <c r="P820" s="2"/>
      <c r="Q820" s="2"/>
      <c r="R820" s="2"/>
      <c r="S820" s="7"/>
      <c r="T820" s="2"/>
      <c r="U820" s="10"/>
      <c r="V820" s="2"/>
      <c r="W820" s="7"/>
      <c r="X820" s="7"/>
      <c r="Y820" s="2"/>
      <c r="Z820" s="2"/>
      <c r="AA820" s="2"/>
    </row>
    <row r="821">
      <c r="A821" s="2"/>
      <c r="B821" s="2"/>
      <c r="C821" s="2"/>
      <c r="D821" s="2"/>
      <c r="E821" s="2"/>
      <c r="F821" s="2"/>
      <c r="G821" s="2"/>
      <c r="H821" s="2"/>
      <c r="I821" s="2"/>
      <c r="J821" s="2"/>
      <c r="K821" s="2"/>
      <c r="L821" s="2"/>
      <c r="M821" s="2"/>
      <c r="N821" s="2"/>
      <c r="O821" s="2"/>
      <c r="P821" s="2"/>
      <c r="Q821" s="2"/>
      <c r="R821" s="2"/>
      <c r="S821" s="7"/>
      <c r="T821" s="2"/>
      <c r="U821" s="10"/>
      <c r="V821" s="2"/>
      <c r="W821" s="7"/>
      <c r="X821" s="7"/>
      <c r="Y821" s="2"/>
      <c r="Z821" s="2"/>
      <c r="AA821" s="2"/>
    </row>
    <row r="822">
      <c r="A822" s="2"/>
      <c r="B822" s="2"/>
      <c r="C822" s="2"/>
      <c r="D822" s="2"/>
      <c r="E822" s="2"/>
      <c r="F822" s="2"/>
      <c r="G822" s="2"/>
      <c r="H822" s="2"/>
      <c r="I822" s="2"/>
      <c r="J822" s="2"/>
      <c r="K822" s="2"/>
      <c r="L822" s="2"/>
      <c r="M822" s="2"/>
      <c r="N822" s="2"/>
      <c r="O822" s="2"/>
      <c r="P822" s="2"/>
      <c r="Q822" s="2"/>
      <c r="R822" s="2"/>
      <c r="S822" s="7"/>
      <c r="T822" s="2"/>
      <c r="U822" s="10"/>
      <c r="V822" s="2"/>
      <c r="W822" s="7"/>
      <c r="X822" s="7"/>
      <c r="Y822" s="2"/>
      <c r="Z822" s="2"/>
      <c r="AA822" s="2"/>
    </row>
    <row r="823">
      <c r="A823" s="2"/>
      <c r="B823" s="2"/>
      <c r="C823" s="2"/>
      <c r="D823" s="2"/>
      <c r="E823" s="2"/>
      <c r="F823" s="2"/>
      <c r="G823" s="2"/>
      <c r="H823" s="2"/>
      <c r="I823" s="2"/>
      <c r="J823" s="2"/>
      <c r="K823" s="2"/>
      <c r="L823" s="2"/>
      <c r="M823" s="2"/>
      <c r="N823" s="2"/>
      <c r="O823" s="2"/>
      <c r="P823" s="2"/>
      <c r="Q823" s="2"/>
      <c r="R823" s="2"/>
      <c r="S823" s="7"/>
      <c r="T823" s="2"/>
      <c r="U823" s="10"/>
      <c r="V823" s="2"/>
      <c r="W823" s="7"/>
      <c r="X823" s="7"/>
      <c r="Y823" s="2"/>
      <c r="Z823" s="2"/>
      <c r="AA823" s="2"/>
    </row>
    <row r="824">
      <c r="A824" s="2"/>
      <c r="B824" s="2"/>
      <c r="C824" s="2"/>
      <c r="D824" s="2"/>
      <c r="E824" s="2"/>
      <c r="F824" s="2"/>
      <c r="G824" s="2"/>
      <c r="H824" s="2"/>
      <c r="I824" s="2"/>
      <c r="J824" s="2"/>
      <c r="K824" s="2"/>
      <c r="L824" s="2"/>
      <c r="M824" s="2"/>
      <c r="N824" s="2"/>
      <c r="O824" s="2"/>
      <c r="P824" s="2"/>
      <c r="Q824" s="2"/>
      <c r="R824" s="2"/>
      <c r="S824" s="7"/>
      <c r="T824" s="2"/>
      <c r="U824" s="10"/>
      <c r="V824" s="2"/>
      <c r="W824" s="7"/>
      <c r="X824" s="7"/>
      <c r="Y824" s="2"/>
      <c r="Z824" s="2"/>
      <c r="AA824" s="2"/>
    </row>
    <row r="825">
      <c r="A825" s="2"/>
      <c r="B825" s="2"/>
      <c r="C825" s="2"/>
      <c r="D825" s="2"/>
      <c r="E825" s="2"/>
      <c r="F825" s="2"/>
      <c r="G825" s="2"/>
      <c r="H825" s="2"/>
      <c r="I825" s="2"/>
      <c r="J825" s="2"/>
      <c r="K825" s="2"/>
      <c r="L825" s="2"/>
      <c r="M825" s="2"/>
      <c r="N825" s="2"/>
      <c r="O825" s="2"/>
      <c r="P825" s="2"/>
      <c r="Q825" s="2"/>
      <c r="R825" s="2"/>
      <c r="S825" s="7"/>
      <c r="T825" s="2"/>
      <c r="U825" s="10"/>
      <c r="V825" s="2"/>
      <c r="W825" s="7"/>
      <c r="X825" s="7"/>
      <c r="Y825" s="2"/>
      <c r="Z825" s="2"/>
      <c r="AA825" s="2"/>
    </row>
    <row r="826">
      <c r="A826" s="2"/>
      <c r="B826" s="2"/>
      <c r="C826" s="2"/>
      <c r="D826" s="2"/>
      <c r="E826" s="2"/>
      <c r="F826" s="2"/>
      <c r="G826" s="2"/>
      <c r="H826" s="2"/>
      <c r="I826" s="2"/>
      <c r="J826" s="2"/>
      <c r="K826" s="2"/>
      <c r="L826" s="2"/>
      <c r="M826" s="2"/>
      <c r="N826" s="2"/>
      <c r="O826" s="2"/>
      <c r="P826" s="2"/>
      <c r="Q826" s="2"/>
      <c r="R826" s="2"/>
      <c r="S826" s="7"/>
      <c r="T826" s="2"/>
      <c r="U826" s="10"/>
      <c r="V826" s="2"/>
      <c r="W826" s="7"/>
      <c r="X826" s="7"/>
      <c r="Y826" s="2"/>
      <c r="Z826" s="2"/>
      <c r="AA826" s="2"/>
    </row>
    <row r="827">
      <c r="A827" s="2"/>
      <c r="B827" s="2"/>
      <c r="C827" s="2"/>
      <c r="D827" s="2"/>
      <c r="E827" s="2"/>
      <c r="F827" s="2"/>
      <c r="G827" s="2"/>
      <c r="H827" s="2"/>
      <c r="I827" s="2"/>
      <c r="J827" s="2"/>
      <c r="K827" s="2"/>
      <c r="L827" s="2"/>
      <c r="M827" s="2"/>
      <c r="N827" s="2"/>
      <c r="O827" s="2"/>
      <c r="P827" s="2"/>
      <c r="Q827" s="2"/>
      <c r="R827" s="2"/>
      <c r="S827" s="7"/>
      <c r="T827" s="2"/>
      <c r="U827" s="10"/>
      <c r="V827" s="2"/>
      <c r="W827" s="7"/>
      <c r="X827" s="7"/>
      <c r="Y827" s="2"/>
      <c r="Z827" s="2"/>
      <c r="AA827" s="2"/>
    </row>
    <row r="828">
      <c r="A828" s="2"/>
      <c r="B828" s="2"/>
      <c r="C828" s="2"/>
      <c r="D828" s="2"/>
      <c r="E828" s="2"/>
      <c r="F828" s="2"/>
      <c r="G828" s="2"/>
      <c r="H828" s="2"/>
      <c r="I828" s="2"/>
      <c r="J828" s="2"/>
      <c r="K828" s="2"/>
      <c r="L828" s="2"/>
      <c r="M828" s="2"/>
      <c r="N828" s="2"/>
      <c r="O828" s="2"/>
      <c r="P828" s="2"/>
      <c r="Q828" s="2"/>
      <c r="R828" s="2"/>
      <c r="S828" s="7"/>
      <c r="T828" s="2"/>
      <c r="U828" s="10"/>
      <c r="V828" s="2"/>
      <c r="W828" s="7"/>
      <c r="X828" s="7"/>
      <c r="Y828" s="2"/>
      <c r="Z828" s="2"/>
      <c r="AA828" s="2"/>
    </row>
    <row r="829">
      <c r="A829" s="2"/>
      <c r="B829" s="2"/>
      <c r="C829" s="2"/>
      <c r="D829" s="2"/>
      <c r="E829" s="2"/>
      <c r="F829" s="2"/>
      <c r="G829" s="2"/>
      <c r="H829" s="2"/>
      <c r="I829" s="2"/>
      <c r="J829" s="2"/>
      <c r="K829" s="2"/>
      <c r="L829" s="2"/>
      <c r="M829" s="2"/>
      <c r="N829" s="2"/>
      <c r="O829" s="2"/>
      <c r="P829" s="2"/>
      <c r="Q829" s="2"/>
      <c r="R829" s="2"/>
      <c r="S829" s="7"/>
      <c r="T829" s="2"/>
      <c r="U829" s="10"/>
      <c r="V829" s="2"/>
      <c r="W829" s="7"/>
      <c r="X829" s="7"/>
      <c r="Y829" s="2"/>
      <c r="Z829" s="2"/>
      <c r="AA829" s="2"/>
    </row>
    <row r="830">
      <c r="A830" s="2"/>
      <c r="B830" s="2"/>
      <c r="C830" s="2"/>
      <c r="D830" s="2"/>
      <c r="E830" s="2"/>
      <c r="F830" s="2"/>
      <c r="G830" s="2"/>
      <c r="H830" s="2"/>
      <c r="I830" s="2"/>
      <c r="J830" s="2"/>
      <c r="K830" s="2"/>
      <c r="L830" s="2"/>
      <c r="M830" s="2"/>
      <c r="N830" s="2"/>
      <c r="O830" s="2"/>
      <c r="P830" s="2"/>
      <c r="Q830" s="2"/>
      <c r="R830" s="2"/>
      <c r="S830" s="7"/>
      <c r="T830" s="2"/>
      <c r="U830" s="10"/>
      <c r="V830" s="2"/>
      <c r="W830" s="7"/>
      <c r="X830" s="7"/>
      <c r="Y830" s="2"/>
      <c r="Z830" s="2"/>
      <c r="AA830" s="2"/>
    </row>
    <row r="831">
      <c r="A831" s="2"/>
      <c r="B831" s="2"/>
      <c r="C831" s="2"/>
      <c r="D831" s="2"/>
      <c r="E831" s="2"/>
      <c r="F831" s="2"/>
      <c r="G831" s="2"/>
      <c r="H831" s="2"/>
      <c r="I831" s="2"/>
      <c r="J831" s="2"/>
      <c r="K831" s="2"/>
      <c r="L831" s="2"/>
      <c r="M831" s="2"/>
      <c r="N831" s="2"/>
      <c r="O831" s="2"/>
      <c r="P831" s="2"/>
      <c r="Q831" s="2"/>
      <c r="R831" s="2"/>
      <c r="S831" s="7"/>
      <c r="T831" s="2"/>
      <c r="U831" s="10"/>
      <c r="V831" s="2"/>
      <c r="W831" s="7"/>
      <c r="X831" s="7"/>
      <c r="Y831" s="2"/>
      <c r="Z831" s="2"/>
      <c r="AA831" s="2"/>
    </row>
    <row r="832">
      <c r="A832" s="2"/>
      <c r="B832" s="2"/>
      <c r="C832" s="2"/>
      <c r="D832" s="2"/>
      <c r="E832" s="2"/>
      <c r="F832" s="2"/>
      <c r="G832" s="2"/>
      <c r="H832" s="2"/>
      <c r="I832" s="2"/>
      <c r="J832" s="2"/>
      <c r="K832" s="2"/>
      <c r="L832" s="2"/>
      <c r="M832" s="2"/>
      <c r="N832" s="2"/>
      <c r="O832" s="2"/>
      <c r="P832" s="2"/>
      <c r="Q832" s="2"/>
      <c r="R832" s="2"/>
      <c r="S832" s="7"/>
      <c r="T832" s="2"/>
      <c r="U832" s="10"/>
      <c r="V832" s="2"/>
      <c r="W832" s="7"/>
      <c r="X832" s="7"/>
      <c r="Y832" s="2"/>
      <c r="Z832" s="2"/>
      <c r="AA832" s="2"/>
    </row>
    <row r="833">
      <c r="A833" s="2"/>
      <c r="B833" s="2"/>
      <c r="C833" s="2"/>
      <c r="D833" s="2"/>
      <c r="E833" s="2"/>
      <c r="F833" s="2"/>
      <c r="G833" s="2"/>
      <c r="H833" s="2"/>
      <c r="I833" s="2"/>
      <c r="J833" s="2"/>
      <c r="K833" s="2"/>
      <c r="L833" s="2"/>
      <c r="M833" s="2"/>
      <c r="N833" s="2"/>
      <c r="O833" s="2"/>
      <c r="P833" s="2"/>
      <c r="Q833" s="2"/>
      <c r="R833" s="2"/>
      <c r="S833" s="7"/>
      <c r="T833" s="2"/>
      <c r="U833" s="10"/>
      <c r="V833" s="2"/>
      <c r="W833" s="7"/>
      <c r="X833" s="7"/>
      <c r="Y833" s="2"/>
      <c r="Z833" s="2"/>
      <c r="AA833" s="2"/>
    </row>
    <row r="834">
      <c r="A834" s="2"/>
      <c r="B834" s="2"/>
      <c r="C834" s="2"/>
      <c r="D834" s="2"/>
      <c r="E834" s="2"/>
      <c r="F834" s="2"/>
      <c r="G834" s="2"/>
      <c r="H834" s="2"/>
      <c r="I834" s="2"/>
      <c r="J834" s="2"/>
      <c r="K834" s="2"/>
      <c r="L834" s="2"/>
      <c r="M834" s="2"/>
      <c r="N834" s="2"/>
      <c r="O834" s="2"/>
      <c r="P834" s="2"/>
      <c r="Q834" s="2"/>
      <c r="R834" s="2"/>
      <c r="S834" s="7"/>
      <c r="T834" s="2"/>
      <c r="U834" s="10"/>
      <c r="V834" s="2"/>
      <c r="W834" s="7"/>
      <c r="X834" s="7"/>
      <c r="Y834" s="2"/>
      <c r="Z834" s="2"/>
      <c r="AA834" s="2"/>
    </row>
    <row r="835">
      <c r="A835" s="2"/>
      <c r="B835" s="2"/>
      <c r="C835" s="2"/>
      <c r="D835" s="2"/>
      <c r="E835" s="2"/>
      <c r="F835" s="2"/>
      <c r="G835" s="2"/>
      <c r="H835" s="2"/>
      <c r="I835" s="2"/>
      <c r="J835" s="2"/>
      <c r="K835" s="2"/>
      <c r="L835" s="2"/>
      <c r="M835" s="2"/>
      <c r="N835" s="2"/>
      <c r="O835" s="2"/>
      <c r="P835" s="2"/>
      <c r="Q835" s="2"/>
      <c r="R835" s="2"/>
      <c r="S835" s="7"/>
      <c r="T835" s="2"/>
      <c r="U835" s="10"/>
      <c r="V835" s="2"/>
      <c r="W835" s="7"/>
      <c r="X835" s="7"/>
      <c r="Y835" s="2"/>
      <c r="Z835" s="2"/>
      <c r="AA835" s="2"/>
    </row>
    <row r="836">
      <c r="A836" s="2"/>
      <c r="B836" s="2"/>
      <c r="C836" s="2"/>
      <c r="D836" s="2"/>
      <c r="E836" s="2"/>
      <c r="F836" s="2"/>
      <c r="G836" s="2"/>
      <c r="H836" s="2"/>
      <c r="I836" s="2"/>
      <c r="J836" s="2"/>
      <c r="K836" s="2"/>
      <c r="L836" s="2"/>
      <c r="M836" s="2"/>
      <c r="N836" s="2"/>
      <c r="O836" s="2"/>
      <c r="P836" s="2"/>
      <c r="Q836" s="2"/>
      <c r="R836" s="2"/>
      <c r="S836" s="7"/>
      <c r="T836" s="2"/>
      <c r="U836" s="10"/>
      <c r="V836" s="2"/>
      <c r="W836" s="7"/>
      <c r="X836" s="7"/>
      <c r="Y836" s="2"/>
      <c r="Z836" s="2"/>
      <c r="AA836" s="2"/>
    </row>
    <row r="837">
      <c r="A837" s="2"/>
      <c r="B837" s="2"/>
      <c r="C837" s="2"/>
      <c r="D837" s="2"/>
      <c r="E837" s="2"/>
      <c r="F837" s="2"/>
      <c r="G837" s="2"/>
      <c r="H837" s="2"/>
      <c r="I837" s="2"/>
      <c r="J837" s="2"/>
      <c r="K837" s="2"/>
      <c r="L837" s="2"/>
      <c r="M837" s="2"/>
      <c r="N837" s="2"/>
      <c r="O837" s="2"/>
      <c r="P837" s="2"/>
      <c r="Q837" s="2"/>
      <c r="R837" s="2"/>
      <c r="S837" s="7"/>
      <c r="T837" s="2"/>
      <c r="U837" s="10"/>
      <c r="V837" s="2"/>
      <c r="W837" s="7"/>
      <c r="X837" s="7"/>
      <c r="Y837" s="2"/>
      <c r="Z837" s="2"/>
      <c r="AA837" s="2"/>
    </row>
    <row r="838">
      <c r="A838" s="2"/>
      <c r="B838" s="2"/>
      <c r="C838" s="2"/>
      <c r="D838" s="2"/>
      <c r="E838" s="2"/>
      <c r="F838" s="2"/>
      <c r="G838" s="2"/>
      <c r="H838" s="2"/>
      <c r="I838" s="2"/>
      <c r="J838" s="2"/>
      <c r="K838" s="2"/>
      <c r="L838" s="2"/>
      <c r="M838" s="2"/>
      <c r="N838" s="2"/>
      <c r="O838" s="2"/>
      <c r="P838" s="2"/>
      <c r="Q838" s="2"/>
      <c r="R838" s="2"/>
      <c r="S838" s="7"/>
      <c r="T838" s="2"/>
      <c r="U838" s="10"/>
      <c r="V838" s="2"/>
      <c r="W838" s="7"/>
      <c r="X838" s="7"/>
      <c r="Y838" s="2"/>
      <c r="Z838" s="2"/>
      <c r="AA838" s="2"/>
    </row>
    <row r="839">
      <c r="A839" s="2"/>
      <c r="B839" s="2"/>
      <c r="C839" s="2"/>
      <c r="D839" s="2"/>
      <c r="E839" s="2"/>
      <c r="F839" s="2"/>
      <c r="G839" s="2"/>
      <c r="H839" s="2"/>
      <c r="I839" s="2"/>
      <c r="J839" s="2"/>
      <c r="K839" s="2"/>
      <c r="L839" s="2"/>
      <c r="M839" s="2"/>
      <c r="N839" s="2"/>
      <c r="O839" s="2"/>
      <c r="P839" s="2"/>
      <c r="Q839" s="2"/>
      <c r="R839" s="2"/>
      <c r="S839" s="7"/>
      <c r="T839" s="2"/>
      <c r="U839" s="10"/>
      <c r="V839" s="2"/>
      <c r="W839" s="7"/>
      <c r="X839" s="7"/>
      <c r="Y839" s="2"/>
      <c r="Z839" s="2"/>
      <c r="AA839" s="2"/>
    </row>
    <row r="840">
      <c r="A840" s="2"/>
      <c r="B840" s="2"/>
      <c r="C840" s="2"/>
      <c r="D840" s="2"/>
      <c r="E840" s="2"/>
      <c r="F840" s="2"/>
      <c r="G840" s="2"/>
      <c r="H840" s="2"/>
      <c r="I840" s="2"/>
      <c r="J840" s="2"/>
      <c r="K840" s="2"/>
      <c r="L840" s="2"/>
      <c r="M840" s="2"/>
      <c r="N840" s="2"/>
      <c r="O840" s="2"/>
      <c r="P840" s="2"/>
      <c r="Q840" s="2"/>
      <c r="R840" s="2"/>
      <c r="S840" s="7"/>
      <c r="T840" s="2"/>
      <c r="U840" s="10"/>
      <c r="V840" s="2"/>
      <c r="W840" s="7"/>
      <c r="X840" s="7"/>
      <c r="Y840" s="2"/>
      <c r="Z840" s="2"/>
      <c r="AA840" s="2"/>
    </row>
    <row r="841">
      <c r="A841" s="2"/>
      <c r="B841" s="2"/>
      <c r="C841" s="2"/>
      <c r="D841" s="2"/>
      <c r="E841" s="2"/>
      <c r="F841" s="2"/>
      <c r="G841" s="2"/>
      <c r="H841" s="2"/>
      <c r="I841" s="2"/>
      <c r="J841" s="2"/>
      <c r="K841" s="2"/>
      <c r="L841" s="2"/>
      <c r="M841" s="2"/>
      <c r="N841" s="2"/>
      <c r="O841" s="2"/>
      <c r="P841" s="2"/>
      <c r="Q841" s="2"/>
      <c r="R841" s="2"/>
      <c r="S841" s="7"/>
      <c r="T841" s="2"/>
      <c r="U841" s="10"/>
      <c r="V841" s="2"/>
      <c r="W841" s="7"/>
      <c r="X841" s="7"/>
      <c r="Y841" s="2"/>
      <c r="Z841" s="2"/>
      <c r="AA841" s="2"/>
    </row>
    <row r="842">
      <c r="A842" s="2"/>
      <c r="B842" s="2"/>
      <c r="C842" s="2"/>
      <c r="D842" s="2"/>
      <c r="E842" s="2"/>
      <c r="F842" s="2"/>
      <c r="G842" s="2"/>
      <c r="H842" s="2"/>
      <c r="I842" s="2"/>
      <c r="J842" s="2"/>
      <c r="K842" s="2"/>
      <c r="L842" s="2"/>
      <c r="M842" s="2"/>
      <c r="N842" s="2"/>
      <c r="O842" s="2"/>
      <c r="P842" s="2"/>
      <c r="Q842" s="2"/>
      <c r="R842" s="2"/>
      <c r="S842" s="7"/>
      <c r="T842" s="2"/>
      <c r="U842" s="10"/>
      <c r="V842" s="2"/>
      <c r="W842" s="7"/>
      <c r="X842" s="7"/>
      <c r="Y842" s="2"/>
      <c r="Z842" s="2"/>
      <c r="AA842" s="2"/>
    </row>
    <row r="843">
      <c r="A843" s="2"/>
      <c r="B843" s="2"/>
      <c r="C843" s="2"/>
      <c r="D843" s="2"/>
      <c r="E843" s="2"/>
      <c r="F843" s="2"/>
      <c r="G843" s="2"/>
      <c r="H843" s="2"/>
      <c r="I843" s="2"/>
      <c r="J843" s="2"/>
      <c r="K843" s="2"/>
      <c r="L843" s="2"/>
      <c r="M843" s="2"/>
      <c r="N843" s="2"/>
      <c r="O843" s="2"/>
      <c r="P843" s="2"/>
      <c r="Q843" s="2"/>
      <c r="R843" s="2"/>
      <c r="S843" s="7"/>
      <c r="T843" s="2"/>
      <c r="U843" s="10"/>
      <c r="V843" s="2"/>
      <c r="W843" s="7"/>
      <c r="X843" s="7"/>
      <c r="Y843" s="2"/>
      <c r="Z843" s="2"/>
      <c r="AA843" s="2"/>
    </row>
    <row r="844">
      <c r="A844" s="2"/>
      <c r="B844" s="2"/>
      <c r="C844" s="2"/>
      <c r="D844" s="2"/>
      <c r="E844" s="2"/>
      <c r="F844" s="2"/>
      <c r="G844" s="2"/>
      <c r="H844" s="2"/>
      <c r="I844" s="2"/>
      <c r="J844" s="2"/>
      <c r="K844" s="2"/>
      <c r="L844" s="2"/>
      <c r="M844" s="2"/>
      <c r="N844" s="2"/>
      <c r="O844" s="2"/>
      <c r="P844" s="2"/>
      <c r="Q844" s="2"/>
      <c r="R844" s="2"/>
      <c r="S844" s="7"/>
      <c r="T844" s="2"/>
      <c r="U844" s="10"/>
      <c r="V844" s="2"/>
      <c r="W844" s="7"/>
      <c r="X844" s="7"/>
      <c r="Y844" s="2"/>
      <c r="Z844" s="2"/>
      <c r="AA844" s="2"/>
    </row>
    <row r="845">
      <c r="A845" s="2"/>
      <c r="B845" s="2"/>
      <c r="C845" s="2"/>
      <c r="D845" s="2"/>
      <c r="E845" s="2"/>
      <c r="F845" s="2"/>
      <c r="G845" s="2"/>
      <c r="H845" s="2"/>
      <c r="I845" s="2"/>
      <c r="J845" s="2"/>
      <c r="K845" s="2"/>
      <c r="L845" s="2"/>
      <c r="M845" s="2"/>
      <c r="N845" s="2"/>
      <c r="O845" s="2"/>
      <c r="P845" s="2"/>
      <c r="Q845" s="2"/>
      <c r="R845" s="2"/>
      <c r="S845" s="7"/>
      <c r="T845" s="2"/>
      <c r="U845" s="10"/>
      <c r="V845" s="2"/>
      <c r="W845" s="7"/>
      <c r="X845" s="7"/>
      <c r="Y845" s="2"/>
      <c r="Z845" s="2"/>
      <c r="AA845" s="2"/>
    </row>
    <row r="846">
      <c r="A846" s="2"/>
      <c r="B846" s="2"/>
      <c r="C846" s="2"/>
      <c r="D846" s="2"/>
      <c r="E846" s="2"/>
      <c r="F846" s="2"/>
      <c r="G846" s="2"/>
      <c r="H846" s="2"/>
      <c r="I846" s="2"/>
      <c r="J846" s="2"/>
      <c r="K846" s="2"/>
      <c r="L846" s="2"/>
      <c r="M846" s="2"/>
      <c r="N846" s="2"/>
      <c r="O846" s="2"/>
      <c r="P846" s="2"/>
      <c r="Q846" s="2"/>
      <c r="R846" s="2"/>
      <c r="S846" s="7"/>
      <c r="T846" s="2"/>
      <c r="U846" s="10"/>
      <c r="V846" s="2"/>
      <c r="W846" s="7"/>
      <c r="X846" s="7"/>
      <c r="Y846" s="2"/>
      <c r="Z846" s="2"/>
      <c r="AA846" s="2"/>
    </row>
    <row r="847">
      <c r="A847" s="2"/>
      <c r="B847" s="2"/>
      <c r="C847" s="2"/>
      <c r="D847" s="2"/>
      <c r="E847" s="2"/>
      <c r="F847" s="2"/>
      <c r="G847" s="2"/>
      <c r="H847" s="2"/>
      <c r="I847" s="2"/>
      <c r="J847" s="2"/>
      <c r="K847" s="2"/>
      <c r="L847" s="2"/>
      <c r="M847" s="2"/>
      <c r="N847" s="2"/>
      <c r="O847" s="2"/>
      <c r="P847" s="2"/>
      <c r="Q847" s="2"/>
      <c r="R847" s="2"/>
      <c r="S847" s="7"/>
      <c r="T847" s="2"/>
      <c r="U847" s="10"/>
      <c r="V847" s="2"/>
      <c r="W847" s="7"/>
      <c r="X847" s="7"/>
      <c r="Y847" s="2"/>
      <c r="Z847" s="2"/>
      <c r="AA847" s="2"/>
    </row>
    <row r="848">
      <c r="A848" s="2"/>
      <c r="B848" s="2"/>
      <c r="C848" s="2"/>
      <c r="D848" s="2"/>
      <c r="E848" s="2"/>
      <c r="F848" s="2"/>
      <c r="G848" s="2"/>
      <c r="H848" s="2"/>
      <c r="I848" s="2"/>
      <c r="J848" s="2"/>
      <c r="K848" s="2"/>
      <c r="L848" s="2"/>
      <c r="M848" s="2"/>
      <c r="N848" s="2"/>
      <c r="O848" s="2"/>
      <c r="P848" s="2"/>
      <c r="Q848" s="2"/>
      <c r="R848" s="2"/>
      <c r="S848" s="7"/>
      <c r="T848" s="2"/>
      <c r="U848" s="10"/>
      <c r="V848" s="2"/>
      <c r="W848" s="7"/>
      <c r="X848" s="7"/>
      <c r="Y848" s="2"/>
      <c r="Z848" s="2"/>
      <c r="AA848" s="2"/>
    </row>
    <row r="849">
      <c r="A849" s="2"/>
      <c r="B849" s="2"/>
      <c r="C849" s="2"/>
      <c r="D849" s="2"/>
      <c r="E849" s="2"/>
      <c r="F849" s="2"/>
      <c r="G849" s="2"/>
      <c r="H849" s="2"/>
      <c r="I849" s="2"/>
      <c r="J849" s="2"/>
      <c r="K849" s="2"/>
      <c r="L849" s="2"/>
      <c r="M849" s="2"/>
      <c r="N849" s="2"/>
      <c r="O849" s="2"/>
      <c r="P849" s="2"/>
      <c r="Q849" s="2"/>
      <c r="R849" s="2"/>
      <c r="S849" s="7"/>
      <c r="T849" s="2"/>
      <c r="U849" s="10"/>
      <c r="V849" s="2"/>
      <c r="W849" s="7"/>
      <c r="X849" s="7"/>
      <c r="Y849" s="2"/>
      <c r="Z849" s="2"/>
      <c r="AA849" s="2"/>
    </row>
    <row r="850">
      <c r="A850" s="2"/>
      <c r="B850" s="2"/>
      <c r="C850" s="2"/>
      <c r="D850" s="2"/>
      <c r="E850" s="2"/>
      <c r="F850" s="2"/>
      <c r="G850" s="2"/>
      <c r="H850" s="2"/>
      <c r="I850" s="2"/>
      <c r="J850" s="2"/>
      <c r="K850" s="2"/>
      <c r="L850" s="2"/>
      <c r="M850" s="2"/>
      <c r="N850" s="2"/>
      <c r="O850" s="2"/>
      <c r="P850" s="2"/>
      <c r="Q850" s="2"/>
      <c r="R850" s="2"/>
      <c r="S850" s="7"/>
      <c r="T850" s="2"/>
      <c r="U850" s="10"/>
      <c r="V850" s="2"/>
      <c r="W850" s="7"/>
      <c r="X850" s="7"/>
      <c r="Y850" s="2"/>
      <c r="Z850" s="2"/>
      <c r="AA850" s="2"/>
    </row>
    <row r="851">
      <c r="A851" s="2"/>
      <c r="B851" s="2"/>
      <c r="C851" s="2"/>
      <c r="D851" s="2"/>
      <c r="E851" s="2"/>
      <c r="F851" s="2"/>
      <c r="G851" s="2"/>
      <c r="H851" s="2"/>
      <c r="I851" s="2"/>
      <c r="J851" s="2"/>
      <c r="K851" s="2"/>
      <c r="L851" s="2"/>
      <c r="M851" s="2"/>
      <c r="N851" s="2"/>
      <c r="O851" s="2"/>
      <c r="P851" s="2"/>
      <c r="Q851" s="2"/>
      <c r="R851" s="2"/>
      <c r="S851" s="7"/>
      <c r="T851" s="2"/>
      <c r="U851" s="10"/>
      <c r="V851" s="2"/>
      <c r="W851" s="7"/>
      <c r="X851" s="7"/>
      <c r="Y851" s="2"/>
      <c r="Z851" s="2"/>
      <c r="AA851" s="2"/>
    </row>
    <row r="852">
      <c r="A852" s="2"/>
      <c r="B852" s="2"/>
      <c r="C852" s="2"/>
      <c r="D852" s="2"/>
      <c r="E852" s="2"/>
      <c r="F852" s="2"/>
      <c r="G852" s="2"/>
      <c r="H852" s="2"/>
      <c r="I852" s="2"/>
      <c r="J852" s="2"/>
      <c r="K852" s="2"/>
      <c r="L852" s="2"/>
      <c r="M852" s="2"/>
      <c r="N852" s="2"/>
      <c r="O852" s="2"/>
      <c r="P852" s="2"/>
      <c r="Q852" s="2"/>
      <c r="R852" s="2"/>
      <c r="S852" s="7"/>
      <c r="T852" s="2"/>
      <c r="U852" s="10"/>
      <c r="V852" s="2"/>
      <c r="W852" s="7"/>
      <c r="X852" s="7"/>
      <c r="Y852" s="2"/>
      <c r="Z852" s="2"/>
      <c r="AA852" s="2"/>
    </row>
    <row r="853">
      <c r="A853" s="2"/>
      <c r="B853" s="2"/>
      <c r="C853" s="2"/>
      <c r="D853" s="2"/>
      <c r="E853" s="2"/>
      <c r="F853" s="2"/>
      <c r="G853" s="2"/>
      <c r="H853" s="2"/>
      <c r="I853" s="2"/>
      <c r="J853" s="2"/>
      <c r="K853" s="2"/>
      <c r="L853" s="2"/>
      <c r="M853" s="2"/>
      <c r="N853" s="2"/>
      <c r="O853" s="2"/>
      <c r="P853" s="2"/>
      <c r="Q853" s="2"/>
      <c r="R853" s="2"/>
      <c r="S853" s="7"/>
      <c r="T853" s="2"/>
      <c r="U853" s="10"/>
      <c r="V853" s="2"/>
      <c r="W853" s="7"/>
      <c r="X853" s="7"/>
      <c r="Y853" s="2"/>
      <c r="Z853" s="2"/>
      <c r="AA853" s="2"/>
    </row>
    <row r="854">
      <c r="A854" s="2"/>
      <c r="B854" s="2"/>
      <c r="C854" s="2"/>
      <c r="D854" s="2"/>
      <c r="E854" s="2"/>
      <c r="F854" s="2"/>
      <c r="G854" s="2"/>
      <c r="H854" s="2"/>
      <c r="I854" s="2"/>
      <c r="J854" s="2"/>
      <c r="K854" s="2"/>
      <c r="L854" s="2"/>
      <c r="M854" s="2"/>
      <c r="N854" s="2"/>
      <c r="O854" s="2"/>
      <c r="P854" s="2"/>
      <c r="Q854" s="2"/>
      <c r="R854" s="2"/>
      <c r="S854" s="7"/>
      <c r="T854" s="2"/>
      <c r="U854" s="10"/>
      <c r="V854" s="2"/>
      <c r="W854" s="7"/>
      <c r="X854" s="7"/>
      <c r="Y854" s="2"/>
      <c r="Z854" s="2"/>
      <c r="AA854" s="2"/>
    </row>
    <row r="855">
      <c r="A855" s="2"/>
      <c r="B855" s="2"/>
      <c r="C855" s="2"/>
      <c r="D855" s="2"/>
      <c r="E855" s="2"/>
      <c r="F855" s="2"/>
      <c r="G855" s="2"/>
      <c r="H855" s="2"/>
      <c r="I855" s="2"/>
      <c r="J855" s="2"/>
      <c r="K855" s="2"/>
      <c r="L855" s="2"/>
      <c r="M855" s="2"/>
      <c r="N855" s="2"/>
      <c r="O855" s="2"/>
      <c r="P855" s="2"/>
      <c r="Q855" s="2"/>
      <c r="R855" s="2"/>
      <c r="S855" s="7"/>
      <c r="T855" s="2"/>
      <c r="U855" s="10"/>
      <c r="V855" s="2"/>
      <c r="W855" s="7"/>
      <c r="X855" s="7"/>
      <c r="Y855" s="2"/>
      <c r="Z855" s="2"/>
      <c r="AA855" s="2"/>
    </row>
    <row r="856">
      <c r="A856" s="2"/>
      <c r="B856" s="2"/>
      <c r="C856" s="2"/>
      <c r="D856" s="2"/>
      <c r="E856" s="2"/>
      <c r="F856" s="2"/>
      <c r="G856" s="2"/>
      <c r="H856" s="2"/>
      <c r="I856" s="2"/>
      <c r="J856" s="2"/>
      <c r="K856" s="2"/>
      <c r="L856" s="2"/>
      <c r="M856" s="2"/>
      <c r="N856" s="2"/>
      <c r="O856" s="2"/>
      <c r="P856" s="2"/>
      <c r="Q856" s="2"/>
      <c r="R856" s="2"/>
      <c r="S856" s="7"/>
      <c r="T856" s="2"/>
      <c r="U856" s="10"/>
      <c r="V856" s="2"/>
      <c r="W856" s="7"/>
      <c r="X856" s="7"/>
      <c r="Y856" s="2"/>
      <c r="Z856" s="2"/>
      <c r="AA856" s="2"/>
    </row>
    <row r="857">
      <c r="A857" s="2"/>
      <c r="B857" s="2"/>
      <c r="C857" s="2"/>
      <c r="D857" s="2"/>
      <c r="E857" s="2"/>
      <c r="F857" s="2"/>
      <c r="G857" s="2"/>
      <c r="H857" s="2"/>
      <c r="I857" s="2"/>
      <c r="J857" s="2"/>
      <c r="K857" s="2"/>
      <c r="L857" s="2"/>
      <c r="M857" s="2"/>
      <c r="N857" s="2"/>
      <c r="O857" s="2"/>
      <c r="P857" s="2"/>
      <c r="Q857" s="2"/>
      <c r="R857" s="2"/>
      <c r="S857" s="7"/>
      <c r="T857" s="2"/>
      <c r="U857" s="10"/>
      <c r="V857" s="2"/>
      <c r="W857" s="7"/>
      <c r="X857" s="7"/>
      <c r="Y857" s="2"/>
      <c r="Z857" s="2"/>
      <c r="AA857" s="2"/>
    </row>
    <row r="858">
      <c r="A858" s="2"/>
      <c r="B858" s="2"/>
      <c r="C858" s="2"/>
      <c r="D858" s="2"/>
      <c r="E858" s="2"/>
      <c r="F858" s="2"/>
      <c r="G858" s="2"/>
      <c r="H858" s="2"/>
      <c r="I858" s="2"/>
      <c r="J858" s="2"/>
      <c r="K858" s="2"/>
      <c r="L858" s="2"/>
      <c r="M858" s="2"/>
      <c r="N858" s="2"/>
      <c r="O858" s="2"/>
      <c r="P858" s="2"/>
      <c r="Q858" s="2"/>
      <c r="R858" s="2"/>
      <c r="S858" s="7"/>
      <c r="T858" s="2"/>
      <c r="U858" s="10"/>
      <c r="V858" s="2"/>
      <c r="W858" s="7"/>
      <c r="X858" s="7"/>
      <c r="Y858" s="2"/>
      <c r="Z858" s="2"/>
      <c r="AA858" s="2"/>
    </row>
    <row r="859">
      <c r="A859" s="2"/>
      <c r="B859" s="2"/>
      <c r="C859" s="2"/>
      <c r="D859" s="2"/>
      <c r="E859" s="2"/>
      <c r="F859" s="2"/>
      <c r="G859" s="2"/>
      <c r="H859" s="2"/>
      <c r="I859" s="2"/>
      <c r="J859" s="2"/>
      <c r="K859" s="2"/>
      <c r="L859" s="2"/>
      <c r="M859" s="2"/>
      <c r="N859" s="2"/>
      <c r="O859" s="2"/>
      <c r="P859" s="2"/>
      <c r="Q859" s="2"/>
      <c r="R859" s="2"/>
      <c r="S859" s="7"/>
      <c r="T859" s="2"/>
      <c r="U859" s="10"/>
      <c r="V859" s="2"/>
      <c r="W859" s="7"/>
      <c r="X859" s="7"/>
      <c r="Y859" s="2"/>
      <c r="Z859" s="2"/>
      <c r="AA859" s="2"/>
    </row>
    <row r="860">
      <c r="A860" s="2"/>
      <c r="B860" s="2"/>
      <c r="C860" s="2"/>
      <c r="D860" s="2"/>
      <c r="E860" s="2"/>
      <c r="F860" s="2"/>
      <c r="G860" s="2"/>
      <c r="H860" s="2"/>
      <c r="I860" s="2"/>
      <c r="J860" s="2"/>
      <c r="K860" s="2"/>
      <c r="L860" s="2"/>
      <c r="M860" s="2"/>
      <c r="N860" s="2"/>
      <c r="O860" s="2"/>
      <c r="P860" s="2"/>
      <c r="Q860" s="2"/>
      <c r="R860" s="2"/>
      <c r="S860" s="7"/>
      <c r="T860" s="2"/>
      <c r="U860" s="10"/>
      <c r="V860" s="2"/>
      <c r="W860" s="7"/>
      <c r="X860" s="7"/>
      <c r="Y860" s="2"/>
      <c r="Z860" s="2"/>
      <c r="AA860" s="2"/>
    </row>
    <row r="861">
      <c r="A861" s="2"/>
      <c r="B861" s="2"/>
      <c r="C861" s="2"/>
      <c r="D861" s="2"/>
      <c r="E861" s="2"/>
      <c r="F861" s="2"/>
      <c r="G861" s="2"/>
      <c r="H861" s="2"/>
      <c r="I861" s="2"/>
      <c r="J861" s="2"/>
      <c r="K861" s="2"/>
      <c r="L861" s="2"/>
      <c r="M861" s="2"/>
      <c r="N861" s="2"/>
      <c r="O861" s="2"/>
      <c r="P861" s="2"/>
      <c r="Q861" s="2"/>
      <c r="R861" s="2"/>
      <c r="S861" s="7"/>
      <c r="T861" s="2"/>
      <c r="U861" s="10"/>
      <c r="V861" s="2"/>
      <c r="W861" s="7"/>
      <c r="X861" s="7"/>
      <c r="Y861" s="2"/>
      <c r="Z861" s="2"/>
      <c r="AA861" s="2"/>
    </row>
    <row r="862">
      <c r="A862" s="2"/>
      <c r="B862" s="2"/>
      <c r="C862" s="2"/>
      <c r="D862" s="2"/>
      <c r="E862" s="2"/>
      <c r="F862" s="2"/>
      <c r="G862" s="2"/>
      <c r="H862" s="2"/>
      <c r="I862" s="2"/>
      <c r="J862" s="2"/>
      <c r="K862" s="2"/>
      <c r="L862" s="2"/>
      <c r="M862" s="2"/>
      <c r="N862" s="2"/>
      <c r="O862" s="2"/>
      <c r="P862" s="2"/>
      <c r="Q862" s="2"/>
      <c r="R862" s="2"/>
      <c r="S862" s="7"/>
      <c r="T862" s="2"/>
      <c r="U862" s="10"/>
      <c r="V862" s="2"/>
      <c r="W862" s="7"/>
      <c r="X862" s="7"/>
      <c r="Y862" s="2"/>
      <c r="Z862" s="2"/>
      <c r="AA862" s="2"/>
    </row>
    <row r="863">
      <c r="A863" s="2"/>
      <c r="B863" s="2"/>
      <c r="C863" s="2"/>
      <c r="D863" s="2"/>
      <c r="E863" s="2"/>
      <c r="F863" s="2"/>
      <c r="G863" s="2"/>
      <c r="H863" s="2"/>
      <c r="I863" s="2"/>
      <c r="J863" s="2"/>
      <c r="K863" s="2"/>
      <c r="L863" s="2"/>
      <c r="M863" s="2"/>
      <c r="N863" s="2"/>
      <c r="O863" s="2"/>
      <c r="P863" s="2"/>
      <c r="Q863" s="2"/>
      <c r="R863" s="2"/>
      <c r="S863" s="7"/>
      <c r="T863" s="2"/>
      <c r="U863" s="10"/>
      <c r="V863" s="2"/>
      <c r="W863" s="7"/>
      <c r="X863" s="7"/>
      <c r="Y863" s="2"/>
      <c r="Z863" s="2"/>
      <c r="AA863" s="2"/>
    </row>
    <row r="864">
      <c r="A864" s="2"/>
      <c r="B864" s="2"/>
      <c r="C864" s="2"/>
      <c r="D864" s="2"/>
      <c r="E864" s="2"/>
      <c r="F864" s="2"/>
      <c r="G864" s="2"/>
      <c r="H864" s="2"/>
      <c r="I864" s="2"/>
      <c r="J864" s="2"/>
      <c r="K864" s="2"/>
      <c r="L864" s="2"/>
      <c r="M864" s="2"/>
      <c r="N864" s="2"/>
      <c r="O864" s="2"/>
      <c r="P864" s="2"/>
      <c r="Q864" s="2"/>
      <c r="R864" s="2"/>
      <c r="S864" s="7"/>
      <c r="T864" s="2"/>
      <c r="U864" s="10"/>
      <c r="V864" s="2"/>
      <c r="W864" s="7"/>
      <c r="X864" s="7"/>
      <c r="Y864" s="2"/>
      <c r="Z864" s="2"/>
      <c r="AA864" s="2"/>
    </row>
    <row r="865">
      <c r="A865" s="2"/>
      <c r="B865" s="2"/>
      <c r="C865" s="2"/>
      <c r="D865" s="2"/>
      <c r="E865" s="2"/>
      <c r="F865" s="2"/>
      <c r="G865" s="2"/>
      <c r="H865" s="2"/>
      <c r="I865" s="2"/>
      <c r="J865" s="2"/>
      <c r="K865" s="2"/>
      <c r="L865" s="2"/>
      <c r="M865" s="2"/>
      <c r="N865" s="2"/>
      <c r="O865" s="2"/>
      <c r="P865" s="2"/>
      <c r="Q865" s="2"/>
      <c r="R865" s="2"/>
      <c r="S865" s="7"/>
      <c r="T865" s="2"/>
      <c r="U865" s="10"/>
      <c r="V865" s="2"/>
      <c r="W865" s="7"/>
      <c r="X865" s="7"/>
      <c r="Y865" s="2"/>
      <c r="Z865" s="2"/>
      <c r="AA865" s="2"/>
    </row>
    <row r="866">
      <c r="A866" s="2"/>
      <c r="B866" s="2"/>
      <c r="C866" s="2"/>
      <c r="D866" s="2"/>
      <c r="E866" s="2"/>
      <c r="F866" s="2"/>
      <c r="G866" s="2"/>
      <c r="H866" s="2"/>
      <c r="I866" s="2"/>
      <c r="J866" s="2"/>
      <c r="K866" s="2"/>
      <c r="L866" s="2"/>
      <c r="M866" s="2"/>
      <c r="N866" s="2"/>
      <c r="O866" s="2"/>
      <c r="P866" s="2"/>
      <c r="Q866" s="2"/>
      <c r="R866" s="2"/>
      <c r="S866" s="7"/>
      <c r="T866" s="2"/>
      <c r="U866" s="10"/>
      <c r="V866" s="2"/>
      <c r="W866" s="7"/>
      <c r="X866" s="7"/>
      <c r="Y866" s="2"/>
      <c r="Z866" s="2"/>
      <c r="AA866" s="2"/>
    </row>
    <row r="867">
      <c r="A867" s="2"/>
      <c r="B867" s="2"/>
      <c r="C867" s="2"/>
      <c r="D867" s="2"/>
      <c r="E867" s="2"/>
      <c r="F867" s="2"/>
      <c r="G867" s="2"/>
      <c r="H867" s="2"/>
      <c r="I867" s="2"/>
      <c r="J867" s="2"/>
      <c r="K867" s="2"/>
      <c r="L867" s="2"/>
      <c r="M867" s="2"/>
      <c r="N867" s="2"/>
      <c r="O867" s="2"/>
      <c r="P867" s="2"/>
      <c r="Q867" s="2"/>
      <c r="R867" s="2"/>
      <c r="S867" s="7"/>
      <c r="T867" s="2"/>
      <c r="U867" s="10"/>
      <c r="V867" s="2"/>
      <c r="W867" s="7"/>
      <c r="X867" s="7"/>
      <c r="Y867" s="2"/>
      <c r="Z867" s="2"/>
      <c r="AA867" s="2"/>
    </row>
    <row r="868">
      <c r="A868" s="2"/>
      <c r="B868" s="2"/>
      <c r="C868" s="2"/>
      <c r="D868" s="2"/>
      <c r="E868" s="2"/>
      <c r="F868" s="2"/>
      <c r="G868" s="2"/>
      <c r="H868" s="2"/>
      <c r="I868" s="2"/>
      <c r="J868" s="2"/>
      <c r="K868" s="2"/>
      <c r="L868" s="2"/>
      <c r="M868" s="2"/>
      <c r="N868" s="2"/>
      <c r="O868" s="2"/>
      <c r="P868" s="2"/>
      <c r="Q868" s="2"/>
      <c r="R868" s="2"/>
      <c r="S868" s="7"/>
      <c r="T868" s="2"/>
      <c r="U868" s="10"/>
      <c r="V868" s="2"/>
      <c r="W868" s="7"/>
      <c r="X868" s="7"/>
      <c r="Y868" s="2"/>
      <c r="Z868" s="2"/>
      <c r="AA868" s="2"/>
    </row>
    <row r="869">
      <c r="A869" s="2"/>
      <c r="B869" s="2"/>
      <c r="C869" s="2"/>
      <c r="D869" s="2"/>
      <c r="E869" s="2"/>
      <c r="F869" s="2"/>
      <c r="G869" s="2"/>
      <c r="H869" s="2"/>
      <c r="I869" s="2"/>
      <c r="J869" s="2"/>
      <c r="K869" s="2"/>
      <c r="L869" s="2"/>
      <c r="M869" s="2"/>
      <c r="N869" s="2"/>
      <c r="O869" s="2"/>
      <c r="P869" s="2"/>
      <c r="Q869" s="2"/>
      <c r="R869" s="2"/>
      <c r="S869" s="7"/>
      <c r="T869" s="2"/>
      <c r="U869" s="10"/>
      <c r="V869" s="2"/>
      <c r="W869" s="7"/>
      <c r="X869" s="7"/>
      <c r="Y869" s="2"/>
      <c r="Z869" s="2"/>
      <c r="AA869" s="2"/>
    </row>
    <row r="870">
      <c r="A870" s="2"/>
      <c r="B870" s="2"/>
      <c r="C870" s="2"/>
      <c r="D870" s="2"/>
      <c r="E870" s="2"/>
      <c r="F870" s="2"/>
      <c r="G870" s="2"/>
      <c r="H870" s="2"/>
      <c r="I870" s="2"/>
      <c r="J870" s="2"/>
      <c r="K870" s="2"/>
      <c r="L870" s="2"/>
      <c r="M870" s="2"/>
      <c r="N870" s="2"/>
      <c r="O870" s="2"/>
      <c r="P870" s="2"/>
      <c r="Q870" s="2"/>
      <c r="R870" s="2"/>
      <c r="S870" s="7"/>
      <c r="T870" s="2"/>
      <c r="U870" s="10"/>
      <c r="V870" s="2"/>
      <c r="W870" s="7"/>
      <c r="X870" s="7"/>
      <c r="Y870" s="2"/>
      <c r="Z870" s="2"/>
      <c r="AA870" s="2"/>
    </row>
    <row r="871">
      <c r="A871" s="2"/>
      <c r="B871" s="2"/>
      <c r="C871" s="2"/>
      <c r="D871" s="2"/>
      <c r="E871" s="2"/>
      <c r="F871" s="2"/>
      <c r="G871" s="2"/>
      <c r="H871" s="2"/>
      <c r="I871" s="2"/>
      <c r="J871" s="2"/>
      <c r="K871" s="2"/>
      <c r="L871" s="2"/>
      <c r="M871" s="2"/>
      <c r="N871" s="2"/>
      <c r="O871" s="2"/>
      <c r="P871" s="2"/>
      <c r="Q871" s="2"/>
      <c r="R871" s="2"/>
      <c r="S871" s="7"/>
      <c r="T871" s="2"/>
      <c r="U871" s="10"/>
      <c r="V871" s="2"/>
      <c r="W871" s="7"/>
      <c r="X871" s="7"/>
      <c r="Y871" s="2"/>
      <c r="Z871" s="2"/>
      <c r="AA871" s="2"/>
    </row>
    <row r="872">
      <c r="A872" s="2"/>
      <c r="B872" s="2"/>
      <c r="C872" s="2"/>
      <c r="D872" s="2"/>
      <c r="E872" s="2"/>
      <c r="F872" s="2"/>
      <c r="G872" s="2"/>
      <c r="H872" s="2"/>
      <c r="I872" s="2"/>
      <c r="J872" s="2"/>
      <c r="K872" s="2"/>
      <c r="L872" s="2"/>
      <c r="M872" s="2"/>
      <c r="N872" s="2"/>
      <c r="O872" s="2"/>
      <c r="P872" s="2"/>
      <c r="Q872" s="2"/>
      <c r="R872" s="2"/>
      <c r="S872" s="7"/>
      <c r="T872" s="2"/>
      <c r="U872" s="10"/>
      <c r="V872" s="2"/>
      <c r="W872" s="7"/>
      <c r="X872" s="7"/>
      <c r="Y872" s="2"/>
      <c r="Z872" s="2"/>
      <c r="AA872" s="2"/>
    </row>
    <row r="873">
      <c r="A873" s="2"/>
      <c r="B873" s="2"/>
      <c r="C873" s="2"/>
      <c r="D873" s="2"/>
      <c r="E873" s="2"/>
      <c r="F873" s="2"/>
      <c r="G873" s="2"/>
      <c r="H873" s="2"/>
      <c r="I873" s="2"/>
      <c r="J873" s="2"/>
      <c r="K873" s="2"/>
      <c r="L873" s="2"/>
      <c r="M873" s="2"/>
      <c r="N873" s="2"/>
      <c r="O873" s="2"/>
      <c r="P873" s="2"/>
      <c r="Q873" s="2"/>
      <c r="R873" s="2"/>
      <c r="S873" s="7"/>
      <c r="T873" s="2"/>
      <c r="U873" s="10"/>
      <c r="V873" s="2"/>
      <c r="W873" s="7"/>
      <c r="X873" s="7"/>
      <c r="Y873" s="2"/>
      <c r="Z873" s="2"/>
      <c r="AA873" s="2"/>
    </row>
    <row r="874">
      <c r="A874" s="2"/>
      <c r="B874" s="2"/>
      <c r="C874" s="2"/>
      <c r="D874" s="2"/>
      <c r="E874" s="2"/>
      <c r="F874" s="2"/>
      <c r="G874" s="2"/>
      <c r="H874" s="2"/>
      <c r="I874" s="2"/>
      <c r="J874" s="2"/>
      <c r="K874" s="2"/>
      <c r="L874" s="2"/>
      <c r="M874" s="2"/>
      <c r="N874" s="2"/>
      <c r="O874" s="2"/>
      <c r="P874" s="2"/>
      <c r="Q874" s="2"/>
      <c r="R874" s="2"/>
      <c r="S874" s="7"/>
      <c r="T874" s="2"/>
      <c r="U874" s="10"/>
      <c r="V874" s="2"/>
      <c r="W874" s="7"/>
      <c r="X874" s="7"/>
      <c r="Y874" s="2"/>
      <c r="Z874" s="2"/>
      <c r="AA874" s="2"/>
    </row>
    <row r="875">
      <c r="A875" s="2"/>
      <c r="B875" s="2"/>
      <c r="C875" s="2"/>
      <c r="D875" s="2"/>
      <c r="E875" s="2"/>
      <c r="F875" s="2"/>
      <c r="G875" s="2"/>
      <c r="H875" s="2"/>
      <c r="I875" s="2"/>
      <c r="J875" s="2"/>
      <c r="K875" s="2"/>
      <c r="L875" s="2"/>
      <c r="M875" s="2"/>
      <c r="N875" s="2"/>
      <c r="O875" s="2"/>
      <c r="P875" s="2"/>
      <c r="Q875" s="2"/>
      <c r="R875" s="2"/>
      <c r="S875" s="7"/>
      <c r="T875" s="2"/>
      <c r="U875" s="10"/>
      <c r="V875" s="2"/>
      <c r="W875" s="7"/>
      <c r="X875" s="7"/>
      <c r="Y875" s="2"/>
      <c r="Z875" s="2"/>
      <c r="AA875" s="2"/>
    </row>
    <row r="876">
      <c r="A876" s="2"/>
      <c r="B876" s="2"/>
      <c r="C876" s="2"/>
      <c r="D876" s="2"/>
      <c r="E876" s="2"/>
      <c r="F876" s="2"/>
      <c r="G876" s="2"/>
      <c r="H876" s="2"/>
      <c r="I876" s="2"/>
      <c r="J876" s="2"/>
      <c r="K876" s="2"/>
      <c r="L876" s="2"/>
      <c r="M876" s="2"/>
      <c r="N876" s="2"/>
      <c r="O876" s="2"/>
      <c r="P876" s="2"/>
      <c r="Q876" s="2"/>
      <c r="R876" s="2"/>
      <c r="S876" s="7"/>
      <c r="T876" s="2"/>
      <c r="U876" s="10"/>
      <c r="V876" s="2"/>
      <c r="W876" s="7"/>
      <c r="X876" s="7"/>
      <c r="Y876" s="2"/>
      <c r="Z876" s="2"/>
      <c r="AA876" s="2"/>
    </row>
    <row r="877">
      <c r="A877" s="2"/>
      <c r="B877" s="2"/>
      <c r="C877" s="2"/>
      <c r="D877" s="2"/>
      <c r="E877" s="2"/>
      <c r="F877" s="2"/>
      <c r="G877" s="2"/>
      <c r="H877" s="2"/>
      <c r="I877" s="2"/>
      <c r="J877" s="2"/>
      <c r="K877" s="2"/>
      <c r="L877" s="2"/>
      <c r="M877" s="2"/>
      <c r="N877" s="2"/>
      <c r="O877" s="2"/>
      <c r="P877" s="2"/>
      <c r="Q877" s="2"/>
      <c r="R877" s="2"/>
      <c r="S877" s="7"/>
      <c r="T877" s="2"/>
      <c r="U877" s="10"/>
      <c r="V877" s="2"/>
      <c r="W877" s="7"/>
      <c r="X877" s="7"/>
      <c r="Y877" s="2"/>
      <c r="Z877" s="2"/>
      <c r="AA877" s="2"/>
    </row>
    <row r="878">
      <c r="A878" s="2"/>
      <c r="B878" s="2"/>
      <c r="C878" s="2"/>
      <c r="D878" s="2"/>
      <c r="E878" s="2"/>
      <c r="F878" s="2"/>
      <c r="G878" s="2"/>
      <c r="H878" s="2"/>
      <c r="I878" s="2"/>
      <c r="J878" s="2"/>
      <c r="K878" s="2"/>
      <c r="L878" s="2"/>
      <c r="M878" s="2"/>
      <c r="N878" s="2"/>
      <c r="O878" s="2"/>
      <c r="P878" s="2"/>
      <c r="Q878" s="2"/>
      <c r="R878" s="2"/>
      <c r="S878" s="7"/>
      <c r="T878" s="2"/>
      <c r="U878" s="10"/>
      <c r="V878" s="2"/>
      <c r="W878" s="7"/>
      <c r="X878" s="7"/>
      <c r="Y878" s="2"/>
      <c r="Z878" s="2"/>
      <c r="AA878" s="2"/>
    </row>
    <row r="879">
      <c r="A879" s="2"/>
      <c r="B879" s="2"/>
      <c r="C879" s="2"/>
      <c r="D879" s="2"/>
      <c r="E879" s="2"/>
      <c r="F879" s="2"/>
      <c r="G879" s="2"/>
      <c r="H879" s="2"/>
      <c r="I879" s="2"/>
      <c r="J879" s="2"/>
      <c r="K879" s="2"/>
      <c r="L879" s="2"/>
      <c r="M879" s="2"/>
      <c r="N879" s="2"/>
      <c r="O879" s="2"/>
      <c r="P879" s="2"/>
      <c r="Q879" s="2"/>
      <c r="R879" s="2"/>
      <c r="S879" s="7"/>
      <c r="T879" s="2"/>
      <c r="U879" s="10"/>
      <c r="V879" s="2"/>
      <c r="W879" s="7"/>
      <c r="X879" s="7"/>
      <c r="Y879" s="2"/>
      <c r="Z879" s="2"/>
      <c r="AA879" s="2"/>
    </row>
    <row r="880">
      <c r="A880" s="2"/>
      <c r="B880" s="2"/>
      <c r="C880" s="2"/>
      <c r="D880" s="2"/>
      <c r="E880" s="2"/>
      <c r="F880" s="2"/>
      <c r="G880" s="2"/>
      <c r="H880" s="2"/>
      <c r="I880" s="2"/>
      <c r="J880" s="2"/>
      <c r="K880" s="2"/>
      <c r="L880" s="2"/>
      <c r="M880" s="2"/>
      <c r="N880" s="2"/>
      <c r="O880" s="2"/>
      <c r="P880" s="2"/>
      <c r="Q880" s="2"/>
      <c r="R880" s="2"/>
      <c r="S880" s="7"/>
      <c r="T880" s="2"/>
      <c r="U880" s="10"/>
      <c r="V880" s="2"/>
      <c r="W880" s="7"/>
      <c r="X880" s="7"/>
      <c r="Y880" s="2"/>
      <c r="Z880" s="2"/>
      <c r="AA880" s="2"/>
    </row>
    <row r="881">
      <c r="A881" s="2"/>
      <c r="B881" s="2"/>
      <c r="C881" s="2"/>
      <c r="D881" s="2"/>
      <c r="E881" s="2"/>
      <c r="F881" s="2"/>
      <c r="G881" s="2"/>
      <c r="H881" s="2"/>
      <c r="I881" s="2"/>
      <c r="J881" s="2"/>
      <c r="K881" s="2"/>
      <c r="L881" s="2"/>
      <c r="M881" s="2"/>
      <c r="N881" s="2"/>
      <c r="O881" s="2"/>
      <c r="P881" s="2"/>
      <c r="Q881" s="2"/>
      <c r="R881" s="2"/>
      <c r="S881" s="7"/>
      <c r="T881" s="2"/>
      <c r="U881" s="10"/>
      <c r="V881" s="2"/>
      <c r="W881" s="7"/>
      <c r="X881" s="7"/>
      <c r="Y881" s="2"/>
      <c r="Z881" s="2"/>
      <c r="AA881" s="2"/>
    </row>
    <row r="882">
      <c r="A882" s="2"/>
      <c r="B882" s="2"/>
      <c r="C882" s="2"/>
      <c r="D882" s="2"/>
      <c r="E882" s="2"/>
      <c r="F882" s="2"/>
      <c r="G882" s="2"/>
      <c r="H882" s="2"/>
      <c r="I882" s="2"/>
      <c r="J882" s="2"/>
      <c r="K882" s="2"/>
      <c r="L882" s="2"/>
      <c r="M882" s="2"/>
      <c r="N882" s="2"/>
      <c r="O882" s="2"/>
      <c r="P882" s="2"/>
      <c r="Q882" s="2"/>
      <c r="R882" s="2"/>
      <c r="S882" s="7"/>
      <c r="T882" s="2"/>
      <c r="U882" s="10"/>
      <c r="V882" s="2"/>
      <c r="W882" s="7"/>
      <c r="X882" s="7"/>
      <c r="Y882" s="2"/>
      <c r="Z882" s="2"/>
      <c r="AA882" s="2"/>
    </row>
    <row r="883">
      <c r="A883" s="2"/>
      <c r="B883" s="2"/>
      <c r="C883" s="2"/>
      <c r="D883" s="2"/>
      <c r="E883" s="2"/>
      <c r="F883" s="2"/>
      <c r="G883" s="2"/>
      <c r="H883" s="2"/>
      <c r="I883" s="2"/>
      <c r="J883" s="2"/>
      <c r="K883" s="2"/>
      <c r="L883" s="2"/>
      <c r="M883" s="2"/>
      <c r="N883" s="2"/>
      <c r="O883" s="2"/>
      <c r="P883" s="2"/>
      <c r="Q883" s="2"/>
      <c r="R883" s="2"/>
      <c r="S883" s="7"/>
      <c r="T883" s="2"/>
      <c r="U883" s="10"/>
      <c r="V883" s="2"/>
      <c r="W883" s="7"/>
      <c r="X883" s="7"/>
      <c r="Y883" s="2"/>
      <c r="Z883" s="2"/>
      <c r="AA883" s="2"/>
    </row>
    <row r="884">
      <c r="A884" s="2"/>
      <c r="B884" s="2"/>
      <c r="C884" s="2"/>
      <c r="D884" s="2"/>
      <c r="E884" s="2"/>
      <c r="F884" s="2"/>
      <c r="G884" s="2"/>
      <c r="H884" s="2"/>
      <c r="I884" s="2"/>
      <c r="J884" s="2"/>
      <c r="K884" s="2"/>
      <c r="L884" s="2"/>
      <c r="M884" s="2"/>
      <c r="N884" s="2"/>
      <c r="O884" s="2"/>
      <c r="P884" s="2"/>
      <c r="Q884" s="2"/>
      <c r="R884" s="2"/>
      <c r="S884" s="7"/>
      <c r="T884" s="2"/>
      <c r="U884" s="10"/>
      <c r="V884" s="2"/>
      <c r="W884" s="7"/>
      <c r="X884" s="7"/>
      <c r="Y884" s="2"/>
      <c r="Z884" s="2"/>
      <c r="AA884" s="2"/>
    </row>
    <row r="885">
      <c r="A885" s="2"/>
      <c r="B885" s="2"/>
      <c r="C885" s="2"/>
      <c r="D885" s="2"/>
      <c r="E885" s="2"/>
      <c r="F885" s="2"/>
      <c r="G885" s="2"/>
      <c r="H885" s="2"/>
      <c r="I885" s="2"/>
      <c r="J885" s="2"/>
      <c r="K885" s="2"/>
      <c r="L885" s="2"/>
      <c r="M885" s="2"/>
      <c r="N885" s="2"/>
      <c r="O885" s="2"/>
      <c r="P885" s="2"/>
      <c r="Q885" s="2"/>
      <c r="R885" s="2"/>
      <c r="S885" s="7"/>
      <c r="T885" s="2"/>
      <c r="U885" s="10"/>
      <c r="V885" s="2"/>
      <c r="W885" s="7"/>
      <c r="X885" s="7"/>
      <c r="Y885" s="2"/>
      <c r="Z885" s="2"/>
      <c r="AA885" s="2"/>
    </row>
    <row r="886">
      <c r="A886" s="2"/>
      <c r="B886" s="2"/>
      <c r="C886" s="2"/>
      <c r="D886" s="2"/>
      <c r="E886" s="2"/>
      <c r="F886" s="2"/>
      <c r="G886" s="2"/>
      <c r="H886" s="2"/>
      <c r="I886" s="2"/>
      <c r="J886" s="2"/>
      <c r="K886" s="2"/>
      <c r="L886" s="2"/>
      <c r="M886" s="2"/>
      <c r="N886" s="2"/>
      <c r="O886" s="2"/>
      <c r="P886" s="2"/>
      <c r="Q886" s="2"/>
      <c r="R886" s="2"/>
      <c r="S886" s="7"/>
      <c r="T886" s="2"/>
      <c r="U886" s="10"/>
      <c r="V886" s="2"/>
      <c r="W886" s="7"/>
      <c r="X886" s="7"/>
      <c r="Y886" s="2"/>
      <c r="Z886" s="2"/>
      <c r="AA886" s="2"/>
    </row>
    <row r="887">
      <c r="A887" s="2"/>
      <c r="B887" s="2"/>
      <c r="C887" s="2"/>
      <c r="D887" s="2"/>
      <c r="E887" s="2"/>
      <c r="F887" s="2"/>
      <c r="G887" s="2"/>
      <c r="H887" s="2"/>
      <c r="I887" s="2"/>
      <c r="J887" s="2"/>
      <c r="K887" s="2"/>
      <c r="L887" s="2"/>
      <c r="M887" s="2"/>
      <c r="N887" s="2"/>
      <c r="O887" s="2"/>
      <c r="P887" s="2"/>
      <c r="Q887" s="2"/>
      <c r="R887" s="2"/>
      <c r="S887" s="7"/>
      <c r="T887" s="2"/>
      <c r="U887" s="10"/>
      <c r="V887" s="2"/>
      <c r="W887" s="7"/>
      <c r="X887" s="7"/>
      <c r="Y887" s="2"/>
      <c r="Z887" s="2"/>
      <c r="AA887" s="2"/>
    </row>
    <row r="888">
      <c r="A888" s="2"/>
      <c r="B888" s="2"/>
      <c r="C888" s="2"/>
      <c r="D888" s="2"/>
      <c r="E888" s="2"/>
      <c r="F888" s="2"/>
      <c r="G888" s="2"/>
      <c r="H888" s="2"/>
      <c r="I888" s="2"/>
      <c r="J888" s="2"/>
      <c r="K888" s="2"/>
      <c r="L888" s="2"/>
      <c r="M888" s="2"/>
      <c r="N888" s="2"/>
      <c r="O888" s="2"/>
      <c r="P888" s="2"/>
      <c r="Q888" s="2"/>
      <c r="R888" s="2"/>
      <c r="S888" s="7"/>
      <c r="T888" s="2"/>
      <c r="U888" s="10"/>
      <c r="V888" s="2"/>
      <c r="W888" s="7"/>
      <c r="X888" s="7"/>
      <c r="Y888" s="2"/>
      <c r="Z888" s="2"/>
      <c r="AA888" s="2"/>
    </row>
    <row r="889">
      <c r="A889" s="2"/>
      <c r="B889" s="2"/>
      <c r="C889" s="2"/>
      <c r="D889" s="2"/>
      <c r="E889" s="2"/>
      <c r="F889" s="2"/>
      <c r="G889" s="2"/>
      <c r="H889" s="2"/>
      <c r="I889" s="2"/>
      <c r="J889" s="2"/>
      <c r="K889" s="2"/>
      <c r="L889" s="2"/>
      <c r="M889" s="2"/>
      <c r="N889" s="2"/>
      <c r="O889" s="2"/>
      <c r="P889" s="2"/>
      <c r="Q889" s="2"/>
      <c r="R889" s="2"/>
      <c r="S889" s="7"/>
      <c r="T889" s="2"/>
      <c r="U889" s="10"/>
      <c r="V889" s="2"/>
      <c r="W889" s="7"/>
      <c r="X889" s="7"/>
      <c r="Y889" s="2"/>
      <c r="Z889" s="2"/>
      <c r="AA889" s="2"/>
    </row>
    <row r="890">
      <c r="A890" s="2"/>
      <c r="B890" s="2"/>
      <c r="C890" s="2"/>
      <c r="D890" s="2"/>
      <c r="E890" s="2"/>
      <c r="F890" s="2"/>
      <c r="G890" s="2"/>
      <c r="H890" s="2"/>
      <c r="I890" s="2"/>
      <c r="J890" s="2"/>
      <c r="K890" s="2"/>
      <c r="L890" s="2"/>
      <c r="M890" s="2"/>
      <c r="N890" s="2"/>
      <c r="O890" s="2"/>
      <c r="P890" s="2"/>
      <c r="Q890" s="2"/>
      <c r="R890" s="2"/>
      <c r="S890" s="7"/>
      <c r="T890" s="2"/>
      <c r="U890" s="10"/>
      <c r="V890" s="2"/>
      <c r="W890" s="7"/>
      <c r="X890" s="7"/>
      <c r="Y890" s="2"/>
      <c r="Z890" s="2"/>
      <c r="AA890" s="2"/>
    </row>
    <row r="891">
      <c r="A891" s="2"/>
      <c r="B891" s="2"/>
      <c r="C891" s="2"/>
      <c r="D891" s="2"/>
      <c r="E891" s="2"/>
      <c r="F891" s="2"/>
      <c r="G891" s="2"/>
      <c r="H891" s="2"/>
      <c r="I891" s="2"/>
      <c r="J891" s="2"/>
      <c r="K891" s="2"/>
      <c r="L891" s="2"/>
      <c r="M891" s="2"/>
      <c r="N891" s="2"/>
      <c r="O891" s="2"/>
      <c r="P891" s="2"/>
      <c r="Q891" s="2"/>
      <c r="R891" s="2"/>
      <c r="S891" s="7"/>
      <c r="T891" s="2"/>
      <c r="U891" s="10"/>
      <c r="V891" s="2"/>
      <c r="W891" s="7"/>
      <c r="X891" s="7"/>
      <c r="Y891" s="2"/>
      <c r="Z891" s="2"/>
      <c r="AA891" s="2"/>
    </row>
    <row r="892">
      <c r="A892" s="2"/>
      <c r="B892" s="2"/>
      <c r="C892" s="2"/>
      <c r="D892" s="2"/>
      <c r="E892" s="2"/>
      <c r="F892" s="2"/>
      <c r="G892" s="2"/>
      <c r="H892" s="2"/>
      <c r="I892" s="2"/>
      <c r="J892" s="2"/>
      <c r="K892" s="2"/>
      <c r="L892" s="2"/>
      <c r="M892" s="2"/>
      <c r="N892" s="2"/>
      <c r="O892" s="2"/>
      <c r="P892" s="2"/>
      <c r="Q892" s="2"/>
      <c r="R892" s="2"/>
      <c r="S892" s="7"/>
      <c r="T892" s="2"/>
      <c r="U892" s="10"/>
      <c r="V892" s="2"/>
      <c r="W892" s="7"/>
      <c r="X892" s="7"/>
      <c r="Y892" s="2"/>
      <c r="Z892" s="2"/>
      <c r="AA892" s="2"/>
    </row>
    <row r="893">
      <c r="A893" s="2"/>
      <c r="B893" s="2"/>
      <c r="C893" s="2"/>
      <c r="D893" s="2"/>
      <c r="E893" s="2"/>
      <c r="F893" s="2"/>
      <c r="G893" s="2"/>
      <c r="H893" s="2"/>
      <c r="I893" s="2"/>
      <c r="J893" s="2"/>
      <c r="K893" s="2"/>
      <c r="L893" s="2"/>
      <c r="M893" s="2"/>
      <c r="N893" s="2"/>
      <c r="O893" s="2"/>
      <c r="P893" s="2"/>
      <c r="Q893" s="2"/>
      <c r="R893" s="2"/>
      <c r="S893" s="7"/>
      <c r="T893" s="2"/>
      <c r="U893" s="10"/>
      <c r="V893" s="2"/>
      <c r="W893" s="7"/>
      <c r="X893" s="7"/>
      <c r="Y893" s="2"/>
      <c r="Z893" s="2"/>
      <c r="AA893" s="2"/>
    </row>
    <row r="894">
      <c r="A894" s="2"/>
      <c r="B894" s="2"/>
      <c r="C894" s="2"/>
      <c r="D894" s="2"/>
      <c r="E894" s="2"/>
      <c r="F894" s="2"/>
      <c r="G894" s="2"/>
      <c r="H894" s="2"/>
      <c r="I894" s="2"/>
      <c r="J894" s="2"/>
      <c r="K894" s="2"/>
      <c r="L894" s="2"/>
      <c r="M894" s="2"/>
      <c r="N894" s="2"/>
      <c r="O894" s="2"/>
      <c r="P894" s="2"/>
      <c r="Q894" s="2"/>
      <c r="R894" s="2"/>
      <c r="S894" s="7"/>
      <c r="T894" s="2"/>
      <c r="U894" s="10"/>
      <c r="V894" s="2"/>
      <c r="W894" s="7"/>
      <c r="X894" s="7"/>
      <c r="Y894" s="2"/>
      <c r="Z894" s="2"/>
      <c r="AA894" s="2"/>
    </row>
    <row r="895">
      <c r="A895" s="2"/>
      <c r="B895" s="2"/>
      <c r="C895" s="2"/>
      <c r="D895" s="2"/>
      <c r="E895" s="2"/>
      <c r="F895" s="2"/>
      <c r="G895" s="2"/>
      <c r="H895" s="2"/>
      <c r="I895" s="2"/>
      <c r="J895" s="2"/>
      <c r="K895" s="2"/>
      <c r="L895" s="2"/>
      <c r="M895" s="2"/>
      <c r="N895" s="2"/>
      <c r="O895" s="2"/>
      <c r="P895" s="2"/>
      <c r="Q895" s="2"/>
      <c r="R895" s="2"/>
      <c r="S895" s="7"/>
      <c r="T895" s="2"/>
      <c r="U895" s="10"/>
      <c r="V895" s="2"/>
      <c r="W895" s="7"/>
      <c r="X895" s="7"/>
      <c r="Y895" s="2"/>
      <c r="Z895" s="2"/>
      <c r="AA895" s="2"/>
    </row>
    <row r="896">
      <c r="A896" s="2"/>
      <c r="B896" s="2"/>
      <c r="C896" s="2"/>
      <c r="D896" s="2"/>
      <c r="E896" s="2"/>
      <c r="F896" s="2"/>
      <c r="G896" s="2"/>
      <c r="H896" s="2"/>
      <c r="I896" s="2"/>
      <c r="J896" s="2"/>
      <c r="K896" s="2"/>
      <c r="L896" s="2"/>
      <c r="M896" s="2"/>
      <c r="N896" s="2"/>
      <c r="O896" s="2"/>
      <c r="P896" s="2"/>
      <c r="Q896" s="2"/>
      <c r="R896" s="2"/>
      <c r="S896" s="7"/>
      <c r="T896" s="2"/>
      <c r="U896" s="10"/>
      <c r="V896" s="2"/>
      <c r="W896" s="7"/>
      <c r="X896" s="7"/>
      <c r="Y896" s="2"/>
      <c r="Z896" s="2"/>
      <c r="AA896" s="2"/>
    </row>
    <row r="897">
      <c r="A897" s="2"/>
      <c r="B897" s="2"/>
      <c r="C897" s="2"/>
      <c r="D897" s="2"/>
      <c r="E897" s="2"/>
      <c r="F897" s="2"/>
      <c r="G897" s="2"/>
      <c r="H897" s="2"/>
      <c r="I897" s="2"/>
      <c r="J897" s="2"/>
      <c r="K897" s="2"/>
      <c r="L897" s="2"/>
      <c r="M897" s="2"/>
      <c r="N897" s="2"/>
      <c r="O897" s="2"/>
      <c r="P897" s="2"/>
      <c r="Q897" s="2"/>
      <c r="R897" s="2"/>
      <c r="S897" s="7"/>
      <c r="T897" s="2"/>
      <c r="U897" s="10"/>
      <c r="V897" s="2"/>
      <c r="W897" s="7"/>
      <c r="X897" s="7"/>
      <c r="Y897" s="2"/>
      <c r="Z897" s="2"/>
      <c r="AA897" s="2"/>
    </row>
    <row r="898">
      <c r="A898" s="2"/>
      <c r="B898" s="2"/>
      <c r="C898" s="2"/>
      <c r="D898" s="2"/>
      <c r="E898" s="2"/>
      <c r="F898" s="2"/>
      <c r="G898" s="2"/>
      <c r="H898" s="2"/>
      <c r="I898" s="2"/>
      <c r="J898" s="2"/>
      <c r="K898" s="2"/>
      <c r="L898" s="2"/>
      <c r="M898" s="2"/>
      <c r="N898" s="2"/>
      <c r="O898" s="2"/>
      <c r="P898" s="2"/>
      <c r="Q898" s="2"/>
      <c r="R898" s="2"/>
      <c r="S898" s="7"/>
      <c r="T898" s="2"/>
      <c r="U898" s="10"/>
      <c r="V898" s="2"/>
      <c r="W898" s="7"/>
      <c r="X898" s="7"/>
      <c r="Y898" s="2"/>
      <c r="Z898" s="2"/>
      <c r="AA898" s="2"/>
    </row>
    <row r="899">
      <c r="A899" s="2"/>
      <c r="B899" s="2"/>
      <c r="C899" s="2"/>
      <c r="D899" s="2"/>
      <c r="E899" s="2"/>
      <c r="F899" s="2"/>
      <c r="G899" s="2"/>
      <c r="H899" s="2"/>
      <c r="I899" s="2"/>
      <c r="J899" s="2"/>
      <c r="K899" s="2"/>
      <c r="L899" s="2"/>
      <c r="M899" s="2"/>
      <c r="N899" s="2"/>
      <c r="O899" s="2"/>
      <c r="P899" s="2"/>
      <c r="Q899" s="2"/>
      <c r="R899" s="2"/>
      <c r="S899" s="7"/>
      <c r="T899" s="2"/>
      <c r="U899" s="10"/>
      <c r="V899" s="2"/>
      <c r="W899" s="7"/>
      <c r="X899" s="7"/>
      <c r="Y899" s="2"/>
      <c r="Z899" s="2"/>
      <c r="AA899" s="2"/>
    </row>
    <row r="900">
      <c r="A900" s="2"/>
      <c r="B900" s="2"/>
      <c r="C900" s="2"/>
      <c r="D900" s="2"/>
      <c r="E900" s="2"/>
      <c r="F900" s="2"/>
      <c r="G900" s="2"/>
      <c r="H900" s="2"/>
      <c r="I900" s="2"/>
      <c r="J900" s="2"/>
      <c r="K900" s="2"/>
      <c r="L900" s="2"/>
      <c r="M900" s="2"/>
      <c r="N900" s="2"/>
      <c r="O900" s="2"/>
      <c r="P900" s="2"/>
      <c r="Q900" s="2"/>
      <c r="R900" s="2"/>
      <c r="S900" s="7"/>
      <c r="T900" s="2"/>
      <c r="U900" s="10"/>
      <c r="V900" s="2"/>
      <c r="W900" s="7"/>
      <c r="X900" s="7"/>
      <c r="Y900" s="2"/>
      <c r="Z900" s="2"/>
      <c r="AA900" s="2"/>
    </row>
    <row r="901">
      <c r="A901" s="2"/>
      <c r="B901" s="2"/>
      <c r="C901" s="2"/>
      <c r="D901" s="2"/>
      <c r="E901" s="2"/>
      <c r="F901" s="2"/>
      <c r="G901" s="2"/>
      <c r="H901" s="2"/>
      <c r="I901" s="2"/>
      <c r="J901" s="2"/>
      <c r="K901" s="2"/>
      <c r="L901" s="2"/>
      <c r="M901" s="2"/>
      <c r="N901" s="2"/>
      <c r="O901" s="2"/>
      <c r="P901" s="2"/>
      <c r="Q901" s="2"/>
      <c r="R901" s="2"/>
      <c r="S901" s="7"/>
      <c r="T901" s="2"/>
      <c r="U901" s="10"/>
      <c r="V901" s="2"/>
      <c r="W901" s="7"/>
      <c r="X901" s="7"/>
      <c r="Y901" s="2"/>
      <c r="Z901" s="2"/>
      <c r="AA901" s="2"/>
    </row>
    <row r="902">
      <c r="A902" s="2"/>
      <c r="B902" s="2"/>
      <c r="C902" s="2"/>
      <c r="D902" s="2"/>
      <c r="E902" s="2"/>
      <c r="F902" s="2"/>
      <c r="G902" s="2"/>
      <c r="H902" s="2"/>
      <c r="I902" s="2"/>
      <c r="J902" s="2"/>
      <c r="K902" s="2"/>
      <c r="L902" s="2"/>
      <c r="M902" s="2"/>
      <c r="N902" s="2"/>
      <c r="O902" s="2"/>
      <c r="P902" s="2"/>
      <c r="Q902" s="2"/>
      <c r="R902" s="2"/>
      <c r="S902" s="7"/>
      <c r="T902" s="2"/>
      <c r="U902" s="10"/>
      <c r="V902" s="2"/>
      <c r="W902" s="7"/>
      <c r="X902" s="7"/>
      <c r="Y902" s="2"/>
      <c r="Z902" s="2"/>
      <c r="AA902" s="2"/>
    </row>
    <row r="903">
      <c r="A903" s="2"/>
      <c r="B903" s="2"/>
      <c r="C903" s="2"/>
      <c r="D903" s="2"/>
      <c r="E903" s="2"/>
      <c r="F903" s="2"/>
      <c r="G903" s="2"/>
      <c r="H903" s="2"/>
      <c r="I903" s="2"/>
      <c r="J903" s="2"/>
      <c r="K903" s="2"/>
      <c r="L903" s="2"/>
      <c r="M903" s="2"/>
      <c r="N903" s="2"/>
      <c r="O903" s="2"/>
      <c r="P903" s="2"/>
      <c r="Q903" s="2"/>
      <c r="R903" s="2"/>
      <c r="S903" s="7"/>
      <c r="T903" s="2"/>
      <c r="U903" s="10"/>
      <c r="V903" s="2"/>
      <c r="W903" s="7"/>
      <c r="X903" s="7"/>
      <c r="Y903" s="2"/>
      <c r="Z903" s="2"/>
      <c r="AA903" s="2"/>
    </row>
    <row r="904">
      <c r="A904" s="2"/>
      <c r="B904" s="2"/>
      <c r="C904" s="2"/>
      <c r="D904" s="2"/>
      <c r="E904" s="2"/>
      <c r="F904" s="2"/>
      <c r="G904" s="2"/>
      <c r="H904" s="2"/>
      <c r="I904" s="2"/>
      <c r="J904" s="2"/>
      <c r="K904" s="2"/>
      <c r="L904" s="2"/>
      <c r="M904" s="2"/>
      <c r="N904" s="2"/>
      <c r="O904" s="2"/>
      <c r="P904" s="2"/>
      <c r="Q904" s="2"/>
      <c r="R904" s="2"/>
      <c r="S904" s="7"/>
      <c r="T904" s="2"/>
      <c r="U904" s="10"/>
      <c r="V904" s="2"/>
      <c r="W904" s="7"/>
      <c r="X904" s="7"/>
      <c r="Y904" s="2"/>
      <c r="Z904" s="2"/>
      <c r="AA904" s="2"/>
    </row>
    <row r="905">
      <c r="A905" s="2"/>
      <c r="B905" s="2"/>
      <c r="C905" s="2"/>
      <c r="D905" s="2"/>
      <c r="E905" s="2"/>
      <c r="F905" s="2"/>
      <c r="G905" s="2"/>
      <c r="H905" s="2"/>
      <c r="I905" s="2"/>
      <c r="J905" s="2"/>
      <c r="K905" s="2"/>
      <c r="L905" s="2"/>
      <c r="M905" s="2"/>
      <c r="N905" s="2"/>
      <c r="O905" s="2"/>
      <c r="P905" s="2"/>
      <c r="Q905" s="2"/>
      <c r="R905" s="2"/>
      <c r="S905" s="7"/>
      <c r="T905" s="2"/>
      <c r="U905" s="10"/>
      <c r="V905" s="2"/>
      <c r="W905" s="7"/>
      <c r="X905" s="7"/>
      <c r="Y905" s="2"/>
      <c r="Z905" s="2"/>
      <c r="AA905" s="2"/>
    </row>
    <row r="906">
      <c r="A906" s="2"/>
      <c r="B906" s="2"/>
      <c r="C906" s="2"/>
      <c r="D906" s="2"/>
      <c r="E906" s="2"/>
      <c r="F906" s="2"/>
      <c r="G906" s="2"/>
      <c r="H906" s="2"/>
      <c r="I906" s="2"/>
      <c r="J906" s="2"/>
      <c r="K906" s="2"/>
      <c r="L906" s="2"/>
      <c r="M906" s="2"/>
      <c r="N906" s="2"/>
      <c r="O906" s="2"/>
      <c r="P906" s="2"/>
      <c r="Q906" s="2"/>
      <c r="R906" s="2"/>
      <c r="S906" s="7"/>
      <c r="T906" s="2"/>
      <c r="U906" s="10"/>
      <c r="V906" s="2"/>
      <c r="W906" s="7"/>
      <c r="X906" s="7"/>
      <c r="Y906" s="2"/>
      <c r="Z906" s="2"/>
      <c r="AA906" s="2"/>
    </row>
    <row r="907">
      <c r="A907" s="2"/>
      <c r="B907" s="2"/>
      <c r="C907" s="2"/>
      <c r="D907" s="2"/>
      <c r="E907" s="2"/>
      <c r="F907" s="2"/>
      <c r="G907" s="2"/>
      <c r="H907" s="2"/>
      <c r="I907" s="2"/>
      <c r="J907" s="2"/>
      <c r="K907" s="2"/>
      <c r="L907" s="2"/>
      <c r="M907" s="2"/>
      <c r="N907" s="2"/>
      <c r="O907" s="2"/>
      <c r="P907" s="2"/>
      <c r="Q907" s="2"/>
      <c r="R907" s="2"/>
      <c r="S907" s="7"/>
      <c r="T907" s="2"/>
      <c r="U907" s="10"/>
      <c r="V907" s="2"/>
      <c r="W907" s="7"/>
      <c r="X907" s="7"/>
      <c r="Y907" s="2"/>
      <c r="Z907" s="2"/>
      <c r="AA907" s="2"/>
    </row>
    <row r="908">
      <c r="A908" s="2"/>
      <c r="B908" s="2"/>
      <c r="C908" s="2"/>
      <c r="D908" s="2"/>
      <c r="E908" s="2"/>
      <c r="F908" s="2"/>
      <c r="G908" s="2"/>
      <c r="H908" s="2"/>
      <c r="I908" s="2"/>
      <c r="J908" s="2"/>
      <c r="K908" s="2"/>
      <c r="L908" s="2"/>
      <c r="M908" s="2"/>
      <c r="N908" s="2"/>
      <c r="O908" s="2"/>
      <c r="P908" s="2"/>
      <c r="Q908" s="2"/>
      <c r="R908" s="2"/>
      <c r="S908" s="7"/>
      <c r="T908" s="2"/>
      <c r="U908" s="10"/>
      <c r="V908" s="2"/>
      <c r="W908" s="7"/>
      <c r="X908" s="7"/>
      <c r="Y908" s="2"/>
      <c r="Z908" s="2"/>
      <c r="AA908" s="2"/>
    </row>
    <row r="909">
      <c r="A909" s="2"/>
      <c r="B909" s="2"/>
      <c r="C909" s="2"/>
      <c r="D909" s="2"/>
      <c r="E909" s="2"/>
      <c r="F909" s="2"/>
      <c r="G909" s="2"/>
      <c r="H909" s="2"/>
      <c r="I909" s="2"/>
      <c r="J909" s="2"/>
      <c r="K909" s="2"/>
      <c r="L909" s="2"/>
      <c r="M909" s="2"/>
      <c r="N909" s="2"/>
      <c r="O909" s="2"/>
      <c r="P909" s="2"/>
      <c r="Q909" s="2"/>
      <c r="R909" s="2"/>
      <c r="S909" s="7"/>
      <c r="T909" s="2"/>
      <c r="U909" s="10"/>
      <c r="V909" s="2"/>
      <c r="W909" s="7"/>
      <c r="X909" s="7"/>
      <c r="Y909" s="2"/>
      <c r="Z909" s="2"/>
      <c r="AA909" s="2"/>
    </row>
    <row r="910">
      <c r="A910" s="2"/>
      <c r="B910" s="2"/>
      <c r="C910" s="2"/>
      <c r="D910" s="2"/>
      <c r="E910" s="2"/>
      <c r="F910" s="2"/>
      <c r="G910" s="2"/>
      <c r="H910" s="2"/>
      <c r="I910" s="2"/>
      <c r="J910" s="2"/>
      <c r="K910" s="2"/>
      <c r="L910" s="2"/>
      <c r="M910" s="2"/>
      <c r="N910" s="2"/>
      <c r="O910" s="2"/>
      <c r="P910" s="2"/>
      <c r="Q910" s="2"/>
      <c r="R910" s="2"/>
      <c r="S910" s="7"/>
      <c r="T910" s="2"/>
      <c r="U910" s="10"/>
      <c r="V910" s="2"/>
      <c r="W910" s="7"/>
      <c r="X910" s="7"/>
      <c r="Y910" s="2"/>
      <c r="Z910" s="2"/>
      <c r="AA910" s="2"/>
    </row>
    <row r="911">
      <c r="A911" s="2"/>
      <c r="B911" s="2"/>
      <c r="C911" s="2"/>
      <c r="D911" s="2"/>
      <c r="E911" s="2"/>
      <c r="F911" s="2"/>
      <c r="G911" s="2"/>
      <c r="H911" s="2"/>
      <c r="I911" s="2"/>
      <c r="J911" s="2"/>
      <c r="K911" s="2"/>
      <c r="L911" s="2"/>
      <c r="M911" s="2"/>
      <c r="N911" s="2"/>
      <c r="O911" s="2"/>
      <c r="P911" s="2"/>
      <c r="Q911" s="2"/>
      <c r="R911" s="2"/>
      <c r="S911" s="7"/>
      <c r="T911" s="2"/>
      <c r="U911" s="10"/>
      <c r="V911" s="2"/>
      <c r="W911" s="7"/>
      <c r="X911" s="7"/>
      <c r="Y911" s="2"/>
      <c r="Z911" s="2"/>
      <c r="AA911" s="2"/>
    </row>
    <row r="912">
      <c r="A912" s="2"/>
      <c r="B912" s="2"/>
      <c r="C912" s="2"/>
      <c r="D912" s="2"/>
      <c r="E912" s="2"/>
      <c r="F912" s="2"/>
      <c r="G912" s="2"/>
      <c r="H912" s="2"/>
      <c r="I912" s="2"/>
      <c r="J912" s="2"/>
      <c r="K912" s="2"/>
      <c r="L912" s="2"/>
      <c r="M912" s="2"/>
      <c r="N912" s="2"/>
      <c r="O912" s="2"/>
      <c r="P912" s="2"/>
      <c r="Q912" s="2"/>
      <c r="R912" s="2"/>
      <c r="S912" s="7"/>
      <c r="T912" s="2"/>
      <c r="U912" s="10"/>
      <c r="V912" s="2"/>
      <c r="W912" s="7"/>
      <c r="X912" s="7"/>
      <c r="Y912" s="2"/>
      <c r="Z912" s="2"/>
      <c r="AA912" s="2"/>
    </row>
    <row r="913">
      <c r="A913" s="2"/>
      <c r="B913" s="2"/>
      <c r="C913" s="2"/>
      <c r="D913" s="2"/>
      <c r="E913" s="2"/>
      <c r="F913" s="2"/>
      <c r="G913" s="2"/>
      <c r="H913" s="2"/>
      <c r="I913" s="2"/>
      <c r="J913" s="2"/>
      <c r="K913" s="2"/>
      <c r="L913" s="2"/>
      <c r="M913" s="2"/>
      <c r="N913" s="2"/>
      <c r="O913" s="2"/>
      <c r="P913" s="2"/>
      <c r="Q913" s="2"/>
      <c r="R913" s="2"/>
      <c r="S913" s="7"/>
      <c r="T913" s="2"/>
      <c r="U913" s="10"/>
      <c r="V913" s="2"/>
      <c r="W913" s="7"/>
      <c r="X913" s="7"/>
      <c r="Y913" s="2"/>
      <c r="Z913" s="2"/>
      <c r="AA913" s="2"/>
    </row>
    <row r="914">
      <c r="A914" s="2"/>
      <c r="B914" s="2"/>
      <c r="C914" s="2"/>
      <c r="D914" s="2"/>
      <c r="E914" s="2"/>
      <c r="F914" s="2"/>
      <c r="G914" s="2"/>
      <c r="H914" s="2"/>
      <c r="I914" s="2"/>
      <c r="J914" s="2"/>
      <c r="K914" s="2"/>
      <c r="L914" s="2"/>
      <c r="M914" s="2"/>
      <c r="N914" s="2"/>
      <c r="O914" s="2"/>
      <c r="P914" s="2"/>
      <c r="Q914" s="2"/>
      <c r="R914" s="2"/>
      <c r="S914" s="7"/>
      <c r="T914" s="2"/>
      <c r="U914" s="10"/>
      <c r="V914" s="2"/>
      <c r="W914" s="7"/>
      <c r="X914" s="7"/>
      <c r="Y914" s="2"/>
      <c r="Z914" s="2"/>
      <c r="AA914" s="2"/>
    </row>
    <row r="915">
      <c r="A915" s="2"/>
      <c r="B915" s="2"/>
      <c r="C915" s="2"/>
      <c r="D915" s="2"/>
      <c r="E915" s="2"/>
      <c r="F915" s="2"/>
      <c r="G915" s="2"/>
      <c r="H915" s="2"/>
      <c r="I915" s="2"/>
      <c r="J915" s="2"/>
      <c r="K915" s="2"/>
      <c r="L915" s="2"/>
      <c r="M915" s="2"/>
      <c r="N915" s="2"/>
      <c r="O915" s="2"/>
      <c r="P915" s="2"/>
      <c r="Q915" s="2"/>
      <c r="R915" s="2"/>
      <c r="S915" s="7"/>
      <c r="T915" s="2"/>
      <c r="U915" s="10"/>
      <c r="V915" s="2"/>
      <c r="W915" s="7"/>
      <c r="X915" s="7"/>
      <c r="Y915" s="2"/>
      <c r="Z915" s="2"/>
      <c r="AA915" s="2"/>
    </row>
    <row r="916">
      <c r="A916" s="2"/>
      <c r="B916" s="2"/>
      <c r="C916" s="2"/>
      <c r="D916" s="2"/>
      <c r="E916" s="2"/>
      <c r="F916" s="2"/>
      <c r="G916" s="2"/>
      <c r="H916" s="2"/>
      <c r="I916" s="2"/>
      <c r="J916" s="2"/>
      <c r="K916" s="2"/>
      <c r="L916" s="2"/>
      <c r="M916" s="2"/>
      <c r="N916" s="2"/>
      <c r="O916" s="2"/>
      <c r="P916" s="2"/>
      <c r="Q916" s="2"/>
      <c r="R916" s="2"/>
      <c r="S916" s="7"/>
      <c r="T916" s="2"/>
      <c r="U916" s="10"/>
      <c r="V916" s="2"/>
      <c r="W916" s="7"/>
      <c r="X916" s="7"/>
      <c r="Y916" s="2"/>
      <c r="Z916" s="2"/>
      <c r="AA916" s="2"/>
    </row>
    <row r="917">
      <c r="A917" s="2"/>
      <c r="B917" s="2"/>
      <c r="C917" s="2"/>
      <c r="D917" s="2"/>
      <c r="E917" s="2"/>
      <c r="F917" s="2"/>
      <c r="G917" s="2"/>
      <c r="H917" s="2"/>
      <c r="I917" s="2"/>
      <c r="J917" s="2"/>
      <c r="K917" s="2"/>
      <c r="L917" s="2"/>
      <c r="M917" s="2"/>
      <c r="N917" s="2"/>
      <c r="O917" s="2"/>
      <c r="P917" s="2"/>
      <c r="Q917" s="2"/>
      <c r="R917" s="2"/>
      <c r="S917" s="7"/>
      <c r="T917" s="2"/>
      <c r="U917" s="10"/>
      <c r="V917" s="2"/>
      <c r="W917" s="7"/>
      <c r="X917" s="7"/>
      <c r="Y917" s="2"/>
      <c r="Z917" s="2"/>
      <c r="AA917" s="2"/>
    </row>
    <row r="918">
      <c r="A918" s="2"/>
      <c r="B918" s="2"/>
      <c r="C918" s="2"/>
      <c r="D918" s="2"/>
      <c r="E918" s="2"/>
      <c r="F918" s="2"/>
      <c r="G918" s="2"/>
      <c r="H918" s="2"/>
      <c r="I918" s="2"/>
      <c r="J918" s="2"/>
      <c r="K918" s="2"/>
      <c r="L918" s="2"/>
      <c r="M918" s="2"/>
      <c r="N918" s="2"/>
      <c r="O918" s="2"/>
      <c r="P918" s="2"/>
      <c r="Q918" s="2"/>
      <c r="R918" s="2"/>
      <c r="S918" s="7"/>
      <c r="T918" s="2"/>
      <c r="U918" s="10"/>
      <c r="V918" s="2"/>
      <c r="W918" s="7"/>
      <c r="X918" s="7"/>
      <c r="Y918" s="2"/>
      <c r="Z918" s="2"/>
      <c r="AA918" s="2"/>
    </row>
    <row r="919">
      <c r="A919" s="2"/>
      <c r="B919" s="2"/>
      <c r="C919" s="2"/>
      <c r="D919" s="2"/>
      <c r="E919" s="2"/>
      <c r="F919" s="2"/>
      <c r="G919" s="2"/>
      <c r="H919" s="2"/>
      <c r="I919" s="2"/>
      <c r="J919" s="2"/>
      <c r="K919" s="2"/>
      <c r="L919" s="2"/>
      <c r="M919" s="2"/>
      <c r="N919" s="2"/>
      <c r="O919" s="2"/>
      <c r="P919" s="2"/>
      <c r="Q919" s="2"/>
      <c r="R919" s="2"/>
      <c r="S919" s="7"/>
      <c r="T919" s="2"/>
      <c r="U919" s="10"/>
      <c r="V919" s="2"/>
      <c r="W919" s="7"/>
      <c r="X919" s="7"/>
      <c r="Y919" s="2"/>
      <c r="Z919" s="2"/>
      <c r="AA919" s="2"/>
    </row>
    <row r="920">
      <c r="A920" s="2"/>
      <c r="B920" s="2"/>
      <c r="C920" s="2"/>
      <c r="D920" s="2"/>
      <c r="E920" s="2"/>
      <c r="F920" s="2"/>
      <c r="G920" s="2"/>
      <c r="H920" s="2"/>
      <c r="I920" s="2"/>
      <c r="J920" s="2"/>
      <c r="K920" s="2"/>
      <c r="L920" s="2"/>
      <c r="M920" s="2"/>
      <c r="N920" s="2"/>
      <c r="O920" s="2"/>
      <c r="P920" s="2"/>
      <c r="Q920" s="2"/>
      <c r="R920" s="2"/>
      <c r="S920" s="7"/>
      <c r="T920" s="2"/>
      <c r="U920" s="10"/>
      <c r="V920" s="2"/>
      <c r="W920" s="7"/>
      <c r="X920" s="7"/>
      <c r="Y920" s="2"/>
      <c r="Z920" s="2"/>
      <c r="AA920" s="2"/>
    </row>
    <row r="921">
      <c r="A921" s="2"/>
      <c r="B921" s="2"/>
      <c r="C921" s="2"/>
      <c r="D921" s="2"/>
      <c r="E921" s="2"/>
      <c r="F921" s="2"/>
      <c r="G921" s="2"/>
      <c r="H921" s="2"/>
      <c r="I921" s="2"/>
      <c r="J921" s="2"/>
      <c r="K921" s="2"/>
      <c r="L921" s="2"/>
      <c r="M921" s="2"/>
      <c r="N921" s="2"/>
      <c r="O921" s="2"/>
      <c r="P921" s="2"/>
      <c r="Q921" s="2"/>
      <c r="R921" s="2"/>
      <c r="S921" s="7"/>
      <c r="T921" s="2"/>
      <c r="U921" s="10"/>
      <c r="V921" s="2"/>
      <c r="W921" s="7"/>
      <c r="X921" s="7"/>
      <c r="Y921" s="2"/>
      <c r="Z921" s="2"/>
      <c r="AA921" s="2"/>
    </row>
    <row r="922">
      <c r="A922" s="2"/>
      <c r="B922" s="2"/>
      <c r="C922" s="2"/>
      <c r="D922" s="2"/>
      <c r="E922" s="2"/>
      <c r="F922" s="2"/>
      <c r="G922" s="2"/>
      <c r="H922" s="2"/>
      <c r="I922" s="2"/>
      <c r="J922" s="2"/>
      <c r="K922" s="2"/>
      <c r="L922" s="2"/>
      <c r="M922" s="2"/>
      <c r="N922" s="2"/>
      <c r="O922" s="2"/>
      <c r="P922" s="2"/>
      <c r="Q922" s="2"/>
      <c r="R922" s="2"/>
      <c r="S922" s="7"/>
      <c r="T922" s="2"/>
      <c r="U922" s="10"/>
      <c r="V922" s="2"/>
      <c r="W922" s="7"/>
      <c r="X922" s="7"/>
      <c r="Y922" s="2"/>
      <c r="Z922" s="2"/>
      <c r="AA922" s="2"/>
    </row>
    <row r="923">
      <c r="A923" s="2"/>
      <c r="B923" s="2"/>
      <c r="C923" s="2"/>
      <c r="D923" s="2"/>
      <c r="E923" s="2"/>
      <c r="F923" s="2"/>
      <c r="G923" s="2"/>
      <c r="H923" s="2"/>
      <c r="I923" s="2"/>
      <c r="J923" s="2"/>
      <c r="K923" s="2"/>
      <c r="L923" s="2"/>
      <c r="M923" s="2"/>
      <c r="N923" s="2"/>
      <c r="O923" s="2"/>
      <c r="P923" s="2"/>
      <c r="Q923" s="2"/>
      <c r="R923" s="2"/>
      <c r="S923" s="7"/>
      <c r="T923" s="2"/>
      <c r="U923" s="10"/>
      <c r="V923" s="2"/>
      <c r="W923" s="7"/>
      <c r="X923" s="7"/>
      <c r="Y923" s="2"/>
      <c r="Z923" s="2"/>
      <c r="AA923" s="2"/>
    </row>
    <row r="924">
      <c r="A924" s="2"/>
      <c r="B924" s="2"/>
      <c r="C924" s="2"/>
      <c r="D924" s="2"/>
      <c r="E924" s="2"/>
      <c r="F924" s="2"/>
      <c r="G924" s="2"/>
      <c r="H924" s="2"/>
      <c r="I924" s="2"/>
      <c r="J924" s="2"/>
      <c r="K924" s="2"/>
      <c r="L924" s="2"/>
      <c r="M924" s="2"/>
      <c r="N924" s="2"/>
      <c r="O924" s="2"/>
      <c r="P924" s="2"/>
      <c r="Q924" s="2"/>
      <c r="R924" s="2"/>
      <c r="S924" s="7"/>
      <c r="T924" s="2"/>
      <c r="U924" s="10"/>
      <c r="V924" s="2"/>
      <c r="W924" s="7"/>
      <c r="X924" s="7"/>
      <c r="Y924" s="2"/>
      <c r="Z924" s="2"/>
      <c r="AA924" s="2"/>
    </row>
    <row r="925">
      <c r="A925" s="2"/>
      <c r="B925" s="2"/>
      <c r="C925" s="2"/>
      <c r="D925" s="2"/>
      <c r="E925" s="2"/>
      <c r="F925" s="2"/>
      <c r="G925" s="2"/>
      <c r="H925" s="2"/>
      <c r="I925" s="2"/>
      <c r="J925" s="2"/>
      <c r="K925" s="2"/>
      <c r="L925" s="2"/>
      <c r="M925" s="2"/>
      <c r="N925" s="2"/>
      <c r="O925" s="2"/>
      <c r="P925" s="2"/>
      <c r="Q925" s="2"/>
      <c r="R925" s="2"/>
      <c r="S925" s="7"/>
      <c r="T925" s="2"/>
      <c r="U925" s="10"/>
      <c r="V925" s="2"/>
      <c r="W925" s="7"/>
      <c r="X925" s="7"/>
      <c r="Y925" s="2"/>
      <c r="Z925" s="2"/>
      <c r="AA925" s="2"/>
    </row>
    <row r="926">
      <c r="A926" s="2"/>
      <c r="B926" s="2"/>
      <c r="C926" s="2"/>
      <c r="D926" s="2"/>
      <c r="E926" s="2"/>
      <c r="F926" s="2"/>
      <c r="G926" s="2"/>
      <c r="H926" s="2"/>
      <c r="I926" s="2"/>
      <c r="J926" s="2"/>
      <c r="K926" s="2"/>
      <c r="L926" s="2"/>
      <c r="M926" s="2"/>
      <c r="N926" s="2"/>
      <c r="O926" s="2"/>
      <c r="P926" s="2"/>
      <c r="Q926" s="2"/>
      <c r="R926" s="2"/>
      <c r="S926" s="7"/>
      <c r="T926" s="2"/>
      <c r="U926" s="10"/>
      <c r="V926" s="2"/>
      <c r="W926" s="7"/>
      <c r="X926" s="7"/>
      <c r="Y926" s="2"/>
      <c r="Z926" s="2"/>
      <c r="AA926" s="2"/>
    </row>
    <row r="927">
      <c r="A927" s="2"/>
      <c r="B927" s="2"/>
      <c r="C927" s="2"/>
      <c r="D927" s="2"/>
      <c r="E927" s="2"/>
      <c r="F927" s="2"/>
      <c r="G927" s="2"/>
      <c r="H927" s="2"/>
      <c r="I927" s="2"/>
      <c r="J927" s="2"/>
      <c r="K927" s="2"/>
      <c r="L927" s="2"/>
      <c r="M927" s="2"/>
      <c r="N927" s="2"/>
      <c r="O927" s="2"/>
      <c r="P927" s="2"/>
      <c r="Q927" s="2"/>
      <c r="R927" s="2"/>
      <c r="S927" s="7"/>
      <c r="T927" s="2"/>
      <c r="U927" s="10"/>
      <c r="V927" s="2"/>
      <c r="W927" s="7"/>
      <c r="X927" s="7"/>
      <c r="Y927" s="2"/>
      <c r="Z927" s="2"/>
      <c r="AA927" s="2"/>
    </row>
    <row r="928">
      <c r="A928" s="2"/>
      <c r="B928" s="2"/>
      <c r="C928" s="2"/>
      <c r="D928" s="2"/>
      <c r="E928" s="2"/>
      <c r="F928" s="2"/>
      <c r="G928" s="2"/>
      <c r="H928" s="2"/>
      <c r="I928" s="2"/>
      <c r="J928" s="2"/>
      <c r="K928" s="2"/>
      <c r="L928" s="2"/>
      <c r="M928" s="2"/>
      <c r="N928" s="2"/>
      <c r="O928" s="2"/>
      <c r="P928" s="2"/>
      <c r="Q928" s="2"/>
      <c r="R928" s="2"/>
      <c r="S928" s="7"/>
      <c r="T928" s="2"/>
      <c r="U928" s="10"/>
      <c r="V928" s="2"/>
      <c r="W928" s="7"/>
      <c r="X928" s="7"/>
      <c r="Y928" s="2"/>
      <c r="Z928" s="2"/>
      <c r="AA928" s="2"/>
    </row>
    <row r="929">
      <c r="A929" s="2"/>
      <c r="B929" s="2"/>
      <c r="C929" s="2"/>
      <c r="D929" s="2"/>
      <c r="E929" s="2"/>
      <c r="F929" s="2"/>
      <c r="G929" s="2"/>
      <c r="H929" s="2"/>
      <c r="I929" s="2"/>
      <c r="J929" s="2"/>
      <c r="K929" s="2"/>
      <c r="L929" s="2"/>
      <c r="M929" s="2"/>
      <c r="N929" s="2"/>
      <c r="O929" s="2"/>
      <c r="P929" s="2"/>
      <c r="Q929" s="2"/>
      <c r="R929" s="2"/>
      <c r="S929" s="7"/>
      <c r="T929" s="2"/>
      <c r="U929" s="10"/>
      <c r="V929" s="2"/>
      <c r="W929" s="7"/>
      <c r="X929" s="7"/>
      <c r="Y929" s="2"/>
      <c r="Z929" s="2"/>
      <c r="AA929" s="2"/>
    </row>
    <row r="930">
      <c r="A930" s="2"/>
      <c r="B930" s="2"/>
      <c r="C930" s="2"/>
      <c r="D930" s="2"/>
      <c r="E930" s="2"/>
      <c r="F930" s="2"/>
      <c r="G930" s="2"/>
      <c r="H930" s="2"/>
      <c r="I930" s="2"/>
      <c r="J930" s="2"/>
      <c r="K930" s="2"/>
      <c r="L930" s="2"/>
      <c r="M930" s="2"/>
      <c r="N930" s="2"/>
      <c r="O930" s="2"/>
      <c r="P930" s="2"/>
      <c r="Q930" s="2"/>
      <c r="R930" s="2"/>
      <c r="S930" s="7"/>
      <c r="T930" s="2"/>
      <c r="U930" s="10"/>
      <c r="V930" s="2"/>
      <c r="W930" s="7"/>
      <c r="X930" s="7"/>
      <c r="Y930" s="2"/>
      <c r="Z930" s="2"/>
      <c r="AA930" s="2"/>
    </row>
    <row r="931">
      <c r="A931" s="2"/>
      <c r="B931" s="2"/>
      <c r="C931" s="2"/>
      <c r="D931" s="2"/>
      <c r="E931" s="2"/>
      <c r="F931" s="2"/>
      <c r="G931" s="2"/>
      <c r="H931" s="2"/>
      <c r="I931" s="2"/>
      <c r="J931" s="2"/>
      <c r="K931" s="2"/>
      <c r="L931" s="2"/>
      <c r="M931" s="2"/>
      <c r="N931" s="2"/>
      <c r="O931" s="2"/>
      <c r="P931" s="2"/>
      <c r="Q931" s="2"/>
      <c r="R931" s="2"/>
      <c r="S931" s="7"/>
      <c r="T931" s="2"/>
      <c r="U931" s="10"/>
      <c r="V931" s="2"/>
      <c r="W931" s="7"/>
      <c r="X931" s="7"/>
      <c r="Y931" s="2"/>
      <c r="Z931" s="2"/>
      <c r="AA931" s="2"/>
    </row>
    <row r="932">
      <c r="A932" s="2"/>
      <c r="B932" s="2"/>
      <c r="C932" s="2"/>
      <c r="D932" s="2"/>
      <c r="E932" s="2"/>
      <c r="F932" s="2"/>
      <c r="G932" s="2"/>
      <c r="H932" s="2"/>
      <c r="I932" s="2"/>
      <c r="J932" s="2"/>
      <c r="K932" s="2"/>
      <c r="L932" s="2"/>
      <c r="M932" s="2"/>
      <c r="N932" s="2"/>
      <c r="O932" s="2"/>
      <c r="P932" s="2"/>
      <c r="Q932" s="2"/>
      <c r="R932" s="2"/>
      <c r="S932" s="7"/>
      <c r="T932" s="2"/>
      <c r="U932" s="10"/>
      <c r="V932" s="2"/>
      <c r="W932" s="7"/>
      <c r="X932" s="7"/>
      <c r="Y932" s="2"/>
      <c r="Z932" s="2"/>
      <c r="AA932" s="2"/>
    </row>
    <row r="933">
      <c r="A933" s="2"/>
      <c r="B933" s="2"/>
      <c r="C933" s="2"/>
      <c r="D933" s="2"/>
      <c r="E933" s="2"/>
      <c r="F933" s="2"/>
      <c r="G933" s="2"/>
      <c r="H933" s="2"/>
      <c r="I933" s="2"/>
      <c r="J933" s="2"/>
      <c r="K933" s="2"/>
      <c r="L933" s="2"/>
      <c r="M933" s="2"/>
      <c r="N933" s="2"/>
      <c r="O933" s="2"/>
      <c r="P933" s="2"/>
      <c r="Q933" s="2"/>
      <c r="R933" s="2"/>
      <c r="S933" s="7"/>
      <c r="T933" s="2"/>
      <c r="U933" s="10"/>
      <c r="V933" s="2"/>
      <c r="W933" s="7"/>
      <c r="X933" s="7"/>
      <c r="Y933" s="2"/>
      <c r="Z933" s="2"/>
      <c r="AA933" s="2"/>
    </row>
    <row r="934">
      <c r="A934" s="2"/>
      <c r="B934" s="2"/>
      <c r="C934" s="2"/>
      <c r="D934" s="2"/>
      <c r="E934" s="2"/>
      <c r="F934" s="2"/>
      <c r="G934" s="2"/>
      <c r="H934" s="2"/>
      <c r="I934" s="2"/>
      <c r="J934" s="2"/>
      <c r="K934" s="2"/>
      <c r="L934" s="2"/>
      <c r="M934" s="2"/>
      <c r="N934" s="2"/>
      <c r="O934" s="2"/>
      <c r="P934" s="2"/>
      <c r="Q934" s="2"/>
      <c r="R934" s="2"/>
      <c r="S934" s="7"/>
      <c r="T934" s="2"/>
      <c r="U934" s="10"/>
      <c r="V934" s="2"/>
      <c r="W934" s="7"/>
      <c r="X934" s="7"/>
      <c r="Y934" s="2"/>
      <c r="Z934" s="2"/>
      <c r="AA934" s="2"/>
    </row>
    <row r="935">
      <c r="A935" s="2"/>
      <c r="B935" s="2"/>
      <c r="C935" s="2"/>
      <c r="D935" s="2"/>
      <c r="E935" s="2"/>
      <c r="F935" s="2"/>
      <c r="G935" s="2"/>
      <c r="H935" s="2"/>
      <c r="I935" s="2"/>
      <c r="J935" s="2"/>
      <c r="K935" s="2"/>
      <c r="L935" s="2"/>
      <c r="M935" s="2"/>
      <c r="N935" s="2"/>
      <c r="O935" s="2"/>
      <c r="P935" s="2"/>
      <c r="Q935" s="2"/>
      <c r="R935" s="2"/>
      <c r="S935" s="7"/>
      <c r="T935" s="2"/>
      <c r="U935" s="10"/>
      <c r="V935" s="2"/>
      <c r="W935" s="7"/>
      <c r="X935" s="7"/>
      <c r="Y935" s="2"/>
      <c r="Z935" s="2"/>
      <c r="AA935" s="2"/>
    </row>
    <row r="936">
      <c r="A936" s="2"/>
      <c r="B936" s="2"/>
      <c r="C936" s="2"/>
      <c r="D936" s="2"/>
      <c r="E936" s="2"/>
      <c r="F936" s="2"/>
      <c r="G936" s="2"/>
      <c r="H936" s="2"/>
      <c r="I936" s="2"/>
      <c r="J936" s="2"/>
      <c r="K936" s="2"/>
      <c r="L936" s="2"/>
      <c r="M936" s="2"/>
      <c r="N936" s="2"/>
      <c r="O936" s="2"/>
      <c r="P936" s="2"/>
      <c r="Q936" s="2"/>
      <c r="R936" s="2"/>
      <c r="S936" s="7"/>
      <c r="T936" s="2"/>
      <c r="U936" s="10"/>
      <c r="V936" s="2"/>
      <c r="W936" s="7"/>
      <c r="X936" s="7"/>
      <c r="Y936" s="2"/>
      <c r="Z936" s="2"/>
      <c r="AA936" s="2"/>
    </row>
    <row r="937">
      <c r="A937" s="2"/>
      <c r="B937" s="2"/>
      <c r="C937" s="2"/>
      <c r="D937" s="2"/>
      <c r="E937" s="2"/>
      <c r="F937" s="2"/>
      <c r="G937" s="2"/>
      <c r="H937" s="2"/>
      <c r="I937" s="2"/>
      <c r="J937" s="2"/>
      <c r="K937" s="2"/>
      <c r="L937" s="2"/>
      <c r="M937" s="2"/>
      <c r="N937" s="2"/>
      <c r="O937" s="2"/>
      <c r="P937" s="2"/>
      <c r="Q937" s="2"/>
      <c r="R937" s="2"/>
      <c r="S937" s="7"/>
      <c r="T937" s="2"/>
      <c r="U937" s="10"/>
      <c r="V937" s="2"/>
      <c r="W937" s="7"/>
      <c r="X937" s="7"/>
      <c r="Y937" s="2"/>
      <c r="Z937" s="2"/>
      <c r="AA937" s="2"/>
    </row>
    <row r="938">
      <c r="A938" s="2"/>
      <c r="B938" s="2"/>
      <c r="C938" s="2"/>
      <c r="D938" s="2"/>
      <c r="E938" s="2"/>
      <c r="F938" s="2"/>
      <c r="G938" s="2"/>
      <c r="H938" s="2"/>
      <c r="I938" s="2"/>
      <c r="J938" s="2"/>
      <c r="K938" s="2"/>
      <c r="L938" s="2"/>
      <c r="M938" s="2"/>
      <c r="N938" s="2"/>
      <c r="O938" s="2"/>
      <c r="P938" s="2"/>
      <c r="Q938" s="2"/>
      <c r="R938" s="2"/>
      <c r="S938" s="7"/>
      <c r="T938" s="2"/>
      <c r="U938" s="10"/>
      <c r="V938" s="2"/>
      <c r="W938" s="7"/>
      <c r="X938" s="7"/>
      <c r="Y938" s="2"/>
      <c r="Z938" s="2"/>
      <c r="AA938" s="2"/>
    </row>
    <row r="939">
      <c r="A939" s="2"/>
      <c r="B939" s="2"/>
      <c r="C939" s="2"/>
      <c r="D939" s="2"/>
      <c r="E939" s="2"/>
      <c r="F939" s="2"/>
      <c r="G939" s="2"/>
      <c r="H939" s="2"/>
      <c r="I939" s="2"/>
      <c r="J939" s="2"/>
      <c r="K939" s="2"/>
      <c r="L939" s="2"/>
      <c r="M939" s="2"/>
      <c r="N939" s="2"/>
      <c r="O939" s="2"/>
      <c r="P939" s="2"/>
      <c r="Q939" s="2"/>
      <c r="R939" s="2"/>
      <c r="S939" s="7"/>
      <c r="T939" s="2"/>
      <c r="U939" s="10"/>
      <c r="V939" s="2"/>
      <c r="W939" s="7"/>
      <c r="X939" s="7"/>
      <c r="Y939" s="2"/>
      <c r="Z939" s="2"/>
      <c r="AA939" s="2"/>
    </row>
    <row r="940">
      <c r="A940" s="2"/>
      <c r="B940" s="2"/>
      <c r="C940" s="2"/>
      <c r="D940" s="2"/>
      <c r="E940" s="2"/>
      <c r="F940" s="2"/>
      <c r="G940" s="2"/>
      <c r="H940" s="2"/>
      <c r="I940" s="2"/>
      <c r="J940" s="2"/>
      <c r="K940" s="2"/>
      <c r="L940" s="2"/>
      <c r="M940" s="2"/>
      <c r="N940" s="2"/>
      <c r="O940" s="2"/>
      <c r="P940" s="2"/>
      <c r="Q940" s="2"/>
      <c r="R940" s="2"/>
      <c r="S940" s="7"/>
      <c r="T940" s="2"/>
      <c r="U940" s="10"/>
      <c r="V940" s="2"/>
      <c r="W940" s="7"/>
      <c r="X940" s="7"/>
      <c r="Y940" s="2"/>
      <c r="Z940" s="2"/>
      <c r="AA940" s="2"/>
    </row>
    <row r="941">
      <c r="A941" s="2"/>
      <c r="B941" s="2"/>
      <c r="C941" s="2"/>
      <c r="D941" s="2"/>
      <c r="E941" s="2"/>
      <c r="F941" s="2"/>
      <c r="G941" s="2"/>
      <c r="H941" s="2"/>
      <c r="I941" s="2"/>
      <c r="J941" s="2"/>
      <c r="K941" s="2"/>
      <c r="L941" s="2"/>
      <c r="M941" s="2"/>
      <c r="N941" s="2"/>
      <c r="O941" s="2"/>
      <c r="P941" s="2"/>
      <c r="Q941" s="2"/>
      <c r="R941" s="2"/>
      <c r="S941" s="7"/>
      <c r="T941" s="2"/>
      <c r="U941" s="10"/>
      <c r="V941" s="2"/>
      <c r="W941" s="7"/>
      <c r="X941" s="7"/>
      <c r="Y941" s="2"/>
      <c r="Z941" s="2"/>
      <c r="AA941" s="2"/>
    </row>
    <row r="942">
      <c r="A942" s="2"/>
      <c r="B942" s="2"/>
      <c r="C942" s="2"/>
      <c r="D942" s="2"/>
      <c r="E942" s="2"/>
      <c r="F942" s="2"/>
      <c r="G942" s="2"/>
      <c r="H942" s="2"/>
      <c r="I942" s="2"/>
      <c r="J942" s="2"/>
      <c r="K942" s="2"/>
      <c r="L942" s="2"/>
      <c r="M942" s="2"/>
      <c r="N942" s="2"/>
      <c r="O942" s="2"/>
      <c r="P942" s="2"/>
      <c r="Q942" s="2"/>
      <c r="R942" s="2"/>
      <c r="S942" s="7"/>
      <c r="T942" s="2"/>
      <c r="U942" s="10"/>
      <c r="V942" s="2"/>
      <c r="W942" s="7"/>
      <c r="X942" s="7"/>
      <c r="Y942" s="2"/>
      <c r="Z942" s="2"/>
      <c r="AA942" s="2"/>
    </row>
    <row r="943">
      <c r="A943" s="2"/>
      <c r="B943" s="2"/>
      <c r="C943" s="2"/>
      <c r="D943" s="2"/>
      <c r="E943" s="2"/>
      <c r="F943" s="2"/>
      <c r="G943" s="2"/>
      <c r="H943" s="2"/>
      <c r="I943" s="2"/>
      <c r="J943" s="2"/>
      <c r="K943" s="2"/>
      <c r="L943" s="2"/>
      <c r="M943" s="2"/>
      <c r="N943" s="2"/>
      <c r="O943" s="2"/>
      <c r="P943" s="2"/>
      <c r="Q943" s="2"/>
      <c r="R943" s="2"/>
      <c r="S943" s="7"/>
      <c r="T943" s="2"/>
      <c r="U943" s="10"/>
      <c r="V943" s="2"/>
      <c r="W943" s="7"/>
      <c r="X943" s="7"/>
      <c r="Y943" s="2"/>
      <c r="Z943" s="2"/>
      <c r="AA943" s="2"/>
    </row>
    <row r="944">
      <c r="A944" s="2"/>
      <c r="B944" s="2"/>
      <c r="C944" s="2"/>
      <c r="D944" s="2"/>
      <c r="E944" s="2"/>
      <c r="F944" s="2"/>
      <c r="G944" s="2"/>
      <c r="H944" s="2"/>
      <c r="I944" s="2"/>
      <c r="J944" s="2"/>
      <c r="K944" s="2"/>
      <c r="L944" s="2"/>
      <c r="M944" s="2"/>
      <c r="N944" s="2"/>
      <c r="O944" s="2"/>
      <c r="P944" s="2"/>
      <c r="Q944" s="2"/>
      <c r="R944" s="2"/>
      <c r="S944" s="7"/>
      <c r="T944" s="2"/>
      <c r="U944" s="10"/>
      <c r="V944" s="2"/>
      <c r="W944" s="7"/>
      <c r="X944" s="7"/>
      <c r="Y944" s="2"/>
      <c r="Z944" s="2"/>
      <c r="AA944" s="2"/>
    </row>
    <row r="945">
      <c r="A945" s="2"/>
      <c r="B945" s="2"/>
      <c r="C945" s="2"/>
      <c r="D945" s="2"/>
      <c r="E945" s="2"/>
      <c r="F945" s="2"/>
      <c r="G945" s="2"/>
      <c r="H945" s="2"/>
      <c r="I945" s="2"/>
      <c r="J945" s="2"/>
      <c r="K945" s="2"/>
      <c r="L945" s="2"/>
      <c r="M945" s="2"/>
      <c r="N945" s="2"/>
      <c r="O945" s="2"/>
      <c r="P945" s="2"/>
      <c r="Q945" s="2"/>
      <c r="R945" s="2"/>
      <c r="S945" s="7"/>
      <c r="T945" s="2"/>
      <c r="U945" s="10"/>
      <c r="V945" s="2"/>
      <c r="W945" s="7"/>
      <c r="X945" s="7"/>
      <c r="Y945" s="2"/>
      <c r="Z945" s="2"/>
      <c r="AA945" s="2"/>
    </row>
    <row r="946">
      <c r="A946" s="2"/>
      <c r="B946" s="2"/>
      <c r="C946" s="2"/>
      <c r="D946" s="2"/>
      <c r="E946" s="2"/>
      <c r="F946" s="2"/>
      <c r="G946" s="2"/>
      <c r="H946" s="2"/>
      <c r="I946" s="2"/>
      <c r="J946" s="2"/>
      <c r="K946" s="2"/>
      <c r="L946" s="2"/>
      <c r="M946" s="2"/>
      <c r="N946" s="2"/>
      <c r="O946" s="2"/>
      <c r="P946" s="2"/>
      <c r="Q946" s="2"/>
      <c r="R946" s="2"/>
      <c r="S946" s="7"/>
      <c r="T946" s="2"/>
      <c r="U946" s="10"/>
      <c r="V946" s="2"/>
      <c r="W946" s="7"/>
      <c r="X946" s="7"/>
      <c r="Y946" s="2"/>
      <c r="Z946" s="2"/>
      <c r="AA946" s="2"/>
    </row>
    <row r="947">
      <c r="A947" s="2"/>
      <c r="B947" s="2"/>
      <c r="C947" s="2"/>
      <c r="D947" s="2"/>
      <c r="E947" s="2"/>
      <c r="F947" s="2"/>
      <c r="G947" s="2"/>
      <c r="H947" s="2"/>
      <c r="I947" s="2"/>
      <c r="J947" s="2"/>
      <c r="K947" s="2"/>
      <c r="L947" s="2"/>
      <c r="M947" s="2"/>
      <c r="N947" s="2"/>
      <c r="O947" s="2"/>
      <c r="P947" s="2"/>
      <c r="Q947" s="2"/>
      <c r="R947" s="2"/>
      <c r="S947" s="7"/>
      <c r="T947" s="2"/>
      <c r="U947" s="10"/>
      <c r="V947" s="2"/>
      <c r="W947" s="7"/>
      <c r="X947" s="7"/>
      <c r="Y947" s="2"/>
      <c r="Z947" s="2"/>
      <c r="AA947" s="2"/>
    </row>
    <row r="948">
      <c r="A948" s="2"/>
      <c r="B948" s="2"/>
      <c r="C948" s="2"/>
      <c r="D948" s="2"/>
      <c r="E948" s="2"/>
      <c r="F948" s="2"/>
      <c r="G948" s="2"/>
      <c r="H948" s="2"/>
      <c r="I948" s="2"/>
      <c r="J948" s="2"/>
      <c r="K948" s="2"/>
      <c r="L948" s="2"/>
      <c r="M948" s="2"/>
      <c r="N948" s="2"/>
      <c r="O948" s="2"/>
      <c r="P948" s="2"/>
      <c r="Q948" s="2"/>
      <c r="R948" s="2"/>
      <c r="S948" s="7"/>
      <c r="T948" s="2"/>
      <c r="U948" s="10"/>
      <c r="V948" s="2"/>
      <c r="W948" s="7"/>
      <c r="X948" s="7"/>
      <c r="Y948" s="2"/>
      <c r="Z948" s="2"/>
      <c r="AA948" s="2"/>
    </row>
    <row r="949">
      <c r="A949" s="2"/>
      <c r="B949" s="2"/>
      <c r="C949" s="2"/>
      <c r="D949" s="2"/>
      <c r="E949" s="2"/>
      <c r="F949" s="2"/>
      <c r="G949" s="2"/>
      <c r="H949" s="2"/>
      <c r="I949" s="2"/>
      <c r="J949" s="2"/>
      <c r="K949" s="2"/>
      <c r="L949" s="2"/>
      <c r="M949" s="2"/>
      <c r="N949" s="2"/>
      <c r="O949" s="2"/>
      <c r="P949" s="2"/>
      <c r="Q949" s="2"/>
      <c r="R949" s="2"/>
      <c r="S949" s="7"/>
      <c r="T949" s="2"/>
      <c r="U949" s="10"/>
      <c r="V949" s="2"/>
      <c r="W949" s="7"/>
      <c r="X949" s="7"/>
      <c r="Y949" s="2"/>
      <c r="Z949" s="2"/>
      <c r="AA949" s="2"/>
    </row>
    <row r="950">
      <c r="A950" s="2"/>
      <c r="B950" s="2"/>
      <c r="C950" s="2"/>
      <c r="D950" s="2"/>
      <c r="E950" s="2"/>
      <c r="F950" s="2"/>
      <c r="G950" s="2"/>
      <c r="H950" s="2"/>
      <c r="I950" s="2"/>
      <c r="J950" s="2"/>
      <c r="K950" s="2"/>
      <c r="L950" s="2"/>
      <c r="M950" s="2"/>
      <c r="N950" s="2"/>
      <c r="O950" s="2"/>
      <c r="P950" s="2"/>
      <c r="Q950" s="2"/>
      <c r="R950" s="2"/>
      <c r="S950" s="7"/>
      <c r="T950" s="2"/>
      <c r="U950" s="10"/>
      <c r="V950" s="2"/>
      <c r="W950" s="7"/>
      <c r="X950" s="7"/>
      <c r="Y950" s="2"/>
      <c r="Z950" s="2"/>
      <c r="AA950" s="2"/>
    </row>
    <row r="951">
      <c r="A951" s="2"/>
      <c r="B951" s="2"/>
      <c r="C951" s="2"/>
      <c r="D951" s="2"/>
      <c r="E951" s="2"/>
      <c r="F951" s="2"/>
      <c r="G951" s="2"/>
      <c r="H951" s="2"/>
      <c r="I951" s="2"/>
      <c r="J951" s="2"/>
      <c r="K951" s="2"/>
      <c r="L951" s="2"/>
      <c r="M951" s="2"/>
      <c r="N951" s="2"/>
      <c r="O951" s="2"/>
      <c r="P951" s="2"/>
      <c r="Q951" s="2"/>
      <c r="R951" s="2"/>
      <c r="S951" s="7"/>
      <c r="T951" s="2"/>
      <c r="U951" s="10"/>
      <c r="V951" s="2"/>
      <c r="W951" s="7"/>
      <c r="X951" s="7"/>
      <c r="Y951" s="2"/>
      <c r="Z951" s="2"/>
      <c r="AA951" s="2"/>
    </row>
    <row r="952">
      <c r="A952" s="2"/>
      <c r="B952" s="2"/>
      <c r="C952" s="2"/>
      <c r="D952" s="2"/>
      <c r="E952" s="2"/>
      <c r="F952" s="2"/>
      <c r="G952" s="2"/>
      <c r="H952" s="2"/>
      <c r="I952" s="2"/>
      <c r="J952" s="2"/>
      <c r="K952" s="2"/>
      <c r="L952" s="2"/>
      <c r="M952" s="2"/>
      <c r="N952" s="2"/>
      <c r="O952" s="2"/>
      <c r="P952" s="2"/>
      <c r="Q952" s="2"/>
      <c r="R952" s="2"/>
      <c r="S952" s="7"/>
      <c r="T952" s="2"/>
      <c r="U952" s="10"/>
      <c r="V952" s="2"/>
      <c r="W952" s="7"/>
      <c r="X952" s="7"/>
      <c r="Y952" s="2"/>
      <c r="Z952" s="2"/>
      <c r="AA952" s="2"/>
    </row>
    <row r="953">
      <c r="A953" s="2"/>
      <c r="B953" s="2"/>
      <c r="C953" s="2"/>
      <c r="D953" s="2"/>
      <c r="E953" s="2"/>
      <c r="F953" s="2"/>
      <c r="G953" s="2"/>
      <c r="H953" s="2"/>
      <c r="I953" s="2"/>
      <c r="J953" s="2"/>
      <c r="K953" s="2"/>
      <c r="L953" s="2"/>
      <c r="M953" s="2"/>
      <c r="N953" s="2"/>
      <c r="O953" s="2"/>
      <c r="P953" s="2"/>
      <c r="Q953" s="2"/>
      <c r="R953" s="2"/>
      <c r="S953" s="7"/>
      <c r="T953" s="2"/>
      <c r="U953" s="10"/>
      <c r="V953" s="2"/>
      <c r="W953" s="7"/>
      <c r="X953" s="7"/>
      <c r="Y953" s="2"/>
      <c r="Z953" s="2"/>
      <c r="AA953" s="2"/>
    </row>
    <row r="954">
      <c r="A954" s="2"/>
      <c r="B954" s="2"/>
      <c r="C954" s="2"/>
      <c r="D954" s="2"/>
      <c r="E954" s="2"/>
      <c r="F954" s="2"/>
      <c r="G954" s="2"/>
      <c r="H954" s="2"/>
      <c r="I954" s="2"/>
      <c r="J954" s="2"/>
      <c r="K954" s="2"/>
      <c r="L954" s="2"/>
      <c r="M954" s="2"/>
      <c r="N954" s="2"/>
      <c r="O954" s="2"/>
      <c r="P954" s="2"/>
      <c r="Q954" s="2"/>
      <c r="R954" s="2"/>
      <c r="S954" s="7"/>
      <c r="T954" s="2"/>
      <c r="U954" s="10"/>
      <c r="V954" s="2"/>
      <c r="W954" s="7"/>
      <c r="X954" s="7"/>
      <c r="Y954" s="2"/>
      <c r="Z954" s="2"/>
      <c r="AA954" s="2"/>
    </row>
    <row r="955">
      <c r="A955" s="2"/>
      <c r="B955" s="2"/>
      <c r="C955" s="2"/>
      <c r="D955" s="2"/>
      <c r="E955" s="2"/>
      <c r="F955" s="2"/>
      <c r="G955" s="2"/>
      <c r="H955" s="2"/>
      <c r="I955" s="2"/>
      <c r="J955" s="2"/>
      <c r="K955" s="2"/>
      <c r="L955" s="2"/>
      <c r="M955" s="2"/>
      <c r="N955" s="2"/>
      <c r="O955" s="2"/>
      <c r="P955" s="2"/>
      <c r="Q955" s="2"/>
      <c r="R955" s="2"/>
      <c r="S955" s="7"/>
      <c r="T955" s="2"/>
      <c r="U955" s="10"/>
      <c r="V955" s="2"/>
      <c r="W955" s="7"/>
      <c r="X955" s="7"/>
      <c r="Y955" s="2"/>
      <c r="Z955" s="2"/>
      <c r="AA955" s="2"/>
    </row>
    <row r="956">
      <c r="A956" s="2"/>
      <c r="B956" s="2"/>
      <c r="C956" s="2"/>
      <c r="D956" s="2"/>
      <c r="E956" s="2"/>
      <c r="F956" s="2"/>
      <c r="G956" s="2"/>
      <c r="H956" s="2"/>
      <c r="I956" s="2"/>
      <c r="J956" s="2"/>
      <c r="K956" s="2"/>
      <c r="L956" s="2"/>
      <c r="M956" s="2"/>
      <c r="N956" s="2"/>
      <c r="O956" s="2"/>
      <c r="P956" s="2"/>
      <c r="Q956" s="2"/>
      <c r="R956" s="2"/>
      <c r="S956" s="7"/>
      <c r="T956" s="2"/>
      <c r="U956" s="10"/>
      <c r="V956" s="2"/>
      <c r="W956" s="7"/>
      <c r="X956" s="7"/>
      <c r="Y956" s="2"/>
      <c r="Z956" s="2"/>
      <c r="AA956" s="2"/>
    </row>
    <row r="957">
      <c r="A957" s="2"/>
      <c r="B957" s="2"/>
      <c r="C957" s="2"/>
      <c r="D957" s="2"/>
      <c r="E957" s="2"/>
      <c r="F957" s="2"/>
      <c r="G957" s="2"/>
      <c r="H957" s="2"/>
      <c r="I957" s="2"/>
      <c r="J957" s="2"/>
      <c r="K957" s="2"/>
      <c r="L957" s="2"/>
      <c r="M957" s="2"/>
      <c r="N957" s="2"/>
      <c r="O957" s="2"/>
      <c r="P957" s="2"/>
      <c r="Q957" s="2"/>
      <c r="R957" s="2"/>
      <c r="S957" s="7"/>
      <c r="T957" s="2"/>
      <c r="U957" s="10"/>
      <c r="V957" s="2"/>
      <c r="W957" s="7"/>
      <c r="X957" s="7"/>
      <c r="Y957" s="2"/>
      <c r="Z957" s="2"/>
      <c r="AA957" s="2"/>
    </row>
    <row r="958">
      <c r="A958" s="2"/>
      <c r="B958" s="2"/>
      <c r="C958" s="2"/>
      <c r="D958" s="2"/>
      <c r="E958" s="2"/>
      <c r="F958" s="2"/>
      <c r="G958" s="2"/>
      <c r="H958" s="2"/>
      <c r="I958" s="2"/>
      <c r="J958" s="2"/>
      <c r="K958" s="2"/>
      <c r="L958" s="2"/>
      <c r="M958" s="2"/>
      <c r="N958" s="2"/>
      <c r="O958" s="2"/>
      <c r="P958" s="2"/>
      <c r="Q958" s="2"/>
      <c r="R958" s="2"/>
      <c r="S958" s="7"/>
      <c r="T958" s="2"/>
      <c r="U958" s="10"/>
      <c r="V958" s="2"/>
      <c r="W958" s="7"/>
      <c r="X958" s="7"/>
      <c r="Y958" s="2"/>
      <c r="Z958" s="2"/>
      <c r="AA958" s="2"/>
    </row>
    <row r="959">
      <c r="A959" s="2"/>
      <c r="B959" s="2"/>
      <c r="C959" s="2"/>
      <c r="D959" s="2"/>
      <c r="E959" s="2"/>
      <c r="F959" s="2"/>
      <c r="G959" s="2"/>
      <c r="H959" s="2"/>
      <c r="I959" s="2"/>
      <c r="J959" s="2"/>
      <c r="K959" s="2"/>
      <c r="L959" s="2"/>
      <c r="M959" s="2"/>
      <c r="N959" s="2"/>
      <c r="O959" s="2"/>
      <c r="P959" s="2"/>
      <c r="Q959" s="2"/>
      <c r="R959" s="2"/>
      <c r="S959" s="7"/>
      <c r="T959" s="2"/>
      <c r="U959" s="10"/>
      <c r="V959" s="2"/>
      <c r="W959" s="7"/>
      <c r="X959" s="7"/>
      <c r="Y959" s="2"/>
      <c r="Z959" s="2"/>
      <c r="AA959" s="2"/>
    </row>
    <row r="960">
      <c r="A960" s="2"/>
      <c r="B960" s="2"/>
      <c r="C960" s="2"/>
      <c r="D960" s="2"/>
      <c r="E960" s="2"/>
      <c r="F960" s="2"/>
      <c r="G960" s="2"/>
      <c r="H960" s="2"/>
      <c r="I960" s="2"/>
      <c r="J960" s="2"/>
      <c r="K960" s="2"/>
      <c r="L960" s="2"/>
      <c r="M960" s="2"/>
      <c r="N960" s="2"/>
      <c r="O960" s="2"/>
      <c r="P960" s="2"/>
      <c r="Q960" s="2"/>
      <c r="R960" s="2"/>
      <c r="S960" s="7"/>
      <c r="T960" s="2"/>
      <c r="U960" s="10"/>
      <c r="V960" s="2"/>
      <c r="W960" s="7"/>
      <c r="X960" s="7"/>
      <c r="Y960" s="2"/>
      <c r="Z960" s="2"/>
      <c r="AA960" s="2"/>
    </row>
    <row r="961">
      <c r="A961" s="2"/>
      <c r="B961" s="2"/>
      <c r="C961" s="2"/>
      <c r="D961" s="2"/>
      <c r="E961" s="2"/>
      <c r="F961" s="2"/>
      <c r="G961" s="2"/>
      <c r="H961" s="2"/>
      <c r="I961" s="2"/>
      <c r="J961" s="2"/>
      <c r="K961" s="2"/>
      <c r="L961" s="2"/>
      <c r="M961" s="2"/>
      <c r="N961" s="2"/>
      <c r="O961" s="2"/>
      <c r="P961" s="2"/>
      <c r="Q961" s="2"/>
      <c r="R961" s="2"/>
      <c r="S961" s="7"/>
      <c r="T961" s="2"/>
      <c r="U961" s="10"/>
      <c r="V961" s="2"/>
      <c r="W961" s="7"/>
      <c r="X961" s="7"/>
      <c r="Y961" s="2"/>
      <c r="Z961" s="2"/>
      <c r="AA961" s="2"/>
    </row>
    <row r="962">
      <c r="A962" s="2"/>
      <c r="B962" s="2"/>
      <c r="C962" s="2"/>
      <c r="D962" s="2"/>
      <c r="E962" s="2"/>
      <c r="F962" s="2"/>
      <c r="G962" s="2"/>
      <c r="H962" s="2"/>
      <c r="I962" s="2"/>
      <c r="J962" s="2"/>
      <c r="K962" s="2"/>
      <c r="L962" s="2"/>
      <c r="M962" s="2"/>
      <c r="N962" s="2"/>
      <c r="O962" s="2"/>
      <c r="P962" s="2"/>
      <c r="Q962" s="2"/>
      <c r="R962" s="2"/>
      <c r="S962" s="7"/>
      <c r="T962" s="2"/>
      <c r="U962" s="10"/>
      <c r="V962" s="2"/>
      <c r="W962" s="7"/>
      <c r="X962" s="7"/>
      <c r="Y962" s="2"/>
      <c r="Z962" s="2"/>
      <c r="AA962" s="2"/>
    </row>
    <row r="963">
      <c r="A963" s="2"/>
      <c r="B963" s="2"/>
      <c r="C963" s="2"/>
      <c r="D963" s="2"/>
      <c r="E963" s="2"/>
      <c r="F963" s="2"/>
      <c r="G963" s="2"/>
      <c r="H963" s="2"/>
      <c r="I963" s="2"/>
      <c r="J963" s="2"/>
      <c r="K963" s="2"/>
      <c r="L963" s="2"/>
      <c r="M963" s="2"/>
      <c r="N963" s="2"/>
      <c r="O963" s="2"/>
      <c r="P963" s="2"/>
      <c r="Q963" s="2"/>
      <c r="R963" s="2"/>
      <c r="S963" s="7"/>
      <c r="T963" s="2"/>
      <c r="U963" s="10"/>
      <c r="V963" s="2"/>
      <c r="W963" s="7"/>
      <c r="X963" s="7"/>
      <c r="Y963" s="2"/>
      <c r="Z963" s="2"/>
      <c r="AA963" s="2"/>
    </row>
    <row r="964">
      <c r="A964" s="2"/>
      <c r="B964" s="2"/>
      <c r="C964" s="2"/>
      <c r="D964" s="2"/>
      <c r="E964" s="2"/>
      <c r="F964" s="2"/>
      <c r="G964" s="2"/>
      <c r="H964" s="2"/>
      <c r="I964" s="2"/>
      <c r="J964" s="2"/>
      <c r="K964" s="2"/>
      <c r="L964" s="2"/>
      <c r="M964" s="2"/>
      <c r="N964" s="2"/>
      <c r="O964" s="2"/>
      <c r="P964" s="2"/>
      <c r="Q964" s="2"/>
      <c r="R964" s="2"/>
      <c r="S964" s="7"/>
      <c r="T964" s="2"/>
      <c r="U964" s="10"/>
      <c r="V964" s="2"/>
      <c r="W964" s="7"/>
      <c r="X964" s="7"/>
      <c r="Y964" s="2"/>
      <c r="Z964" s="2"/>
      <c r="AA964" s="2"/>
    </row>
    <row r="965">
      <c r="A965" s="2"/>
      <c r="B965" s="2"/>
      <c r="C965" s="2"/>
      <c r="D965" s="2"/>
      <c r="E965" s="2"/>
      <c r="F965" s="2"/>
      <c r="G965" s="2"/>
      <c r="H965" s="2"/>
      <c r="I965" s="2"/>
      <c r="J965" s="2"/>
      <c r="K965" s="2"/>
      <c r="L965" s="2"/>
      <c r="M965" s="2"/>
      <c r="N965" s="2"/>
      <c r="O965" s="2"/>
      <c r="P965" s="2"/>
      <c r="Q965" s="2"/>
      <c r="R965" s="2"/>
      <c r="S965" s="7"/>
      <c r="T965" s="2"/>
      <c r="U965" s="10"/>
      <c r="V965" s="2"/>
      <c r="W965" s="7"/>
      <c r="X965" s="7"/>
      <c r="Y965" s="2"/>
      <c r="Z965" s="2"/>
      <c r="AA965" s="2"/>
    </row>
    <row r="966">
      <c r="A966" s="2"/>
      <c r="B966" s="2"/>
      <c r="C966" s="2"/>
      <c r="D966" s="2"/>
      <c r="E966" s="2"/>
      <c r="F966" s="2"/>
      <c r="G966" s="2"/>
      <c r="H966" s="2"/>
      <c r="I966" s="2"/>
      <c r="J966" s="2"/>
      <c r="K966" s="2"/>
      <c r="L966" s="2"/>
      <c r="M966" s="2"/>
      <c r="N966" s="2"/>
      <c r="O966" s="2"/>
      <c r="P966" s="2"/>
      <c r="Q966" s="2"/>
      <c r="R966" s="2"/>
      <c r="S966" s="7"/>
      <c r="T966" s="2"/>
      <c r="U966" s="10"/>
      <c r="V966" s="2"/>
      <c r="W966" s="7"/>
      <c r="X966" s="7"/>
      <c r="Y966" s="2"/>
      <c r="Z966" s="2"/>
      <c r="AA966" s="2"/>
    </row>
    <row r="967">
      <c r="A967" s="2"/>
      <c r="B967" s="2"/>
      <c r="C967" s="2"/>
      <c r="D967" s="2"/>
      <c r="E967" s="2"/>
      <c r="F967" s="2"/>
      <c r="G967" s="2"/>
      <c r="H967" s="2"/>
      <c r="I967" s="2"/>
      <c r="J967" s="2"/>
      <c r="K967" s="2"/>
      <c r="L967" s="2"/>
      <c r="M967" s="2"/>
      <c r="N967" s="2"/>
      <c r="O967" s="2"/>
      <c r="P967" s="2"/>
      <c r="Q967" s="2"/>
      <c r="R967" s="2"/>
      <c r="S967" s="7"/>
      <c r="T967" s="2"/>
      <c r="U967" s="10"/>
      <c r="V967" s="2"/>
      <c r="W967" s="7"/>
      <c r="X967" s="7"/>
      <c r="Y967" s="2"/>
      <c r="Z967" s="2"/>
      <c r="AA967" s="2"/>
    </row>
    <row r="968">
      <c r="A968" s="2"/>
      <c r="B968" s="2"/>
      <c r="C968" s="2"/>
      <c r="D968" s="2"/>
      <c r="E968" s="2"/>
      <c r="F968" s="2"/>
      <c r="G968" s="2"/>
      <c r="H968" s="2"/>
      <c r="I968" s="2"/>
      <c r="J968" s="2"/>
      <c r="K968" s="2"/>
      <c r="L968" s="2"/>
      <c r="M968" s="2"/>
      <c r="N968" s="2"/>
      <c r="O968" s="2"/>
      <c r="P968" s="2"/>
      <c r="Q968" s="2"/>
      <c r="R968" s="2"/>
      <c r="S968" s="7"/>
      <c r="T968" s="2"/>
      <c r="U968" s="10"/>
      <c r="V968" s="2"/>
      <c r="W968" s="7"/>
      <c r="X968" s="7"/>
      <c r="Y968" s="2"/>
      <c r="Z968" s="2"/>
      <c r="AA968" s="2"/>
    </row>
    <row r="969">
      <c r="A969" s="2"/>
      <c r="B969" s="2"/>
      <c r="C969" s="2"/>
      <c r="D969" s="2"/>
      <c r="E969" s="2"/>
      <c r="F969" s="2"/>
      <c r="G969" s="2"/>
      <c r="H969" s="2"/>
      <c r="I969" s="2"/>
      <c r="J969" s="2"/>
      <c r="K969" s="2"/>
      <c r="L969" s="2"/>
      <c r="M969" s="2"/>
      <c r="N969" s="2"/>
      <c r="O969" s="2"/>
      <c r="P969" s="2"/>
      <c r="Q969" s="2"/>
      <c r="R969" s="2"/>
      <c r="S969" s="7"/>
      <c r="T969" s="2"/>
      <c r="U969" s="10"/>
      <c r="V969" s="2"/>
      <c r="W969" s="7"/>
      <c r="X969" s="7"/>
      <c r="Y969" s="2"/>
      <c r="Z969" s="2"/>
      <c r="AA969" s="2"/>
    </row>
    <row r="970">
      <c r="A970" s="2"/>
      <c r="B970" s="2"/>
      <c r="C970" s="2"/>
      <c r="D970" s="2"/>
      <c r="E970" s="2"/>
      <c r="F970" s="2"/>
      <c r="G970" s="2"/>
      <c r="H970" s="2"/>
      <c r="I970" s="2"/>
      <c r="J970" s="2"/>
      <c r="K970" s="2"/>
      <c r="L970" s="2"/>
      <c r="M970" s="2"/>
      <c r="N970" s="2"/>
      <c r="O970" s="2"/>
      <c r="P970" s="2"/>
      <c r="Q970" s="2"/>
      <c r="R970" s="2"/>
      <c r="S970" s="7"/>
      <c r="T970" s="2"/>
      <c r="U970" s="10"/>
      <c r="V970" s="2"/>
      <c r="W970" s="7"/>
      <c r="X970" s="7"/>
      <c r="Y970" s="2"/>
      <c r="Z970" s="2"/>
      <c r="AA970" s="2"/>
    </row>
    <row r="971">
      <c r="A971" s="2"/>
      <c r="B971" s="2"/>
      <c r="C971" s="2"/>
      <c r="D971" s="2"/>
      <c r="E971" s="2"/>
      <c r="F971" s="2"/>
      <c r="G971" s="2"/>
      <c r="H971" s="2"/>
      <c r="I971" s="2"/>
      <c r="J971" s="2"/>
      <c r="K971" s="2"/>
      <c r="L971" s="2"/>
      <c r="M971" s="2"/>
      <c r="N971" s="2"/>
      <c r="O971" s="2"/>
      <c r="P971" s="2"/>
      <c r="Q971" s="2"/>
      <c r="R971" s="2"/>
      <c r="S971" s="7"/>
      <c r="T971" s="2"/>
      <c r="U971" s="10"/>
      <c r="V971" s="2"/>
      <c r="W971" s="7"/>
      <c r="X971" s="7"/>
      <c r="Y971" s="2"/>
      <c r="Z971" s="2"/>
      <c r="AA971" s="2"/>
    </row>
    <row r="972">
      <c r="A972" s="2"/>
      <c r="B972" s="2"/>
      <c r="C972" s="2"/>
      <c r="D972" s="2"/>
      <c r="E972" s="2"/>
      <c r="F972" s="2"/>
      <c r="G972" s="2"/>
      <c r="H972" s="2"/>
      <c r="I972" s="2"/>
      <c r="J972" s="2"/>
      <c r="K972" s="2"/>
      <c r="L972" s="2"/>
      <c r="M972" s="2"/>
      <c r="N972" s="2"/>
      <c r="O972" s="2"/>
      <c r="P972" s="2"/>
      <c r="Q972" s="2"/>
      <c r="R972" s="2"/>
      <c r="S972" s="7"/>
      <c r="T972" s="2"/>
      <c r="U972" s="10"/>
      <c r="V972" s="2"/>
      <c r="W972" s="7"/>
      <c r="X972" s="7"/>
      <c r="Y972" s="2"/>
      <c r="Z972" s="2"/>
      <c r="AA972" s="2"/>
    </row>
    <row r="973">
      <c r="A973" s="2"/>
      <c r="B973" s="2"/>
      <c r="C973" s="2"/>
      <c r="D973" s="2"/>
      <c r="E973" s="2"/>
      <c r="F973" s="2"/>
      <c r="G973" s="2"/>
      <c r="H973" s="2"/>
      <c r="I973" s="2"/>
      <c r="J973" s="2"/>
      <c r="K973" s="2"/>
      <c r="L973" s="2"/>
      <c r="M973" s="2"/>
      <c r="N973" s="2"/>
      <c r="O973" s="2"/>
      <c r="P973" s="2"/>
      <c r="Q973" s="2"/>
      <c r="R973" s="2"/>
      <c r="S973" s="7"/>
      <c r="T973" s="2"/>
      <c r="U973" s="10"/>
      <c r="V973" s="2"/>
      <c r="W973" s="7"/>
      <c r="X973" s="7"/>
      <c r="Y973" s="2"/>
      <c r="Z973" s="2"/>
      <c r="AA973" s="2"/>
    </row>
    <row r="974">
      <c r="A974" s="2"/>
      <c r="B974" s="2"/>
      <c r="C974" s="2"/>
      <c r="D974" s="2"/>
      <c r="E974" s="2"/>
      <c r="F974" s="2"/>
      <c r="G974" s="2"/>
      <c r="H974" s="2"/>
      <c r="I974" s="2"/>
      <c r="J974" s="2"/>
      <c r="K974" s="2"/>
      <c r="L974" s="2"/>
      <c r="M974" s="2"/>
      <c r="N974" s="2"/>
      <c r="O974" s="2"/>
      <c r="P974" s="2"/>
      <c r="Q974" s="2"/>
      <c r="R974" s="2"/>
      <c r="S974" s="7"/>
      <c r="T974" s="2"/>
      <c r="U974" s="10"/>
      <c r="V974" s="2"/>
      <c r="W974" s="7"/>
      <c r="X974" s="7"/>
      <c r="Y974" s="2"/>
      <c r="Z974" s="2"/>
      <c r="AA974" s="2"/>
    </row>
    <row r="975">
      <c r="A975" s="2"/>
      <c r="B975" s="2"/>
      <c r="C975" s="2"/>
      <c r="D975" s="2"/>
      <c r="E975" s="2"/>
      <c r="F975" s="2"/>
      <c r="G975" s="2"/>
      <c r="H975" s="2"/>
      <c r="I975" s="2"/>
      <c r="J975" s="2"/>
      <c r="K975" s="2"/>
      <c r="L975" s="2"/>
      <c r="M975" s="2"/>
      <c r="N975" s="2"/>
      <c r="O975" s="2"/>
      <c r="P975" s="2"/>
      <c r="Q975" s="2"/>
      <c r="R975" s="2"/>
      <c r="S975" s="7"/>
      <c r="T975" s="2"/>
      <c r="U975" s="10"/>
      <c r="V975" s="2"/>
      <c r="W975" s="7"/>
      <c r="X975" s="7"/>
      <c r="Y975" s="2"/>
      <c r="Z975" s="2"/>
      <c r="AA975" s="2"/>
    </row>
    <row r="976">
      <c r="A976" s="2"/>
      <c r="B976" s="2"/>
      <c r="C976" s="2"/>
      <c r="D976" s="2"/>
      <c r="E976" s="2"/>
      <c r="F976" s="2"/>
      <c r="G976" s="2"/>
      <c r="H976" s="2"/>
      <c r="I976" s="2"/>
      <c r="J976" s="2"/>
      <c r="K976" s="2"/>
      <c r="L976" s="2"/>
      <c r="M976" s="2"/>
      <c r="N976" s="2"/>
      <c r="O976" s="2"/>
      <c r="P976" s="2"/>
      <c r="Q976" s="2"/>
      <c r="R976" s="2"/>
      <c r="S976" s="7"/>
      <c r="T976" s="2"/>
      <c r="U976" s="10"/>
      <c r="V976" s="2"/>
      <c r="W976" s="7"/>
      <c r="X976" s="7"/>
      <c r="Y976" s="2"/>
      <c r="Z976" s="2"/>
      <c r="AA976" s="2"/>
    </row>
    <row r="977">
      <c r="A977" s="2"/>
      <c r="B977" s="2"/>
      <c r="C977" s="2"/>
      <c r="D977" s="2"/>
      <c r="E977" s="2"/>
      <c r="F977" s="2"/>
      <c r="G977" s="2"/>
      <c r="H977" s="2"/>
      <c r="I977" s="2"/>
      <c r="J977" s="2"/>
      <c r="K977" s="2"/>
      <c r="L977" s="2"/>
      <c r="M977" s="2"/>
      <c r="N977" s="2"/>
      <c r="O977" s="2"/>
      <c r="P977" s="2"/>
      <c r="Q977" s="2"/>
      <c r="R977" s="2"/>
      <c r="S977" s="7"/>
      <c r="T977" s="2"/>
      <c r="U977" s="10"/>
      <c r="V977" s="2"/>
      <c r="W977" s="7"/>
      <c r="X977" s="7"/>
      <c r="Y977" s="2"/>
      <c r="Z977" s="2"/>
      <c r="AA977" s="2"/>
    </row>
    <row r="978">
      <c r="A978" s="2"/>
      <c r="B978" s="2"/>
      <c r="C978" s="2"/>
      <c r="D978" s="2"/>
      <c r="E978" s="2"/>
      <c r="F978" s="2"/>
      <c r="G978" s="2"/>
      <c r="H978" s="2"/>
      <c r="I978" s="2"/>
      <c r="J978" s="2"/>
      <c r="K978" s="2"/>
      <c r="L978" s="2"/>
      <c r="M978" s="2"/>
      <c r="N978" s="2"/>
      <c r="O978" s="2"/>
      <c r="P978" s="2"/>
      <c r="Q978" s="2"/>
      <c r="R978" s="2"/>
      <c r="S978" s="7"/>
      <c r="T978" s="2"/>
      <c r="U978" s="10"/>
      <c r="V978" s="2"/>
      <c r="W978" s="7"/>
      <c r="X978" s="7"/>
      <c r="Y978" s="2"/>
      <c r="Z978" s="2"/>
      <c r="AA978" s="2"/>
    </row>
    <row r="979">
      <c r="A979" s="2"/>
      <c r="B979" s="2"/>
      <c r="C979" s="2"/>
      <c r="D979" s="2"/>
      <c r="E979" s="2"/>
      <c r="F979" s="2"/>
      <c r="G979" s="2"/>
      <c r="H979" s="2"/>
      <c r="I979" s="2"/>
      <c r="J979" s="2"/>
      <c r="K979" s="2"/>
      <c r="L979" s="2"/>
      <c r="M979" s="2"/>
      <c r="N979" s="2"/>
      <c r="O979" s="2"/>
      <c r="P979" s="2"/>
      <c r="Q979" s="2"/>
      <c r="R979" s="2"/>
      <c r="S979" s="7"/>
      <c r="T979" s="2"/>
      <c r="U979" s="10"/>
      <c r="V979" s="2"/>
      <c r="W979" s="7"/>
      <c r="X979" s="7"/>
      <c r="Y979" s="2"/>
      <c r="Z979" s="2"/>
      <c r="AA979" s="2"/>
    </row>
    <row r="980">
      <c r="A980" s="2"/>
      <c r="B980" s="2"/>
      <c r="C980" s="2"/>
      <c r="D980" s="2"/>
      <c r="E980" s="2"/>
      <c r="F980" s="2"/>
      <c r="G980" s="2"/>
      <c r="H980" s="2"/>
      <c r="I980" s="2"/>
      <c r="J980" s="2"/>
      <c r="K980" s="2"/>
      <c r="L980" s="2"/>
      <c r="M980" s="2"/>
      <c r="N980" s="2"/>
      <c r="O980" s="2"/>
      <c r="P980" s="2"/>
      <c r="Q980" s="2"/>
      <c r="R980" s="2"/>
      <c r="S980" s="7"/>
      <c r="T980" s="2"/>
      <c r="U980" s="10"/>
      <c r="V980" s="2"/>
      <c r="W980" s="7"/>
      <c r="X980" s="7"/>
      <c r="Y980" s="2"/>
      <c r="Z980" s="2"/>
      <c r="AA980" s="2"/>
    </row>
    <row r="981">
      <c r="A981" s="2"/>
      <c r="B981" s="2"/>
      <c r="C981" s="2"/>
      <c r="D981" s="2"/>
      <c r="E981" s="2"/>
      <c r="F981" s="2"/>
      <c r="G981" s="2"/>
      <c r="H981" s="2"/>
      <c r="I981" s="2"/>
      <c r="J981" s="2"/>
      <c r="K981" s="2"/>
      <c r="L981" s="2"/>
      <c r="M981" s="2"/>
      <c r="N981" s="2"/>
      <c r="O981" s="2"/>
      <c r="P981" s="2"/>
      <c r="Q981" s="2"/>
      <c r="R981" s="2"/>
      <c r="S981" s="7"/>
      <c r="T981" s="2"/>
      <c r="U981" s="10"/>
      <c r="V981" s="2"/>
      <c r="W981" s="7"/>
      <c r="X981" s="7"/>
      <c r="Y981" s="2"/>
      <c r="Z981" s="2"/>
      <c r="AA981" s="2"/>
    </row>
    <row r="982">
      <c r="A982" s="2"/>
      <c r="B982" s="2"/>
      <c r="C982" s="2"/>
      <c r="D982" s="2"/>
      <c r="E982" s="2"/>
      <c r="F982" s="2"/>
      <c r="G982" s="2"/>
      <c r="H982" s="2"/>
      <c r="I982" s="2"/>
      <c r="J982" s="2"/>
      <c r="K982" s="2"/>
      <c r="L982" s="2"/>
      <c r="M982" s="2"/>
      <c r="N982" s="2"/>
      <c r="O982" s="2"/>
      <c r="P982" s="2"/>
      <c r="Q982" s="2"/>
      <c r="R982" s="2"/>
      <c r="S982" s="7"/>
      <c r="T982" s="2"/>
      <c r="U982" s="10"/>
      <c r="V982" s="2"/>
      <c r="W982" s="7"/>
      <c r="X982" s="7"/>
      <c r="Y982" s="2"/>
      <c r="Z982" s="2"/>
      <c r="AA982" s="2"/>
    </row>
    <row r="983">
      <c r="A983" s="2"/>
      <c r="B983" s="2"/>
      <c r="C983" s="2"/>
      <c r="D983" s="2"/>
      <c r="E983" s="2"/>
      <c r="F983" s="2"/>
      <c r="G983" s="2"/>
      <c r="H983" s="2"/>
      <c r="I983" s="2"/>
      <c r="J983" s="2"/>
      <c r="K983" s="2"/>
      <c r="L983" s="2"/>
      <c r="M983" s="2"/>
      <c r="N983" s="2"/>
      <c r="O983" s="2"/>
      <c r="P983" s="2"/>
      <c r="Q983" s="2"/>
      <c r="R983" s="2"/>
      <c r="S983" s="7"/>
      <c r="T983" s="2"/>
      <c r="U983" s="10"/>
      <c r="V983" s="2"/>
      <c r="W983" s="7"/>
      <c r="X983" s="7"/>
      <c r="Y983" s="2"/>
      <c r="Z983" s="2"/>
      <c r="AA983" s="2"/>
    </row>
    <row r="984">
      <c r="A984" s="2"/>
      <c r="B984" s="2"/>
      <c r="C984" s="2"/>
      <c r="D984" s="2"/>
      <c r="E984" s="2"/>
      <c r="F984" s="2"/>
      <c r="G984" s="2"/>
      <c r="H984" s="2"/>
      <c r="I984" s="2"/>
      <c r="J984" s="2"/>
      <c r="K984" s="2"/>
      <c r="L984" s="2"/>
      <c r="M984" s="2"/>
      <c r="N984" s="2"/>
      <c r="O984" s="2"/>
      <c r="P984" s="2"/>
      <c r="Q984" s="2"/>
      <c r="R984" s="2"/>
      <c r="S984" s="7"/>
      <c r="T984" s="2"/>
      <c r="U984" s="10"/>
      <c r="V984" s="2"/>
      <c r="W984" s="7"/>
      <c r="X984" s="7"/>
      <c r="Y984" s="2"/>
      <c r="Z984" s="2"/>
      <c r="AA984" s="2"/>
    </row>
    <row r="985">
      <c r="A985" s="2"/>
      <c r="B985" s="2"/>
      <c r="C985" s="2"/>
      <c r="D985" s="2"/>
      <c r="E985" s="2"/>
      <c r="F985" s="2"/>
      <c r="G985" s="2"/>
      <c r="H985" s="2"/>
      <c r="I985" s="2"/>
      <c r="J985" s="2"/>
      <c r="K985" s="2"/>
      <c r="L985" s="2"/>
      <c r="M985" s="2"/>
      <c r="N985" s="2"/>
      <c r="O985" s="2"/>
      <c r="P985" s="2"/>
      <c r="Q985" s="2"/>
      <c r="R985" s="2"/>
      <c r="S985" s="7"/>
      <c r="T985" s="2"/>
      <c r="U985" s="10"/>
      <c r="V985" s="2"/>
      <c r="W985" s="7"/>
      <c r="X985" s="7"/>
      <c r="Y985" s="2"/>
      <c r="Z985" s="2"/>
      <c r="AA985" s="2"/>
    </row>
    <row r="986">
      <c r="A986" s="2"/>
      <c r="B986" s="2"/>
      <c r="C986" s="2"/>
      <c r="D986" s="2"/>
      <c r="E986" s="2"/>
      <c r="F986" s="2"/>
      <c r="G986" s="2"/>
      <c r="H986" s="2"/>
      <c r="I986" s="2"/>
      <c r="J986" s="2"/>
      <c r="K986" s="2"/>
      <c r="L986" s="2"/>
      <c r="M986" s="2"/>
      <c r="N986" s="2"/>
      <c r="O986" s="2"/>
      <c r="P986" s="2"/>
      <c r="Q986" s="2"/>
      <c r="R986" s="2"/>
      <c r="S986" s="7"/>
      <c r="T986" s="2"/>
      <c r="U986" s="10"/>
      <c r="V986" s="2"/>
      <c r="W986" s="7"/>
      <c r="X986" s="7"/>
      <c r="Y986" s="2"/>
      <c r="Z986" s="2"/>
      <c r="AA986" s="2"/>
    </row>
    <row r="987">
      <c r="A987" s="2"/>
      <c r="B987" s="2"/>
      <c r="C987" s="2"/>
      <c r="D987" s="2"/>
      <c r="E987" s="2"/>
      <c r="F987" s="2"/>
      <c r="G987" s="2"/>
      <c r="H987" s="2"/>
      <c r="I987" s="2"/>
      <c r="J987" s="2"/>
      <c r="K987" s="2"/>
      <c r="L987" s="2"/>
      <c r="M987" s="2"/>
      <c r="N987" s="2"/>
      <c r="O987" s="2"/>
      <c r="P987" s="2"/>
      <c r="Q987" s="2"/>
      <c r="R987" s="2"/>
      <c r="S987" s="7"/>
      <c r="T987" s="2"/>
      <c r="U987" s="10"/>
      <c r="V987" s="2"/>
      <c r="W987" s="7"/>
      <c r="X987" s="7"/>
      <c r="Y987" s="2"/>
      <c r="Z987" s="2"/>
      <c r="AA987" s="2"/>
    </row>
    <row r="988">
      <c r="A988" s="2"/>
      <c r="B988" s="2"/>
      <c r="C988" s="2"/>
      <c r="D988" s="2"/>
      <c r="E988" s="2"/>
      <c r="F988" s="2"/>
      <c r="G988" s="2"/>
      <c r="H988" s="2"/>
      <c r="I988" s="2"/>
      <c r="J988" s="2"/>
      <c r="K988" s="2"/>
      <c r="L988" s="2"/>
      <c r="M988" s="2"/>
      <c r="N988" s="2"/>
      <c r="O988" s="2"/>
      <c r="P988" s="2"/>
      <c r="Q988" s="2"/>
      <c r="R988" s="2"/>
      <c r="S988" s="7"/>
      <c r="T988" s="2"/>
      <c r="U988" s="10"/>
      <c r="V988" s="2"/>
      <c r="W988" s="7"/>
      <c r="X988" s="7"/>
      <c r="Y988" s="2"/>
      <c r="Z988" s="2"/>
      <c r="AA988" s="2"/>
    </row>
    <row r="989">
      <c r="A989" s="2"/>
      <c r="B989" s="2"/>
      <c r="C989" s="2"/>
      <c r="D989" s="2"/>
      <c r="E989" s="2"/>
      <c r="F989" s="2"/>
      <c r="G989" s="2"/>
      <c r="H989" s="2"/>
      <c r="I989" s="2"/>
      <c r="J989" s="2"/>
      <c r="K989" s="2"/>
      <c r="L989" s="2"/>
      <c r="M989" s="2"/>
      <c r="N989" s="2"/>
      <c r="O989" s="2"/>
      <c r="P989" s="2"/>
      <c r="Q989" s="2"/>
      <c r="R989" s="2"/>
      <c r="S989" s="7"/>
      <c r="T989" s="2"/>
      <c r="U989" s="10"/>
      <c r="V989" s="2"/>
      <c r="W989" s="7"/>
      <c r="X989" s="7"/>
      <c r="Y989" s="2"/>
      <c r="Z989" s="2"/>
      <c r="AA989" s="2"/>
    </row>
    <row r="990">
      <c r="A990" s="2"/>
      <c r="B990" s="2"/>
      <c r="C990" s="2"/>
      <c r="D990" s="2"/>
      <c r="E990" s="2"/>
      <c r="F990" s="2"/>
      <c r="G990" s="2"/>
      <c r="H990" s="2"/>
      <c r="I990" s="2"/>
      <c r="J990" s="2"/>
      <c r="K990" s="2"/>
      <c r="L990" s="2"/>
      <c r="M990" s="2"/>
      <c r="N990" s="2"/>
      <c r="O990" s="2"/>
      <c r="P990" s="2"/>
      <c r="Q990" s="2"/>
      <c r="R990" s="2"/>
      <c r="S990" s="7"/>
      <c r="T990" s="2"/>
      <c r="U990" s="10"/>
      <c r="V990" s="2"/>
      <c r="W990" s="7"/>
      <c r="X990" s="7"/>
      <c r="Y990" s="2"/>
      <c r="Z990" s="2"/>
      <c r="AA990" s="2"/>
    </row>
    <row r="991">
      <c r="A991" s="2"/>
      <c r="B991" s="2"/>
      <c r="C991" s="2"/>
      <c r="D991" s="2"/>
      <c r="E991" s="2"/>
      <c r="F991" s="2"/>
      <c r="G991" s="2"/>
      <c r="H991" s="2"/>
      <c r="I991" s="2"/>
      <c r="J991" s="2"/>
      <c r="K991" s="2"/>
      <c r="L991" s="2"/>
      <c r="M991" s="2"/>
      <c r="N991" s="2"/>
      <c r="O991" s="2"/>
      <c r="P991" s="2"/>
      <c r="Q991" s="2"/>
      <c r="R991" s="2"/>
      <c r="S991" s="7"/>
      <c r="T991" s="2"/>
      <c r="U991" s="10"/>
      <c r="V991" s="2"/>
      <c r="W991" s="7"/>
      <c r="X991" s="7"/>
      <c r="Y991" s="2"/>
      <c r="Z991" s="2"/>
      <c r="AA991" s="2"/>
    </row>
    <row r="992">
      <c r="A992" s="2"/>
      <c r="B992" s="2"/>
      <c r="C992" s="2"/>
      <c r="D992" s="2"/>
      <c r="E992" s="2"/>
      <c r="F992" s="2"/>
      <c r="G992" s="2"/>
      <c r="H992" s="2"/>
      <c r="I992" s="2"/>
      <c r="J992" s="2"/>
      <c r="K992" s="2"/>
      <c r="L992" s="2"/>
      <c r="M992" s="2"/>
      <c r="N992" s="2"/>
      <c r="O992" s="2"/>
      <c r="P992" s="2"/>
      <c r="Q992" s="2"/>
      <c r="R992" s="2"/>
      <c r="S992" s="7"/>
      <c r="T992" s="2"/>
      <c r="U992" s="10"/>
      <c r="V992" s="2"/>
      <c r="W992" s="7"/>
      <c r="X992" s="7"/>
      <c r="Y992" s="2"/>
      <c r="Z992" s="2"/>
      <c r="AA992" s="2"/>
    </row>
    <row r="993">
      <c r="A993" s="2"/>
      <c r="B993" s="2"/>
      <c r="C993" s="2"/>
      <c r="D993" s="2"/>
      <c r="E993" s="2"/>
      <c r="F993" s="2"/>
      <c r="G993" s="2"/>
      <c r="H993" s="2"/>
      <c r="I993" s="2"/>
      <c r="J993" s="2"/>
      <c r="K993" s="2"/>
      <c r="L993" s="2"/>
      <c r="M993" s="2"/>
      <c r="N993" s="2"/>
      <c r="O993" s="2"/>
      <c r="P993" s="2"/>
      <c r="Q993" s="2"/>
      <c r="R993" s="2"/>
      <c r="S993" s="7"/>
      <c r="T993" s="2"/>
      <c r="U993" s="10"/>
      <c r="V993" s="2"/>
      <c r="W993" s="7"/>
      <c r="X993" s="7"/>
      <c r="Y993" s="2"/>
      <c r="Z993" s="2"/>
      <c r="AA993" s="2"/>
    </row>
    <row r="994">
      <c r="A994" s="2"/>
      <c r="B994" s="2"/>
      <c r="C994" s="2"/>
      <c r="D994" s="2"/>
      <c r="E994" s="2"/>
      <c r="F994" s="2"/>
      <c r="G994" s="2"/>
      <c r="H994" s="2"/>
      <c r="I994" s="2"/>
      <c r="J994" s="2"/>
      <c r="K994" s="2"/>
      <c r="L994" s="2"/>
      <c r="M994" s="2"/>
      <c r="N994" s="2"/>
      <c r="O994" s="2"/>
      <c r="P994" s="2"/>
      <c r="Q994" s="2"/>
      <c r="R994" s="2"/>
      <c r="S994" s="7"/>
      <c r="T994" s="2"/>
      <c r="U994" s="10"/>
      <c r="V994" s="2"/>
      <c r="W994" s="7"/>
      <c r="X994" s="7"/>
      <c r="Y994" s="2"/>
      <c r="Z994" s="2"/>
      <c r="AA994" s="2"/>
    </row>
    <row r="995">
      <c r="A995" s="2"/>
      <c r="B995" s="2"/>
      <c r="C995" s="2"/>
      <c r="D995" s="2"/>
      <c r="E995" s="2"/>
      <c r="F995" s="2"/>
      <c r="G995" s="2"/>
      <c r="H995" s="2"/>
      <c r="I995" s="2"/>
      <c r="J995" s="2"/>
      <c r="K995" s="2"/>
      <c r="L995" s="2"/>
      <c r="M995" s="2"/>
      <c r="N995" s="2"/>
      <c r="O995" s="2"/>
      <c r="P995" s="2"/>
      <c r="Q995" s="2"/>
      <c r="R995" s="2"/>
      <c r="S995" s="7"/>
      <c r="T995" s="2"/>
      <c r="U995" s="10"/>
      <c r="V995" s="2"/>
      <c r="W995" s="7"/>
      <c r="X995" s="7"/>
      <c r="Y995" s="2"/>
      <c r="Z995" s="2"/>
      <c r="AA995" s="2"/>
    </row>
    <row r="996">
      <c r="A996" s="2"/>
      <c r="B996" s="2"/>
      <c r="C996" s="2"/>
      <c r="D996" s="2"/>
      <c r="E996" s="2"/>
      <c r="F996" s="2"/>
      <c r="G996" s="2"/>
      <c r="H996" s="2"/>
      <c r="I996" s="2"/>
      <c r="J996" s="2"/>
      <c r="K996" s="2"/>
      <c r="L996" s="2"/>
      <c r="M996" s="2"/>
      <c r="N996" s="2"/>
      <c r="O996" s="2"/>
      <c r="P996" s="2"/>
      <c r="Q996" s="2"/>
      <c r="R996" s="2"/>
      <c r="S996" s="7"/>
      <c r="T996" s="2"/>
      <c r="U996" s="10"/>
      <c r="V996" s="2"/>
      <c r="W996" s="7"/>
      <c r="X996" s="7"/>
      <c r="Y996" s="2"/>
      <c r="Z996" s="2"/>
      <c r="AA996" s="2"/>
    </row>
    <row r="997">
      <c r="A997" s="2"/>
      <c r="B997" s="2"/>
      <c r="C997" s="2"/>
      <c r="D997" s="2"/>
      <c r="E997" s="2"/>
      <c r="F997" s="2"/>
      <c r="G997" s="2"/>
      <c r="H997" s="2"/>
      <c r="I997" s="2"/>
      <c r="J997" s="2"/>
      <c r="K997" s="2"/>
      <c r="L997" s="2"/>
      <c r="M997" s="2"/>
      <c r="N997" s="2"/>
      <c r="O997" s="2"/>
      <c r="P997" s="2"/>
      <c r="Q997" s="2"/>
      <c r="R997" s="2"/>
      <c r="S997" s="7"/>
      <c r="T997" s="2"/>
      <c r="U997" s="10"/>
      <c r="V997" s="2"/>
      <c r="W997" s="7"/>
      <c r="X997" s="7"/>
      <c r="Y997" s="2"/>
      <c r="Z997" s="2"/>
      <c r="AA997" s="2"/>
    </row>
    <row r="998">
      <c r="A998" s="2"/>
      <c r="B998" s="2"/>
      <c r="C998" s="2"/>
      <c r="D998" s="2"/>
      <c r="E998" s="2"/>
      <c r="F998" s="2"/>
      <c r="G998" s="2"/>
      <c r="H998" s="2"/>
      <c r="I998" s="2"/>
      <c r="J998" s="2"/>
      <c r="K998" s="2"/>
      <c r="L998" s="2"/>
      <c r="M998" s="2"/>
      <c r="N998" s="2"/>
      <c r="O998" s="2"/>
      <c r="P998" s="2"/>
      <c r="Q998" s="2"/>
      <c r="R998" s="2"/>
      <c r="S998" s="7"/>
      <c r="T998" s="2"/>
      <c r="U998" s="10"/>
      <c r="V998" s="2"/>
      <c r="W998" s="7"/>
      <c r="X998" s="7"/>
      <c r="Y998" s="2"/>
      <c r="Z998" s="2"/>
      <c r="AA998" s="2"/>
    </row>
    <row r="999">
      <c r="A999" s="2"/>
      <c r="B999" s="2"/>
      <c r="C999" s="2"/>
      <c r="D999" s="2"/>
      <c r="E999" s="2"/>
      <c r="F999" s="2"/>
      <c r="G999" s="2"/>
      <c r="H999" s="2"/>
      <c r="I999" s="2"/>
      <c r="J999" s="2"/>
      <c r="K999" s="2"/>
      <c r="L999" s="2"/>
      <c r="M999" s="2"/>
      <c r="N999" s="2"/>
      <c r="O999" s="2"/>
      <c r="P999" s="2"/>
      <c r="Q999" s="2"/>
      <c r="R999" s="2"/>
      <c r="S999" s="7"/>
      <c r="T999" s="2"/>
      <c r="U999" s="10"/>
      <c r="V999" s="2"/>
      <c r="W999" s="7"/>
      <c r="X999" s="7"/>
      <c r="Y999" s="2"/>
      <c r="Z999" s="2"/>
      <c r="AA999" s="2"/>
    </row>
    <row r="1000">
      <c r="A1000" s="2"/>
      <c r="B1000" s="2"/>
      <c r="C1000" s="2"/>
      <c r="D1000" s="2"/>
      <c r="E1000" s="2"/>
      <c r="F1000" s="2"/>
      <c r="G1000" s="2"/>
      <c r="H1000" s="2"/>
      <c r="I1000" s="2"/>
      <c r="J1000" s="2"/>
      <c r="K1000" s="2"/>
      <c r="L1000" s="2"/>
      <c r="M1000" s="2"/>
      <c r="N1000" s="2"/>
      <c r="O1000" s="2"/>
      <c r="P1000" s="2"/>
      <c r="Q1000" s="2"/>
      <c r="R1000" s="2"/>
      <c r="S1000" s="7"/>
      <c r="T1000" s="2"/>
      <c r="U1000" s="10"/>
      <c r="V1000" s="2"/>
      <c r="W1000" s="7"/>
      <c r="X1000" s="7"/>
      <c r="Y1000" s="2"/>
      <c r="Z1000" s="2"/>
      <c r="AA1000" s="2"/>
    </row>
    <row r="1001">
      <c r="A1001" s="2"/>
      <c r="B1001" s="2"/>
      <c r="C1001" s="2"/>
      <c r="D1001" s="2"/>
      <c r="E1001" s="2"/>
      <c r="F1001" s="2"/>
      <c r="G1001" s="2"/>
      <c r="H1001" s="2"/>
      <c r="I1001" s="2"/>
      <c r="J1001" s="2"/>
      <c r="K1001" s="2"/>
      <c r="L1001" s="2"/>
      <c r="M1001" s="2"/>
      <c r="N1001" s="2"/>
      <c r="O1001" s="2"/>
      <c r="P1001" s="2"/>
      <c r="Q1001" s="2"/>
      <c r="R1001" s="2"/>
      <c r="S1001" s="7"/>
      <c r="T1001" s="2"/>
      <c r="U1001" s="10"/>
      <c r="V1001" s="2"/>
      <c r="W1001" s="7"/>
      <c r="X1001" s="7"/>
      <c r="Y1001" s="2"/>
      <c r="Z1001" s="2"/>
      <c r="AA1001" s="2"/>
    </row>
    <row r="1002">
      <c r="A1002" s="2"/>
      <c r="B1002" s="2"/>
      <c r="C1002" s="2"/>
      <c r="D1002" s="2"/>
      <c r="E1002" s="2"/>
      <c r="F1002" s="2"/>
      <c r="G1002" s="2"/>
      <c r="H1002" s="2"/>
      <c r="I1002" s="2"/>
      <c r="J1002" s="2"/>
      <c r="K1002" s="2"/>
      <c r="L1002" s="2"/>
      <c r="M1002" s="2"/>
      <c r="N1002" s="2"/>
      <c r="O1002" s="2"/>
      <c r="P1002" s="2"/>
      <c r="Q1002" s="2"/>
      <c r="R1002" s="2"/>
      <c r="S1002" s="7"/>
      <c r="T1002" s="2"/>
      <c r="U1002" s="10"/>
      <c r="V1002" s="2"/>
      <c r="W1002" s="7"/>
      <c r="X1002" s="7"/>
      <c r="Y1002" s="2"/>
      <c r="Z1002" s="2"/>
      <c r="AA1002" s="2"/>
    </row>
  </sheetData>
  <mergeCells count="1">
    <mergeCell ref="M19:N19"/>
  </mergeCells>
  <hyperlinks>
    <hyperlink r:id="rId1" ref="N20"/>
    <hyperlink r:id="rId2" ref="N21"/>
    <hyperlink r:id="rId3" ref="N22"/>
    <hyperlink r:id="rId4" ref="N23"/>
    <hyperlink r:id="rId5" ref="N24"/>
    <hyperlink r:id="rId6" ref="N25"/>
  </hyperlinks>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75"/>
    <col customWidth="1" min="2" max="2" width="41.13"/>
    <col customWidth="1" min="3" max="3" width="28.88"/>
    <col customWidth="1" min="4" max="4" width="13.25"/>
    <col customWidth="1" min="5" max="5" width="25.25"/>
    <col customWidth="1" min="6" max="6" width="14.0"/>
    <col customWidth="1" min="7" max="7" width="20.75"/>
  </cols>
  <sheetData>
    <row r="1" ht="20.25" customHeight="1">
      <c r="A1" s="13" t="s">
        <v>19</v>
      </c>
      <c r="B1" s="13" t="s">
        <v>20</v>
      </c>
      <c r="C1" s="13" t="s">
        <v>21</v>
      </c>
      <c r="D1" s="13" t="s">
        <v>22</v>
      </c>
      <c r="E1" s="13" t="s">
        <v>23</v>
      </c>
      <c r="F1" s="13"/>
      <c r="G1" s="13"/>
      <c r="H1" s="13"/>
      <c r="I1" s="13"/>
      <c r="J1" s="13"/>
      <c r="K1" s="13"/>
      <c r="L1" s="13"/>
      <c r="M1" s="14"/>
      <c r="N1" s="14"/>
      <c r="O1" s="14"/>
      <c r="P1" s="14"/>
      <c r="Q1" s="14"/>
      <c r="R1" s="14"/>
      <c r="S1" s="14"/>
      <c r="T1" s="14"/>
      <c r="U1" s="14"/>
      <c r="V1" s="14"/>
      <c r="W1" s="14"/>
      <c r="X1" s="14"/>
      <c r="Y1" s="14"/>
      <c r="Z1" s="14"/>
      <c r="AA1" s="14"/>
    </row>
    <row r="2" ht="20.25" customHeight="1">
      <c r="A2" s="15">
        <v>45961.70983796296</v>
      </c>
      <c r="B2" s="16" t="s">
        <v>24</v>
      </c>
      <c r="C2" s="16" t="s">
        <v>25</v>
      </c>
      <c r="D2" s="16" t="s">
        <v>26</v>
      </c>
      <c r="E2" s="17" t="s">
        <v>27</v>
      </c>
      <c r="F2" s="16"/>
      <c r="G2" s="13"/>
      <c r="H2" s="13"/>
      <c r="I2" s="13"/>
      <c r="J2" s="13"/>
      <c r="K2" s="13"/>
      <c r="L2" s="13"/>
      <c r="M2" s="13"/>
      <c r="N2" s="13"/>
      <c r="O2" s="13"/>
      <c r="P2" s="13"/>
      <c r="Q2" s="13"/>
      <c r="R2" s="13"/>
      <c r="S2" s="13"/>
      <c r="T2" s="13"/>
      <c r="U2" s="13"/>
      <c r="V2" s="13"/>
      <c r="W2" s="13"/>
      <c r="X2" s="13"/>
      <c r="Y2" s="13"/>
      <c r="Z2" s="13"/>
      <c r="AA2" s="13"/>
    </row>
    <row r="3" ht="20.25" customHeight="1">
      <c r="A3" s="15">
        <v>45961.72439814815</v>
      </c>
      <c r="B3" s="16" t="s">
        <v>28</v>
      </c>
      <c r="C3" s="16" t="s">
        <v>29</v>
      </c>
      <c r="D3" s="16" t="s">
        <v>30</v>
      </c>
      <c r="E3" s="17" t="s">
        <v>31</v>
      </c>
      <c r="F3" s="16"/>
      <c r="G3" s="13"/>
      <c r="H3" s="13"/>
      <c r="I3" s="13"/>
      <c r="J3" s="13"/>
      <c r="K3" s="13"/>
      <c r="L3" s="13"/>
      <c r="M3" s="13"/>
      <c r="N3" s="13"/>
      <c r="O3" s="13"/>
      <c r="P3" s="13"/>
      <c r="Q3" s="13"/>
      <c r="R3" s="13"/>
      <c r="S3" s="13"/>
      <c r="T3" s="13"/>
      <c r="U3" s="13"/>
      <c r="V3" s="13"/>
      <c r="W3" s="13"/>
      <c r="X3" s="13"/>
      <c r="Y3" s="13"/>
      <c r="Z3" s="13"/>
      <c r="AA3" s="13"/>
    </row>
    <row r="4" ht="20.25" customHeight="1">
      <c r="A4" s="15">
        <v>45961.73446759259</v>
      </c>
      <c r="B4" s="16" t="s">
        <v>32</v>
      </c>
      <c r="C4" s="16" t="s">
        <v>33</v>
      </c>
      <c r="D4" s="16" t="s">
        <v>34</v>
      </c>
      <c r="E4" s="17" t="s">
        <v>35</v>
      </c>
      <c r="F4" s="16"/>
      <c r="G4" s="13"/>
      <c r="H4" s="13"/>
      <c r="I4" s="13"/>
      <c r="J4" s="13"/>
      <c r="K4" s="13"/>
      <c r="L4" s="13"/>
      <c r="M4" s="13"/>
      <c r="N4" s="13"/>
      <c r="O4" s="13"/>
      <c r="P4" s="13"/>
      <c r="Q4" s="13"/>
      <c r="R4" s="13"/>
      <c r="S4" s="13"/>
      <c r="T4" s="13"/>
      <c r="U4" s="13"/>
      <c r="V4" s="13"/>
      <c r="W4" s="13"/>
      <c r="X4" s="13"/>
      <c r="Y4" s="13"/>
      <c r="Z4" s="13"/>
      <c r="AA4" s="13"/>
    </row>
    <row r="5" ht="20.25" customHeight="1">
      <c r="A5" s="15">
        <v>45961.76006944444</v>
      </c>
      <c r="B5" s="16" t="s">
        <v>36</v>
      </c>
      <c r="C5" s="16" t="s">
        <v>37</v>
      </c>
      <c r="D5" s="16" t="s">
        <v>38</v>
      </c>
      <c r="E5" s="17" t="s">
        <v>39</v>
      </c>
      <c r="F5" s="16"/>
      <c r="G5" s="13"/>
      <c r="H5" s="13"/>
      <c r="I5" s="13"/>
      <c r="J5" s="13"/>
      <c r="K5" s="13"/>
      <c r="L5" s="13"/>
      <c r="M5" s="13"/>
      <c r="N5" s="13"/>
      <c r="O5" s="13"/>
      <c r="P5" s="13"/>
      <c r="Q5" s="13"/>
      <c r="R5" s="13"/>
      <c r="S5" s="13"/>
      <c r="T5" s="13"/>
      <c r="U5" s="13"/>
      <c r="V5" s="13"/>
      <c r="W5" s="13"/>
      <c r="X5" s="13"/>
      <c r="Y5" s="13"/>
      <c r="Z5" s="13"/>
      <c r="AA5" s="13"/>
    </row>
    <row r="6" ht="20.25" customHeight="1">
      <c r="A6" s="15">
        <v>45961.831041666665</v>
      </c>
      <c r="B6" s="16" t="s">
        <v>40</v>
      </c>
      <c r="C6" s="16" t="s">
        <v>41</v>
      </c>
      <c r="D6" s="16" t="s">
        <v>42</v>
      </c>
      <c r="E6" s="17" t="s">
        <v>43</v>
      </c>
      <c r="F6" s="16"/>
      <c r="G6" s="13"/>
      <c r="H6" s="13"/>
      <c r="I6" s="13"/>
      <c r="J6" s="13"/>
      <c r="K6" s="13"/>
      <c r="L6" s="13"/>
      <c r="M6" s="13"/>
      <c r="N6" s="13"/>
      <c r="O6" s="13"/>
      <c r="P6" s="13"/>
      <c r="Q6" s="13"/>
      <c r="R6" s="13"/>
      <c r="S6" s="13"/>
      <c r="T6" s="13"/>
      <c r="U6" s="13"/>
      <c r="V6" s="13"/>
      <c r="W6" s="13"/>
      <c r="X6" s="13"/>
      <c r="Y6" s="13"/>
      <c r="Z6" s="13"/>
      <c r="AA6" s="13"/>
    </row>
    <row r="7" ht="20.25" customHeight="1">
      <c r="A7" s="15">
        <v>45961.83665509259</v>
      </c>
      <c r="B7" s="16" t="s">
        <v>44</v>
      </c>
      <c r="C7" s="16" t="s">
        <v>45</v>
      </c>
      <c r="D7" s="16" t="s">
        <v>46</v>
      </c>
      <c r="E7" s="17" t="s">
        <v>47</v>
      </c>
      <c r="F7" s="16"/>
      <c r="G7" s="13"/>
      <c r="H7" s="13"/>
      <c r="I7" s="13"/>
      <c r="J7" s="13"/>
      <c r="K7" s="13"/>
      <c r="L7" s="13"/>
      <c r="M7" s="13"/>
      <c r="N7" s="13"/>
      <c r="O7" s="13"/>
      <c r="P7" s="13"/>
      <c r="Q7" s="13"/>
      <c r="R7" s="13"/>
      <c r="S7" s="13"/>
      <c r="T7" s="13"/>
      <c r="U7" s="13"/>
      <c r="V7" s="13"/>
      <c r="W7" s="13"/>
      <c r="X7" s="13"/>
      <c r="Y7" s="13"/>
      <c r="Z7" s="13"/>
      <c r="AA7" s="13"/>
    </row>
    <row r="8" ht="20.25" customHeight="1">
      <c r="A8" s="15">
        <v>45961.86969907407</v>
      </c>
      <c r="B8" s="16" t="s">
        <v>48</v>
      </c>
      <c r="C8" s="16" t="s">
        <v>49</v>
      </c>
      <c r="D8" s="16" t="s">
        <v>50</v>
      </c>
      <c r="E8" s="17" t="s">
        <v>51</v>
      </c>
      <c r="F8" s="16"/>
      <c r="G8" s="13"/>
      <c r="H8" s="13"/>
      <c r="I8" s="13"/>
      <c r="J8" s="13"/>
      <c r="K8" s="13"/>
      <c r="L8" s="13"/>
      <c r="M8" s="13"/>
      <c r="N8" s="13"/>
      <c r="O8" s="13"/>
      <c r="P8" s="13"/>
      <c r="Q8" s="13"/>
      <c r="R8" s="13"/>
      <c r="S8" s="13"/>
      <c r="T8" s="13"/>
      <c r="U8" s="13"/>
      <c r="V8" s="13"/>
      <c r="W8" s="13"/>
      <c r="X8" s="13"/>
      <c r="Y8" s="13"/>
      <c r="Z8" s="13"/>
      <c r="AA8" s="13"/>
    </row>
    <row r="9" ht="20.25" customHeight="1">
      <c r="A9" s="15">
        <v>45961.87230324074</v>
      </c>
      <c r="B9" s="16" t="s">
        <v>52</v>
      </c>
      <c r="C9" s="16" t="s">
        <v>53</v>
      </c>
      <c r="D9" s="16" t="s">
        <v>54</v>
      </c>
      <c r="E9" s="17" t="s">
        <v>55</v>
      </c>
      <c r="F9" s="16"/>
      <c r="G9" s="13"/>
      <c r="H9" s="13"/>
      <c r="I9" s="13"/>
      <c r="J9" s="13"/>
      <c r="K9" s="13"/>
      <c r="L9" s="13"/>
      <c r="M9" s="13"/>
      <c r="N9" s="13"/>
      <c r="O9" s="13"/>
      <c r="P9" s="13"/>
      <c r="Q9" s="13"/>
      <c r="R9" s="13"/>
      <c r="S9" s="13"/>
      <c r="T9" s="13"/>
      <c r="U9" s="13"/>
      <c r="V9" s="13"/>
      <c r="W9" s="13"/>
      <c r="X9" s="13"/>
      <c r="Y9" s="13"/>
      <c r="Z9" s="13"/>
      <c r="AA9" s="13"/>
    </row>
    <row r="10" ht="20.25" customHeight="1">
      <c r="A10" s="15">
        <v>45962.41068287037</v>
      </c>
      <c r="B10" s="16" t="s">
        <v>56</v>
      </c>
      <c r="C10" s="16" t="s">
        <v>57</v>
      </c>
      <c r="D10" s="16" t="s">
        <v>58</v>
      </c>
      <c r="E10" s="17" t="s">
        <v>59</v>
      </c>
      <c r="F10" s="16"/>
      <c r="G10" s="13"/>
      <c r="H10" s="13"/>
      <c r="I10" s="13"/>
      <c r="J10" s="13"/>
      <c r="K10" s="13"/>
      <c r="L10" s="13"/>
      <c r="M10" s="13"/>
      <c r="N10" s="13"/>
      <c r="O10" s="13"/>
      <c r="P10" s="13"/>
      <c r="Q10" s="13"/>
      <c r="R10" s="13"/>
      <c r="S10" s="13"/>
      <c r="T10" s="13"/>
      <c r="U10" s="13"/>
      <c r="V10" s="13"/>
      <c r="W10" s="13"/>
      <c r="X10" s="13"/>
      <c r="Y10" s="13"/>
      <c r="Z10" s="13"/>
      <c r="AA10" s="13"/>
    </row>
    <row r="11" ht="20.25" customHeight="1">
      <c r="A11" s="15">
        <v>45963.11966435185</v>
      </c>
      <c r="B11" s="16" t="s">
        <v>60</v>
      </c>
      <c r="C11" s="16" t="s">
        <v>61</v>
      </c>
      <c r="D11" s="16" t="s">
        <v>62</v>
      </c>
      <c r="E11" s="17" t="s">
        <v>63</v>
      </c>
      <c r="F11" s="16"/>
      <c r="G11" s="13"/>
      <c r="H11" s="13"/>
      <c r="I11" s="13"/>
      <c r="J11" s="13"/>
      <c r="K11" s="13"/>
      <c r="L11" s="13"/>
      <c r="M11" s="13"/>
      <c r="N11" s="13"/>
      <c r="O11" s="13"/>
      <c r="P11" s="13"/>
      <c r="Q11" s="13"/>
      <c r="R11" s="13"/>
      <c r="S11" s="13"/>
      <c r="T11" s="13"/>
      <c r="U11" s="13"/>
      <c r="V11" s="13"/>
      <c r="W11" s="13"/>
      <c r="X11" s="13"/>
      <c r="Y11" s="13"/>
      <c r="Z11" s="13"/>
      <c r="AA11" s="13"/>
    </row>
    <row r="12" ht="20.25" customHeight="1">
      <c r="A12" s="15">
        <v>45963.13024305556</v>
      </c>
      <c r="B12" s="16" t="s">
        <v>64</v>
      </c>
      <c r="C12" s="16" t="s">
        <v>65</v>
      </c>
      <c r="D12" s="16" t="s">
        <v>66</v>
      </c>
      <c r="E12" s="17" t="s">
        <v>67</v>
      </c>
      <c r="F12" s="16"/>
      <c r="G12" s="13"/>
      <c r="H12" s="13"/>
      <c r="I12" s="13"/>
      <c r="J12" s="13"/>
      <c r="K12" s="13"/>
      <c r="L12" s="13"/>
      <c r="M12" s="13"/>
      <c r="N12" s="13"/>
      <c r="O12" s="13"/>
      <c r="P12" s="13"/>
      <c r="Q12" s="13"/>
      <c r="R12" s="13"/>
      <c r="S12" s="13"/>
      <c r="T12" s="13"/>
      <c r="U12" s="13"/>
      <c r="V12" s="13"/>
      <c r="W12" s="13"/>
      <c r="X12" s="13"/>
      <c r="Y12" s="13"/>
      <c r="Z12" s="13"/>
      <c r="AA12" s="13"/>
    </row>
    <row r="13" ht="20.25" customHeight="1">
      <c r="A13" s="15">
        <v>45963.19826388889</v>
      </c>
      <c r="B13" s="16" t="s">
        <v>68</v>
      </c>
      <c r="C13" s="16" t="s">
        <v>69</v>
      </c>
      <c r="D13" s="16" t="s">
        <v>70</v>
      </c>
      <c r="E13" s="17" t="s">
        <v>71</v>
      </c>
      <c r="F13" s="16"/>
      <c r="G13" s="13"/>
      <c r="H13" s="13"/>
      <c r="I13" s="13"/>
      <c r="J13" s="13"/>
      <c r="K13" s="13"/>
      <c r="L13" s="13"/>
      <c r="M13" s="13"/>
      <c r="N13" s="13"/>
      <c r="O13" s="13"/>
      <c r="P13" s="13"/>
      <c r="Q13" s="13"/>
      <c r="R13" s="13"/>
      <c r="S13" s="13"/>
      <c r="T13" s="13"/>
      <c r="U13" s="13"/>
      <c r="V13" s="13"/>
      <c r="W13" s="13"/>
      <c r="X13" s="13"/>
      <c r="Y13" s="13"/>
      <c r="Z13" s="13"/>
      <c r="AA13" s="13"/>
    </row>
    <row r="14" ht="20.25" customHeight="1">
      <c r="A14" s="15">
        <v>45963.207604166666</v>
      </c>
      <c r="B14" s="16" t="s">
        <v>72</v>
      </c>
      <c r="C14" s="16" t="s">
        <v>73</v>
      </c>
      <c r="D14" s="16" t="s">
        <v>74</v>
      </c>
      <c r="E14" s="17" t="s">
        <v>75</v>
      </c>
      <c r="F14" s="16"/>
      <c r="G14" s="13"/>
      <c r="H14" s="13"/>
      <c r="I14" s="13"/>
      <c r="J14" s="13"/>
      <c r="K14" s="13"/>
      <c r="L14" s="13"/>
      <c r="M14" s="13"/>
      <c r="N14" s="13"/>
      <c r="O14" s="13"/>
      <c r="P14" s="13"/>
      <c r="Q14" s="13"/>
      <c r="R14" s="13"/>
      <c r="S14" s="13"/>
      <c r="T14" s="13"/>
      <c r="U14" s="13"/>
      <c r="V14" s="13"/>
      <c r="W14" s="13"/>
      <c r="X14" s="13"/>
      <c r="Y14" s="13"/>
      <c r="Z14" s="13"/>
      <c r="AA14" s="13"/>
    </row>
    <row r="15" ht="20.25" customHeight="1">
      <c r="A15" s="15">
        <v>45963.51403935185</v>
      </c>
      <c r="B15" s="16" t="s">
        <v>76</v>
      </c>
      <c r="C15" s="16" t="s">
        <v>77</v>
      </c>
      <c r="D15" s="16" t="s">
        <v>78</v>
      </c>
      <c r="E15" s="17" t="s">
        <v>79</v>
      </c>
      <c r="F15" s="16"/>
      <c r="G15" s="13"/>
      <c r="H15" s="13"/>
      <c r="I15" s="13"/>
      <c r="J15" s="13"/>
      <c r="K15" s="13"/>
      <c r="L15" s="13"/>
      <c r="M15" s="13"/>
      <c r="N15" s="13"/>
      <c r="O15" s="13"/>
      <c r="P15" s="13"/>
      <c r="Q15" s="13"/>
      <c r="R15" s="13"/>
      <c r="S15" s="13"/>
      <c r="T15" s="13"/>
      <c r="U15" s="13"/>
      <c r="V15" s="13"/>
      <c r="W15" s="13"/>
      <c r="X15" s="13"/>
      <c r="Y15" s="13"/>
      <c r="Z15" s="13"/>
      <c r="AA15" s="13"/>
    </row>
    <row r="16" ht="20.25" customHeight="1">
      <c r="A16" s="15">
        <v>45963.5496412037</v>
      </c>
      <c r="B16" s="16" t="s">
        <v>80</v>
      </c>
      <c r="C16" s="16" t="s">
        <v>81</v>
      </c>
      <c r="D16" s="16" t="s">
        <v>82</v>
      </c>
      <c r="E16" s="17" t="s">
        <v>83</v>
      </c>
      <c r="F16" s="16"/>
      <c r="G16" s="13"/>
      <c r="H16" s="13"/>
      <c r="I16" s="13"/>
      <c r="J16" s="13"/>
      <c r="K16" s="13"/>
      <c r="L16" s="13"/>
      <c r="M16" s="13"/>
      <c r="N16" s="13"/>
      <c r="O16" s="13"/>
      <c r="P16" s="13"/>
      <c r="Q16" s="13"/>
      <c r="R16" s="13"/>
      <c r="S16" s="13"/>
      <c r="T16" s="13"/>
      <c r="U16" s="13"/>
      <c r="V16" s="13"/>
      <c r="W16" s="13"/>
      <c r="X16" s="13"/>
      <c r="Y16" s="13"/>
      <c r="Z16" s="13"/>
      <c r="AA16" s="13"/>
    </row>
    <row r="17" ht="20.25" customHeight="1">
      <c r="A17" s="15">
        <v>45963.5534837963</v>
      </c>
      <c r="B17" s="16" t="s">
        <v>84</v>
      </c>
      <c r="C17" s="16" t="s">
        <v>85</v>
      </c>
      <c r="D17" s="16" t="s">
        <v>86</v>
      </c>
      <c r="E17" s="17" t="s">
        <v>87</v>
      </c>
      <c r="F17" s="16"/>
      <c r="G17" s="13"/>
      <c r="H17" s="13"/>
      <c r="I17" s="13"/>
      <c r="J17" s="13"/>
      <c r="K17" s="13"/>
      <c r="L17" s="13"/>
      <c r="M17" s="13"/>
      <c r="N17" s="13"/>
      <c r="O17" s="13"/>
      <c r="P17" s="13"/>
      <c r="Q17" s="13"/>
      <c r="R17" s="13"/>
      <c r="S17" s="13"/>
      <c r="T17" s="13"/>
      <c r="U17" s="13"/>
      <c r="V17" s="13"/>
      <c r="W17" s="13"/>
      <c r="X17" s="13"/>
      <c r="Y17" s="13"/>
      <c r="Z17" s="13"/>
      <c r="AA17" s="13"/>
    </row>
    <row r="18" ht="20.25" customHeight="1">
      <c r="A18" s="15">
        <v>45963.965682870374</v>
      </c>
      <c r="B18" s="16" t="s">
        <v>88</v>
      </c>
      <c r="C18" s="16" t="s">
        <v>89</v>
      </c>
      <c r="D18" s="16" t="s">
        <v>90</v>
      </c>
      <c r="E18" s="17" t="s">
        <v>91</v>
      </c>
      <c r="F18" s="16"/>
      <c r="G18" s="13"/>
      <c r="H18" s="13"/>
      <c r="I18" s="13"/>
      <c r="J18" s="13"/>
      <c r="K18" s="13"/>
      <c r="L18" s="13"/>
      <c r="M18" s="13"/>
      <c r="N18" s="13"/>
      <c r="O18" s="13"/>
      <c r="P18" s="13"/>
      <c r="Q18" s="13"/>
      <c r="R18" s="13"/>
      <c r="S18" s="13"/>
      <c r="T18" s="13"/>
      <c r="U18" s="13"/>
      <c r="V18" s="13"/>
      <c r="W18" s="13"/>
      <c r="X18" s="13"/>
      <c r="Y18" s="13"/>
      <c r="Z18" s="13"/>
      <c r="AA18" s="13"/>
    </row>
    <row r="19" ht="20.25" customHeight="1">
      <c r="A19" s="15">
        <v>45964.441400462965</v>
      </c>
      <c r="B19" s="16" t="s">
        <v>92</v>
      </c>
      <c r="C19" s="16" t="s">
        <v>93</v>
      </c>
      <c r="D19" s="16" t="s">
        <v>94</v>
      </c>
      <c r="E19" s="17" t="s">
        <v>95</v>
      </c>
      <c r="F19" s="16"/>
      <c r="G19" s="13"/>
      <c r="H19" s="13"/>
      <c r="I19" s="13"/>
      <c r="J19" s="13"/>
      <c r="K19" s="13"/>
      <c r="L19" s="13"/>
      <c r="M19" s="13"/>
      <c r="N19" s="13"/>
      <c r="O19" s="13"/>
      <c r="P19" s="13"/>
      <c r="Q19" s="13"/>
      <c r="R19" s="13"/>
      <c r="S19" s="13"/>
      <c r="T19" s="13"/>
      <c r="U19" s="13"/>
      <c r="V19" s="13"/>
      <c r="W19" s="13"/>
      <c r="X19" s="13"/>
      <c r="Y19" s="13"/>
      <c r="Z19" s="13"/>
      <c r="AA19" s="13"/>
    </row>
    <row r="20" ht="20.25" customHeight="1">
      <c r="A20" s="15">
        <v>45964.441875</v>
      </c>
      <c r="B20" s="16" t="s">
        <v>96</v>
      </c>
      <c r="C20" s="16" t="s">
        <v>97</v>
      </c>
      <c r="D20" s="16" t="s">
        <v>98</v>
      </c>
      <c r="E20" s="17" t="s">
        <v>99</v>
      </c>
      <c r="F20" s="16"/>
      <c r="G20" s="13"/>
      <c r="H20" s="13"/>
      <c r="I20" s="13"/>
      <c r="J20" s="13"/>
      <c r="K20" s="13"/>
      <c r="L20" s="13"/>
      <c r="M20" s="13"/>
      <c r="N20" s="13"/>
      <c r="O20" s="13"/>
      <c r="P20" s="13"/>
      <c r="Q20" s="13"/>
      <c r="R20" s="13"/>
      <c r="S20" s="13"/>
      <c r="T20" s="13"/>
      <c r="U20" s="13"/>
      <c r="V20" s="13"/>
      <c r="W20" s="13"/>
      <c r="X20" s="13"/>
      <c r="Y20" s="13"/>
      <c r="Z20" s="13"/>
      <c r="AA20" s="13"/>
    </row>
    <row r="21" ht="20.25" customHeight="1">
      <c r="A21" s="15">
        <v>45964.44215277778</v>
      </c>
      <c r="B21" s="16" t="s">
        <v>100</v>
      </c>
      <c r="C21" s="16" t="s">
        <v>101</v>
      </c>
      <c r="D21" s="16" t="s">
        <v>102</v>
      </c>
      <c r="E21" s="17" t="s">
        <v>103</v>
      </c>
      <c r="F21" s="16"/>
      <c r="G21" s="13"/>
      <c r="H21" s="13"/>
      <c r="I21" s="13"/>
      <c r="J21" s="13"/>
      <c r="K21" s="13"/>
      <c r="L21" s="13"/>
      <c r="M21" s="13"/>
      <c r="N21" s="13"/>
      <c r="O21" s="13"/>
      <c r="P21" s="13"/>
      <c r="Q21" s="13"/>
      <c r="R21" s="13"/>
      <c r="S21" s="13"/>
      <c r="T21" s="13"/>
      <c r="U21" s="13"/>
      <c r="V21" s="13"/>
      <c r="W21" s="13"/>
      <c r="X21" s="13"/>
      <c r="Y21" s="13"/>
      <c r="Z21" s="13"/>
      <c r="AA21" s="13"/>
    </row>
    <row r="22" ht="20.25" customHeight="1">
      <c r="A22" s="15">
        <v>45964.442395833335</v>
      </c>
      <c r="B22" s="16" t="s">
        <v>104</v>
      </c>
      <c r="C22" s="16" t="s">
        <v>97</v>
      </c>
      <c r="D22" s="16" t="s">
        <v>102</v>
      </c>
      <c r="E22" s="17" t="s">
        <v>105</v>
      </c>
      <c r="F22" s="16"/>
      <c r="G22" s="13"/>
      <c r="H22" s="13"/>
      <c r="I22" s="13"/>
      <c r="J22" s="13"/>
      <c r="K22" s="13"/>
      <c r="L22" s="13"/>
      <c r="M22" s="13"/>
      <c r="N22" s="13"/>
      <c r="O22" s="13"/>
      <c r="P22" s="13"/>
      <c r="Q22" s="13"/>
      <c r="R22" s="13"/>
      <c r="S22" s="13"/>
      <c r="T22" s="13"/>
      <c r="U22" s="13"/>
      <c r="V22" s="13"/>
      <c r="W22" s="13"/>
      <c r="X22" s="13"/>
      <c r="Y22" s="13"/>
      <c r="Z22" s="13"/>
      <c r="AA22" s="13"/>
    </row>
    <row r="23" ht="20.25" customHeight="1">
      <c r="A23" s="15">
        <v>45964.4425462963</v>
      </c>
      <c r="B23" s="16" t="s">
        <v>100</v>
      </c>
      <c r="C23" s="16" t="s">
        <v>101</v>
      </c>
      <c r="D23" s="16" t="s">
        <v>106</v>
      </c>
      <c r="E23" s="17" t="s">
        <v>107</v>
      </c>
      <c r="F23" s="16"/>
      <c r="G23" s="13"/>
      <c r="H23" s="13"/>
      <c r="I23" s="13"/>
      <c r="J23" s="13"/>
      <c r="K23" s="13"/>
      <c r="L23" s="13"/>
      <c r="M23" s="13"/>
      <c r="N23" s="13"/>
      <c r="O23" s="13"/>
      <c r="P23" s="13"/>
      <c r="Q23" s="13"/>
      <c r="R23" s="13"/>
      <c r="S23" s="13"/>
      <c r="T23" s="13"/>
      <c r="U23" s="13"/>
      <c r="V23" s="13"/>
      <c r="W23" s="13"/>
      <c r="X23" s="13"/>
      <c r="Y23" s="13"/>
      <c r="Z23" s="13"/>
      <c r="AA23" s="13"/>
    </row>
    <row r="24" ht="20.25" customHeight="1">
      <c r="A24" s="15">
        <v>45964.44283564815</v>
      </c>
      <c r="B24" s="16" t="s">
        <v>108</v>
      </c>
      <c r="C24" s="16" t="s">
        <v>97</v>
      </c>
      <c r="D24" s="16" t="s">
        <v>109</v>
      </c>
      <c r="E24" s="17" t="s">
        <v>110</v>
      </c>
      <c r="F24" s="16"/>
      <c r="G24" s="13"/>
      <c r="H24" s="13"/>
      <c r="I24" s="13"/>
      <c r="J24" s="13"/>
      <c r="K24" s="13"/>
      <c r="L24" s="13"/>
      <c r="M24" s="13"/>
      <c r="N24" s="13"/>
      <c r="O24" s="13"/>
      <c r="P24" s="13"/>
      <c r="Q24" s="13"/>
      <c r="R24" s="13"/>
      <c r="S24" s="13"/>
      <c r="T24" s="13"/>
      <c r="U24" s="13"/>
      <c r="V24" s="13"/>
      <c r="W24" s="13"/>
      <c r="X24" s="13"/>
      <c r="Y24" s="13"/>
      <c r="Z24" s="13"/>
      <c r="AA24" s="13"/>
    </row>
    <row r="25" ht="20.25" customHeight="1">
      <c r="A25" s="15">
        <v>45964.44290509259</v>
      </c>
      <c r="B25" s="16" t="s">
        <v>111</v>
      </c>
      <c r="C25" s="16" t="s">
        <v>101</v>
      </c>
      <c r="D25" s="16" t="s">
        <v>109</v>
      </c>
      <c r="E25" s="17" t="s">
        <v>112</v>
      </c>
      <c r="F25" s="16"/>
      <c r="G25" s="13"/>
      <c r="H25" s="13"/>
      <c r="I25" s="13"/>
      <c r="J25" s="13"/>
      <c r="K25" s="13"/>
      <c r="L25" s="13"/>
      <c r="M25" s="13"/>
      <c r="N25" s="13"/>
      <c r="O25" s="13"/>
      <c r="P25" s="13"/>
      <c r="Q25" s="13"/>
      <c r="R25" s="13"/>
      <c r="S25" s="13"/>
      <c r="T25" s="13"/>
      <c r="U25" s="13"/>
      <c r="V25" s="13"/>
      <c r="W25" s="13"/>
      <c r="X25" s="13"/>
      <c r="Y25" s="13"/>
      <c r="Z25" s="13"/>
      <c r="AA25" s="13"/>
    </row>
    <row r="26" ht="20.25" customHeight="1">
      <c r="A26" s="15">
        <v>45964.45413194445</v>
      </c>
      <c r="B26" s="16" t="s">
        <v>113</v>
      </c>
      <c r="C26" s="16" t="s">
        <v>114</v>
      </c>
      <c r="D26" s="16" t="s">
        <v>115</v>
      </c>
      <c r="E26" s="17" t="s">
        <v>116</v>
      </c>
      <c r="F26" s="16"/>
      <c r="G26" s="13"/>
      <c r="H26" s="13"/>
      <c r="I26" s="13"/>
      <c r="J26" s="13"/>
      <c r="K26" s="13"/>
      <c r="L26" s="13"/>
      <c r="M26" s="13"/>
      <c r="N26" s="13"/>
      <c r="O26" s="13"/>
      <c r="P26" s="13"/>
      <c r="Q26" s="13"/>
      <c r="R26" s="13"/>
      <c r="S26" s="13"/>
      <c r="T26" s="13"/>
      <c r="U26" s="13"/>
      <c r="V26" s="13"/>
      <c r="W26" s="13"/>
      <c r="X26" s="13"/>
      <c r="Y26" s="13"/>
      <c r="Z26" s="13"/>
      <c r="AA26" s="13"/>
    </row>
    <row r="27" ht="20.25" customHeight="1">
      <c r="A27" s="15">
        <v>45964.46059027778</v>
      </c>
      <c r="B27" s="16" t="s">
        <v>117</v>
      </c>
      <c r="C27" s="16" t="s">
        <v>118</v>
      </c>
      <c r="D27" s="16" t="s">
        <v>119</v>
      </c>
      <c r="E27" s="17" t="s">
        <v>120</v>
      </c>
      <c r="F27" s="16"/>
      <c r="G27" s="13"/>
      <c r="H27" s="13"/>
      <c r="I27" s="13"/>
      <c r="J27" s="13"/>
      <c r="K27" s="13"/>
      <c r="L27" s="13"/>
      <c r="M27" s="13"/>
      <c r="N27" s="13"/>
      <c r="O27" s="13"/>
      <c r="P27" s="13"/>
      <c r="Q27" s="13"/>
      <c r="R27" s="13"/>
      <c r="S27" s="13"/>
      <c r="T27" s="13"/>
      <c r="U27" s="13"/>
      <c r="V27" s="13"/>
      <c r="W27" s="13"/>
      <c r="X27" s="13"/>
      <c r="Y27" s="13"/>
      <c r="Z27" s="13"/>
      <c r="AA27" s="13"/>
    </row>
    <row r="28" ht="20.25" customHeight="1">
      <c r="A28" s="15">
        <v>45964.47126157407</v>
      </c>
      <c r="B28" s="16" t="s">
        <v>121</v>
      </c>
      <c r="C28" s="16" t="s">
        <v>122</v>
      </c>
      <c r="D28" s="16" t="s">
        <v>123</v>
      </c>
      <c r="E28" s="17" t="s">
        <v>124</v>
      </c>
      <c r="F28" s="16"/>
      <c r="G28" s="13"/>
      <c r="H28" s="13"/>
      <c r="I28" s="13"/>
      <c r="J28" s="13"/>
      <c r="K28" s="13"/>
      <c r="L28" s="13"/>
      <c r="M28" s="13"/>
      <c r="N28" s="13"/>
      <c r="O28" s="13"/>
      <c r="P28" s="13"/>
      <c r="Q28" s="13"/>
      <c r="R28" s="13"/>
      <c r="S28" s="13"/>
      <c r="T28" s="13"/>
      <c r="U28" s="13"/>
      <c r="V28" s="13"/>
      <c r="W28" s="13"/>
      <c r="X28" s="13"/>
      <c r="Y28" s="13"/>
      <c r="Z28" s="13"/>
      <c r="AA28" s="13"/>
    </row>
    <row r="29" ht="20.25" customHeight="1">
      <c r="A29" s="15">
        <v>45964.47236111111</v>
      </c>
      <c r="B29" s="16" t="s">
        <v>125</v>
      </c>
      <c r="C29" s="16" t="s">
        <v>73</v>
      </c>
      <c r="D29" s="16" t="s">
        <v>126</v>
      </c>
      <c r="E29" s="17" t="s">
        <v>127</v>
      </c>
      <c r="F29" s="16"/>
      <c r="G29" s="13"/>
      <c r="H29" s="13"/>
      <c r="I29" s="13"/>
      <c r="J29" s="13"/>
      <c r="K29" s="13"/>
      <c r="L29" s="13"/>
      <c r="M29" s="13"/>
      <c r="N29" s="13"/>
      <c r="O29" s="13"/>
      <c r="P29" s="13"/>
      <c r="Q29" s="13"/>
      <c r="R29" s="13"/>
      <c r="S29" s="13"/>
      <c r="T29" s="13"/>
      <c r="U29" s="13"/>
      <c r="V29" s="13"/>
      <c r="W29" s="13"/>
      <c r="X29" s="13"/>
      <c r="Y29" s="13"/>
      <c r="Z29" s="13"/>
      <c r="AA29" s="13"/>
    </row>
    <row r="30" ht="20.25" customHeight="1">
      <c r="A30" s="15">
        <v>45964.47321759259</v>
      </c>
      <c r="B30" s="16" t="s">
        <v>128</v>
      </c>
      <c r="C30" s="16" t="s">
        <v>129</v>
      </c>
      <c r="D30" s="16" t="s">
        <v>130</v>
      </c>
      <c r="E30" s="17" t="s">
        <v>131</v>
      </c>
      <c r="F30" s="16"/>
      <c r="G30" s="13"/>
      <c r="H30" s="13"/>
      <c r="I30" s="13"/>
      <c r="J30" s="13"/>
      <c r="K30" s="13"/>
      <c r="L30" s="13"/>
      <c r="M30" s="13"/>
      <c r="N30" s="13"/>
      <c r="O30" s="13"/>
      <c r="P30" s="13"/>
      <c r="Q30" s="13"/>
      <c r="R30" s="13"/>
      <c r="S30" s="13"/>
      <c r="T30" s="13"/>
      <c r="U30" s="13"/>
      <c r="V30" s="13"/>
      <c r="W30" s="13"/>
      <c r="X30" s="13"/>
      <c r="Y30" s="13"/>
      <c r="Z30" s="13"/>
      <c r="AA30" s="13"/>
    </row>
    <row r="31" ht="20.25" customHeight="1">
      <c r="A31" s="15">
        <v>45965.041655092595</v>
      </c>
      <c r="B31" s="16" t="s">
        <v>132</v>
      </c>
      <c r="C31" s="16" t="s">
        <v>133</v>
      </c>
      <c r="D31" s="16" t="s">
        <v>134</v>
      </c>
      <c r="E31" s="17" t="s">
        <v>135</v>
      </c>
      <c r="F31" s="16"/>
      <c r="G31" s="13"/>
      <c r="H31" s="13"/>
      <c r="I31" s="13"/>
      <c r="J31" s="13"/>
      <c r="K31" s="13"/>
      <c r="L31" s="13"/>
      <c r="M31" s="13"/>
      <c r="N31" s="13"/>
      <c r="O31" s="13"/>
      <c r="P31" s="13"/>
      <c r="Q31" s="13"/>
      <c r="R31" s="13"/>
      <c r="S31" s="13"/>
      <c r="T31" s="13"/>
      <c r="U31" s="13"/>
      <c r="V31" s="13"/>
      <c r="W31" s="13"/>
      <c r="X31" s="13"/>
      <c r="Y31" s="13"/>
      <c r="Z31" s="13"/>
      <c r="AA31" s="13"/>
    </row>
    <row r="32" ht="20.25" customHeight="1">
      <c r="A32" s="15">
        <v>45965.062789351854</v>
      </c>
      <c r="B32" s="16" t="s">
        <v>136</v>
      </c>
      <c r="C32" s="16" t="s">
        <v>137</v>
      </c>
      <c r="D32" s="16" t="s">
        <v>138</v>
      </c>
      <c r="E32" s="17" t="s">
        <v>139</v>
      </c>
      <c r="F32" s="16"/>
      <c r="G32" s="13"/>
      <c r="H32" s="13"/>
      <c r="I32" s="13"/>
      <c r="J32" s="13"/>
      <c r="K32" s="13"/>
      <c r="L32" s="13"/>
      <c r="M32" s="13"/>
      <c r="N32" s="13"/>
      <c r="O32" s="13"/>
      <c r="P32" s="13"/>
      <c r="Q32" s="13"/>
      <c r="R32" s="13"/>
      <c r="S32" s="13"/>
      <c r="T32" s="13"/>
      <c r="U32" s="13"/>
      <c r="V32" s="13"/>
      <c r="W32" s="13"/>
      <c r="X32" s="13"/>
      <c r="Y32" s="13"/>
      <c r="Z32" s="13"/>
      <c r="AA32" s="13"/>
    </row>
    <row r="33" ht="20.25" customHeight="1">
      <c r="A33" s="15">
        <v>45965.43740740741</v>
      </c>
      <c r="B33" s="16" t="s">
        <v>140</v>
      </c>
      <c r="C33" s="16" t="s">
        <v>141</v>
      </c>
      <c r="D33" s="16" t="s">
        <v>142</v>
      </c>
      <c r="E33" s="17" t="s">
        <v>143</v>
      </c>
      <c r="F33" s="16"/>
      <c r="G33" s="13"/>
      <c r="H33" s="13"/>
      <c r="I33" s="13"/>
      <c r="J33" s="13"/>
      <c r="K33" s="13"/>
      <c r="L33" s="13"/>
      <c r="M33" s="13"/>
      <c r="N33" s="13"/>
      <c r="O33" s="13"/>
      <c r="P33" s="13"/>
      <c r="Q33" s="13"/>
      <c r="R33" s="13"/>
      <c r="S33" s="13"/>
      <c r="T33" s="13"/>
      <c r="U33" s="13"/>
      <c r="V33" s="13"/>
      <c r="W33" s="13"/>
      <c r="X33" s="13"/>
      <c r="Y33" s="13"/>
      <c r="Z33" s="13"/>
      <c r="AA33" s="13"/>
    </row>
    <row r="34" ht="20.25" customHeight="1">
      <c r="A34" s="15">
        <v>45965.46554398148</v>
      </c>
      <c r="B34" s="16" t="s">
        <v>144</v>
      </c>
      <c r="C34" s="17" t="s">
        <v>145</v>
      </c>
      <c r="D34" s="16" t="s">
        <v>146</v>
      </c>
      <c r="E34" s="17" t="s">
        <v>147</v>
      </c>
      <c r="F34" s="16"/>
      <c r="G34" s="13"/>
      <c r="H34" s="13"/>
      <c r="I34" s="13"/>
      <c r="J34" s="13"/>
      <c r="K34" s="13"/>
      <c r="L34" s="13"/>
      <c r="M34" s="13"/>
      <c r="N34" s="13"/>
      <c r="O34" s="13"/>
      <c r="P34" s="13"/>
      <c r="Q34" s="13"/>
      <c r="R34" s="13"/>
      <c r="S34" s="13"/>
      <c r="T34" s="13"/>
      <c r="U34" s="13"/>
      <c r="V34" s="13"/>
      <c r="W34" s="13"/>
      <c r="X34" s="13"/>
      <c r="Y34" s="13"/>
      <c r="Z34" s="13"/>
      <c r="AA34" s="13"/>
    </row>
    <row r="35" ht="20.25" customHeight="1">
      <c r="A35" s="15">
        <v>45965.46592592593</v>
      </c>
      <c r="B35" s="16" t="s">
        <v>148</v>
      </c>
      <c r="C35" s="16" t="s">
        <v>149</v>
      </c>
      <c r="D35" s="16" t="s">
        <v>150</v>
      </c>
      <c r="E35" s="17" t="s">
        <v>151</v>
      </c>
      <c r="F35" s="16"/>
      <c r="G35" s="13"/>
      <c r="H35" s="13"/>
      <c r="I35" s="13"/>
      <c r="J35" s="13"/>
      <c r="K35" s="13"/>
      <c r="L35" s="13"/>
      <c r="M35" s="13"/>
      <c r="N35" s="13"/>
      <c r="O35" s="13"/>
      <c r="P35" s="13"/>
      <c r="Q35" s="13"/>
      <c r="R35" s="13"/>
      <c r="S35" s="13"/>
      <c r="T35" s="13"/>
      <c r="U35" s="13"/>
      <c r="V35" s="13"/>
      <c r="W35" s="13"/>
      <c r="X35" s="13"/>
      <c r="Y35" s="13"/>
      <c r="Z35" s="13"/>
      <c r="AA35" s="13"/>
    </row>
    <row r="36" ht="20.25" customHeight="1">
      <c r="A36" s="15">
        <v>45965.4666087963</v>
      </c>
      <c r="B36" s="16" t="s">
        <v>152</v>
      </c>
      <c r="C36" s="16" t="s">
        <v>153</v>
      </c>
      <c r="D36" s="16" t="s">
        <v>154</v>
      </c>
      <c r="E36" s="17" t="s">
        <v>155</v>
      </c>
      <c r="F36" s="16"/>
      <c r="G36" s="13"/>
      <c r="H36" s="13"/>
      <c r="I36" s="13"/>
      <c r="J36" s="13"/>
      <c r="K36" s="13"/>
      <c r="L36" s="13"/>
      <c r="M36" s="13"/>
      <c r="N36" s="13"/>
      <c r="O36" s="13"/>
      <c r="P36" s="13"/>
      <c r="Q36" s="13"/>
      <c r="R36" s="13"/>
      <c r="S36" s="13"/>
      <c r="T36" s="13"/>
      <c r="U36" s="13"/>
      <c r="V36" s="13"/>
      <c r="W36" s="13"/>
      <c r="X36" s="13"/>
      <c r="Y36" s="13"/>
      <c r="Z36" s="13"/>
      <c r="AA36" s="13"/>
    </row>
    <row r="37" ht="20.25" customHeight="1">
      <c r="A37" s="15">
        <v>45965.466678240744</v>
      </c>
      <c r="B37" s="16" t="s">
        <v>156</v>
      </c>
      <c r="C37" s="16" t="s">
        <v>157</v>
      </c>
      <c r="D37" s="16" t="s">
        <v>158</v>
      </c>
      <c r="E37" s="17" t="s">
        <v>159</v>
      </c>
      <c r="F37" s="16"/>
      <c r="G37" s="13"/>
      <c r="H37" s="13"/>
      <c r="I37" s="13"/>
      <c r="J37" s="13"/>
      <c r="K37" s="13"/>
      <c r="L37" s="13"/>
      <c r="M37" s="13"/>
      <c r="N37" s="13"/>
      <c r="O37" s="13"/>
      <c r="P37" s="13"/>
      <c r="Q37" s="13"/>
      <c r="R37" s="13"/>
      <c r="S37" s="13"/>
      <c r="T37" s="13"/>
      <c r="U37" s="13"/>
      <c r="V37" s="13"/>
      <c r="W37" s="13"/>
      <c r="X37" s="13"/>
      <c r="Y37" s="13"/>
      <c r="Z37" s="13"/>
      <c r="AA37" s="13"/>
    </row>
    <row r="38" ht="20.25" customHeight="1">
      <c r="A38" s="15">
        <v>45965.4669212963</v>
      </c>
      <c r="B38" s="16" t="s">
        <v>160</v>
      </c>
      <c r="C38" s="16" t="s">
        <v>161</v>
      </c>
      <c r="D38" s="16" t="s">
        <v>162</v>
      </c>
      <c r="E38" s="17" t="s">
        <v>163</v>
      </c>
      <c r="F38" s="16"/>
      <c r="G38" s="13"/>
      <c r="H38" s="13"/>
      <c r="I38" s="13"/>
      <c r="J38" s="13"/>
      <c r="K38" s="13"/>
      <c r="L38" s="13"/>
      <c r="M38" s="13"/>
      <c r="N38" s="13"/>
      <c r="O38" s="13"/>
      <c r="P38" s="13"/>
      <c r="Q38" s="13"/>
      <c r="R38" s="13"/>
      <c r="S38" s="13"/>
      <c r="T38" s="13"/>
      <c r="U38" s="13"/>
      <c r="V38" s="13"/>
      <c r="W38" s="13"/>
      <c r="X38" s="13"/>
      <c r="Y38" s="13"/>
      <c r="Z38" s="13"/>
      <c r="AA38" s="13"/>
    </row>
    <row r="39" ht="20.25" customHeight="1">
      <c r="A39" s="15">
        <v>45965.66954861111</v>
      </c>
      <c r="B39" s="16" t="s">
        <v>164</v>
      </c>
      <c r="C39" s="16" t="s">
        <v>165</v>
      </c>
      <c r="D39" s="16" t="s">
        <v>166</v>
      </c>
      <c r="E39" s="17" t="s">
        <v>167</v>
      </c>
      <c r="F39" s="16"/>
      <c r="G39" s="13"/>
      <c r="H39" s="13"/>
      <c r="I39" s="13"/>
      <c r="J39" s="13"/>
      <c r="K39" s="13"/>
      <c r="L39" s="13"/>
      <c r="M39" s="13"/>
      <c r="N39" s="13"/>
      <c r="O39" s="13"/>
      <c r="P39" s="13"/>
      <c r="Q39" s="13"/>
      <c r="R39" s="13"/>
      <c r="S39" s="13"/>
      <c r="T39" s="13"/>
      <c r="U39" s="13"/>
      <c r="V39" s="13"/>
      <c r="W39" s="13"/>
      <c r="X39" s="13"/>
      <c r="Y39" s="13"/>
      <c r="Z39" s="13"/>
      <c r="AA39" s="13"/>
    </row>
    <row r="40" ht="20.25" customHeight="1">
      <c r="A40" s="15">
        <v>45965.85674768518</v>
      </c>
      <c r="B40" s="16" t="s">
        <v>168</v>
      </c>
      <c r="C40" s="16" t="s">
        <v>169</v>
      </c>
      <c r="D40" s="16" t="s">
        <v>170</v>
      </c>
      <c r="E40" s="17" t="s">
        <v>171</v>
      </c>
      <c r="F40" s="16"/>
      <c r="G40" s="13"/>
      <c r="H40" s="13"/>
      <c r="I40" s="13"/>
      <c r="J40" s="13"/>
      <c r="K40" s="13"/>
      <c r="L40" s="13"/>
      <c r="M40" s="13"/>
      <c r="N40" s="13"/>
      <c r="O40" s="13"/>
      <c r="P40" s="13"/>
      <c r="Q40" s="13"/>
      <c r="R40" s="13"/>
      <c r="S40" s="13"/>
      <c r="T40" s="13"/>
      <c r="U40" s="13"/>
      <c r="V40" s="13"/>
      <c r="W40" s="13"/>
      <c r="X40" s="13"/>
      <c r="Y40" s="13"/>
      <c r="Z40" s="13"/>
      <c r="AA40" s="13"/>
    </row>
    <row r="41" ht="20.25" customHeight="1">
      <c r="A41" s="15">
        <v>45965.86002314815</v>
      </c>
      <c r="B41" s="16" t="s">
        <v>172</v>
      </c>
      <c r="C41" s="16" t="s">
        <v>173</v>
      </c>
      <c r="D41" s="16" t="s">
        <v>174</v>
      </c>
      <c r="E41" s="17" t="s">
        <v>175</v>
      </c>
      <c r="F41" s="16"/>
      <c r="G41" s="13"/>
      <c r="H41" s="13"/>
      <c r="I41" s="13"/>
      <c r="J41" s="13"/>
      <c r="K41" s="13"/>
      <c r="L41" s="13"/>
      <c r="M41" s="13"/>
      <c r="N41" s="13"/>
      <c r="O41" s="13"/>
      <c r="P41" s="13"/>
      <c r="Q41" s="13"/>
      <c r="R41" s="13"/>
      <c r="S41" s="13"/>
      <c r="T41" s="13"/>
      <c r="U41" s="13"/>
      <c r="V41" s="13"/>
      <c r="W41" s="13"/>
      <c r="X41" s="13"/>
      <c r="Y41" s="13"/>
      <c r="Z41" s="13"/>
      <c r="AA41" s="13"/>
    </row>
    <row r="42" ht="20.25" customHeight="1">
      <c r="A42" s="15">
        <v>45965.86023148148</v>
      </c>
      <c r="B42" s="16" t="s">
        <v>176</v>
      </c>
      <c r="C42" s="16" t="s">
        <v>177</v>
      </c>
      <c r="D42" s="16" t="s">
        <v>178</v>
      </c>
      <c r="E42" s="17" t="s">
        <v>179</v>
      </c>
      <c r="F42" s="16"/>
      <c r="G42" s="13"/>
      <c r="H42" s="13"/>
      <c r="I42" s="13"/>
      <c r="J42" s="13"/>
      <c r="K42" s="13"/>
      <c r="L42" s="13"/>
      <c r="M42" s="13"/>
      <c r="N42" s="13"/>
      <c r="O42" s="13"/>
      <c r="P42" s="13"/>
      <c r="Q42" s="13"/>
      <c r="R42" s="13"/>
      <c r="S42" s="13"/>
      <c r="T42" s="13"/>
      <c r="U42" s="13"/>
      <c r="V42" s="13"/>
      <c r="W42" s="13"/>
      <c r="X42" s="13"/>
      <c r="Y42" s="13"/>
      <c r="Z42" s="13"/>
      <c r="AA42" s="13"/>
    </row>
    <row r="43" ht="20.25" customHeight="1">
      <c r="A43" s="15">
        <v>45965.86141203704</v>
      </c>
      <c r="B43" s="16" t="s">
        <v>180</v>
      </c>
      <c r="C43" s="16" t="s">
        <v>181</v>
      </c>
      <c r="D43" s="16" t="s">
        <v>182</v>
      </c>
      <c r="E43" s="17" t="s">
        <v>183</v>
      </c>
      <c r="F43" s="16"/>
      <c r="G43" s="13"/>
      <c r="H43" s="13"/>
      <c r="I43" s="13"/>
      <c r="J43" s="13"/>
      <c r="K43" s="13"/>
      <c r="L43" s="13"/>
      <c r="M43" s="13"/>
      <c r="N43" s="13"/>
      <c r="O43" s="13"/>
      <c r="P43" s="13"/>
      <c r="Q43" s="13"/>
      <c r="R43" s="13"/>
      <c r="S43" s="13"/>
      <c r="T43" s="13"/>
      <c r="U43" s="13"/>
      <c r="V43" s="13"/>
      <c r="W43" s="13"/>
      <c r="X43" s="13"/>
      <c r="Y43" s="13"/>
      <c r="Z43" s="13"/>
      <c r="AA43" s="13"/>
    </row>
    <row r="44" ht="20.25" customHeight="1">
      <c r="A44" s="15">
        <v>45965.86974537037</v>
      </c>
      <c r="B44" s="16" t="s">
        <v>184</v>
      </c>
      <c r="C44" s="16" t="s">
        <v>185</v>
      </c>
      <c r="D44" s="16" t="s">
        <v>186</v>
      </c>
      <c r="E44" s="17" t="s">
        <v>187</v>
      </c>
      <c r="F44" s="16"/>
      <c r="G44" s="13"/>
      <c r="H44" s="13"/>
      <c r="I44" s="13"/>
      <c r="J44" s="13"/>
      <c r="K44" s="13"/>
      <c r="L44" s="13"/>
      <c r="M44" s="13"/>
      <c r="N44" s="13"/>
      <c r="O44" s="13"/>
      <c r="P44" s="13"/>
      <c r="Q44" s="13"/>
      <c r="R44" s="13"/>
      <c r="S44" s="13"/>
      <c r="T44" s="13"/>
      <c r="U44" s="13"/>
      <c r="V44" s="13"/>
      <c r="W44" s="13"/>
      <c r="X44" s="13"/>
      <c r="Y44" s="13"/>
      <c r="Z44" s="13"/>
      <c r="AA44" s="13"/>
    </row>
    <row r="45" ht="20.25" customHeight="1">
      <c r="A45" s="15">
        <v>45965.88082175926</v>
      </c>
      <c r="B45" s="16" t="s">
        <v>188</v>
      </c>
      <c r="C45" s="16" t="s">
        <v>189</v>
      </c>
      <c r="D45" s="16" t="s">
        <v>190</v>
      </c>
      <c r="E45" s="17" t="s">
        <v>191</v>
      </c>
      <c r="F45" s="16"/>
      <c r="G45" s="13"/>
      <c r="H45" s="13"/>
      <c r="I45" s="13"/>
      <c r="J45" s="13"/>
      <c r="K45" s="13"/>
      <c r="L45" s="13"/>
      <c r="M45" s="13"/>
      <c r="N45" s="13"/>
      <c r="O45" s="13"/>
      <c r="P45" s="13"/>
      <c r="Q45" s="13"/>
      <c r="R45" s="13"/>
      <c r="S45" s="13"/>
      <c r="T45" s="13"/>
      <c r="U45" s="13"/>
      <c r="V45" s="13"/>
      <c r="W45" s="13"/>
      <c r="X45" s="13"/>
      <c r="Y45" s="13"/>
      <c r="Z45" s="13"/>
      <c r="AA45" s="13"/>
    </row>
    <row r="46" ht="20.25" customHeight="1">
      <c r="A46" s="15">
        <v>45965.880949074075</v>
      </c>
      <c r="B46" s="16" t="s">
        <v>156</v>
      </c>
      <c r="C46" s="16" t="s">
        <v>192</v>
      </c>
      <c r="D46" s="16" t="s">
        <v>193</v>
      </c>
      <c r="E46" s="17" t="s">
        <v>194</v>
      </c>
      <c r="F46" s="16"/>
      <c r="G46" s="13"/>
      <c r="H46" s="13"/>
      <c r="I46" s="13"/>
      <c r="J46" s="13"/>
      <c r="K46" s="13"/>
      <c r="L46" s="13"/>
      <c r="M46" s="13"/>
      <c r="N46" s="13"/>
      <c r="O46" s="13"/>
      <c r="P46" s="13"/>
      <c r="Q46" s="13"/>
      <c r="R46" s="13"/>
      <c r="S46" s="13"/>
      <c r="T46" s="13"/>
      <c r="U46" s="13"/>
      <c r="V46" s="13"/>
      <c r="W46" s="13"/>
      <c r="X46" s="13"/>
      <c r="Y46" s="13"/>
      <c r="Z46" s="13"/>
      <c r="AA46" s="13"/>
    </row>
    <row r="47" ht="20.25" customHeight="1">
      <c r="A47" s="15">
        <v>45965.883368055554</v>
      </c>
      <c r="B47" s="16" t="s">
        <v>195</v>
      </c>
      <c r="C47" s="16" t="s">
        <v>196</v>
      </c>
      <c r="D47" s="16" t="s">
        <v>197</v>
      </c>
      <c r="E47" s="17" t="s">
        <v>198</v>
      </c>
      <c r="F47" s="16"/>
      <c r="G47" s="13"/>
      <c r="H47" s="13"/>
      <c r="I47" s="13"/>
      <c r="J47" s="13"/>
      <c r="K47" s="13"/>
      <c r="L47" s="13"/>
      <c r="M47" s="13"/>
      <c r="N47" s="13"/>
      <c r="O47" s="13"/>
      <c r="P47" s="13"/>
      <c r="Q47" s="13"/>
      <c r="R47" s="13"/>
      <c r="S47" s="13"/>
      <c r="T47" s="13"/>
      <c r="U47" s="13"/>
      <c r="V47" s="13"/>
      <c r="W47" s="13"/>
      <c r="X47" s="13"/>
      <c r="Y47" s="13"/>
      <c r="Z47" s="13"/>
      <c r="AA47" s="13"/>
    </row>
    <row r="48" ht="20.25" customHeight="1">
      <c r="A48" s="15">
        <v>45965.886516203704</v>
      </c>
      <c r="B48" s="16" t="s">
        <v>199</v>
      </c>
      <c r="C48" s="16" t="s">
        <v>200</v>
      </c>
      <c r="D48" s="16" t="s">
        <v>201</v>
      </c>
      <c r="E48" s="17" t="s">
        <v>202</v>
      </c>
      <c r="F48" s="16"/>
      <c r="G48" s="13"/>
      <c r="H48" s="13"/>
      <c r="I48" s="13"/>
      <c r="J48" s="13"/>
      <c r="K48" s="13"/>
      <c r="L48" s="13"/>
      <c r="M48" s="13"/>
      <c r="N48" s="13"/>
      <c r="O48" s="13"/>
      <c r="P48" s="13"/>
      <c r="Q48" s="13"/>
      <c r="R48" s="13"/>
      <c r="S48" s="13"/>
      <c r="T48" s="13"/>
      <c r="U48" s="13"/>
      <c r="V48" s="13"/>
      <c r="W48" s="13"/>
      <c r="X48" s="13"/>
      <c r="Y48" s="13"/>
      <c r="Z48" s="13"/>
      <c r="AA48" s="13"/>
    </row>
    <row r="49" ht="20.25" customHeight="1">
      <c r="A49" s="15">
        <v>45965.89454861111</v>
      </c>
      <c r="B49" s="16" t="s">
        <v>203</v>
      </c>
      <c r="C49" s="16" t="s">
        <v>204</v>
      </c>
      <c r="D49" s="16" t="s">
        <v>205</v>
      </c>
      <c r="E49" s="17" t="s">
        <v>206</v>
      </c>
      <c r="F49" s="16"/>
      <c r="G49" s="13"/>
      <c r="H49" s="13"/>
      <c r="I49" s="13"/>
      <c r="J49" s="13"/>
      <c r="K49" s="13"/>
      <c r="L49" s="13"/>
      <c r="M49" s="13"/>
      <c r="N49" s="13"/>
      <c r="O49" s="13"/>
      <c r="P49" s="13"/>
      <c r="Q49" s="13"/>
      <c r="R49" s="13"/>
      <c r="S49" s="13"/>
      <c r="T49" s="13"/>
      <c r="U49" s="13"/>
      <c r="V49" s="13"/>
      <c r="W49" s="13"/>
      <c r="X49" s="13"/>
      <c r="Y49" s="13"/>
      <c r="Z49" s="13"/>
      <c r="AA49" s="13"/>
    </row>
    <row r="50" ht="20.25" customHeight="1">
      <c r="A50" s="15">
        <v>45965.897361111114</v>
      </c>
      <c r="B50" s="16" t="s">
        <v>207</v>
      </c>
      <c r="C50" s="16" t="s">
        <v>208</v>
      </c>
      <c r="D50" s="16" t="s">
        <v>209</v>
      </c>
      <c r="E50" s="17" t="s">
        <v>210</v>
      </c>
      <c r="F50" s="16"/>
      <c r="G50" s="13"/>
      <c r="H50" s="13"/>
      <c r="I50" s="13"/>
      <c r="J50" s="13"/>
      <c r="K50" s="13"/>
      <c r="L50" s="13"/>
      <c r="M50" s="13"/>
      <c r="N50" s="13"/>
      <c r="O50" s="13"/>
      <c r="P50" s="13"/>
      <c r="Q50" s="13"/>
      <c r="R50" s="13"/>
      <c r="S50" s="13"/>
      <c r="T50" s="13"/>
      <c r="U50" s="13"/>
      <c r="V50" s="13"/>
      <c r="W50" s="13"/>
      <c r="X50" s="13"/>
      <c r="Y50" s="13"/>
      <c r="Z50" s="13"/>
      <c r="AA50" s="13"/>
    </row>
    <row r="51" ht="20.25" customHeight="1">
      <c r="A51" s="15">
        <v>45965.92128472222</v>
      </c>
      <c r="B51" s="16" t="s">
        <v>211</v>
      </c>
      <c r="C51" s="16" t="s">
        <v>212</v>
      </c>
      <c r="D51" s="16" t="s">
        <v>213</v>
      </c>
      <c r="E51" s="17" t="s">
        <v>214</v>
      </c>
      <c r="F51" s="16"/>
      <c r="G51" s="13"/>
      <c r="H51" s="13"/>
      <c r="I51" s="13"/>
      <c r="J51" s="13"/>
      <c r="K51" s="13"/>
      <c r="L51" s="13"/>
      <c r="M51" s="13"/>
      <c r="N51" s="13"/>
      <c r="O51" s="13"/>
      <c r="P51" s="13"/>
      <c r="Q51" s="13"/>
      <c r="R51" s="13"/>
      <c r="S51" s="13"/>
      <c r="T51" s="13"/>
      <c r="U51" s="13"/>
      <c r="V51" s="13"/>
      <c r="W51" s="13"/>
      <c r="X51" s="13"/>
      <c r="Y51" s="13"/>
      <c r="Z51" s="13"/>
      <c r="AA51" s="13"/>
    </row>
    <row r="52" ht="20.25" customHeight="1">
      <c r="A52" s="15">
        <v>45966.97725694445</v>
      </c>
      <c r="B52" s="16" t="s">
        <v>215</v>
      </c>
      <c r="C52" s="16" t="s">
        <v>216</v>
      </c>
      <c r="D52" s="16" t="s">
        <v>217</v>
      </c>
      <c r="E52" s="17" t="s">
        <v>218</v>
      </c>
      <c r="F52" s="16"/>
      <c r="G52" s="13"/>
      <c r="H52" s="13"/>
      <c r="I52" s="13"/>
      <c r="J52" s="13"/>
      <c r="K52" s="13"/>
      <c r="L52" s="13"/>
      <c r="M52" s="13"/>
      <c r="N52" s="13"/>
      <c r="O52" s="13"/>
      <c r="P52" s="13"/>
      <c r="Q52" s="13"/>
      <c r="R52" s="13"/>
      <c r="S52" s="13"/>
      <c r="T52" s="13"/>
      <c r="U52" s="13"/>
      <c r="V52" s="13"/>
      <c r="W52" s="13"/>
      <c r="X52" s="13"/>
      <c r="Y52" s="13"/>
      <c r="Z52" s="13"/>
      <c r="AA52" s="13"/>
    </row>
    <row r="53" ht="20.25" customHeight="1">
      <c r="A53" s="15">
        <v>45967.01736111111</v>
      </c>
      <c r="B53" s="16" t="s">
        <v>219</v>
      </c>
      <c r="C53" s="16" t="s">
        <v>220</v>
      </c>
      <c r="D53" s="16" t="s">
        <v>221</v>
      </c>
      <c r="E53" s="17" t="s">
        <v>222</v>
      </c>
      <c r="F53" s="16"/>
      <c r="G53" s="13"/>
      <c r="H53" s="13"/>
      <c r="I53" s="13"/>
      <c r="J53" s="13"/>
      <c r="K53" s="13"/>
      <c r="L53" s="13"/>
      <c r="M53" s="13"/>
      <c r="N53" s="13"/>
      <c r="O53" s="13"/>
      <c r="P53" s="13"/>
      <c r="Q53" s="13"/>
      <c r="R53" s="13"/>
      <c r="S53" s="13"/>
      <c r="T53" s="13"/>
      <c r="U53" s="13"/>
      <c r="V53" s="13"/>
      <c r="W53" s="13"/>
      <c r="X53" s="13"/>
      <c r="Y53" s="13"/>
      <c r="Z53" s="13"/>
      <c r="AA53" s="13"/>
    </row>
    <row r="54" ht="20.25" customHeight="1">
      <c r="A54" s="15">
        <v>45967.029340277775</v>
      </c>
      <c r="B54" s="16" t="s">
        <v>219</v>
      </c>
      <c r="C54" s="16" t="s">
        <v>220</v>
      </c>
      <c r="D54" s="16" t="s">
        <v>223</v>
      </c>
      <c r="E54" s="17" t="s">
        <v>224</v>
      </c>
      <c r="F54" s="16"/>
      <c r="G54" s="13"/>
      <c r="H54" s="13"/>
      <c r="I54" s="13"/>
      <c r="J54" s="13"/>
      <c r="K54" s="13"/>
      <c r="L54" s="13"/>
      <c r="M54" s="13"/>
      <c r="N54" s="13"/>
      <c r="O54" s="13"/>
      <c r="P54" s="13"/>
      <c r="Q54" s="13"/>
      <c r="R54" s="13"/>
      <c r="S54" s="13"/>
      <c r="T54" s="13"/>
      <c r="U54" s="13"/>
      <c r="V54" s="13"/>
      <c r="W54" s="13"/>
      <c r="X54" s="13"/>
      <c r="Y54" s="13"/>
      <c r="Z54" s="13"/>
      <c r="AA54" s="13"/>
    </row>
    <row r="55" ht="20.25" customHeight="1">
      <c r="A55" s="15">
        <v>45967.053125</v>
      </c>
      <c r="B55" s="16" t="s">
        <v>225</v>
      </c>
      <c r="C55" s="16" t="s">
        <v>226</v>
      </c>
      <c r="D55" s="16" t="s">
        <v>227</v>
      </c>
      <c r="E55" s="17" t="s">
        <v>228</v>
      </c>
      <c r="F55" s="16"/>
      <c r="G55" s="13"/>
      <c r="H55" s="13"/>
      <c r="I55" s="13"/>
      <c r="J55" s="13"/>
      <c r="K55" s="13"/>
      <c r="L55" s="13"/>
      <c r="M55" s="13"/>
      <c r="N55" s="13"/>
      <c r="O55" s="13"/>
      <c r="P55" s="13"/>
      <c r="Q55" s="13"/>
      <c r="R55" s="13"/>
      <c r="S55" s="13"/>
      <c r="T55" s="13"/>
      <c r="U55" s="13"/>
      <c r="V55" s="13"/>
      <c r="W55" s="13"/>
      <c r="X55" s="13"/>
      <c r="Y55" s="13"/>
      <c r="Z55" s="13"/>
      <c r="AA55" s="13"/>
    </row>
    <row r="56" ht="20.25" customHeight="1">
      <c r="A56" s="15">
        <v>45967.053564814814</v>
      </c>
      <c r="B56" s="16" t="s">
        <v>229</v>
      </c>
      <c r="C56" s="16" t="s">
        <v>230</v>
      </c>
      <c r="D56" s="16" t="s">
        <v>231</v>
      </c>
      <c r="E56" s="17" t="s">
        <v>232</v>
      </c>
      <c r="F56" s="16"/>
      <c r="G56" s="13"/>
      <c r="H56" s="13"/>
      <c r="I56" s="13"/>
      <c r="J56" s="13"/>
      <c r="K56" s="13"/>
      <c r="L56" s="13"/>
      <c r="M56" s="13"/>
      <c r="N56" s="13"/>
      <c r="O56" s="13"/>
      <c r="P56" s="13"/>
      <c r="Q56" s="13"/>
      <c r="R56" s="13"/>
      <c r="S56" s="13"/>
      <c r="T56" s="13"/>
      <c r="U56" s="13"/>
      <c r="V56" s="13"/>
      <c r="W56" s="13"/>
      <c r="X56" s="13"/>
      <c r="Y56" s="13"/>
      <c r="Z56" s="13"/>
      <c r="AA56" s="13"/>
    </row>
    <row r="57" ht="20.25" customHeight="1">
      <c r="A57" s="15">
        <v>45967.07048611111</v>
      </c>
      <c r="B57" s="16" t="s">
        <v>233</v>
      </c>
      <c r="C57" s="16" t="s">
        <v>230</v>
      </c>
      <c r="D57" s="16" t="s">
        <v>234</v>
      </c>
      <c r="E57" s="17" t="s">
        <v>235</v>
      </c>
      <c r="F57" s="16"/>
      <c r="G57" s="13"/>
      <c r="H57" s="13"/>
      <c r="I57" s="13"/>
      <c r="J57" s="13"/>
      <c r="K57" s="13"/>
      <c r="L57" s="13"/>
      <c r="M57" s="13"/>
      <c r="N57" s="13"/>
      <c r="O57" s="13"/>
      <c r="P57" s="13"/>
      <c r="Q57" s="13"/>
      <c r="R57" s="13"/>
      <c r="S57" s="13"/>
      <c r="T57" s="13"/>
      <c r="U57" s="13"/>
      <c r="V57" s="13"/>
      <c r="W57" s="13"/>
      <c r="X57" s="13"/>
      <c r="Y57" s="13"/>
      <c r="Z57" s="13"/>
      <c r="AA57" s="13"/>
    </row>
    <row r="58" ht="20.25" customHeight="1">
      <c r="A58" s="15">
        <v>45967.070763888885</v>
      </c>
      <c r="B58" s="16" t="s">
        <v>236</v>
      </c>
      <c r="C58" s="16" t="s">
        <v>237</v>
      </c>
      <c r="D58" s="16" t="s">
        <v>238</v>
      </c>
      <c r="E58" s="17" t="s">
        <v>239</v>
      </c>
      <c r="F58" s="16"/>
      <c r="G58" s="13"/>
      <c r="H58" s="13"/>
      <c r="I58" s="13"/>
      <c r="J58" s="13"/>
      <c r="K58" s="13"/>
      <c r="L58" s="13"/>
      <c r="M58" s="13"/>
      <c r="N58" s="13"/>
      <c r="O58" s="13"/>
      <c r="P58" s="13"/>
      <c r="Q58" s="13"/>
      <c r="R58" s="13"/>
      <c r="S58" s="13"/>
      <c r="T58" s="13"/>
      <c r="U58" s="13"/>
      <c r="V58" s="13"/>
      <c r="W58" s="13"/>
      <c r="X58" s="13"/>
      <c r="Y58" s="13"/>
      <c r="Z58" s="13"/>
      <c r="AA58" s="13"/>
    </row>
    <row r="59" ht="20.25" customHeight="1">
      <c r="A59" s="15">
        <v>45967.07158564815</v>
      </c>
      <c r="B59" s="16" t="s">
        <v>240</v>
      </c>
      <c r="C59" s="16" t="s">
        <v>237</v>
      </c>
      <c r="D59" s="16" t="s">
        <v>241</v>
      </c>
      <c r="E59" s="17" t="s">
        <v>242</v>
      </c>
      <c r="F59" s="16"/>
      <c r="G59" s="13"/>
      <c r="H59" s="13"/>
      <c r="I59" s="13"/>
      <c r="J59" s="13"/>
      <c r="K59" s="13"/>
      <c r="L59" s="13"/>
      <c r="M59" s="13"/>
      <c r="N59" s="13"/>
      <c r="O59" s="13"/>
      <c r="P59" s="13"/>
      <c r="Q59" s="13"/>
      <c r="R59" s="13"/>
      <c r="S59" s="13"/>
      <c r="T59" s="13"/>
      <c r="U59" s="13"/>
      <c r="V59" s="13"/>
      <c r="W59" s="13"/>
      <c r="X59" s="13"/>
      <c r="Y59" s="13"/>
      <c r="Z59" s="13"/>
      <c r="AA59" s="13"/>
    </row>
    <row r="60" ht="20.25" customHeight="1">
      <c r="A60" s="15">
        <v>45967.07209490741</v>
      </c>
      <c r="B60" s="16" t="s">
        <v>243</v>
      </c>
      <c r="C60" s="16" t="s">
        <v>237</v>
      </c>
      <c r="D60" s="16" t="s">
        <v>244</v>
      </c>
      <c r="E60" s="17" t="s">
        <v>245</v>
      </c>
      <c r="F60" s="16"/>
      <c r="G60" s="13"/>
      <c r="H60" s="13"/>
      <c r="I60" s="13"/>
      <c r="J60" s="13"/>
      <c r="K60" s="13"/>
      <c r="L60" s="13"/>
      <c r="M60" s="13"/>
      <c r="N60" s="13"/>
      <c r="O60" s="13"/>
      <c r="P60" s="13"/>
      <c r="Q60" s="13"/>
      <c r="R60" s="13"/>
      <c r="S60" s="13"/>
      <c r="T60" s="13"/>
      <c r="U60" s="13"/>
      <c r="V60" s="13"/>
      <c r="W60" s="13"/>
      <c r="X60" s="13"/>
      <c r="Y60" s="13"/>
      <c r="Z60" s="13"/>
      <c r="AA60" s="13"/>
    </row>
    <row r="61" ht="20.25" customHeight="1">
      <c r="A61" s="15">
        <v>45967.087488425925</v>
      </c>
      <c r="B61" s="16" t="s">
        <v>246</v>
      </c>
      <c r="C61" s="16" t="s">
        <v>247</v>
      </c>
      <c r="D61" s="16" t="s">
        <v>248</v>
      </c>
      <c r="E61" s="17" t="s">
        <v>249</v>
      </c>
      <c r="F61" s="16"/>
      <c r="G61" s="13"/>
      <c r="H61" s="13"/>
      <c r="I61" s="13"/>
      <c r="J61" s="13"/>
      <c r="K61" s="13"/>
      <c r="L61" s="13"/>
      <c r="M61" s="13"/>
      <c r="N61" s="13"/>
      <c r="O61" s="13"/>
      <c r="P61" s="13"/>
      <c r="Q61" s="13"/>
      <c r="R61" s="13"/>
      <c r="S61" s="13"/>
      <c r="T61" s="13"/>
      <c r="U61" s="13"/>
      <c r="V61" s="13"/>
      <c r="W61" s="13"/>
      <c r="X61" s="13"/>
      <c r="Y61" s="13"/>
      <c r="Z61" s="13"/>
      <c r="AA61" s="13"/>
    </row>
    <row r="62" ht="20.25" customHeight="1">
      <c r="A62" s="15">
        <v>45967.47357638889</v>
      </c>
      <c r="B62" s="16" t="s">
        <v>160</v>
      </c>
      <c r="C62" s="16" t="s">
        <v>161</v>
      </c>
      <c r="D62" s="16" t="s">
        <v>250</v>
      </c>
      <c r="E62" s="17" t="s">
        <v>251</v>
      </c>
      <c r="F62" s="16"/>
      <c r="G62" s="13"/>
      <c r="H62" s="13"/>
      <c r="I62" s="13"/>
      <c r="J62" s="13"/>
      <c r="K62" s="13"/>
      <c r="L62" s="13"/>
      <c r="M62" s="13"/>
      <c r="N62" s="13"/>
      <c r="O62" s="13"/>
      <c r="P62" s="13"/>
      <c r="Q62" s="13"/>
      <c r="R62" s="13"/>
      <c r="S62" s="13"/>
      <c r="T62" s="13"/>
      <c r="U62" s="13"/>
      <c r="V62" s="13"/>
      <c r="W62" s="13"/>
      <c r="X62" s="13"/>
      <c r="Y62" s="13"/>
      <c r="Z62" s="13"/>
      <c r="AA62" s="13"/>
    </row>
    <row r="63" ht="20.25" customHeight="1">
      <c r="A63" s="15">
        <v>45967.47357638889</v>
      </c>
      <c r="B63" s="16" t="s">
        <v>252</v>
      </c>
      <c r="C63" s="16" t="s">
        <v>253</v>
      </c>
      <c r="D63" s="16" t="s">
        <v>254</v>
      </c>
      <c r="E63" s="17" t="s">
        <v>255</v>
      </c>
      <c r="F63" s="16"/>
      <c r="G63" s="13"/>
      <c r="H63" s="13"/>
      <c r="I63" s="13"/>
      <c r="J63" s="13"/>
      <c r="K63" s="13"/>
      <c r="L63" s="13"/>
      <c r="M63" s="13"/>
      <c r="N63" s="13"/>
      <c r="O63" s="13"/>
      <c r="P63" s="13"/>
      <c r="Q63" s="13"/>
      <c r="R63" s="13"/>
      <c r="S63" s="13"/>
      <c r="T63" s="13"/>
      <c r="U63" s="13"/>
      <c r="V63" s="13"/>
      <c r="W63" s="13"/>
      <c r="X63" s="13"/>
      <c r="Y63" s="13"/>
      <c r="Z63" s="13"/>
      <c r="AA63" s="13"/>
    </row>
    <row r="64" ht="20.25" customHeight="1">
      <c r="A64" s="15">
        <v>45968.00278935185</v>
      </c>
      <c r="B64" s="16" t="s">
        <v>256</v>
      </c>
      <c r="C64" s="16" t="s">
        <v>257</v>
      </c>
      <c r="D64" s="16" t="s">
        <v>258</v>
      </c>
      <c r="E64" s="17" t="s">
        <v>259</v>
      </c>
      <c r="F64" s="16"/>
      <c r="G64" s="13"/>
      <c r="H64" s="13"/>
      <c r="I64" s="13"/>
      <c r="J64" s="13"/>
      <c r="K64" s="13"/>
      <c r="L64" s="13"/>
      <c r="M64" s="13"/>
      <c r="N64" s="13"/>
      <c r="O64" s="13"/>
      <c r="P64" s="13"/>
      <c r="Q64" s="13"/>
      <c r="R64" s="13"/>
      <c r="S64" s="13"/>
      <c r="T64" s="13"/>
      <c r="U64" s="13"/>
      <c r="V64" s="13"/>
      <c r="W64" s="13"/>
      <c r="X64" s="13"/>
      <c r="Y64" s="13"/>
      <c r="Z64" s="13"/>
      <c r="AA64" s="13"/>
    </row>
    <row r="65" ht="20.25" customHeight="1">
      <c r="A65" s="15">
        <v>45968.01212962963</v>
      </c>
      <c r="B65" s="16" t="s">
        <v>260</v>
      </c>
      <c r="C65" s="16" t="s">
        <v>261</v>
      </c>
      <c r="D65" s="16" t="s">
        <v>262</v>
      </c>
      <c r="E65" s="17" t="s">
        <v>263</v>
      </c>
      <c r="F65" s="16"/>
      <c r="G65" s="13"/>
      <c r="H65" s="13"/>
      <c r="I65" s="13"/>
      <c r="J65" s="13"/>
      <c r="K65" s="13"/>
      <c r="L65" s="13"/>
      <c r="M65" s="13"/>
      <c r="N65" s="13"/>
      <c r="O65" s="13"/>
      <c r="P65" s="13"/>
      <c r="Q65" s="13"/>
      <c r="R65" s="13"/>
      <c r="S65" s="13"/>
      <c r="T65" s="13"/>
      <c r="U65" s="13"/>
      <c r="V65" s="13"/>
      <c r="W65" s="13"/>
      <c r="X65" s="13"/>
      <c r="Y65" s="13"/>
      <c r="Z65" s="13"/>
      <c r="AA65" s="13"/>
    </row>
    <row r="66" ht="20.25" customHeight="1">
      <c r="A66" s="15">
        <v>45968.879895833335</v>
      </c>
      <c r="B66" s="16" t="s">
        <v>264</v>
      </c>
      <c r="C66" s="16" t="s">
        <v>265</v>
      </c>
      <c r="D66" s="16" t="s">
        <v>266</v>
      </c>
      <c r="E66" s="17" t="s">
        <v>267</v>
      </c>
      <c r="F66" s="16"/>
      <c r="G66" s="13"/>
      <c r="H66" s="13"/>
      <c r="I66" s="13"/>
      <c r="J66" s="13"/>
      <c r="K66" s="13"/>
      <c r="L66" s="13"/>
      <c r="M66" s="13"/>
      <c r="N66" s="13"/>
      <c r="O66" s="13"/>
      <c r="P66" s="13"/>
      <c r="Q66" s="13"/>
      <c r="R66" s="13"/>
      <c r="S66" s="13"/>
      <c r="T66" s="13"/>
      <c r="U66" s="13"/>
      <c r="V66" s="13"/>
      <c r="W66" s="13"/>
      <c r="X66" s="13"/>
      <c r="Y66" s="13"/>
      <c r="Z66" s="13"/>
      <c r="AA66" s="13"/>
    </row>
    <row r="67" ht="20.25" customHeight="1">
      <c r="A67" s="15">
        <v>45969.997094907405</v>
      </c>
      <c r="B67" s="16" t="s">
        <v>268</v>
      </c>
      <c r="C67" s="16" t="s">
        <v>269</v>
      </c>
      <c r="D67" s="16" t="s">
        <v>270</v>
      </c>
      <c r="E67" s="17" t="s">
        <v>271</v>
      </c>
      <c r="F67" s="16"/>
      <c r="G67" s="13"/>
      <c r="H67" s="13"/>
      <c r="I67" s="13"/>
      <c r="J67" s="13"/>
      <c r="K67" s="13"/>
      <c r="L67" s="13"/>
      <c r="M67" s="13"/>
      <c r="N67" s="13"/>
      <c r="O67" s="13"/>
      <c r="P67" s="13"/>
      <c r="Q67" s="13"/>
      <c r="R67" s="13"/>
      <c r="S67" s="13"/>
      <c r="T67" s="13"/>
      <c r="U67" s="13"/>
      <c r="V67" s="13"/>
      <c r="W67" s="13"/>
      <c r="X67" s="13"/>
      <c r="Y67" s="13"/>
      <c r="Z67" s="13"/>
      <c r="AA67" s="13"/>
    </row>
    <row r="68" ht="20.25" customHeight="1">
      <c r="A68" s="13" t="s">
        <v>272</v>
      </c>
      <c r="B68" s="16" t="s">
        <v>88</v>
      </c>
      <c r="C68" s="16" t="s">
        <v>273</v>
      </c>
      <c r="D68" s="16" t="s">
        <v>274</v>
      </c>
      <c r="E68" s="17" t="s">
        <v>275</v>
      </c>
      <c r="F68" s="13"/>
      <c r="G68" s="13"/>
      <c r="H68" s="13"/>
      <c r="I68" s="13"/>
      <c r="J68" s="13"/>
      <c r="K68" s="13"/>
      <c r="L68" s="13"/>
      <c r="M68" s="13"/>
      <c r="N68" s="13"/>
      <c r="O68" s="13"/>
      <c r="P68" s="13"/>
      <c r="Q68" s="13"/>
      <c r="R68" s="13"/>
      <c r="S68" s="13"/>
      <c r="T68" s="13"/>
      <c r="U68" s="13"/>
      <c r="V68" s="13"/>
      <c r="W68" s="13"/>
      <c r="X68" s="13"/>
      <c r="Y68" s="13"/>
      <c r="Z68" s="13"/>
      <c r="AA68" s="13"/>
    </row>
    <row r="69" ht="20.25" customHeight="1">
      <c r="A69" s="13" t="str">
        <f>IFERROR(__xludf.DUMMYFUNCTION("IFERROR(
  FILTER(
    {
      ARRAYFORMULA(TEXT(TO_DATE(Jobright!B2:B975), ""MM/dd/yyyy, h:mm:ss AM/PM"")),
      Jobright!A2:A975,
      Jobright!F2:F975,
      Jobright!E2:E975,
      Jobright!C2:C975,
      Jobright!M2:M975
    },
    LOWER(TRIM(Jobri"&amp;"ght!M2:M975))=""Done""
  ),
  ""No rows marked done""
)
"),"No rows marked done")</f>
        <v>No rows marked done</v>
      </c>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row>
    <row r="70" ht="20.25" customHeight="1">
      <c r="A70" s="15">
        <v>45975.52956018518</v>
      </c>
      <c r="B70" s="16" t="s">
        <v>276</v>
      </c>
      <c r="C70" s="16" t="s">
        <v>277</v>
      </c>
      <c r="D70" s="16" t="s">
        <v>278</v>
      </c>
      <c r="E70" s="17" t="s">
        <v>279</v>
      </c>
      <c r="F70" s="16"/>
      <c r="G70" s="13"/>
      <c r="H70" s="13"/>
      <c r="I70" s="13"/>
      <c r="J70" s="13"/>
      <c r="K70" s="13"/>
      <c r="L70" s="13"/>
      <c r="M70" s="13"/>
      <c r="N70" s="13"/>
      <c r="O70" s="13"/>
      <c r="P70" s="13"/>
      <c r="Q70" s="13"/>
      <c r="R70" s="13"/>
      <c r="S70" s="13"/>
      <c r="T70" s="13"/>
      <c r="U70" s="13"/>
      <c r="V70" s="13"/>
      <c r="W70" s="13"/>
      <c r="X70" s="13"/>
      <c r="Y70" s="13"/>
      <c r="Z70" s="13"/>
      <c r="AA70" s="13"/>
    </row>
    <row r="71" ht="20.25" customHeight="1">
      <c r="A71" s="15">
        <v>45975.53722222222</v>
      </c>
      <c r="B71" s="16" t="s">
        <v>280</v>
      </c>
      <c r="C71" s="16" t="s">
        <v>281</v>
      </c>
      <c r="D71" s="16" t="s">
        <v>282</v>
      </c>
      <c r="E71" s="17" t="s">
        <v>283</v>
      </c>
      <c r="F71" s="16"/>
      <c r="G71" s="13"/>
      <c r="H71" s="13"/>
      <c r="I71" s="13"/>
      <c r="J71" s="13"/>
      <c r="K71" s="13"/>
      <c r="L71" s="13"/>
      <c r="M71" s="13"/>
      <c r="N71" s="13"/>
      <c r="O71" s="13"/>
      <c r="P71" s="13"/>
      <c r="Q71" s="13"/>
      <c r="R71" s="13"/>
      <c r="S71" s="13"/>
      <c r="T71" s="13"/>
      <c r="U71" s="13"/>
      <c r="V71" s="13"/>
      <c r="W71" s="13"/>
      <c r="X71" s="13"/>
      <c r="Y71" s="13"/>
      <c r="Z71" s="13"/>
      <c r="AA71" s="13"/>
    </row>
    <row r="72" ht="20.25" customHeight="1">
      <c r="A72" s="15">
        <v>45975.53743055555</v>
      </c>
      <c r="B72" s="16" t="s">
        <v>284</v>
      </c>
      <c r="C72" s="16" t="s">
        <v>285</v>
      </c>
      <c r="D72" s="16" t="s">
        <v>286</v>
      </c>
      <c r="E72" s="17" t="s">
        <v>287</v>
      </c>
      <c r="F72" s="16"/>
      <c r="G72" s="13"/>
      <c r="H72" s="13"/>
      <c r="I72" s="13"/>
      <c r="J72" s="13"/>
      <c r="K72" s="13"/>
      <c r="L72" s="13"/>
      <c r="M72" s="13"/>
      <c r="N72" s="13"/>
      <c r="O72" s="13"/>
      <c r="P72" s="13"/>
      <c r="Q72" s="13"/>
      <c r="R72" s="13"/>
      <c r="S72" s="13"/>
      <c r="T72" s="13"/>
      <c r="U72" s="13"/>
      <c r="V72" s="13"/>
      <c r="W72" s="13"/>
      <c r="X72" s="13"/>
      <c r="Y72" s="13"/>
      <c r="Z72" s="13"/>
      <c r="AA72" s="13"/>
    </row>
    <row r="73" ht="20.25" customHeight="1">
      <c r="A73" s="15">
        <v>45975.88449074074</v>
      </c>
      <c r="B73" s="16" t="s">
        <v>288</v>
      </c>
      <c r="C73" s="16" t="s">
        <v>289</v>
      </c>
      <c r="D73" s="16" t="s">
        <v>290</v>
      </c>
      <c r="E73" s="17" t="s">
        <v>291</v>
      </c>
      <c r="F73" s="16"/>
      <c r="G73" s="13"/>
      <c r="H73" s="13"/>
      <c r="I73" s="13"/>
      <c r="J73" s="13"/>
      <c r="K73" s="13"/>
      <c r="L73" s="13"/>
      <c r="M73" s="13"/>
      <c r="N73" s="13"/>
      <c r="O73" s="13"/>
      <c r="P73" s="13"/>
      <c r="Q73" s="13"/>
      <c r="R73" s="13"/>
      <c r="S73" s="13"/>
      <c r="T73" s="13"/>
      <c r="U73" s="13"/>
      <c r="V73" s="13"/>
      <c r="W73" s="13"/>
      <c r="X73" s="13"/>
      <c r="Y73" s="13"/>
      <c r="Z73" s="13"/>
      <c r="AA73" s="13"/>
    </row>
    <row r="74" ht="20.25" customHeight="1">
      <c r="A74" s="15">
        <v>45975.88605324074</v>
      </c>
      <c r="B74" s="16" t="s">
        <v>292</v>
      </c>
      <c r="C74" s="16" t="s">
        <v>293</v>
      </c>
      <c r="D74" s="16" t="s">
        <v>294</v>
      </c>
      <c r="E74" s="17" t="s">
        <v>295</v>
      </c>
      <c r="F74" s="16"/>
      <c r="G74" s="13"/>
      <c r="H74" s="13"/>
      <c r="I74" s="13"/>
      <c r="J74" s="13"/>
      <c r="K74" s="13"/>
      <c r="L74" s="13"/>
      <c r="M74" s="13"/>
      <c r="N74" s="13"/>
      <c r="O74" s="13"/>
      <c r="P74" s="13"/>
      <c r="Q74" s="13"/>
      <c r="R74" s="13"/>
      <c r="S74" s="13"/>
      <c r="T74" s="13"/>
      <c r="U74" s="13"/>
      <c r="V74" s="13"/>
      <c r="W74" s="13"/>
      <c r="X74" s="13"/>
      <c r="Y74" s="13"/>
      <c r="Z74" s="13"/>
      <c r="AA74" s="13"/>
    </row>
    <row r="75" ht="20.25" customHeight="1">
      <c r="A75" s="15">
        <v>45975.8872337963</v>
      </c>
      <c r="B75" s="16" t="s">
        <v>268</v>
      </c>
      <c r="C75" s="16" t="s">
        <v>296</v>
      </c>
      <c r="D75" s="16" t="s">
        <v>297</v>
      </c>
      <c r="E75" s="17" t="s">
        <v>298</v>
      </c>
      <c r="F75" s="16"/>
      <c r="G75" s="13"/>
      <c r="H75" s="13"/>
      <c r="I75" s="13"/>
      <c r="J75" s="13"/>
      <c r="K75" s="13"/>
      <c r="L75" s="13"/>
      <c r="M75" s="13"/>
      <c r="N75" s="13"/>
      <c r="O75" s="13"/>
      <c r="P75" s="13"/>
      <c r="Q75" s="13"/>
      <c r="R75" s="13"/>
      <c r="S75" s="13"/>
      <c r="T75" s="13"/>
      <c r="U75" s="13"/>
      <c r="V75" s="13"/>
      <c r="W75" s="13"/>
      <c r="X75" s="13"/>
      <c r="Y75" s="13"/>
      <c r="Z75" s="13"/>
      <c r="AA75" s="13"/>
    </row>
    <row r="76" ht="20.25" customHeight="1">
      <c r="A76" s="15">
        <v>45975.89199074074</v>
      </c>
      <c r="B76" s="16" t="s">
        <v>299</v>
      </c>
      <c r="C76" s="16" t="s">
        <v>85</v>
      </c>
      <c r="D76" s="16" t="s">
        <v>300</v>
      </c>
      <c r="E76" s="17" t="s">
        <v>301</v>
      </c>
      <c r="F76" s="16"/>
      <c r="G76" s="13"/>
      <c r="H76" s="13"/>
      <c r="I76" s="13"/>
      <c r="J76" s="13"/>
      <c r="K76" s="13"/>
      <c r="L76" s="13"/>
      <c r="M76" s="13"/>
      <c r="N76" s="13"/>
      <c r="O76" s="13"/>
      <c r="P76" s="13"/>
      <c r="Q76" s="13"/>
      <c r="R76" s="13"/>
      <c r="S76" s="13"/>
      <c r="T76" s="13"/>
      <c r="U76" s="13"/>
      <c r="V76" s="13"/>
      <c r="W76" s="13"/>
      <c r="X76" s="13"/>
      <c r="Y76" s="13"/>
      <c r="Z76" s="13"/>
      <c r="AA76" s="13"/>
    </row>
    <row r="77" ht="20.25" customHeight="1">
      <c r="A77" s="15">
        <v>45975.89800925926</v>
      </c>
      <c r="B77" s="16" t="s">
        <v>211</v>
      </c>
      <c r="C77" s="16" t="s">
        <v>208</v>
      </c>
      <c r="D77" s="16" t="s">
        <v>302</v>
      </c>
      <c r="E77" s="17" t="s">
        <v>303</v>
      </c>
      <c r="F77" s="16"/>
      <c r="G77" s="13"/>
      <c r="H77" s="13"/>
      <c r="I77" s="13"/>
      <c r="J77" s="13"/>
      <c r="K77" s="13"/>
      <c r="L77" s="13"/>
      <c r="M77" s="13"/>
      <c r="N77" s="13"/>
      <c r="O77" s="13"/>
      <c r="P77" s="13"/>
      <c r="Q77" s="13"/>
      <c r="R77" s="13"/>
      <c r="S77" s="13"/>
      <c r="T77" s="13"/>
      <c r="U77" s="13"/>
      <c r="V77" s="13"/>
      <c r="W77" s="13"/>
      <c r="X77" s="13"/>
      <c r="Y77" s="13"/>
      <c r="Z77" s="13"/>
      <c r="AA77" s="13"/>
    </row>
    <row r="78" ht="20.25" customHeight="1">
      <c r="A78" s="15">
        <v>45976.978854166664</v>
      </c>
      <c r="B78" s="16" t="s">
        <v>304</v>
      </c>
      <c r="C78" s="16" t="s">
        <v>305</v>
      </c>
      <c r="D78" s="16" t="s">
        <v>306</v>
      </c>
      <c r="E78" s="17" t="s">
        <v>307</v>
      </c>
      <c r="F78" s="16"/>
      <c r="G78" s="13"/>
      <c r="H78" s="13"/>
      <c r="I78" s="13"/>
      <c r="J78" s="13"/>
      <c r="K78" s="13"/>
      <c r="L78" s="13"/>
      <c r="M78" s="13"/>
      <c r="N78" s="13"/>
      <c r="O78" s="13"/>
      <c r="P78" s="13"/>
      <c r="Q78" s="13"/>
      <c r="R78" s="13"/>
      <c r="S78" s="13"/>
      <c r="T78" s="13"/>
      <c r="U78" s="13"/>
      <c r="V78" s="13"/>
      <c r="W78" s="13"/>
      <c r="X78" s="13"/>
      <c r="Y78" s="13"/>
      <c r="Z78" s="13"/>
      <c r="AA78" s="13"/>
    </row>
    <row r="79" ht="20.25" customHeight="1">
      <c r="A79" s="15">
        <v>45976.99643518519</v>
      </c>
      <c r="B79" s="16" t="s">
        <v>308</v>
      </c>
      <c r="C79" s="16" t="s">
        <v>309</v>
      </c>
      <c r="D79" s="16" t="s">
        <v>310</v>
      </c>
      <c r="E79" s="17" t="s">
        <v>311</v>
      </c>
      <c r="F79" s="16"/>
      <c r="G79" s="13"/>
      <c r="H79" s="13"/>
      <c r="I79" s="13"/>
      <c r="J79" s="13"/>
      <c r="K79" s="13"/>
      <c r="L79" s="13"/>
      <c r="M79" s="13"/>
      <c r="N79" s="13"/>
      <c r="O79" s="13"/>
      <c r="P79" s="13"/>
      <c r="Q79" s="13"/>
      <c r="R79" s="13"/>
      <c r="S79" s="13"/>
      <c r="T79" s="13"/>
      <c r="U79" s="13"/>
      <c r="V79" s="13"/>
      <c r="W79" s="13"/>
      <c r="X79" s="13"/>
      <c r="Y79" s="13"/>
      <c r="Z79" s="13"/>
      <c r="AA79" s="13"/>
    </row>
    <row r="80" ht="20.25" customHeight="1">
      <c r="A80" s="15">
        <v>45977.86009259259</v>
      </c>
      <c r="B80" s="16" t="s">
        <v>312</v>
      </c>
      <c r="C80" s="16" t="s">
        <v>313</v>
      </c>
      <c r="D80" s="16" t="s">
        <v>314</v>
      </c>
      <c r="E80" s="17" t="s">
        <v>315</v>
      </c>
      <c r="F80" s="16"/>
      <c r="G80" s="13"/>
      <c r="H80" s="13"/>
      <c r="I80" s="13"/>
      <c r="J80" s="13"/>
      <c r="K80" s="13"/>
      <c r="L80" s="13"/>
      <c r="M80" s="13"/>
      <c r="N80" s="13"/>
      <c r="O80" s="13"/>
      <c r="P80" s="13"/>
      <c r="Q80" s="13"/>
      <c r="R80" s="13"/>
      <c r="S80" s="13"/>
      <c r="T80" s="13"/>
      <c r="U80" s="13"/>
      <c r="V80" s="13"/>
      <c r="W80" s="13"/>
      <c r="X80" s="13"/>
      <c r="Y80" s="13"/>
      <c r="Z80" s="13"/>
      <c r="AA80" s="13"/>
    </row>
    <row r="81" ht="20.25" customHeight="1">
      <c r="A81" s="15">
        <v>45977.86009259259</v>
      </c>
      <c r="B81" s="16" t="s">
        <v>316</v>
      </c>
      <c r="C81" s="16" t="s">
        <v>317</v>
      </c>
      <c r="D81" s="16" t="s">
        <v>318</v>
      </c>
      <c r="E81" s="17" t="s">
        <v>319</v>
      </c>
      <c r="F81" s="16"/>
      <c r="G81" s="13"/>
      <c r="H81" s="13"/>
      <c r="I81" s="13"/>
      <c r="J81" s="13"/>
      <c r="K81" s="13"/>
      <c r="L81" s="13"/>
      <c r="M81" s="13"/>
      <c r="N81" s="13"/>
      <c r="O81" s="13"/>
      <c r="P81" s="13"/>
      <c r="Q81" s="13"/>
      <c r="R81" s="13"/>
      <c r="S81" s="13"/>
      <c r="T81" s="13"/>
      <c r="U81" s="13"/>
      <c r="V81" s="13"/>
      <c r="W81" s="13"/>
      <c r="X81" s="13"/>
      <c r="Y81" s="13"/>
      <c r="Z81" s="13"/>
      <c r="AA81" s="13"/>
    </row>
    <row r="82" ht="20.25" customHeight="1">
      <c r="A82" s="15">
        <v>45978.44121527778</v>
      </c>
      <c r="B82" s="16" t="s">
        <v>320</v>
      </c>
      <c r="C82" s="16" t="s">
        <v>321</v>
      </c>
      <c r="D82" s="16" t="s">
        <v>322</v>
      </c>
      <c r="E82" s="17" t="s">
        <v>323</v>
      </c>
      <c r="F82" s="16"/>
      <c r="G82" s="13"/>
      <c r="H82" s="13"/>
      <c r="I82" s="13"/>
      <c r="J82" s="13"/>
      <c r="K82" s="13"/>
      <c r="L82" s="13"/>
      <c r="M82" s="13"/>
      <c r="N82" s="13"/>
      <c r="O82" s="13"/>
      <c r="P82" s="13"/>
      <c r="Q82" s="13"/>
      <c r="R82" s="13"/>
      <c r="S82" s="13"/>
      <c r="T82" s="13"/>
      <c r="U82" s="13"/>
      <c r="V82" s="13"/>
      <c r="W82" s="13"/>
      <c r="X82" s="13"/>
      <c r="Y82" s="13"/>
      <c r="Z82" s="13"/>
      <c r="AA82" s="13"/>
    </row>
    <row r="83" ht="20.25" customHeight="1">
      <c r="A83" s="15">
        <v>45978.441400462965</v>
      </c>
      <c r="B83" s="16" t="s">
        <v>60</v>
      </c>
      <c r="C83" s="16" t="s">
        <v>61</v>
      </c>
      <c r="D83" s="16" t="s">
        <v>324</v>
      </c>
      <c r="E83" s="17" t="s">
        <v>325</v>
      </c>
      <c r="F83" s="16"/>
      <c r="G83" s="13"/>
      <c r="H83" s="13"/>
      <c r="I83" s="13"/>
      <c r="J83" s="13"/>
      <c r="K83" s="13"/>
      <c r="L83" s="13"/>
      <c r="M83" s="13"/>
      <c r="N83" s="13"/>
      <c r="O83" s="13"/>
      <c r="P83" s="13"/>
      <c r="Q83" s="13"/>
      <c r="R83" s="13"/>
      <c r="S83" s="13"/>
      <c r="T83" s="13"/>
      <c r="U83" s="13"/>
      <c r="V83" s="13"/>
      <c r="W83" s="13"/>
      <c r="X83" s="13"/>
      <c r="Y83" s="13"/>
      <c r="Z83" s="13"/>
      <c r="AA83" s="13"/>
    </row>
    <row r="84" ht="20.25" customHeight="1">
      <c r="A84" s="15">
        <v>45978.44778935185</v>
      </c>
      <c r="B84" s="16" t="s">
        <v>326</v>
      </c>
      <c r="C84" s="16" t="s">
        <v>327</v>
      </c>
      <c r="D84" s="16" t="s">
        <v>328</v>
      </c>
      <c r="E84" s="17" t="s">
        <v>329</v>
      </c>
      <c r="F84" s="16"/>
      <c r="G84" s="13"/>
      <c r="H84" s="13"/>
      <c r="I84" s="13"/>
      <c r="J84" s="13"/>
      <c r="K84" s="13"/>
      <c r="L84" s="13"/>
      <c r="M84" s="13"/>
      <c r="N84" s="13"/>
      <c r="O84" s="13"/>
      <c r="P84" s="13"/>
      <c r="Q84" s="13"/>
      <c r="R84" s="13"/>
      <c r="S84" s="13"/>
      <c r="T84" s="13"/>
      <c r="U84" s="13"/>
      <c r="V84" s="13"/>
      <c r="W84" s="13"/>
      <c r="X84" s="13"/>
      <c r="Y84" s="13"/>
      <c r="Z84" s="13"/>
      <c r="AA84" s="13"/>
    </row>
    <row r="85" ht="20.25" customHeight="1">
      <c r="A85" s="15">
        <v>45978.448159722226</v>
      </c>
      <c r="B85" s="16" t="s">
        <v>284</v>
      </c>
      <c r="C85" s="16" t="s">
        <v>330</v>
      </c>
      <c r="D85" s="16" t="s">
        <v>331</v>
      </c>
      <c r="E85" s="17" t="s">
        <v>332</v>
      </c>
      <c r="F85" s="16"/>
      <c r="G85" s="13"/>
      <c r="H85" s="13"/>
      <c r="I85" s="13"/>
      <c r="J85" s="13"/>
      <c r="K85" s="13"/>
      <c r="L85" s="13"/>
      <c r="M85" s="13"/>
      <c r="N85" s="13"/>
      <c r="O85" s="13"/>
      <c r="P85" s="13"/>
      <c r="Q85" s="13"/>
      <c r="R85" s="13"/>
      <c r="S85" s="13"/>
      <c r="T85" s="13"/>
      <c r="U85" s="13"/>
      <c r="V85" s="13"/>
      <c r="W85" s="13"/>
      <c r="X85" s="13"/>
      <c r="Y85" s="13"/>
      <c r="Z85" s="13"/>
      <c r="AA85" s="13"/>
    </row>
    <row r="86" ht="20.25" customHeight="1">
      <c r="A86" s="15">
        <v>45978.458333333336</v>
      </c>
      <c r="B86" s="16" t="s">
        <v>211</v>
      </c>
      <c r="C86" s="16" t="s">
        <v>333</v>
      </c>
      <c r="D86" s="16" t="s">
        <v>334</v>
      </c>
      <c r="E86" s="17" t="s">
        <v>335</v>
      </c>
      <c r="F86" s="16"/>
      <c r="G86" s="13"/>
      <c r="H86" s="13"/>
      <c r="I86" s="13"/>
      <c r="J86" s="13"/>
      <c r="K86" s="13"/>
      <c r="L86" s="13"/>
      <c r="M86" s="13"/>
      <c r="N86" s="13"/>
      <c r="O86" s="13"/>
      <c r="P86" s="13"/>
      <c r="Q86" s="13"/>
      <c r="R86" s="13"/>
      <c r="S86" s="13"/>
      <c r="T86" s="13"/>
      <c r="U86" s="13"/>
      <c r="V86" s="13"/>
      <c r="W86" s="13"/>
      <c r="X86" s="13"/>
      <c r="Y86" s="13"/>
      <c r="Z86" s="13"/>
      <c r="AA86" s="13"/>
    </row>
    <row r="87" ht="20.25" customHeight="1">
      <c r="A87" s="15">
        <v>45978.45960648148</v>
      </c>
      <c r="B87" s="16" t="s">
        <v>336</v>
      </c>
      <c r="C87" s="16" t="s">
        <v>337</v>
      </c>
      <c r="D87" s="16" t="s">
        <v>338</v>
      </c>
      <c r="E87" s="17" t="s">
        <v>339</v>
      </c>
      <c r="F87" s="16"/>
      <c r="G87" s="13"/>
      <c r="H87" s="13"/>
      <c r="I87" s="13"/>
      <c r="J87" s="13"/>
      <c r="K87" s="13"/>
      <c r="L87" s="13"/>
      <c r="M87" s="13"/>
      <c r="N87" s="13"/>
      <c r="O87" s="13"/>
      <c r="P87" s="13"/>
      <c r="Q87" s="13"/>
      <c r="R87" s="13"/>
      <c r="S87" s="13"/>
      <c r="T87" s="13"/>
      <c r="U87" s="13"/>
      <c r="V87" s="13"/>
      <c r="W87" s="13"/>
      <c r="X87" s="13"/>
      <c r="Y87" s="13"/>
      <c r="Z87" s="13"/>
      <c r="AA87" s="13"/>
    </row>
    <row r="88" ht="20.25" customHeight="1">
      <c r="A88" s="15">
        <v>45978.65857638889</v>
      </c>
      <c r="B88" s="16" t="s">
        <v>340</v>
      </c>
      <c r="C88" s="16" t="s">
        <v>341</v>
      </c>
      <c r="D88" s="16" t="s">
        <v>342</v>
      </c>
      <c r="E88" s="17" t="s">
        <v>343</v>
      </c>
      <c r="F88" s="16"/>
      <c r="G88" s="13"/>
      <c r="H88" s="13"/>
      <c r="I88" s="13"/>
      <c r="J88" s="13"/>
      <c r="K88" s="13"/>
      <c r="L88" s="13"/>
      <c r="M88" s="13"/>
      <c r="N88" s="13"/>
      <c r="O88" s="13"/>
      <c r="P88" s="13"/>
      <c r="Q88" s="13"/>
      <c r="R88" s="13"/>
      <c r="S88" s="13"/>
      <c r="T88" s="13"/>
      <c r="U88" s="13"/>
      <c r="V88" s="13"/>
      <c r="W88" s="13"/>
      <c r="X88" s="13"/>
      <c r="Y88" s="13"/>
      <c r="Z88" s="13"/>
      <c r="AA88" s="13"/>
    </row>
    <row r="89" ht="20.25" customHeight="1">
      <c r="A89" s="15">
        <v>45978.65876157407</v>
      </c>
      <c r="B89" s="16" t="s">
        <v>344</v>
      </c>
      <c r="C89" s="16" t="s">
        <v>341</v>
      </c>
      <c r="D89" s="16" t="s">
        <v>345</v>
      </c>
      <c r="E89" s="17" t="s">
        <v>346</v>
      </c>
      <c r="F89" s="16"/>
      <c r="G89" s="13"/>
      <c r="H89" s="13"/>
      <c r="I89" s="13"/>
      <c r="J89" s="13"/>
      <c r="K89" s="13"/>
      <c r="L89" s="13"/>
      <c r="M89" s="13"/>
      <c r="N89" s="13"/>
      <c r="O89" s="13"/>
      <c r="P89" s="13"/>
      <c r="Q89" s="13"/>
      <c r="R89" s="13"/>
      <c r="S89" s="13"/>
      <c r="T89" s="13"/>
      <c r="U89" s="13"/>
      <c r="V89" s="13"/>
      <c r="W89" s="13"/>
      <c r="X89" s="13"/>
      <c r="Y89" s="13"/>
      <c r="Z89" s="13"/>
      <c r="AA89" s="13"/>
    </row>
    <row r="90" ht="20.25" customHeight="1">
      <c r="A90" s="15">
        <v>45978.68446759259</v>
      </c>
      <c r="B90" s="16" t="s">
        <v>347</v>
      </c>
      <c r="C90" s="16" t="s">
        <v>348</v>
      </c>
      <c r="D90" s="16" t="s">
        <v>349</v>
      </c>
      <c r="E90" s="17" t="s">
        <v>350</v>
      </c>
      <c r="F90" s="16"/>
      <c r="G90" s="13"/>
      <c r="H90" s="13"/>
      <c r="I90" s="13"/>
      <c r="J90" s="13"/>
      <c r="K90" s="13"/>
      <c r="L90" s="13"/>
      <c r="M90" s="13"/>
      <c r="N90" s="13"/>
      <c r="O90" s="13"/>
      <c r="P90" s="13"/>
      <c r="Q90" s="13"/>
      <c r="R90" s="13"/>
      <c r="S90" s="13"/>
      <c r="T90" s="13"/>
      <c r="U90" s="13"/>
      <c r="V90" s="13"/>
      <c r="W90" s="13"/>
      <c r="X90" s="13"/>
      <c r="Y90" s="13"/>
      <c r="Z90" s="13"/>
      <c r="AA90" s="13"/>
    </row>
    <row r="91" ht="20.25" customHeight="1">
      <c r="A91" s="15">
        <v>45978.6846875</v>
      </c>
      <c r="B91" s="16" t="s">
        <v>351</v>
      </c>
      <c r="C91" s="16" t="s">
        <v>352</v>
      </c>
      <c r="D91" s="16" t="s">
        <v>353</v>
      </c>
      <c r="E91" s="17" t="s">
        <v>354</v>
      </c>
      <c r="F91" s="16"/>
      <c r="G91" s="13"/>
      <c r="H91" s="13"/>
      <c r="I91" s="13"/>
      <c r="J91" s="13"/>
      <c r="K91" s="13"/>
      <c r="L91" s="13"/>
      <c r="M91" s="13"/>
      <c r="N91" s="13"/>
      <c r="O91" s="13"/>
      <c r="P91" s="13"/>
      <c r="Q91" s="13"/>
      <c r="R91" s="13"/>
      <c r="S91" s="13"/>
      <c r="T91" s="13"/>
      <c r="U91" s="13"/>
      <c r="V91" s="13"/>
      <c r="W91" s="13"/>
      <c r="X91" s="13"/>
      <c r="Y91" s="13"/>
      <c r="Z91" s="13"/>
      <c r="AA91" s="13"/>
    </row>
    <row r="92" ht="20.25" customHeight="1">
      <c r="A92" s="15">
        <v>45978.68483796297</v>
      </c>
      <c r="B92" s="16" t="s">
        <v>355</v>
      </c>
      <c r="C92" s="16" t="s">
        <v>356</v>
      </c>
      <c r="D92" s="16" t="s">
        <v>357</v>
      </c>
      <c r="E92" s="17" t="s">
        <v>358</v>
      </c>
      <c r="F92" s="16"/>
      <c r="G92" s="13"/>
      <c r="H92" s="13"/>
      <c r="I92" s="13"/>
      <c r="J92" s="13"/>
      <c r="K92" s="13"/>
      <c r="L92" s="13"/>
      <c r="M92" s="13"/>
      <c r="N92" s="13"/>
      <c r="O92" s="13"/>
      <c r="P92" s="13"/>
      <c r="Q92" s="13"/>
      <c r="R92" s="13"/>
      <c r="S92" s="13"/>
      <c r="T92" s="13"/>
      <c r="U92" s="13"/>
      <c r="V92" s="13"/>
      <c r="W92" s="13"/>
      <c r="X92" s="13"/>
      <c r="Y92" s="13"/>
      <c r="Z92" s="13"/>
      <c r="AA92" s="13"/>
    </row>
    <row r="93" ht="20.25" customHeight="1">
      <c r="A93" s="15">
        <v>45978.68913194445</v>
      </c>
      <c r="B93" s="16" t="s">
        <v>268</v>
      </c>
      <c r="C93" s="16" t="s">
        <v>359</v>
      </c>
      <c r="D93" s="16" t="s">
        <v>360</v>
      </c>
      <c r="E93" s="17" t="s">
        <v>361</v>
      </c>
      <c r="F93" s="16"/>
      <c r="G93" s="13"/>
      <c r="H93" s="13"/>
      <c r="I93" s="13"/>
      <c r="J93" s="13"/>
      <c r="K93" s="13"/>
      <c r="L93" s="13"/>
      <c r="M93" s="13"/>
      <c r="N93" s="13"/>
      <c r="O93" s="13"/>
      <c r="P93" s="13"/>
      <c r="Q93" s="13"/>
      <c r="R93" s="13"/>
      <c r="S93" s="13"/>
      <c r="T93" s="13"/>
      <c r="U93" s="13"/>
      <c r="V93" s="13"/>
      <c r="W93" s="13"/>
      <c r="X93" s="13"/>
      <c r="Y93" s="13"/>
      <c r="Z93" s="13"/>
      <c r="AA93" s="13"/>
    </row>
    <row r="94" ht="20.25" customHeight="1">
      <c r="A94" s="15">
        <v>45978.68913194445</v>
      </c>
      <c r="B94" s="16" t="s">
        <v>362</v>
      </c>
      <c r="C94" s="16" t="s">
        <v>363</v>
      </c>
      <c r="D94" s="16" t="s">
        <v>364</v>
      </c>
      <c r="E94" s="17" t="s">
        <v>365</v>
      </c>
      <c r="F94" s="16"/>
      <c r="G94" s="13"/>
      <c r="H94" s="13"/>
      <c r="I94" s="13"/>
      <c r="J94" s="13"/>
      <c r="K94" s="13"/>
      <c r="L94" s="13"/>
      <c r="M94" s="13"/>
      <c r="N94" s="13"/>
      <c r="O94" s="13"/>
      <c r="P94" s="13"/>
      <c r="Q94" s="13"/>
      <c r="R94" s="13"/>
      <c r="S94" s="13"/>
      <c r="T94" s="13"/>
      <c r="U94" s="13"/>
      <c r="V94" s="13"/>
      <c r="W94" s="13"/>
      <c r="X94" s="13"/>
      <c r="Y94" s="13"/>
      <c r="Z94" s="13"/>
      <c r="AA94" s="13"/>
    </row>
    <row r="95" ht="20.25" customHeight="1">
      <c r="A95" s="15">
        <v>45978.96738425926</v>
      </c>
      <c r="B95" s="16" t="s">
        <v>366</v>
      </c>
      <c r="C95" s="16" t="s">
        <v>367</v>
      </c>
      <c r="D95" s="16" t="s">
        <v>368</v>
      </c>
      <c r="E95" s="17" t="s">
        <v>369</v>
      </c>
      <c r="F95" s="16"/>
      <c r="G95" s="13"/>
      <c r="H95" s="13"/>
      <c r="I95" s="13"/>
      <c r="J95" s="13"/>
      <c r="K95" s="13"/>
      <c r="L95" s="13"/>
      <c r="M95" s="13"/>
      <c r="N95" s="13"/>
      <c r="O95" s="13"/>
      <c r="P95" s="13"/>
      <c r="Q95" s="13"/>
      <c r="R95" s="13"/>
      <c r="S95" s="13"/>
      <c r="T95" s="13"/>
      <c r="U95" s="13"/>
      <c r="V95" s="13"/>
      <c r="W95" s="13"/>
      <c r="X95" s="13"/>
      <c r="Y95" s="13"/>
      <c r="Z95" s="13"/>
      <c r="AA95" s="13"/>
    </row>
    <row r="96" ht="20.25" customHeight="1">
      <c r="A96" s="15">
        <v>45979.025659722225</v>
      </c>
      <c r="B96" s="16" t="s">
        <v>370</v>
      </c>
      <c r="C96" s="16" t="s">
        <v>371</v>
      </c>
      <c r="D96" s="16" t="s">
        <v>372</v>
      </c>
      <c r="E96" s="17" t="s">
        <v>373</v>
      </c>
      <c r="F96" s="16"/>
      <c r="G96" s="13"/>
      <c r="H96" s="13"/>
      <c r="I96" s="13"/>
      <c r="J96" s="13"/>
      <c r="K96" s="13"/>
      <c r="L96" s="13"/>
      <c r="M96" s="13"/>
      <c r="N96" s="13"/>
      <c r="O96" s="13"/>
      <c r="P96" s="13"/>
      <c r="Q96" s="13"/>
      <c r="R96" s="13"/>
      <c r="S96" s="13"/>
      <c r="T96" s="13"/>
      <c r="U96" s="13"/>
      <c r="V96" s="13"/>
      <c r="W96" s="13"/>
      <c r="X96" s="13"/>
      <c r="Y96" s="13"/>
      <c r="Z96" s="13"/>
      <c r="AA96" s="13"/>
    </row>
    <row r="97" ht="20.25" customHeight="1">
      <c r="A97" s="15">
        <v>45979.02578703704</v>
      </c>
      <c r="B97" s="16" t="s">
        <v>374</v>
      </c>
      <c r="C97" s="16" t="s">
        <v>375</v>
      </c>
      <c r="D97" s="16" t="s">
        <v>376</v>
      </c>
      <c r="E97" s="17" t="s">
        <v>377</v>
      </c>
      <c r="F97" s="16"/>
      <c r="G97" s="13"/>
      <c r="H97" s="13"/>
      <c r="I97" s="13"/>
      <c r="J97" s="13"/>
      <c r="K97" s="13"/>
      <c r="L97" s="13"/>
      <c r="M97" s="13"/>
      <c r="N97" s="13"/>
      <c r="O97" s="13"/>
      <c r="P97" s="13"/>
      <c r="Q97" s="13"/>
      <c r="R97" s="13"/>
      <c r="S97" s="13"/>
      <c r="T97" s="13"/>
      <c r="U97" s="13"/>
      <c r="V97" s="13"/>
      <c r="W97" s="13"/>
      <c r="X97" s="13"/>
      <c r="Y97" s="13"/>
      <c r="Z97" s="13"/>
      <c r="AA97" s="13"/>
    </row>
    <row r="98" ht="20.25" customHeight="1">
      <c r="A98" s="15">
        <v>45979.031643518516</v>
      </c>
      <c r="B98" s="16" t="s">
        <v>378</v>
      </c>
      <c r="C98" s="16" t="s">
        <v>289</v>
      </c>
      <c r="D98" s="16" t="s">
        <v>379</v>
      </c>
      <c r="E98" s="17" t="s">
        <v>380</v>
      </c>
      <c r="F98" s="16"/>
      <c r="G98" s="13"/>
      <c r="H98" s="13"/>
      <c r="I98" s="13"/>
      <c r="J98" s="13"/>
      <c r="K98" s="13"/>
      <c r="L98" s="13"/>
      <c r="M98" s="13"/>
      <c r="N98" s="13"/>
      <c r="O98" s="13"/>
      <c r="P98" s="13"/>
      <c r="Q98" s="13"/>
      <c r="R98" s="13"/>
      <c r="S98" s="13"/>
      <c r="T98" s="13"/>
      <c r="U98" s="13"/>
      <c r="V98" s="13"/>
      <c r="W98" s="13"/>
      <c r="X98" s="13"/>
      <c r="Y98" s="13"/>
      <c r="Z98" s="13"/>
      <c r="AA98" s="13"/>
    </row>
    <row r="99" ht="20.25" customHeight="1">
      <c r="A99" s="15">
        <v>45979.039039351854</v>
      </c>
      <c r="B99" s="16" t="s">
        <v>381</v>
      </c>
      <c r="C99" s="16" t="s">
        <v>382</v>
      </c>
      <c r="D99" s="16" t="s">
        <v>383</v>
      </c>
      <c r="E99" s="17" t="s">
        <v>384</v>
      </c>
      <c r="F99" s="16"/>
      <c r="G99" s="13"/>
      <c r="H99" s="13"/>
      <c r="I99" s="13"/>
      <c r="J99" s="13"/>
      <c r="K99" s="13"/>
      <c r="L99" s="13"/>
      <c r="M99" s="13"/>
      <c r="N99" s="13"/>
      <c r="O99" s="13"/>
      <c r="P99" s="13"/>
      <c r="Q99" s="13"/>
      <c r="R99" s="13"/>
      <c r="S99" s="13"/>
      <c r="T99" s="13"/>
      <c r="U99" s="13"/>
      <c r="V99" s="13"/>
      <c r="W99" s="13"/>
      <c r="X99" s="13"/>
      <c r="Y99" s="13"/>
      <c r="Z99" s="13"/>
      <c r="AA99" s="13"/>
    </row>
    <row r="100" ht="20.25" customHeight="1">
      <c r="A100" s="15">
        <v>45979.03928240741</v>
      </c>
      <c r="B100" s="16" t="s">
        <v>385</v>
      </c>
      <c r="C100" s="16" t="s">
        <v>386</v>
      </c>
      <c r="D100" s="16" t="s">
        <v>387</v>
      </c>
      <c r="E100" s="17" t="s">
        <v>388</v>
      </c>
      <c r="F100" s="16"/>
      <c r="G100" s="13"/>
      <c r="H100" s="13"/>
      <c r="I100" s="13"/>
      <c r="J100" s="13"/>
      <c r="K100" s="13"/>
      <c r="L100" s="13"/>
      <c r="M100" s="13"/>
      <c r="N100" s="13"/>
      <c r="O100" s="13"/>
      <c r="P100" s="13"/>
      <c r="Q100" s="13"/>
      <c r="R100" s="13"/>
      <c r="S100" s="13"/>
      <c r="T100" s="13"/>
      <c r="U100" s="13"/>
      <c r="V100" s="13"/>
      <c r="W100" s="13"/>
      <c r="X100" s="13"/>
      <c r="Y100" s="13"/>
      <c r="Z100" s="13"/>
      <c r="AA100" s="13"/>
    </row>
    <row r="101" ht="20.25" customHeight="1">
      <c r="A101" s="15">
        <v>45979.043020833335</v>
      </c>
      <c r="B101" s="16" t="s">
        <v>389</v>
      </c>
      <c r="C101" s="16" t="s">
        <v>390</v>
      </c>
      <c r="D101" s="16" t="s">
        <v>391</v>
      </c>
      <c r="E101" s="17" t="s">
        <v>392</v>
      </c>
      <c r="F101" s="16"/>
      <c r="G101" s="13"/>
      <c r="H101" s="13"/>
      <c r="I101" s="13"/>
      <c r="J101" s="13"/>
      <c r="K101" s="13"/>
      <c r="L101" s="13"/>
      <c r="M101" s="13"/>
      <c r="N101" s="13"/>
      <c r="O101" s="13"/>
      <c r="P101" s="13"/>
      <c r="Q101" s="13"/>
      <c r="R101" s="13"/>
      <c r="S101" s="13"/>
      <c r="T101" s="13"/>
      <c r="U101" s="13"/>
      <c r="V101" s="13"/>
      <c r="W101" s="13"/>
      <c r="X101" s="13"/>
      <c r="Y101" s="13"/>
      <c r="Z101" s="13"/>
      <c r="AA101" s="13"/>
    </row>
    <row r="102" ht="20.25" customHeight="1">
      <c r="A102" s="15">
        <v>45979.49864583334</v>
      </c>
      <c r="B102" s="16" t="s">
        <v>393</v>
      </c>
      <c r="C102" s="17" t="s">
        <v>394</v>
      </c>
      <c r="D102" s="16" t="s">
        <v>395</v>
      </c>
      <c r="E102" s="17" t="s">
        <v>396</v>
      </c>
      <c r="F102" s="16"/>
      <c r="G102" s="13"/>
      <c r="H102" s="13"/>
      <c r="I102" s="13"/>
      <c r="J102" s="13"/>
      <c r="K102" s="13"/>
      <c r="L102" s="13"/>
      <c r="M102" s="13"/>
      <c r="N102" s="13"/>
      <c r="O102" s="13"/>
      <c r="P102" s="13"/>
      <c r="Q102" s="13"/>
      <c r="R102" s="13"/>
      <c r="S102" s="13"/>
      <c r="T102" s="13"/>
      <c r="U102" s="13"/>
      <c r="V102" s="13"/>
      <c r="W102" s="13"/>
      <c r="X102" s="13"/>
      <c r="Y102" s="13"/>
      <c r="Z102" s="13"/>
      <c r="AA102" s="13"/>
    </row>
    <row r="103" ht="20.25" customHeight="1">
      <c r="A103" s="15">
        <v>45979.534837962965</v>
      </c>
      <c r="B103" s="16" t="s">
        <v>397</v>
      </c>
      <c r="C103" s="16" t="s">
        <v>398</v>
      </c>
      <c r="D103" s="16" t="s">
        <v>399</v>
      </c>
      <c r="E103" s="17" t="s">
        <v>400</v>
      </c>
      <c r="F103" s="16"/>
      <c r="G103" s="13"/>
      <c r="H103" s="13"/>
      <c r="I103" s="13"/>
      <c r="J103" s="13"/>
      <c r="K103" s="13"/>
      <c r="L103" s="13"/>
      <c r="M103" s="13"/>
      <c r="N103" s="13"/>
      <c r="O103" s="13"/>
      <c r="P103" s="13"/>
      <c r="Q103" s="13"/>
      <c r="R103" s="13"/>
      <c r="S103" s="13"/>
      <c r="T103" s="13"/>
      <c r="U103" s="13"/>
      <c r="V103" s="13"/>
      <c r="W103" s="13"/>
      <c r="X103" s="13"/>
      <c r="Y103" s="13"/>
      <c r="Z103" s="13"/>
      <c r="AA103" s="13"/>
    </row>
    <row r="104" ht="20.25" customHeight="1">
      <c r="A104" s="15">
        <v>45979.53826388889</v>
      </c>
      <c r="B104" s="16" t="s">
        <v>389</v>
      </c>
      <c r="C104" s="16" t="s">
        <v>401</v>
      </c>
      <c r="D104" s="16" t="s">
        <v>402</v>
      </c>
      <c r="E104" s="17" t="s">
        <v>403</v>
      </c>
      <c r="F104" s="16"/>
      <c r="G104" s="13"/>
      <c r="H104" s="13"/>
      <c r="I104" s="13"/>
      <c r="J104" s="13"/>
      <c r="K104" s="13"/>
      <c r="L104" s="13"/>
      <c r="M104" s="13"/>
      <c r="N104" s="13"/>
      <c r="O104" s="13"/>
      <c r="P104" s="13"/>
      <c r="Q104" s="13"/>
      <c r="R104" s="13"/>
      <c r="S104" s="13"/>
      <c r="T104" s="13"/>
      <c r="U104" s="13"/>
      <c r="V104" s="13"/>
      <c r="W104" s="13"/>
      <c r="X104" s="13"/>
      <c r="Y104" s="13"/>
      <c r="Z104" s="13"/>
      <c r="AA104" s="13"/>
    </row>
    <row r="105" ht="20.25" customHeight="1">
      <c r="A105" s="15">
        <v>45980.00494212963</v>
      </c>
      <c r="B105" s="16" t="s">
        <v>404</v>
      </c>
      <c r="C105" s="16" t="s">
        <v>405</v>
      </c>
      <c r="D105" s="16" t="s">
        <v>406</v>
      </c>
      <c r="E105" s="17" t="s">
        <v>407</v>
      </c>
      <c r="F105" s="16"/>
      <c r="G105" s="13"/>
      <c r="H105" s="13"/>
      <c r="I105" s="13"/>
      <c r="J105" s="13"/>
      <c r="K105" s="13"/>
      <c r="L105" s="13"/>
      <c r="M105" s="13"/>
      <c r="N105" s="13"/>
      <c r="O105" s="13"/>
      <c r="P105" s="13"/>
      <c r="Q105" s="13"/>
      <c r="R105" s="13"/>
      <c r="S105" s="13"/>
      <c r="T105" s="13"/>
      <c r="U105" s="13"/>
      <c r="V105" s="13"/>
      <c r="W105" s="13"/>
      <c r="X105" s="13"/>
      <c r="Y105" s="13"/>
      <c r="Z105" s="13"/>
      <c r="AA105" s="13"/>
    </row>
    <row r="106" ht="20.25" customHeight="1">
      <c r="A106" s="15">
        <v>45980.022511574076</v>
      </c>
      <c r="B106" s="16" t="s">
        <v>408</v>
      </c>
      <c r="C106" s="16" t="s">
        <v>409</v>
      </c>
      <c r="D106" s="16" t="s">
        <v>410</v>
      </c>
      <c r="E106" s="17" t="s">
        <v>411</v>
      </c>
      <c r="F106" s="16"/>
      <c r="G106" s="13"/>
      <c r="H106" s="13"/>
      <c r="I106" s="13"/>
      <c r="J106" s="13"/>
      <c r="K106" s="13"/>
      <c r="L106" s="13"/>
      <c r="M106" s="13"/>
      <c r="N106" s="13"/>
      <c r="O106" s="13"/>
      <c r="P106" s="13"/>
      <c r="Q106" s="13"/>
      <c r="R106" s="13"/>
      <c r="S106" s="13"/>
      <c r="T106" s="13"/>
      <c r="U106" s="13"/>
      <c r="V106" s="13"/>
      <c r="W106" s="13"/>
      <c r="X106" s="13"/>
      <c r="Y106" s="13"/>
      <c r="Z106" s="13"/>
      <c r="AA106" s="13"/>
    </row>
    <row r="107" ht="20.25" customHeight="1">
      <c r="A107" s="15">
        <v>45980.02274305555</v>
      </c>
      <c r="B107" s="16" t="s">
        <v>412</v>
      </c>
      <c r="C107" s="16" t="s">
        <v>413</v>
      </c>
      <c r="D107" s="16" t="s">
        <v>414</v>
      </c>
      <c r="E107" s="17" t="s">
        <v>415</v>
      </c>
      <c r="F107" s="16"/>
      <c r="G107" s="13"/>
      <c r="H107" s="13"/>
      <c r="I107" s="13"/>
      <c r="J107" s="13"/>
      <c r="K107" s="13"/>
      <c r="L107" s="13"/>
      <c r="M107" s="13"/>
      <c r="N107" s="13"/>
      <c r="O107" s="13"/>
      <c r="P107" s="13"/>
      <c r="Q107" s="13"/>
      <c r="R107" s="13"/>
      <c r="S107" s="13"/>
      <c r="T107" s="13"/>
      <c r="U107" s="13"/>
      <c r="V107" s="13"/>
      <c r="W107" s="13"/>
      <c r="X107" s="13"/>
      <c r="Y107" s="13"/>
      <c r="Z107" s="13"/>
      <c r="AA107" s="13"/>
    </row>
    <row r="108" ht="20.25" customHeight="1">
      <c r="A108" s="15">
        <v>45980.02353009259</v>
      </c>
      <c r="B108" s="16" t="s">
        <v>284</v>
      </c>
      <c r="C108" s="16" t="s">
        <v>416</v>
      </c>
      <c r="D108" s="16" t="s">
        <v>417</v>
      </c>
      <c r="E108" s="17" t="s">
        <v>418</v>
      </c>
      <c r="F108" s="16"/>
      <c r="G108" s="13"/>
      <c r="H108" s="13"/>
      <c r="I108" s="13"/>
      <c r="J108" s="13"/>
      <c r="K108" s="13"/>
      <c r="L108" s="13"/>
      <c r="M108" s="13"/>
      <c r="N108" s="13"/>
      <c r="O108" s="13"/>
      <c r="P108" s="13"/>
      <c r="Q108" s="13"/>
      <c r="R108" s="13"/>
      <c r="S108" s="13"/>
      <c r="T108" s="13"/>
      <c r="U108" s="13"/>
      <c r="V108" s="13"/>
      <c r="W108" s="13"/>
      <c r="X108" s="13"/>
      <c r="Y108" s="13"/>
      <c r="Z108" s="13"/>
      <c r="AA108" s="13"/>
    </row>
    <row r="109" ht="20.25" customHeight="1">
      <c r="A109" s="15">
        <v>45980.03277777778</v>
      </c>
      <c r="B109" s="16" t="s">
        <v>419</v>
      </c>
      <c r="C109" s="16" t="s">
        <v>420</v>
      </c>
      <c r="D109" s="16" t="s">
        <v>421</v>
      </c>
      <c r="E109" s="17" t="s">
        <v>422</v>
      </c>
      <c r="F109" s="16"/>
      <c r="G109" s="13"/>
      <c r="H109" s="13"/>
      <c r="I109" s="13"/>
      <c r="J109" s="13"/>
      <c r="K109" s="13"/>
      <c r="L109" s="13"/>
      <c r="M109" s="13"/>
      <c r="N109" s="13"/>
      <c r="O109" s="13"/>
      <c r="P109" s="13"/>
      <c r="Q109" s="13"/>
      <c r="R109" s="13"/>
      <c r="S109" s="13"/>
      <c r="T109" s="13"/>
      <c r="U109" s="13"/>
      <c r="V109" s="13"/>
      <c r="W109" s="13"/>
      <c r="X109" s="13"/>
      <c r="Y109" s="13"/>
      <c r="Z109" s="13"/>
      <c r="AA109" s="13"/>
    </row>
    <row r="110" ht="20.25" customHeight="1">
      <c r="A110" s="15">
        <v>45980.04136574074</v>
      </c>
      <c r="B110" s="16" t="s">
        <v>423</v>
      </c>
      <c r="C110" s="16" t="s">
        <v>424</v>
      </c>
      <c r="D110" s="16" t="s">
        <v>425</v>
      </c>
      <c r="E110" s="17" t="s">
        <v>426</v>
      </c>
      <c r="F110" s="16"/>
      <c r="G110" s="13"/>
      <c r="H110" s="13"/>
      <c r="I110" s="13"/>
      <c r="J110" s="13"/>
      <c r="K110" s="13"/>
      <c r="L110" s="13"/>
      <c r="M110" s="13"/>
      <c r="N110" s="13"/>
      <c r="O110" s="13"/>
      <c r="P110" s="13"/>
      <c r="Q110" s="13"/>
      <c r="R110" s="13"/>
      <c r="S110" s="13"/>
      <c r="T110" s="13"/>
      <c r="U110" s="13"/>
      <c r="V110" s="13"/>
      <c r="W110" s="13"/>
      <c r="X110" s="13"/>
      <c r="Y110" s="13"/>
      <c r="Z110" s="13"/>
      <c r="AA110" s="13"/>
    </row>
    <row r="111" ht="20.25" customHeight="1">
      <c r="A111" s="15">
        <v>45980.04922453704</v>
      </c>
      <c r="B111" s="16" t="s">
        <v>427</v>
      </c>
      <c r="C111" s="16" t="s">
        <v>428</v>
      </c>
      <c r="D111" s="16" t="s">
        <v>429</v>
      </c>
      <c r="E111" s="17" t="s">
        <v>430</v>
      </c>
      <c r="F111" s="16"/>
      <c r="G111" s="13"/>
      <c r="H111" s="13"/>
      <c r="I111" s="13"/>
      <c r="J111" s="13"/>
      <c r="K111" s="13"/>
      <c r="L111" s="13"/>
      <c r="M111" s="13"/>
      <c r="N111" s="13"/>
      <c r="O111" s="13"/>
      <c r="P111" s="13"/>
      <c r="Q111" s="13"/>
      <c r="R111" s="13"/>
      <c r="S111" s="13"/>
      <c r="T111" s="13"/>
      <c r="U111" s="13"/>
      <c r="V111" s="13"/>
      <c r="W111" s="13"/>
      <c r="X111" s="13"/>
      <c r="Y111" s="13"/>
      <c r="Z111" s="13"/>
      <c r="AA111" s="13"/>
    </row>
    <row r="112" ht="20.25" customHeight="1">
      <c r="A112" s="15">
        <v>45980.05951388889</v>
      </c>
      <c r="B112" s="16" t="s">
        <v>431</v>
      </c>
      <c r="C112" s="16" t="s">
        <v>432</v>
      </c>
      <c r="D112" s="16" t="s">
        <v>433</v>
      </c>
      <c r="E112" s="17" t="s">
        <v>434</v>
      </c>
      <c r="F112" s="16"/>
      <c r="G112" s="13"/>
      <c r="H112" s="13"/>
      <c r="I112" s="13"/>
      <c r="J112" s="13"/>
      <c r="K112" s="13"/>
      <c r="L112" s="13"/>
      <c r="M112" s="13"/>
      <c r="N112" s="13"/>
      <c r="O112" s="13"/>
      <c r="P112" s="13"/>
      <c r="Q112" s="13"/>
      <c r="R112" s="13"/>
      <c r="S112" s="13"/>
      <c r="T112" s="13"/>
      <c r="U112" s="13"/>
      <c r="V112" s="13"/>
      <c r="W112" s="13"/>
      <c r="X112" s="13"/>
      <c r="Y112" s="13"/>
      <c r="Z112" s="13"/>
      <c r="AA112" s="13"/>
    </row>
    <row r="113" ht="20.25" customHeight="1">
      <c r="A113" s="15">
        <v>45980.07975694445</v>
      </c>
      <c r="B113" s="16" t="s">
        <v>435</v>
      </c>
      <c r="C113" s="16" t="s">
        <v>436</v>
      </c>
      <c r="D113" s="16" t="s">
        <v>437</v>
      </c>
      <c r="E113" s="17" t="s">
        <v>438</v>
      </c>
      <c r="F113" s="16"/>
      <c r="G113" s="13"/>
      <c r="H113" s="13"/>
      <c r="I113" s="13"/>
      <c r="J113" s="13"/>
      <c r="K113" s="13"/>
      <c r="L113" s="13"/>
      <c r="M113" s="13"/>
      <c r="N113" s="13"/>
      <c r="O113" s="13"/>
      <c r="P113" s="13"/>
      <c r="Q113" s="13"/>
      <c r="R113" s="13"/>
      <c r="S113" s="13"/>
      <c r="T113" s="13"/>
      <c r="U113" s="13"/>
      <c r="V113" s="13"/>
      <c r="W113" s="13"/>
      <c r="X113" s="13"/>
      <c r="Y113" s="13"/>
      <c r="Z113" s="13"/>
      <c r="AA113" s="13"/>
    </row>
    <row r="114" ht="20.25" customHeight="1">
      <c r="A114" s="15">
        <v>45980.082708333335</v>
      </c>
      <c r="B114" s="16" t="s">
        <v>439</v>
      </c>
      <c r="C114" s="16" t="s">
        <v>440</v>
      </c>
      <c r="D114" s="16" t="s">
        <v>441</v>
      </c>
      <c r="E114" s="17" t="s">
        <v>442</v>
      </c>
      <c r="F114" s="16"/>
      <c r="G114" s="13"/>
      <c r="H114" s="13"/>
      <c r="I114" s="13"/>
      <c r="J114" s="13"/>
      <c r="K114" s="13"/>
      <c r="L114" s="13"/>
      <c r="M114" s="13"/>
      <c r="N114" s="13"/>
      <c r="O114" s="13"/>
      <c r="P114" s="13"/>
      <c r="Q114" s="13"/>
      <c r="R114" s="13"/>
      <c r="S114" s="13"/>
      <c r="T114" s="13"/>
      <c r="U114" s="13"/>
      <c r="V114" s="13"/>
      <c r="W114" s="13"/>
      <c r="X114" s="13"/>
      <c r="Y114" s="13"/>
      <c r="Z114" s="13"/>
      <c r="AA114" s="13"/>
    </row>
    <row r="115" ht="20.25" customHeight="1">
      <c r="A115" s="15">
        <v>45981.005844907406</v>
      </c>
      <c r="B115" s="16" t="s">
        <v>443</v>
      </c>
      <c r="C115" s="16" t="s">
        <v>444</v>
      </c>
      <c r="D115" s="16" t="s">
        <v>445</v>
      </c>
      <c r="E115" s="17" t="s">
        <v>446</v>
      </c>
      <c r="F115" s="16"/>
      <c r="G115" s="13"/>
      <c r="H115" s="13"/>
      <c r="I115" s="13"/>
      <c r="J115" s="13"/>
      <c r="K115" s="13"/>
      <c r="L115" s="13"/>
      <c r="M115" s="13"/>
      <c r="N115" s="13"/>
      <c r="O115" s="13"/>
      <c r="P115" s="13"/>
      <c r="Q115" s="13"/>
      <c r="R115" s="13"/>
      <c r="S115" s="13"/>
      <c r="T115" s="13"/>
      <c r="U115" s="13"/>
      <c r="V115" s="13"/>
      <c r="W115" s="13"/>
      <c r="X115" s="13"/>
      <c r="Y115" s="13"/>
      <c r="Z115" s="13"/>
      <c r="AA115" s="13"/>
    </row>
    <row r="116" ht="20.25" customHeight="1">
      <c r="A116" s="15">
        <v>45981.45506944445</v>
      </c>
      <c r="B116" s="16" t="s">
        <v>447</v>
      </c>
      <c r="C116" s="16" t="s">
        <v>448</v>
      </c>
      <c r="D116" s="16" t="s">
        <v>449</v>
      </c>
      <c r="E116" s="17" t="s">
        <v>450</v>
      </c>
      <c r="F116" s="16"/>
      <c r="G116" s="13"/>
      <c r="H116" s="13"/>
      <c r="I116" s="13"/>
      <c r="J116" s="13"/>
      <c r="K116" s="13"/>
      <c r="L116" s="13"/>
      <c r="M116" s="13"/>
      <c r="N116" s="13"/>
      <c r="O116" s="13"/>
      <c r="P116" s="13"/>
      <c r="Q116" s="13"/>
      <c r="R116" s="13"/>
      <c r="S116" s="13"/>
      <c r="T116" s="13"/>
      <c r="U116" s="13"/>
      <c r="V116" s="13"/>
      <c r="W116" s="13"/>
      <c r="X116" s="13"/>
      <c r="Y116" s="13"/>
      <c r="Z116" s="13"/>
      <c r="AA116" s="13"/>
    </row>
    <row r="117" ht="20.25" customHeight="1">
      <c r="A117" s="15">
        <v>45981.455416666664</v>
      </c>
      <c r="B117" s="16" t="s">
        <v>451</v>
      </c>
      <c r="C117" s="16" t="s">
        <v>452</v>
      </c>
      <c r="D117" s="16" t="s">
        <v>453</v>
      </c>
      <c r="E117" s="17" t="s">
        <v>454</v>
      </c>
      <c r="F117" s="16"/>
      <c r="G117" s="13"/>
      <c r="H117" s="13"/>
      <c r="I117" s="13"/>
      <c r="J117" s="13"/>
      <c r="K117" s="13"/>
      <c r="L117" s="13"/>
      <c r="M117" s="13"/>
      <c r="N117" s="13"/>
      <c r="O117" s="13"/>
      <c r="P117" s="13"/>
      <c r="Q117" s="13"/>
      <c r="R117" s="13"/>
      <c r="S117" s="13"/>
      <c r="T117" s="13"/>
      <c r="U117" s="13"/>
      <c r="V117" s="13"/>
      <c r="W117" s="13"/>
      <c r="X117" s="13"/>
      <c r="Y117" s="13"/>
      <c r="Z117" s="13"/>
      <c r="AA117" s="13"/>
    </row>
    <row r="118" ht="20.25" customHeight="1">
      <c r="A118" s="15">
        <v>45981.457337962966</v>
      </c>
      <c r="B118" s="16" t="s">
        <v>455</v>
      </c>
      <c r="C118" s="16" t="s">
        <v>456</v>
      </c>
      <c r="D118" s="16" t="s">
        <v>457</v>
      </c>
      <c r="E118" s="17" t="s">
        <v>458</v>
      </c>
      <c r="F118" s="16"/>
      <c r="G118" s="13"/>
      <c r="H118" s="13"/>
      <c r="I118" s="13"/>
      <c r="J118" s="13"/>
      <c r="K118" s="13"/>
      <c r="L118" s="13"/>
      <c r="M118" s="13"/>
      <c r="N118" s="13"/>
      <c r="O118" s="13"/>
      <c r="P118" s="13"/>
      <c r="Q118" s="13"/>
      <c r="R118" s="13"/>
      <c r="S118" s="13"/>
      <c r="T118" s="13"/>
      <c r="U118" s="13"/>
      <c r="V118" s="13"/>
      <c r="W118" s="13"/>
      <c r="X118" s="13"/>
      <c r="Y118" s="13"/>
      <c r="Z118" s="13"/>
      <c r="AA118" s="13"/>
    </row>
    <row r="119" ht="20.25" customHeight="1">
      <c r="A119" s="15">
        <v>45981.45762731481</v>
      </c>
      <c r="B119" s="16" t="s">
        <v>459</v>
      </c>
      <c r="C119" s="16" t="s">
        <v>460</v>
      </c>
      <c r="D119" s="16" t="s">
        <v>461</v>
      </c>
      <c r="E119" s="17" t="s">
        <v>462</v>
      </c>
      <c r="F119" s="16"/>
      <c r="G119" s="13"/>
      <c r="H119" s="13"/>
      <c r="I119" s="13"/>
      <c r="J119" s="13"/>
      <c r="K119" s="13"/>
      <c r="L119" s="13"/>
      <c r="M119" s="13"/>
      <c r="N119" s="13"/>
      <c r="O119" s="13"/>
      <c r="P119" s="13"/>
      <c r="Q119" s="13"/>
      <c r="R119" s="13"/>
      <c r="S119" s="13"/>
      <c r="T119" s="13"/>
      <c r="U119" s="13"/>
      <c r="V119" s="13"/>
      <c r="W119" s="13"/>
      <c r="X119" s="13"/>
      <c r="Y119" s="13"/>
      <c r="Z119" s="13"/>
      <c r="AA119" s="13"/>
    </row>
    <row r="120" ht="20.25" customHeight="1">
      <c r="A120" s="15">
        <v>45981.45789351852</v>
      </c>
      <c r="B120" s="16" t="s">
        <v>463</v>
      </c>
      <c r="C120" s="16" t="s">
        <v>464</v>
      </c>
      <c r="D120" s="16" t="s">
        <v>465</v>
      </c>
      <c r="E120" s="17" t="s">
        <v>466</v>
      </c>
      <c r="F120" s="16"/>
      <c r="G120" s="13"/>
      <c r="H120" s="13"/>
      <c r="I120" s="13"/>
      <c r="J120" s="13"/>
      <c r="K120" s="13"/>
      <c r="L120" s="13"/>
      <c r="M120" s="13"/>
      <c r="N120" s="13"/>
      <c r="O120" s="13"/>
      <c r="P120" s="13"/>
      <c r="Q120" s="13"/>
      <c r="R120" s="13"/>
      <c r="S120" s="13"/>
      <c r="T120" s="13"/>
      <c r="U120" s="13"/>
      <c r="V120" s="13"/>
      <c r="W120" s="13"/>
      <c r="X120" s="13"/>
      <c r="Y120" s="13"/>
      <c r="Z120" s="13"/>
      <c r="AA120" s="13"/>
    </row>
    <row r="121" ht="20.25" customHeight="1">
      <c r="A121" s="15">
        <v>45981.4659375</v>
      </c>
      <c r="B121" s="16" t="s">
        <v>467</v>
      </c>
      <c r="C121" s="16" t="s">
        <v>468</v>
      </c>
      <c r="D121" s="16" t="s">
        <v>469</v>
      </c>
      <c r="E121" s="17" t="s">
        <v>470</v>
      </c>
      <c r="F121" s="16"/>
      <c r="G121" s="13"/>
      <c r="H121" s="13"/>
      <c r="I121" s="13"/>
      <c r="J121" s="13"/>
      <c r="K121" s="13"/>
      <c r="L121" s="13"/>
      <c r="M121" s="13"/>
      <c r="N121" s="13"/>
      <c r="O121" s="13"/>
      <c r="P121" s="13"/>
      <c r="Q121" s="13"/>
      <c r="R121" s="13"/>
      <c r="S121" s="13"/>
      <c r="T121" s="13"/>
      <c r="U121" s="13"/>
      <c r="V121" s="13"/>
      <c r="W121" s="13"/>
      <c r="X121" s="13"/>
      <c r="Y121" s="13"/>
      <c r="Z121" s="13"/>
      <c r="AA121" s="13"/>
    </row>
    <row r="122" ht="20.25" customHeight="1">
      <c r="A122" s="15">
        <v>45981.466157407405</v>
      </c>
      <c r="B122" s="16" t="s">
        <v>471</v>
      </c>
      <c r="C122" s="16" t="s">
        <v>472</v>
      </c>
      <c r="D122" s="16" t="s">
        <v>473</v>
      </c>
      <c r="E122" s="17" t="s">
        <v>474</v>
      </c>
      <c r="F122" s="16"/>
      <c r="G122" s="13"/>
      <c r="H122" s="13"/>
      <c r="I122" s="13"/>
      <c r="J122" s="13"/>
      <c r="K122" s="13"/>
      <c r="L122" s="13"/>
      <c r="M122" s="13"/>
      <c r="N122" s="13"/>
      <c r="O122" s="13"/>
      <c r="P122" s="13"/>
      <c r="Q122" s="13"/>
      <c r="R122" s="13"/>
      <c r="S122" s="13"/>
      <c r="T122" s="13"/>
      <c r="U122" s="13"/>
      <c r="V122" s="13"/>
      <c r="W122" s="13"/>
      <c r="X122" s="13"/>
      <c r="Y122" s="13"/>
      <c r="Z122" s="13"/>
      <c r="AA122" s="13"/>
    </row>
    <row r="123" ht="20.25" customHeight="1">
      <c r="A123" s="15">
        <v>45982.06780092593</v>
      </c>
      <c r="B123" s="16" t="s">
        <v>475</v>
      </c>
      <c r="C123" s="16" t="s">
        <v>476</v>
      </c>
      <c r="D123" s="16" t="s">
        <v>477</v>
      </c>
      <c r="E123" s="17" t="s">
        <v>478</v>
      </c>
      <c r="F123" s="16"/>
      <c r="G123" s="13"/>
      <c r="H123" s="13"/>
      <c r="I123" s="13"/>
      <c r="J123" s="13"/>
      <c r="K123" s="13"/>
      <c r="L123" s="13"/>
      <c r="M123" s="13"/>
      <c r="N123" s="13"/>
      <c r="O123" s="13"/>
      <c r="P123" s="13"/>
      <c r="Q123" s="13"/>
      <c r="R123" s="13"/>
      <c r="S123" s="13"/>
      <c r="T123" s="13"/>
      <c r="U123" s="13"/>
      <c r="V123" s="13"/>
      <c r="W123" s="13"/>
      <c r="X123" s="13"/>
      <c r="Y123" s="13"/>
      <c r="Z123" s="13"/>
      <c r="AA123" s="13"/>
    </row>
    <row r="124" ht="20.25" customHeight="1">
      <c r="A124" s="15">
        <v>45982.11207175926</v>
      </c>
      <c r="B124" s="16" t="s">
        <v>479</v>
      </c>
      <c r="C124" s="16" t="s">
        <v>480</v>
      </c>
      <c r="D124" s="16" t="s">
        <v>481</v>
      </c>
      <c r="E124" s="17" t="s">
        <v>482</v>
      </c>
      <c r="F124" s="16"/>
      <c r="G124" s="13"/>
      <c r="H124" s="13"/>
      <c r="I124" s="13"/>
      <c r="J124" s="13"/>
      <c r="K124" s="13"/>
      <c r="L124" s="13"/>
      <c r="M124" s="13"/>
      <c r="N124" s="13"/>
      <c r="O124" s="13"/>
      <c r="P124" s="13"/>
      <c r="Q124" s="13"/>
      <c r="R124" s="13"/>
      <c r="S124" s="13"/>
      <c r="T124" s="13"/>
      <c r="U124" s="13"/>
      <c r="V124" s="13"/>
      <c r="W124" s="13"/>
      <c r="X124" s="13"/>
      <c r="Y124" s="13"/>
      <c r="Z124" s="13"/>
      <c r="AA124" s="13"/>
    </row>
    <row r="125" ht="20.25" customHeight="1">
      <c r="A125" s="15">
        <v>45982.11236111111</v>
      </c>
      <c r="B125" s="16" t="s">
        <v>483</v>
      </c>
      <c r="C125" s="16" t="s">
        <v>484</v>
      </c>
      <c r="D125" s="16" t="s">
        <v>485</v>
      </c>
      <c r="E125" s="17" t="s">
        <v>486</v>
      </c>
      <c r="F125" s="16"/>
      <c r="G125" s="13"/>
      <c r="H125" s="13"/>
      <c r="I125" s="13"/>
      <c r="J125" s="13"/>
      <c r="K125" s="13"/>
      <c r="L125" s="13"/>
      <c r="M125" s="13"/>
      <c r="N125" s="13"/>
      <c r="O125" s="13"/>
      <c r="P125" s="13"/>
      <c r="Q125" s="13"/>
      <c r="R125" s="13"/>
      <c r="S125" s="13"/>
      <c r="T125" s="13"/>
      <c r="U125" s="13"/>
      <c r="V125" s="13"/>
      <c r="W125" s="13"/>
      <c r="X125" s="13"/>
      <c r="Y125" s="13"/>
      <c r="Z125" s="13"/>
      <c r="AA125" s="13"/>
    </row>
    <row r="126" ht="20.25" customHeight="1">
      <c r="A126" s="15">
        <v>45982.11306712963</v>
      </c>
      <c r="B126" s="16" t="s">
        <v>487</v>
      </c>
      <c r="C126" s="16" t="s">
        <v>488</v>
      </c>
      <c r="D126" s="16" t="s">
        <v>489</v>
      </c>
      <c r="E126" s="17" t="s">
        <v>490</v>
      </c>
      <c r="F126" s="16"/>
      <c r="G126" s="13"/>
      <c r="H126" s="13"/>
      <c r="I126" s="13"/>
      <c r="J126" s="13"/>
      <c r="K126" s="13"/>
      <c r="L126" s="13"/>
      <c r="M126" s="13"/>
      <c r="N126" s="13"/>
      <c r="O126" s="13"/>
      <c r="P126" s="13"/>
      <c r="Q126" s="13"/>
      <c r="R126" s="13"/>
      <c r="S126" s="13"/>
      <c r="T126" s="13"/>
      <c r="U126" s="13"/>
      <c r="V126" s="13"/>
      <c r="W126" s="13"/>
      <c r="X126" s="13"/>
      <c r="Y126" s="13"/>
      <c r="Z126" s="13"/>
      <c r="AA126" s="13"/>
    </row>
    <row r="127" ht="20.25" customHeight="1">
      <c r="A127" s="15">
        <v>45982.11356481481</v>
      </c>
      <c r="B127" s="16" t="s">
        <v>491</v>
      </c>
      <c r="C127" s="16" t="s">
        <v>492</v>
      </c>
      <c r="D127" s="16" t="s">
        <v>493</v>
      </c>
      <c r="E127" s="17" t="s">
        <v>494</v>
      </c>
      <c r="F127" s="16"/>
      <c r="G127" s="13"/>
      <c r="H127" s="13"/>
      <c r="I127" s="13"/>
      <c r="J127" s="13"/>
      <c r="K127" s="13"/>
      <c r="L127" s="13"/>
      <c r="M127" s="13"/>
      <c r="N127" s="13"/>
      <c r="O127" s="13"/>
      <c r="P127" s="13"/>
      <c r="Q127" s="13"/>
      <c r="R127" s="13"/>
      <c r="S127" s="13"/>
      <c r="T127" s="13"/>
      <c r="U127" s="13"/>
      <c r="V127" s="13"/>
      <c r="W127" s="13"/>
      <c r="X127" s="13"/>
      <c r="Y127" s="13"/>
      <c r="Z127" s="13"/>
      <c r="AA127" s="13"/>
    </row>
    <row r="128" ht="20.25" customHeight="1">
      <c r="A128" s="15">
        <v>45982.121030092596</v>
      </c>
      <c r="B128" s="16" t="s">
        <v>495</v>
      </c>
      <c r="C128" s="16" t="s">
        <v>496</v>
      </c>
      <c r="D128" s="16" t="s">
        <v>497</v>
      </c>
      <c r="E128" s="17" t="s">
        <v>498</v>
      </c>
      <c r="F128" s="16"/>
      <c r="G128" s="13"/>
      <c r="H128" s="13"/>
      <c r="I128" s="13"/>
      <c r="J128" s="13"/>
      <c r="K128" s="13"/>
      <c r="L128" s="13"/>
      <c r="M128" s="13"/>
      <c r="N128" s="13"/>
      <c r="O128" s="13"/>
      <c r="P128" s="13"/>
      <c r="Q128" s="13"/>
      <c r="R128" s="13"/>
      <c r="S128" s="13"/>
      <c r="T128" s="13"/>
      <c r="U128" s="13"/>
      <c r="V128" s="13"/>
      <c r="W128" s="13"/>
      <c r="X128" s="13"/>
      <c r="Y128" s="13"/>
      <c r="Z128" s="13"/>
      <c r="AA128" s="13"/>
    </row>
    <row r="129" ht="20.25" customHeight="1">
      <c r="A129" s="15">
        <v>45982.126979166664</v>
      </c>
      <c r="B129" s="16" t="s">
        <v>499</v>
      </c>
      <c r="C129" s="16" t="s">
        <v>500</v>
      </c>
      <c r="D129" s="16" t="s">
        <v>501</v>
      </c>
      <c r="E129" s="17" t="s">
        <v>502</v>
      </c>
      <c r="F129" s="16"/>
      <c r="G129" s="13"/>
      <c r="H129" s="13"/>
      <c r="I129" s="13"/>
      <c r="J129" s="13"/>
      <c r="K129" s="13"/>
      <c r="L129" s="13"/>
      <c r="M129" s="13"/>
      <c r="N129" s="13"/>
      <c r="O129" s="13"/>
      <c r="P129" s="13"/>
      <c r="Q129" s="13"/>
      <c r="R129" s="13"/>
      <c r="S129" s="13"/>
      <c r="T129" s="13"/>
      <c r="U129" s="13"/>
      <c r="V129" s="13"/>
      <c r="W129" s="13"/>
      <c r="X129" s="13"/>
      <c r="Y129" s="13"/>
      <c r="Z129" s="13"/>
      <c r="AA129" s="13"/>
    </row>
    <row r="130" ht="20.25" customHeight="1">
      <c r="A130" s="15">
        <v>45982.12768518519</v>
      </c>
      <c r="B130" s="16" t="s">
        <v>503</v>
      </c>
      <c r="C130" s="16" t="s">
        <v>484</v>
      </c>
      <c r="D130" s="16" t="s">
        <v>504</v>
      </c>
      <c r="E130" s="17" t="s">
        <v>505</v>
      </c>
      <c r="F130" s="16"/>
      <c r="G130" s="13"/>
      <c r="H130" s="13"/>
      <c r="I130" s="13"/>
      <c r="J130" s="13"/>
      <c r="K130" s="13"/>
      <c r="L130" s="13"/>
      <c r="M130" s="13"/>
      <c r="N130" s="13"/>
      <c r="O130" s="13"/>
      <c r="P130" s="13"/>
      <c r="Q130" s="13"/>
      <c r="R130" s="13"/>
      <c r="S130" s="13"/>
      <c r="T130" s="13"/>
      <c r="U130" s="13"/>
      <c r="V130" s="13"/>
      <c r="W130" s="13"/>
      <c r="X130" s="13"/>
      <c r="Y130" s="13"/>
      <c r="Z130" s="13"/>
      <c r="AA130" s="13"/>
    </row>
    <row r="131" ht="20.25" customHeight="1">
      <c r="A131" s="15">
        <v>45982.12881944444</v>
      </c>
      <c r="B131" s="16" t="s">
        <v>506</v>
      </c>
      <c r="C131" s="16" t="s">
        <v>289</v>
      </c>
      <c r="D131" s="16" t="s">
        <v>507</v>
      </c>
      <c r="E131" s="17" t="s">
        <v>508</v>
      </c>
      <c r="F131" s="16"/>
      <c r="G131" s="13"/>
      <c r="H131" s="13"/>
      <c r="I131" s="13"/>
      <c r="J131" s="13"/>
      <c r="K131" s="13"/>
      <c r="L131" s="13"/>
      <c r="M131" s="13"/>
      <c r="N131" s="13"/>
      <c r="O131" s="13"/>
      <c r="P131" s="13"/>
      <c r="Q131" s="13"/>
      <c r="R131" s="13"/>
      <c r="S131" s="13"/>
      <c r="T131" s="13"/>
      <c r="U131" s="13"/>
      <c r="V131" s="13"/>
      <c r="W131" s="13"/>
      <c r="X131" s="13"/>
      <c r="Y131" s="13"/>
      <c r="Z131" s="13"/>
      <c r="AA131" s="13"/>
    </row>
    <row r="132" ht="20.25" customHeight="1">
      <c r="A132" s="15">
        <v>45982.12988425926</v>
      </c>
      <c r="B132" s="16" t="s">
        <v>509</v>
      </c>
      <c r="C132" s="16" t="s">
        <v>405</v>
      </c>
      <c r="D132" s="16" t="s">
        <v>510</v>
      </c>
      <c r="E132" s="17" t="s">
        <v>511</v>
      </c>
      <c r="F132" s="16"/>
      <c r="G132" s="13"/>
      <c r="H132" s="13"/>
      <c r="I132" s="13"/>
      <c r="J132" s="13"/>
      <c r="K132" s="13"/>
      <c r="L132" s="13"/>
      <c r="M132" s="13"/>
      <c r="N132" s="13"/>
      <c r="O132" s="13"/>
      <c r="P132" s="13"/>
      <c r="Q132" s="13"/>
      <c r="R132" s="13"/>
      <c r="S132" s="13"/>
      <c r="T132" s="13"/>
      <c r="U132" s="13"/>
      <c r="V132" s="13"/>
      <c r="W132" s="13"/>
      <c r="X132" s="13"/>
      <c r="Y132" s="13"/>
      <c r="Z132" s="13"/>
      <c r="AA132" s="13"/>
    </row>
    <row r="133" ht="20.25" customHeight="1">
      <c r="A133" s="15">
        <v>45982.13265046296</v>
      </c>
      <c r="B133" s="16" t="s">
        <v>512</v>
      </c>
      <c r="C133" s="16" t="s">
        <v>513</v>
      </c>
      <c r="D133" s="16" t="s">
        <v>514</v>
      </c>
      <c r="E133" s="17" t="s">
        <v>515</v>
      </c>
      <c r="F133" s="16"/>
      <c r="G133" s="13"/>
      <c r="H133" s="13"/>
      <c r="I133" s="13"/>
      <c r="J133" s="13"/>
      <c r="K133" s="13"/>
      <c r="L133" s="13"/>
      <c r="M133" s="13"/>
      <c r="N133" s="13"/>
      <c r="O133" s="13"/>
      <c r="P133" s="13"/>
      <c r="Q133" s="13"/>
      <c r="R133" s="13"/>
      <c r="S133" s="13"/>
      <c r="T133" s="13"/>
      <c r="U133" s="13"/>
      <c r="V133" s="13"/>
      <c r="W133" s="13"/>
      <c r="X133" s="13"/>
      <c r="Y133" s="13"/>
      <c r="Z133" s="13"/>
      <c r="AA133" s="13"/>
    </row>
    <row r="134" ht="20.25" customHeight="1">
      <c r="A134" s="15">
        <v>45982.13418981482</v>
      </c>
      <c r="B134" s="16" t="s">
        <v>506</v>
      </c>
      <c r="C134" s="16" t="s">
        <v>516</v>
      </c>
      <c r="D134" s="16" t="s">
        <v>517</v>
      </c>
      <c r="E134" s="17" t="s">
        <v>518</v>
      </c>
      <c r="F134" s="16"/>
      <c r="G134" s="13"/>
      <c r="H134" s="13"/>
      <c r="I134" s="13"/>
      <c r="J134" s="13"/>
      <c r="K134" s="13"/>
      <c r="L134" s="13"/>
      <c r="M134" s="13"/>
      <c r="N134" s="13"/>
      <c r="O134" s="13"/>
      <c r="P134" s="13"/>
      <c r="Q134" s="13"/>
      <c r="R134" s="13"/>
      <c r="S134" s="13"/>
      <c r="T134" s="13"/>
      <c r="U134" s="13"/>
      <c r="V134" s="13"/>
      <c r="W134" s="13"/>
      <c r="X134" s="13"/>
      <c r="Y134" s="13"/>
      <c r="Z134" s="13"/>
      <c r="AA134" s="13"/>
    </row>
    <row r="135" ht="20.25" customHeight="1">
      <c r="A135" s="15">
        <v>45982.1352662037</v>
      </c>
      <c r="B135" s="16" t="s">
        <v>512</v>
      </c>
      <c r="C135" s="16" t="s">
        <v>519</v>
      </c>
      <c r="D135" s="16" t="s">
        <v>520</v>
      </c>
      <c r="E135" s="17" t="s">
        <v>521</v>
      </c>
      <c r="F135" s="16"/>
      <c r="G135" s="13"/>
      <c r="H135" s="13"/>
      <c r="I135" s="13"/>
      <c r="J135" s="13"/>
      <c r="K135" s="13"/>
      <c r="L135" s="13"/>
      <c r="M135" s="13"/>
      <c r="N135" s="13"/>
      <c r="O135" s="13"/>
      <c r="P135" s="13"/>
      <c r="Q135" s="13"/>
      <c r="R135" s="13"/>
      <c r="S135" s="13"/>
      <c r="T135" s="13"/>
      <c r="U135" s="13"/>
      <c r="V135" s="13"/>
      <c r="W135" s="13"/>
      <c r="X135" s="13"/>
      <c r="Y135" s="13"/>
      <c r="Z135" s="13"/>
      <c r="AA135" s="13"/>
    </row>
    <row r="136" ht="20.25" customHeight="1">
      <c r="A136" s="15">
        <v>45982.13575231482</v>
      </c>
      <c r="B136" s="16" t="s">
        <v>512</v>
      </c>
      <c r="C136" s="16" t="s">
        <v>522</v>
      </c>
      <c r="D136" s="16" t="s">
        <v>523</v>
      </c>
      <c r="E136" s="17" t="s">
        <v>524</v>
      </c>
      <c r="F136" s="16"/>
      <c r="G136" s="13"/>
      <c r="H136" s="13"/>
      <c r="I136" s="13"/>
      <c r="J136" s="13"/>
      <c r="K136" s="13"/>
      <c r="L136" s="13"/>
      <c r="M136" s="13"/>
      <c r="N136" s="13"/>
      <c r="O136" s="13"/>
      <c r="P136" s="13"/>
      <c r="Q136" s="13"/>
      <c r="R136" s="13"/>
      <c r="S136" s="13"/>
      <c r="T136" s="13"/>
      <c r="U136" s="13"/>
      <c r="V136" s="13"/>
      <c r="W136" s="13"/>
      <c r="X136" s="13"/>
      <c r="Y136" s="13"/>
      <c r="Z136" s="13"/>
      <c r="AA136" s="13"/>
    </row>
    <row r="137" ht="20.25" customHeight="1">
      <c r="A137" s="15">
        <v>45982.14351851852</v>
      </c>
      <c r="B137" s="16" t="s">
        <v>525</v>
      </c>
      <c r="C137" s="16" t="s">
        <v>526</v>
      </c>
      <c r="D137" s="16" t="s">
        <v>527</v>
      </c>
      <c r="E137" s="17" t="s">
        <v>528</v>
      </c>
      <c r="F137" s="16"/>
      <c r="G137" s="13"/>
      <c r="H137" s="13"/>
      <c r="I137" s="13"/>
      <c r="J137" s="13"/>
      <c r="K137" s="13"/>
      <c r="L137" s="13"/>
      <c r="M137" s="13"/>
      <c r="N137" s="13"/>
      <c r="O137" s="13"/>
      <c r="P137" s="13"/>
      <c r="Q137" s="13"/>
      <c r="R137" s="13"/>
      <c r="S137" s="13"/>
      <c r="T137" s="13"/>
      <c r="U137" s="13"/>
      <c r="V137" s="13"/>
      <c r="W137" s="13"/>
      <c r="X137" s="13"/>
      <c r="Y137" s="13"/>
      <c r="Z137" s="13"/>
      <c r="AA137" s="13"/>
    </row>
    <row r="138" ht="20.25" customHeight="1">
      <c r="A138" s="15">
        <v>45982.14745370371</v>
      </c>
      <c r="B138" s="16" t="s">
        <v>529</v>
      </c>
      <c r="C138" s="16" t="s">
        <v>161</v>
      </c>
      <c r="D138" s="16" t="s">
        <v>530</v>
      </c>
      <c r="E138" s="17" t="s">
        <v>531</v>
      </c>
      <c r="F138" s="16"/>
      <c r="G138" s="13"/>
      <c r="H138" s="13"/>
      <c r="I138" s="13"/>
      <c r="J138" s="13"/>
      <c r="K138" s="13"/>
      <c r="L138" s="13"/>
      <c r="M138" s="13"/>
      <c r="N138" s="13"/>
      <c r="O138" s="13"/>
      <c r="P138" s="13"/>
      <c r="Q138" s="13"/>
      <c r="R138" s="13"/>
      <c r="S138" s="13"/>
      <c r="T138" s="13"/>
      <c r="U138" s="13"/>
      <c r="V138" s="13"/>
      <c r="W138" s="13"/>
      <c r="X138" s="13"/>
      <c r="Y138" s="13"/>
      <c r="Z138" s="13"/>
      <c r="AA138" s="13"/>
    </row>
    <row r="139" ht="20.25" customHeight="1">
      <c r="A139" s="15">
        <v>45982.148194444446</v>
      </c>
      <c r="B139" s="16" t="s">
        <v>512</v>
      </c>
      <c r="C139" s="16" t="s">
        <v>532</v>
      </c>
      <c r="D139" s="16" t="s">
        <v>533</v>
      </c>
      <c r="E139" s="17" t="s">
        <v>534</v>
      </c>
      <c r="F139" s="16"/>
      <c r="G139" s="13"/>
      <c r="H139" s="13"/>
      <c r="I139" s="13"/>
      <c r="J139" s="13"/>
      <c r="K139" s="13"/>
      <c r="L139" s="13"/>
      <c r="M139" s="13"/>
      <c r="N139" s="13"/>
      <c r="O139" s="13"/>
      <c r="P139" s="13"/>
      <c r="Q139" s="13"/>
      <c r="R139" s="13"/>
      <c r="S139" s="13"/>
      <c r="T139" s="13"/>
      <c r="U139" s="13"/>
      <c r="V139" s="13"/>
      <c r="W139" s="13"/>
      <c r="X139" s="13"/>
      <c r="Y139" s="13"/>
      <c r="Z139" s="13"/>
      <c r="AA139" s="13"/>
    </row>
    <row r="140" ht="20.25" customHeight="1">
      <c r="A140" s="15">
        <v>45982.148831018516</v>
      </c>
      <c r="B140" s="16" t="s">
        <v>509</v>
      </c>
      <c r="C140" s="16" t="s">
        <v>535</v>
      </c>
      <c r="D140" s="16" t="s">
        <v>536</v>
      </c>
      <c r="E140" s="17" t="s">
        <v>537</v>
      </c>
      <c r="F140" s="16"/>
      <c r="G140" s="13"/>
      <c r="H140" s="13"/>
      <c r="I140" s="13"/>
      <c r="J140" s="13"/>
      <c r="K140" s="13"/>
      <c r="L140" s="13"/>
      <c r="M140" s="13"/>
      <c r="N140" s="13"/>
      <c r="O140" s="13"/>
      <c r="P140" s="13"/>
      <c r="Q140" s="13"/>
      <c r="R140" s="13"/>
      <c r="S140" s="13"/>
      <c r="T140" s="13"/>
      <c r="U140" s="13"/>
      <c r="V140" s="13"/>
      <c r="W140" s="13"/>
      <c r="X140" s="13"/>
      <c r="Y140" s="13"/>
      <c r="Z140" s="13"/>
      <c r="AA140" s="13"/>
    </row>
    <row r="141" ht="20.25" customHeight="1">
      <c r="A141" s="15">
        <v>45982.150509259256</v>
      </c>
      <c r="B141" s="16" t="s">
        <v>509</v>
      </c>
      <c r="C141" s="16" t="s">
        <v>538</v>
      </c>
      <c r="D141" s="16" t="s">
        <v>539</v>
      </c>
      <c r="E141" s="17" t="s">
        <v>540</v>
      </c>
      <c r="F141" s="16"/>
      <c r="G141" s="13"/>
      <c r="H141" s="13"/>
      <c r="I141" s="13"/>
      <c r="J141" s="13"/>
      <c r="K141" s="13"/>
      <c r="L141" s="13"/>
      <c r="M141" s="13"/>
      <c r="N141" s="13"/>
      <c r="O141" s="13"/>
      <c r="P141" s="13"/>
      <c r="Q141" s="13"/>
      <c r="R141" s="13"/>
      <c r="S141" s="13"/>
      <c r="T141" s="13"/>
      <c r="U141" s="13"/>
      <c r="V141" s="13"/>
      <c r="W141" s="13"/>
      <c r="X141" s="13"/>
      <c r="Y141" s="13"/>
      <c r="Z141" s="13"/>
      <c r="AA141" s="13"/>
    </row>
    <row r="142" ht="20.25" customHeight="1">
      <c r="A142" s="15">
        <v>45984.797488425924</v>
      </c>
      <c r="B142" s="16" t="s">
        <v>541</v>
      </c>
      <c r="C142" s="16" t="s">
        <v>542</v>
      </c>
      <c r="D142" s="16" t="s">
        <v>543</v>
      </c>
      <c r="E142" s="17" t="s">
        <v>544</v>
      </c>
      <c r="F142" s="16"/>
      <c r="G142" s="13"/>
      <c r="H142" s="13"/>
      <c r="I142" s="13"/>
      <c r="J142" s="13"/>
      <c r="K142" s="13"/>
      <c r="L142" s="13"/>
      <c r="M142" s="13"/>
      <c r="N142" s="13"/>
      <c r="O142" s="13"/>
      <c r="P142" s="13"/>
      <c r="Q142" s="13"/>
      <c r="R142" s="13"/>
      <c r="S142" s="13"/>
      <c r="T142" s="13"/>
      <c r="U142" s="13"/>
      <c r="V142" s="13"/>
      <c r="W142" s="13"/>
      <c r="X142" s="13"/>
      <c r="Y142" s="13"/>
      <c r="Z142" s="13"/>
      <c r="AA142" s="13"/>
    </row>
    <row r="143" ht="20.25" customHeight="1">
      <c r="A143" s="15">
        <v>45985.434537037036</v>
      </c>
      <c r="B143" s="16" t="s">
        <v>545</v>
      </c>
      <c r="C143" s="16" t="s">
        <v>546</v>
      </c>
      <c r="D143" s="16" t="s">
        <v>547</v>
      </c>
      <c r="E143" s="17" t="s">
        <v>548</v>
      </c>
      <c r="F143" s="16"/>
      <c r="G143" s="13"/>
      <c r="H143" s="13"/>
      <c r="I143" s="13"/>
      <c r="J143" s="13"/>
      <c r="K143" s="13"/>
      <c r="L143" s="13"/>
      <c r="M143" s="13"/>
      <c r="N143" s="13"/>
      <c r="O143" s="13"/>
      <c r="P143" s="13"/>
      <c r="Q143" s="13"/>
      <c r="R143" s="13"/>
      <c r="S143" s="13"/>
      <c r="T143" s="13"/>
      <c r="U143" s="13"/>
      <c r="V143" s="13"/>
      <c r="W143" s="13"/>
      <c r="X143" s="13"/>
      <c r="Y143" s="13"/>
      <c r="Z143" s="13"/>
      <c r="AA143" s="13"/>
    </row>
    <row r="144" ht="20.25" customHeight="1">
      <c r="A144" s="15">
        <v>45985.47903935185</v>
      </c>
      <c r="B144" s="16" t="s">
        <v>549</v>
      </c>
      <c r="C144" s="16" t="s">
        <v>550</v>
      </c>
      <c r="D144" s="16" t="s">
        <v>551</v>
      </c>
      <c r="E144" s="17" t="s">
        <v>552</v>
      </c>
      <c r="F144" s="16"/>
      <c r="G144" s="13"/>
      <c r="H144" s="13"/>
      <c r="I144" s="13"/>
      <c r="J144" s="13"/>
      <c r="K144" s="13"/>
      <c r="L144" s="13"/>
      <c r="M144" s="13"/>
      <c r="N144" s="13"/>
      <c r="O144" s="13"/>
      <c r="P144" s="13"/>
      <c r="Q144" s="13"/>
      <c r="R144" s="13"/>
      <c r="S144" s="13"/>
      <c r="T144" s="13"/>
      <c r="U144" s="13"/>
      <c r="V144" s="13"/>
      <c r="W144" s="13"/>
      <c r="X144" s="13"/>
      <c r="Y144" s="13"/>
      <c r="Z144" s="13"/>
      <c r="AA144" s="13"/>
    </row>
    <row r="145" ht="20.25" customHeight="1">
      <c r="A145" s="15">
        <v>45985.47913194444</v>
      </c>
      <c r="B145" s="16" t="s">
        <v>553</v>
      </c>
      <c r="C145" s="16" t="s">
        <v>554</v>
      </c>
      <c r="D145" s="16" t="s">
        <v>555</v>
      </c>
      <c r="E145" s="17" t="s">
        <v>556</v>
      </c>
      <c r="F145" s="16"/>
      <c r="G145" s="13"/>
      <c r="H145" s="13"/>
      <c r="I145" s="13"/>
      <c r="J145" s="13"/>
      <c r="K145" s="13"/>
      <c r="L145" s="13"/>
      <c r="M145" s="13"/>
      <c r="N145" s="13"/>
      <c r="O145" s="13"/>
      <c r="P145" s="13"/>
      <c r="Q145" s="13"/>
      <c r="R145" s="13"/>
      <c r="S145" s="13"/>
      <c r="T145" s="13"/>
      <c r="U145" s="13"/>
      <c r="V145" s="13"/>
      <c r="W145" s="13"/>
      <c r="X145" s="13"/>
      <c r="Y145" s="13"/>
      <c r="Z145" s="13"/>
      <c r="AA145" s="13"/>
    </row>
    <row r="146" ht="20.25" customHeight="1">
      <c r="A146" s="15">
        <v>45985.47928240741</v>
      </c>
      <c r="B146" s="16" t="s">
        <v>557</v>
      </c>
      <c r="C146" s="16" t="s">
        <v>558</v>
      </c>
      <c r="D146" s="16" t="s">
        <v>559</v>
      </c>
      <c r="E146" s="17" t="s">
        <v>560</v>
      </c>
      <c r="F146" s="16"/>
      <c r="G146" s="13"/>
      <c r="H146" s="13"/>
      <c r="I146" s="13"/>
      <c r="J146" s="13"/>
      <c r="K146" s="13"/>
      <c r="L146" s="13"/>
      <c r="M146" s="13"/>
      <c r="N146" s="13"/>
      <c r="O146" s="13"/>
      <c r="P146" s="13"/>
      <c r="Q146" s="13"/>
      <c r="R146" s="13"/>
      <c r="S146" s="13"/>
      <c r="T146" s="13"/>
      <c r="U146" s="13"/>
      <c r="V146" s="13"/>
      <c r="W146" s="13"/>
      <c r="X146" s="13"/>
      <c r="Y146" s="13"/>
      <c r="Z146" s="13"/>
      <c r="AA146" s="13"/>
    </row>
    <row r="147" ht="20.25" customHeight="1">
      <c r="A147" s="15">
        <v>45985.4837962963</v>
      </c>
      <c r="B147" s="16" t="s">
        <v>561</v>
      </c>
      <c r="C147" s="16" t="s">
        <v>562</v>
      </c>
      <c r="D147" s="16" t="s">
        <v>563</v>
      </c>
      <c r="E147" s="17" t="s">
        <v>564</v>
      </c>
      <c r="F147" s="16"/>
      <c r="G147" s="13"/>
      <c r="H147" s="13"/>
      <c r="I147" s="13"/>
      <c r="J147" s="13"/>
      <c r="K147" s="13"/>
      <c r="L147" s="13"/>
      <c r="M147" s="13"/>
      <c r="N147" s="13"/>
      <c r="O147" s="13"/>
      <c r="P147" s="13"/>
      <c r="Q147" s="13"/>
      <c r="R147" s="13"/>
      <c r="S147" s="13"/>
      <c r="T147" s="13"/>
      <c r="U147" s="13"/>
      <c r="V147" s="13"/>
      <c r="W147" s="13"/>
      <c r="X147" s="13"/>
      <c r="Y147" s="13"/>
      <c r="Z147" s="13"/>
      <c r="AA147" s="13"/>
    </row>
    <row r="148" ht="20.25" customHeight="1">
      <c r="A148" s="18">
        <v>45986.0</v>
      </c>
      <c r="B148" s="16" t="s">
        <v>565</v>
      </c>
      <c r="C148" s="16" t="s">
        <v>566</v>
      </c>
      <c r="D148" s="16" t="s">
        <v>567</v>
      </c>
      <c r="E148" s="17" t="s">
        <v>568</v>
      </c>
      <c r="F148" s="13"/>
      <c r="G148" s="13"/>
      <c r="H148" s="13"/>
      <c r="I148" s="13"/>
      <c r="J148" s="13"/>
      <c r="K148" s="13"/>
      <c r="L148" s="13"/>
      <c r="M148" s="13"/>
      <c r="N148" s="13"/>
      <c r="O148" s="13"/>
      <c r="P148" s="13"/>
      <c r="Q148" s="13"/>
      <c r="R148" s="13"/>
      <c r="S148" s="13"/>
      <c r="T148" s="13"/>
      <c r="U148" s="13"/>
      <c r="V148" s="13"/>
      <c r="W148" s="13"/>
      <c r="X148" s="13"/>
      <c r="Y148" s="13"/>
      <c r="Z148" s="13"/>
      <c r="AA148" s="13"/>
    </row>
    <row r="149" ht="20.25" customHeight="1">
      <c r="A149" s="15">
        <v>45990.006423611114</v>
      </c>
      <c r="B149" s="16" t="s">
        <v>569</v>
      </c>
      <c r="C149" s="16" t="s">
        <v>405</v>
      </c>
      <c r="D149" s="16" t="s">
        <v>570</v>
      </c>
      <c r="E149" s="17" t="s">
        <v>571</v>
      </c>
      <c r="F149" s="16"/>
      <c r="G149" s="13"/>
      <c r="H149" s="13"/>
      <c r="I149" s="13"/>
      <c r="J149" s="13"/>
      <c r="K149" s="13"/>
      <c r="L149" s="13"/>
      <c r="M149" s="13"/>
      <c r="N149" s="13"/>
      <c r="O149" s="13"/>
      <c r="P149" s="13"/>
      <c r="Q149" s="13"/>
      <c r="R149" s="13"/>
      <c r="S149" s="13"/>
      <c r="T149" s="13"/>
      <c r="U149" s="13"/>
      <c r="V149" s="13"/>
      <c r="W149" s="13"/>
      <c r="X149" s="13"/>
      <c r="Y149" s="13"/>
      <c r="Z149" s="13"/>
      <c r="AA149" s="13"/>
    </row>
    <row r="150" ht="20.25" customHeight="1">
      <c r="A150" s="15">
        <v>45990.006423611114</v>
      </c>
      <c r="B150" s="16" t="s">
        <v>569</v>
      </c>
      <c r="C150" s="16" t="s">
        <v>405</v>
      </c>
      <c r="D150" s="16" t="s">
        <v>570</v>
      </c>
      <c r="E150" s="17" t="s">
        <v>571</v>
      </c>
      <c r="F150" s="16"/>
      <c r="G150" s="13"/>
      <c r="H150" s="13"/>
      <c r="I150" s="13"/>
      <c r="J150" s="13"/>
      <c r="K150" s="13"/>
      <c r="L150" s="13"/>
      <c r="M150" s="13"/>
      <c r="N150" s="13"/>
      <c r="O150" s="13"/>
      <c r="P150" s="13"/>
      <c r="Q150" s="13"/>
      <c r="R150" s="13"/>
      <c r="S150" s="13"/>
      <c r="T150" s="13"/>
      <c r="U150" s="13"/>
      <c r="V150" s="13"/>
      <c r="W150" s="13"/>
      <c r="X150" s="13"/>
      <c r="Y150" s="13"/>
      <c r="Z150" s="13"/>
      <c r="AA150" s="13"/>
    </row>
    <row r="151" ht="20.25" customHeight="1">
      <c r="A151" s="18">
        <v>45992.0</v>
      </c>
      <c r="B151" s="16" t="s">
        <v>572</v>
      </c>
      <c r="C151" s="16" t="s">
        <v>45</v>
      </c>
      <c r="D151" s="16" t="s">
        <v>573</v>
      </c>
      <c r="E151" s="17" t="s">
        <v>574</v>
      </c>
      <c r="F151" s="16"/>
      <c r="G151" s="13"/>
      <c r="H151" s="13"/>
      <c r="I151" s="13"/>
      <c r="J151" s="13"/>
      <c r="K151" s="13"/>
      <c r="L151" s="13"/>
      <c r="M151" s="13"/>
      <c r="N151" s="13"/>
      <c r="O151" s="13"/>
      <c r="P151" s="13"/>
      <c r="Q151" s="13"/>
      <c r="R151" s="13"/>
      <c r="S151" s="13"/>
      <c r="T151" s="13"/>
      <c r="U151" s="13"/>
      <c r="V151" s="13"/>
      <c r="W151" s="13"/>
      <c r="X151" s="13"/>
      <c r="Y151" s="13"/>
      <c r="Z151" s="13"/>
      <c r="AA151" s="13"/>
    </row>
    <row r="152" ht="20.25" customHeight="1">
      <c r="A152" s="15">
        <v>45991.84798611111</v>
      </c>
      <c r="B152" s="16" t="s">
        <v>575</v>
      </c>
      <c r="C152" s="16" t="s">
        <v>576</v>
      </c>
      <c r="D152" s="16" t="s">
        <v>577</v>
      </c>
      <c r="E152" s="17" t="s">
        <v>578</v>
      </c>
      <c r="F152" s="16"/>
      <c r="G152" s="13"/>
      <c r="H152" s="13"/>
      <c r="I152" s="13"/>
      <c r="J152" s="13"/>
      <c r="K152" s="13"/>
      <c r="L152" s="13"/>
      <c r="M152" s="13"/>
      <c r="N152" s="13"/>
      <c r="O152" s="13"/>
      <c r="P152" s="13"/>
      <c r="Q152" s="13"/>
      <c r="R152" s="13"/>
      <c r="S152" s="13"/>
      <c r="T152" s="13"/>
      <c r="U152" s="13"/>
      <c r="V152" s="13"/>
      <c r="W152" s="13"/>
      <c r="X152" s="13"/>
      <c r="Y152" s="13"/>
      <c r="Z152" s="13"/>
      <c r="AA152" s="13"/>
    </row>
    <row r="153" ht="20.25" customHeight="1">
      <c r="A153" s="15">
        <v>45991.84829861111</v>
      </c>
      <c r="B153" s="16" t="s">
        <v>579</v>
      </c>
      <c r="C153" s="16" t="s">
        <v>580</v>
      </c>
      <c r="D153" s="16" t="s">
        <v>581</v>
      </c>
      <c r="E153" s="17" t="s">
        <v>582</v>
      </c>
      <c r="F153" s="16"/>
      <c r="G153" s="13"/>
      <c r="H153" s="13"/>
      <c r="I153" s="13"/>
      <c r="J153" s="13"/>
      <c r="K153" s="13"/>
      <c r="L153" s="13"/>
      <c r="M153" s="13"/>
      <c r="N153" s="13"/>
      <c r="O153" s="13"/>
      <c r="P153" s="13"/>
      <c r="Q153" s="13"/>
      <c r="R153" s="13"/>
      <c r="S153" s="13"/>
      <c r="T153" s="13"/>
      <c r="U153" s="13"/>
      <c r="V153" s="13"/>
      <c r="W153" s="13"/>
      <c r="X153" s="13"/>
      <c r="Y153" s="13"/>
      <c r="Z153" s="13"/>
      <c r="AA153" s="13"/>
    </row>
    <row r="154" ht="20.25" customHeight="1">
      <c r="A154" s="15">
        <v>45991.84850694444</v>
      </c>
      <c r="B154" s="16" t="s">
        <v>583</v>
      </c>
      <c r="C154" s="16" t="s">
        <v>584</v>
      </c>
      <c r="D154" s="16" t="s">
        <v>585</v>
      </c>
      <c r="E154" s="17" t="s">
        <v>586</v>
      </c>
      <c r="F154" s="16"/>
      <c r="G154" s="13"/>
      <c r="H154" s="13"/>
      <c r="I154" s="13"/>
      <c r="J154" s="13"/>
      <c r="K154" s="13"/>
      <c r="L154" s="13"/>
      <c r="M154" s="13"/>
      <c r="N154" s="13"/>
      <c r="O154" s="13"/>
      <c r="P154" s="13"/>
      <c r="Q154" s="13"/>
      <c r="R154" s="13"/>
      <c r="S154" s="13"/>
      <c r="T154" s="13"/>
      <c r="U154" s="13"/>
      <c r="V154" s="13"/>
      <c r="W154" s="13"/>
      <c r="X154" s="13"/>
      <c r="Y154" s="13"/>
      <c r="Z154" s="13"/>
      <c r="AA154" s="13"/>
    </row>
    <row r="155" ht="20.25" customHeight="1">
      <c r="A155" s="15">
        <v>45991.851689814815</v>
      </c>
      <c r="B155" s="16" t="s">
        <v>587</v>
      </c>
      <c r="C155" s="16" t="s">
        <v>588</v>
      </c>
      <c r="D155" s="16" t="s">
        <v>589</v>
      </c>
      <c r="E155" s="17" t="s">
        <v>590</v>
      </c>
      <c r="F155" s="16"/>
      <c r="G155" s="13"/>
      <c r="H155" s="13"/>
      <c r="I155" s="13"/>
      <c r="J155" s="13"/>
      <c r="K155" s="13"/>
      <c r="L155" s="13"/>
      <c r="M155" s="13"/>
      <c r="N155" s="13"/>
      <c r="O155" s="13"/>
      <c r="P155" s="13"/>
      <c r="Q155" s="13"/>
      <c r="R155" s="13"/>
      <c r="S155" s="13"/>
      <c r="T155" s="13"/>
      <c r="U155" s="13"/>
      <c r="V155" s="13"/>
      <c r="W155" s="13"/>
      <c r="X155" s="13"/>
      <c r="Y155" s="13"/>
      <c r="Z155" s="13"/>
      <c r="AA155" s="13"/>
    </row>
    <row r="156" ht="20.25" customHeight="1">
      <c r="A156" s="15">
        <v>45991.85833333333</v>
      </c>
      <c r="B156" s="16" t="s">
        <v>591</v>
      </c>
      <c r="C156" s="16" t="s">
        <v>592</v>
      </c>
      <c r="D156" s="16" t="s">
        <v>593</v>
      </c>
      <c r="E156" s="17" t="s">
        <v>594</v>
      </c>
      <c r="F156" s="16"/>
      <c r="G156" s="13"/>
      <c r="H156" s="13"/>
      <c r="I156" s="13"/>
      <c r="J156" s="13"/>
      <c r="K156" s="13"/>
      <c r="L156" s="13"/>
      <c r="M156" s="13"/>
      <c r="N156" s="13"/>
      <c r="O156" s="13"/>
      <c r="P156" s="13"/>
      <c r="Q156" s="13"/>
      <c r="R156" s="13"/>
      <c r="S156" s="13"/>
      <c r="T156" s="13"/>
      <c r="U156" s="13"/>
      <c r="V156" s="13"/>
      <c r="W156" s="13"/>
      <c r="X156" s="13"/>
      <c r="Y156" s="13"/>
      <c r="Z156" s="13"/>
      <c r="AA156" s="13"/>
    </row>
    <row r="157" ht="20.25" customHeight="1">
      <c r="A157" s="15">
        <v>45991.858506944445</v>
      </c>
      <c r="B157" s="16" t="s">
        <v>595</v>
      </c>
      <c r="C157" s="16" t="s">
        <v>596</v>
      </c>
      <c r="D157" s="16" t="s">
        <v>597</v>
      </c>
      <c r="E157" s="17" t="s">
        <v>598</v>
      </c>
      <c r="F157" s="16"/>
      <c r="G157" s="13"/>
      <c r="H157" s="13"/>
      <c r="I157" s="13"/>
      <c r="J157" s="13"/>
      <c r="K157" s="13"/>
      <c r="L157" s="13"/>
      <c r="M157" s="13"/>
      <c r="N157" s="13"/>
      <c r="O157" s="13"/>
      <c r="P157" s="13"/>
      <c r="Q157" s="13"/>
      <c r="R157" s="13"/>
      <c r="S157" s="13"/>
      <c r="T157" s="13"/>
      <c r="U157" s="13"/>
      <c r="V157" s="13"/>
      <c r="W157" s="13"/>
      <c r="X157" s="13"/>
      <c r="Y157" s="13"/>
      <c r="Z157" s="13"/>
      <c r="AA157" s="13"/>
    </row>
    <row r="158" ht="20.25" customHeight="1">
      <c r="A158" s="15">
        <v>45991.85870370371</v>
      </c>
      <c r="B158" s="16" t="s">
        <v>599</v>
      </c>
      <c r="C158" s="16" t="s">
        <v>600</v>
      </c>
      <c r="D158" s="16" t="s">
        <v>601</v>
      </c>
      <c r="E158" s="17" t="s">
        <v>602</v>
      </c>
      <c r="F158" s="16"/>
      <c r="G158" s="13"/>
      <c r="H158" s="13"/>
      <c r="I158" s="13"/>
      <c r="J158" s="13"/>
      <c r="K158" s="13"/>
      <c r="L158" s="13"/>
      <c r="M158" s="13"/>
      <c r="N158" s="13"/>
      <c r="O158" s="13"/>
      <c r="P158" s="13"/>
      <c r="Q158" s="13"/>
      <c r="R158" s="13"/>
      <c r="S158" s="13"/>
      <c r="T158" s="13"/>
      <c r="U158" s="13"/>
      <c r="V158" s="13"/>
      <c r="W158" s="13"/>
      <c r="X158" s="13"/>
      <c r="Y158" s="13"/>
      <c r="Z158" s="13"/>
      <c r="AA158" s="13"/>
    </row>
    <row r="159" ht="20.25" customHeight="1">
      <c r="A159" s="15">
        <v>45991.879375</v>
      </c>
      <c r="B159" s="16" t="s">
        <v>603</v>
      </c>
      <c r="C159" s="16" t="s">
        <v>488</v>
      </c>
      <c r="D159" s="16" t="s">
        <v>604</v>
      </c>
      <c r="E159" s="17" t="s">
        <v>605</v>
      </c>
      <c r="F159" s="16"/>
      <c r="G159" s="13"/>
      <c r="H159" s="13"/>
      <c r="I159" s="13"/>
      <c r="J159" s="13"/>
      <c r="K159" s="13"/>
      <c r="L159" s="13"/>
      <c r="M159" s="13"/>
      <c r="N159" s="13"/>
      <c r="O159" s="13"/>
      <c r="P159" s="13"/>
      <c r="Q159" s="13"/>
      <c r="R159" s="13"/>
      <c r="S159" s="13"/>
      <c r="T159" s="13"/>
      <c r="U159" s="13"/>
      <c r="V159" s="13"/>
      <c r="W159" s="13"/>
      <c r="X159" s="13"/>
      <c r="Y159" s="13"/>
      <c r="Z159" s="13"/>
      <c r="AA159" s="13"/>
    </row>
    <row r="160" ht="20.25" customHeight="1">
      <c r="A160" s="15">
        <v>45991.88025462963</v>
      </c>
      <c r="B160" s="16" t="s">
        <v>606</v>
      </c>
      <c r="C160" s="16" t="s">
        <v>596</v>
      </c>
      <c r="D160" s="16" t="s">
        <v>607</v>
      </c>
      <c r="E160" s="17" t="s">
        <v>608</v>
      </c>
      <c r="F160" s="16"/>
      <c r="G160" s="13"/>
      <c r="H160" s="13"/>
      <c r="I160" s="13"/>
      <c r="J160" s="13"/>
      <c r="K160" s="13"/>
      <c r="L160" s="13"/>
      <c r="M160" s="13"/>
      <c r="N160" s="13"/>
      <c r="O160" s="13"/>
      <c r="P160" s="13"/>
      <c r="Q160" s="13"/>
      <c r="R160" s="13"/>
      <c r="S160" s="13"/>
      <c r="T160" s="13"/>
      <c r="U160" s="13"/>
      <c r="V160" s="13"/>
      <c r="W160" s="13"/>
      <c r="X160" s="13"/>
      <c r="Y160" s="13"/>
      <c r="Z160" s="13"/>
      <c r="AA160" s="13"/>
    </row>
    <row r="161" ht="20.25" customHeight="1">
      <c r="A161" s="15">
        <v>45991.88037037037</v>
      </c>
      <c r="B161" s="16" t="s">
        <v>609</v>
      </c>
      <c r="C161" s="16" t="s">
        <v>610</v>
      </c>
      <c r="D161" s="16" t="s">
        <v>611</v>
      </c>
      <c r="E161" s="17" t="s">
        <v>612</v>
      </c>
      <c r="F161" s="16"/>
      <c r="G161" s="13"/>
      <c r="H161" s="13"/>
      <c r="I161" s="13"/>
      <c r="J161" s="13"/>
      <c r="K161" s="13"/>
      <c r="L161" s="13"/>
      <c r="M161" s="13"/>
      <c r="N161" s="13"/>
      <c r="O161" s="13"/>
      <c r="P161" s="13"/>
      <c r="Q161" s="13"/>
      <c r="R161" s="13"/>
      <c r="S161" s="13"/>
      <c r="T161" s="13"/>
      <c r="U161" s="13"/>
      <c r="V161" s="13"/>
      <c r="W161" s="13"/>
      <c r="X161" s="13"/>
      <c r="Y161" s="13"/>
      <c r="Z161" s="13"/>
      <c r="AA161" s="13"/>
    </row>
    <row r="162" ht="20.25" customHeight="1">
      <c r="A162" s="15">
        <v>45991.880532407406</v>
      </c>
      <c r="B162" s="16" t="s">
        <v>613</v>
      </c>
      <c r="C162" s="16" t="s">
        <v>614</v>
      </c>
      <c r="D162" s="16" t="s">
        <v>615</v>
      </c>
      <c r="E162" s="17" t="s">
        <v>616</v>
      </c>
      <c r="F162" s="16"/>
      <c r="G162" s="13"/>
      <c r="H162" s="13"/>
      <c r="I162" s="13"/>
      <c r="J162" s="13"/>
      <c r="K162" s="13"/>
      <c r="L162" s="13"/>
      <c r="M162" s="13"/>
      <c r="N162" s="13"/>
      <c r="O162" s="13"/>
      <c r="P162" s="13"/>
      <c r="Q162" s="13"/>
      <c r="R162" s="13"/>
      <c r="S162" s="13"/>
      <c r="T162" s="13"/>
      <c r="U162" s="13"/>
      <c r="V162" s="13"/>
      <c r="W162" s="13"/>
      <c r="X162" s="13"/>
      <c r="Y162" s="13"/>
      <c r="Z162" s="13"/>
      <c r="AA162" s="13"/>
    </row>
    <row r="163" ht="20.25" customHeight="1">
      <c r="A163" s="15">
        <v>45991.8819212963</v>
      </c>
      <c r="B163" s="16" t="s">
        <v>617</v>
      </c>
      <c r="C163" s="16" t="s">
        <v>618</v>
      </c>
      <c r="D163" s="16" t="s">
        <v>619</v>
      </c>
      <c r="E163" s="17" t="s">
        <v>620</v>
      </c>
      <c r="F163" s="16"/>
      <c r="G163" s="13"/>
      <c r="H163" s="13"/>
      <c r="I163" s="13"/>
      <c r="J163" s="13"/>
      <c r="K163" s="13"/>
      <c r="L163" s="13"/>
      <c r="M163" s="13"/>
      <c r="N163" s="13"/>
      <c r="O163" s="13"/>
      <c r="P163" s="13"/>
      <c r="Q163" s="13"/>
      <c r="R163" s="13"/>
      <c r="S163" s="13"/>
      <c r="T163" s="13"/>
      <c r="U163" s="13"/>
      <c r="V163" s="13"/>
      <c r="W163" s="13"/>
      <c r="X163" s="13"/>
      <c r="Y163" s="13"/>
      <c r="Z163" s="13"/>
      <c r="AA163" s="13"/>
    </row>
    <row r="164" ht="20.25" customHeight="1">
      <c r="A164" s="15">
        <v>45991.88380787037</v>
      </c>
      <c r="B164" s="16" t="s">
        <v>621</v>
      </c>
      <c r="C164" s="16" t="s">
        <v>600</v>
      </c>
      <c r="D164" s="16" t="s">
        <v>622</v>
      </c>
      <c r="E164" s="17" t="s">
        <v>623</v>
      </c>
      <c r="F164" s="16"/>
      <c r="G164" s="13"/>
      <c r="H164" s="13"/>
      <c r="I164" s="13"/>
      <c r="J164" s="13"/>
      <c r="K164" s="13"/>
      <c r="L164" s="13"/>
      <c r="M164" s="13"/>
      <c r="N164" s="13"/>
      <c r="O164" s="13"/>
      <c r="P164" s="13"/>
      <c r="Q164" s="13"/>
      <c r="R164" s="13"/>
      <c r="S164" s="13"/>
      <c r="T164" s="13"/>
      <c r="U164" s="13"/>
      <c r="V164" s="13"/>
      <c r="W164" s="13"/>
      <c r="X164" s="13"/>
      <c r="Y164" s="13"/>
      <c r="Z164" s="13"/>
      <c r="AA164" s="13"/>
    </row>
    <row r="165" ht="20.25" customHeight="1">
      <c r="A165" s="15">
        <v>45991.88413194445</v>
      </c>
      <c r="B165" s="16" t="s">
        <v>624</v>
      </c>
      <c r="C165" s="16" t="s">
        <v>625</v>
      </c>
      <c r="D165" s="16" t="s">
        <v>626</v>
      </c>
      <c r="E165" s="17" t="s">
        <v>627</v>
      </c>
      <c r="F165" s="16"/>
      <c r="G165" s="13"/>
      <c r="H165" s="13"/>
      <c r="I165" s="13"/>
      <c r="J165" s="13"/>
      <c r="K165" s="13"/>
      <c r="L165" s="13"/>
      <c r="M165" s="13"/>
      <c r="N165" s="13"/>
      <c r="O165" s="13"/>
      <c r="P165" s="13"/>
      <c r="Q165" s="13"/>
      <c r="R165" s="13"/>
      <c r="S165" s="13"/>
      <c r="T165" s="13"/>
      <c r="U165" s="13"/>
      <c r="V165" s="13"/>
      <c r="W165" s="13"/>
      <c r="X165" s="13"/>
      <c r="Y165" s="13"/>
      <c r="Z165" s="13"/>
      <c r="AA165" s="13"/>
    </row>
    <row r="166" ht="20.25" customHeight="1">
      <c r="A166" s="15">
        <v>45998.02023148148</v>
      </c>
      <c r="B166" s="16" t="s">
        <v>529</v>
      </c>
      <c r="C166" s="16" t="s">
        <v>161</v>
      </c>
      <c r="D166" s="16" t="s">
        <v>628</v>
      </c>
      <c r="E166" s="17" t="s">
        <v>629</v>
      </c>
      <c r="F166" s="16"/>
      <c r="G166" s="13"/>
      <c r="H166" s="13"/>
      <c r="I166" s="13"/>
      <c r="J166" s="13"/>
      <c r="K166" s="13"/>
      <c r="L166" s="13"/>
      <c r="M166" s="13"/>
      <c r="N166" s="13"/>
      <c r="O166" s="13"/>
      <c r="P166" s="13"/>
      <c r="Q166" s="13"/>
      <c r="R166" s="13"/>
      <c r="S166" s="13"/>
      <c r="T166" s="13"/>
      <c r="U166" s="13"/>
      <c r="V166" s="13"/>
      <c r="W166" s="13"/>
      <c r="X166" s="13"/>
      <c r="Y166" s="13"/>
      <c r="Z166" s="13"/>
      <c r="AA166" s="13"/>
    </row>
    <row r="167" ht="20.25" customHeight="1">
      <c r="A167" s="15">
        <v>45998.021458333336</v>
      </c>
      <c r="B167" s="16" t="s">
        <v>630</v>
      </c>
      <c r="C167" s="16" t="s">
        <v>631</v>
      </c>
      <c r="D167" s="16" t="s">
        <v>632</v>
      </c>
      <c r="E167" s="17" t="s">
        <v>633</v>
      </c>
      <c r="F167" s="16"/>
      <c r="G167" s="13"/>
      <c r="H167" s="13"/>
      <c r="I167" s="13"/>
      <c r="J167" s="13"/>
      <c r="K167" s="13"/>
      <c r="L167" s="13"/>
      <c r="M167" s="13"/>
      <c r="N167" s="13"/>
      <c r="O167" s="13"/>
      <c r="P167" s="13"/>
      <c r="Q167" s="13"/>
      <c r="R167" s="13"/>
      <c r="S167" s="13"/>
      <c r="T167" s="13"/>
      <c r="U167" s="13"/>
      <c r="V167" s="13"/>
      <c r="W167" s="13"/>
      <c r="X167" s="13"/>
      <c r="Y167" s="13"/>
      <c r="Z167" s="13"/>
      <c r="AA167" s="13"/>
    </row>
    <row r="168" ht="20.25" customHeight="1">
      <c r="A168" s="15">
        <v>46000.021527777775</v>
      </c>
      <c r="B168" s="16" t="s">
        <v>634</v>
      </c>
      <c r="C168" s="16" t="s">
        <v>635</v>
      </c>
      <c r="D168" s="16" t="s">
        <v>636</v>
      </c>
      <c r="E168" s="17" t="s">
        <v>637</v>
      </c>
      <c r="F168" s="16"/>
      <c r="G168" s="13"/>
      <c r="H168" s="13"/>
      <c r="I168" s="13"/>
      <c r="J168" s="13"/>
      <c r="K168" s="13"/>
      <c r="L168" s="13"/>
      <c r="M168" s="13"/>
      <c r="N168" s="13"/>
      <c r="O168" s="13"/>
      <c r="P168" s="13"/>
      <c r="Q168" s="13"/>
      <c r="R168" s="13"/>
      <c r="S168" s="13"/>
      <c r="T168" s="13"/>
      <c r="U168" s="13"/>
      <c r="V168" s="13"/>
      <c r="W168" s="13"/>
      <c r="X168" s="13"/>
      <c r="Y168" s="13"/>
      <c r="Z168" s="13"/>
      <c r="AA168" s="13"/>
    </row>
    <row r="169" ht="20.25" customHeight="1">
      <c r="A169" s="15">
        <v>46000.0215625</v>
      </c>
      <c r="B169" s="16" t="s">
        <v>638</v>
      </c>
      <c r="C169" s="16" t="s">
        <v>635</v>
      </c>
      <c r="D169" s="16" t="s">
        <v>639</v>
      </c>
      <c r="E169" s="17" t="s">
        <v>640</v>
      </c>
      <c r="F169" s="16"/>
      <c r="G169" s="13"/>
      <c r="H169" s="13"/>
      <c r="I169" s="13"/>
      <c r="J169" s="13"/>
      <c r="K169" s="13"/>
      <c r="L169" s="13"/>
      <c r="M169" s="13"/>
      <c r="N169" s="13"/>
      <c r="O169" s="13"/>
      <c r="P169" s="13"/>
      <c r="Q169" s="13"/>
      <c r="R169" s="13"/>
      <c r="S169" s="13"/>
      <c r="T169" s="13"/>
      <c r="U169" s="13"/>
      <c r="V169" s="13"/>
      <c r="W169" s="13"/>
      <c r="X169" s="13"/>
      <c r="Y169" s="13"/>
      <c r="Z169" s="13"/>
      <c r="AA169" s="13"/>
    </row>
    <row r="170" ht="20.25" customHeight="1">
      <c r="A170" s="15">
        <v>46000.021678240744</v>
      </c>
      <c r="B170" s="16" t="s">
        <v>641</v>
      </c>
      <c r="C170" s="16" t="s">
        <v>635</v>
      </c>
      <c r="D170" s="16" t="s">
        <v>642</v>
      </c>
      <c r="E170" s="17" t="s">
        <v>643</v>
      </c>
      <c r="F170" s="16"/>
      <c r="G170" s="13"/>
      <c r="H170" s="13"/>
      <c r="I170" s="13"/>
      <c r="J170" s="13"/>
      <c r="K170" s="13"/>
      <c r="L170" s="13"/>
      <c r="M170" s="13"/>
      <c r="N170" s="13"/>
      <c r="O170" s="13"/>
      <c r="P170" s="13"/>
      <c r="Q170" s="13"/>
      <c r="R170" s="13"/>
      <c r="S170" s="13"/>
      <c r="T170" s="13"/>
      <c r="U170" s="13"/>
      <c r="V170" s="13"/>
      <c r="W170" s="13"/>
      <c r="X170" s="13"/>
      <c r="Y170" s="13"/>
      <c r="Z170" s="13"/>
      <c r="AA170" s="13"/>
    </row>
    <row r="171" ht="20.25" customHeight="1">
      <c r="A171" s="15">
        <v>46000.021782407406</v>
      </c>
      <c r="B171" s="16" t="s">
        <v>644</v>
      </c>
      <c r="C171" s="16" t="s">
        <v>635</v>
      </c>
      <c r="D171" s="16" t="s">
        <v>645</v>
      </c>
      <c r="E171" s="17" t="s">
        <v>646</v>
      </c>
      <c r="F171" s="16"/>
      <c r="G171" s="13"/>
      <c r="H171" s="13"/>
      <c r="I171" s="13"/>
      <c r="J171" s="13"/>
      <c r="K171" s="13"/>
      <c r="L171" s="13"/>
      <c r="M171" s="13"/>
      <c r="N171" s="13"/>
      <c r="O171" s="13"/>
      <c r="P171" s="13"/>
      <c r="Q171" s="13"/>
      <c r="R171" s="13"/>
      <c r="S171" s="13"/>
      <c r="T171" s="13"/>
      <c r="U171" s="13"/>
      <c r="V171" s="13"/>
      <c r="W171" s="13"/>
      <c r="X171" s="13"/>
      <c r="Y171" s="13"/>
      <c r="Z171" s="13"/>
      <c r="AA171" s="13"/>
    </row>
    <row r="172" ht="20.25" customHeight="1">
      <c r="A172" s="15">
        <v>46000.021944444445</v>
      </c>
      <c r="B172" s="16" t="s">
        <v>647</v>
      </c>
      <c r="C172" s="16" t="s">
        <v>635</v>
      </c>
      <c r="D172" s="16" t="s">
        <v>648</v>
      </c>
      <c r="E172" s="17" t="s">
        <v>649</v>
      </c>
      <c r="F172" s="16"/>
      <c r="G172" s="13"/>
      <c r="H172" s="13"/>
      <c r="I172" s="13"/>
      <c r="J172" s="13"/>
      <c r="K172" s="13"/>
      <c r="L172" s="13"/>
      <c r="M172" s="13"/>
      <c r="N172" s="13"/>
      <c r="O172" s="13"/>
      <c r="P172" s="13"/>
      <c r="Q172" s="13"/>
      <c r="R172" s="13"/>
      <c r="S172" s="13"/>
      <c r="T172" s="13"/>
      <c r="U172" s="13"/>
      <c r="V172" s="13"/>
      <c r="W172" s="13"/>
      <c r="X172" s="13"/>
      <c r="Y172" s="13"/>
      <c r="Z172" s="13"/>
      <c r="AA172" s="13"/>
    </row>
    <row r="173" ht="20.25" customHeight="1">
      <c r="A173" s="15">
        <v>46000.02202546296</v>
      </c>
      <c r="B173" s="16" t="s">
        <v>650</v>
      </c>
      <c r="C173" s="16" t="s">
        <v>635</v>
      </c>
      <c r="D173" s="16" t="s">
        <v>651</v>
      </c>
      <c r="E173" s="17" t="s">
        <v>652</v>
      </c>
      <c r="F173" s="16"/>
      <c r="G173" s="13"/>
      <c r="H173" s="13"/>
      <c r="I173" s="13"/>
      <c r="J173" s="13"/>
      <c r="K173" s="13"/>
      <c r="L173" s="13"/>
      <c r="M173" s="13"/>
      <c r="N173" s="13"/>
      <c r="O173" s="13"/>
      <c r="P173" s="13"/>
      <c r="Q173" s="13"/>
      <c r="R173" s="13"/>
      <c r="S173" s="13"/>
      <c r="T173" s="13"/>
      <c r="U173" s="13"/>
      <c r="V173" s="13"/>
      <c r="W173" s="13"/>
      <c r="X173" s="13"/>
      <c r="Y173" s="13"/>
      <c r="Z173" s="13"/>
      <c r="AA173" s="13"/>
    </row>
    <row r="174" ht="20.25" customHeight="1">
      <c r="A174" s="15">
        <v>46000.02228009259</v>
      </c>
      <c r="B174" s="16" t="s">
        <v>653</v>
      </c>
      <c r="C174" s="16" t="s">
        <v>635</v>
      </c>
      <c r="D174" s="16" t="s">
        <v>654</v>
      </c>
      <c r="E174" s="17" t="s">
        <v>655</v>
      </c>
      <c r="F174" s="16"/>
      <c r="G174" s="13"/>
      <c r="H174" s="13"/>
      <c r="I174" s="13"/>
      <c r="J174" s="13"/>
      <c r="K174" s="13"/>
      <c r="L174" s="13"/>
      <c r="M174" s="13"/>
      <c r="N174" s="13"/>
      <c r="O174" s="13"/>
      <c r="P174" s="13"/>
      <c r="Q174" s="13"/>
      <c r="R174" s="13"/>
      <c r="S174" s="13"/>
      <c r="T174" s="13"/>
      <c r="U174" s="13"/>
      <c r="V174" s="13"/>
      <c r="W174" s="13"/>
      <c r="X174" s="13"/>
      <c r="Y174" s="13"/>
      <c r="Z174" s="13"/>
      <c r="AA174" s="13"/>
    </row>
    <row r="175" ht="20.25" customHeight="1">
      <c r="A175" s="15">
        <v>46000.022372685184</v>
      </c>
      <c r="B175" s="16" t="s">
        <v>656</v>
      </c>
      <c r="C175" s="16" t="s">
        <v>635</v>
      </c>
      <c r="D175" s="16" t="s">
        <v>657</v>
      </c>
      <c r="E175" s="17" t="s">
        <v>658</v>
      </c>
      <c r="F175" s="16"/>
      <c r="G175" s="13"/>
      <c r="H175" s="13"/>
      <c r="I175" s="13"/>
      <c r="J175" s="13"/>
      <c r="K175" s="13"/>
      <c r="L175" s="13"/>
      <c r="M175" s="13"/>
      <c r="N175" s="13"/>
      <c r="O175" s="13"/>
      <c r="P175" s="13"/>
      <c r="Q175" s="13"/>
      <c r="R175" s="13"/>
      <c r="S175" s="13"/>
      <c r="T175" s="13"/>
      <c r="U175" s="13"/>
      <c r="V175" s="13"/>
      <c r="W175" s="13"/>
      <c r="X175" s="13"/>
      <c r="Y175" s="13"/>
      <c r="Z175" s="13"/>
      <c r="AA175" s="13"/>
    </row>
    <row r="176" ht="20.25" customHeight="1">
      <c r="A176" s="18">
        <v>46000.0</v>
      </c>
      <c r="B176" s="13"/>
      <c r="C176" s="13"/>
      <c r="D176" s="13"/>
      <c r="E176" s="17" t="s">
        <v>659</v>
      </c>
      <c r="F176" s="13"/>
      <c r="G176" s="13"/>
      <c r="H176" s="13"/>
      <c r="I176" s="13"/>
      <c r="J176" s="13"/>
      <c r="K176" s="13"/>
      <c r="L176" s="13"/>
      <c r="M176" s="13"/>
      <c r="N176" s="13"/>
      <c r="O176" s="13"/>
      <c r="P176" s="13"/>
      <c r="Q176" s="13"/>
      <c r="R176" s="13"/>
      <c r="S176" s="13"/>
      <c r="T176" s="13"/>
      <c r="U176" s="13"/>
      <c r="V176" s="13"/>
      <c r="W176" s="13"/>
      <c r="X176" s="13"/>
      <c r="Y176" s="13"/>
      <c r="Z176" s="13"/>
      <c r="AA176" s="13"/>
    </row>
    <row r="177" ht="20.25" customHeight="1">
      <c r="A177" s="18">
        <v>46000.0</v>
      </c>
      <c r="B177" s="13"/>
      <c r="C177" s="13"/>
      <c r="D177" s="13"/>
      <c r="E177" s="17" t="s">
        <v>660</v>
      </c>
      <c r="F177" s="13"/>
      <c r="G177" s="13"/>
      <c r="H177" s="13"/>
      <c r="I177" s="13"/>
      <c r="J177" s="13"/>
      <c r="K177" s="13"/>
      <c r="L177" s="13"/>
      <c r="M177" s="13"/>
      <c r="N177" s="13"/>
      <c r="O177" s="13"/>
      <c r="P177" s="13"/>
      <c r="Q177" s="13"/>
      <c r="R177" s="13"/>
      <c r="S177" s="13"/>
      <c r="T177" s="13"/>
      <c r="U177" s="13"/>
      <c r="V177" s="13"/>
      <c r="W177" s="13"/>
      <c r="X177" s="13"/>
      <c r="Y177" s="13"/>
      <c r="Z177" s="13"/>
      <c r="AA177" s="13"/>
    </row>
    <row r="178" ht="20.25" customHeight="1">
      <c r="A178" s="15">
        <v>46000.035266203704</v>
      </c>
      <c r="B178" s="16" t="s">
        <v>661</v>
      </c>
      <c r="C178" s="16" t="s">
        <v>662</v>
      </c>
      <c r="D178" s="16" t="s">
        <v>663</v>
      </c>
      <c r="E178" s="17" t="s">
        <v>664</v>
      </c>
      <c r="F178" s="16"/>
      <c r="G178" s="13"/>
      <c r="H178" s="13"/>
      <c r="I178" s="13"/>
      <c r="J178" s="13"/>
      <c r="K178" s="13"/>
      <c r="L178" s="13"/>
      <c r="M178" s="13"/>
      <c r="N178" s="13"/>
      <c r="O178" s="13"/>
      <c r="P178" s="13"/>
      <c r="Q178" s="13"/>
      <c r="R178" s="13"/>
      <c r="S178" s="13"/>
      <c r="T178" s="13"/>
      <c r="U178" s="13"/>
      <c r="V178" s="13"/>
      <c r="W178" s="13"/>
      <c r="X178" s="13"/>
      <c r="Y178" s="13"/>
      <c r="Z178" s="13"/>
      <c r="AA178" s="13"/>
    </row>
    <row r="179" ht="20.25" customHeight="1">
      <c r="A179" s="15">
        <v>46000.03533564815</v>
      </c>
      <c r="B179" s="16" t="s">
        <v>665</v>
      </c>
      <c r="C179" s="16" t="s">
        <v>666</v>
      </c>
      <c r="D179" s="16" t="s">
        <v>667</v>
      </c>
      <c r="E179" s="17" t="s">
        <v>668</v>
      </c>
      <c r="F179" s="16"/>
      <c r="G179" s="13"/>
      <c r="H179" s="13"/>
      <c r="I179" s="13"/>
      <c r="J179" s="13"/>
      <c r="K179" s="13"/>
      <c r="L179" s="13"/>
      <c r="M179" s="13"/>
      <c r="N179" s="13"/>
      <c r="O179" s="13"/>
      <c r="P179" s="13"/>
      <c r="Q179" s="13"/>
      <c r="R179" s="13"/>
      <c r="S179" s="13"/>
      <c r="T179" s="13"/>
      <c r="U179" s="13"/>
      <c r="V179" s="13"/>
      <c r="W179" s="13"/>
      <c r="X179" s="13"/>
      <c r="Y179" s="13"/>
      <c r="Z179" s="13"/>
      <c r="AA179" s="13"/>
    </row>
    <row r="180" ht="20.25" customHeight="1">
      <c r="A180" s="15">
        <v>46000.03591435185</v>
      </c>
      <c r="B180" s="16" t="s">
        <v>669</v>
      </c>
      <c r="C180" s="16" t="s">
        <v>670</v>
      </c>
      <c r="D180" s="16" t="s">
        <v>671</v>
      </c>
      <c r="E180" s="17" t="s">
        <v>672</v>
      </c>
      <c r="F180" s="16"/>
      <c r="G180" s="13"/>
      <c r="H180" s="13"/>
      <c r="I180" s="13"/>
      <c r="J180" s="13"/>
      <c r="K180" s="13"/>
      <c r="L180" s="13"/>
      <c r="M180" s="13"/>
      <c r="N180" s="13"/>
      <c r="O180" s="13"/>
      <c r="P180" s="13"/>
      <c r="Q180" s="13"/>
      <c r="R180" s="13"/>
      <c r="S180" s="13"/>
      <c r="T180" s="13"/>
      <c r="U180" s="13"/>
      <c r="V180" s="13"/>
      <c r="W180" s="13"/>
      <c r="X180" s="13"/>
      <c r="Y180" s="13"/>
      <c r="Z180" s="13"/>
      <c r="AA180" s="13"/>
    </row>
    <row r="181" ht="20.25" customHeight="1">
      <c r="A181" s="15">
        <v>46000.03806712963</v>
      </c>
      <c r="B181" s="16" t="s">
        <v>673</v>
      </c>
      <c r="C181" s="16" t="s">
        <v>674</v>
      </c>
      <c r="D181" s="16" t="s">
        <v>675</v>
      </c>
      <c r="E181" s="17" t="s">
        <v>676</v>
      </c>
      <c r="F181" s="16"/>
      <c r="G181" s="13"/>
      <c r="H181" s="13"/>
      <c r="I181" s="13"/>
      <c r="J181" s="13"/>
      <c r="K181" s="13"/>
      <c r="L181" s="13"/>
      <c r="M181" s="13"/>
      <c r="N181" s="13"/>
      <c r="O181" s="13"/>
      <c r="P181" s="13"/>
      <c r="Q181" s="13"/>
      <c r="R181" s="13"/>
      <c r="S181" s="13"/>
      <c r="T181" s="13"/>
      <c r="U181" s="13"/>
      <c r="V181" s="13"/>
      <c r="W181" s="13"/>
      <c r="X181" s="13"/>
      <c r="Y181" s="13"/>
      <c r="Z181" s="13"/>
      <c r="AA181" s="13"/>
    </row>
    <row r="182" ht="20.25" customHeight="1">
      <c r="A182" s="15">
        <v>46000.039247685185</v>
      </c>
      <c r="B182" s="16" t="s">
        <v>677</v>
      </c>
      <c r="C182" s="16" t="s">
        <v>161</v>
      </c>
      <c r="D182" s="16" t="s">
        <v>678</v>
      </c>
      <c r="E182" s="17" t="s">
        <v>679</v>
      </c>
      <c r="F182" s="16"/>
      <c r="G182" s="13"/>
      <c r="H182" s="13"/>
      <c r="I182" s="13"/>
      <c r="J182" s="13"/>
      <c r="K182" s="13"/>
      <c r="L182" s="13"/>
      <c r="M182" s="13"/>
      <c r="N182" s="13"/>
      <c r="O182" s="13"/>
      <c r="P182" s="13"/>
      <c r="Q182" s="13"/>
      <c r="R182" s="13"/>
      <c r="S182" s="13"/>
      <c r="T182" s="13"/>
      <c r="U182" s="13"/>
      <c r="V182" s="13"/>
      <c r="W182" s="13"/>
      <c r="X182" s="13"/>
      <c r="Y182" s="13"/>
      <c r="Z182" s="13"/>
      <c r="AA182" s="13"/>
    </row>
    <row r="183" ht="20.25" customHeight="1">
      <c r="A183" s="15">
        <v>46000.045</v>
      </c>
      <c r="B183" s="16" t="s">
        <v>506</v>
      </c>
      <c r="C183" s="16" t="s">
        <v>680</v>
      </c>
      <c r="D183" s="16" t="s">
        <v>681</v>
      </c>
      <c r="E183" s="17" t="s">
        <v>682</v>
      </c>
      <c r="F183" s="16"/>
      <c r="G183" s="13"/>
      <c r="H183" s="13"/>
      <c r="I183" s="13"/>
      <c r="J183" s="13"/>
      <c r="K183" s="13"/>
      <c r="L183" s="13"/>
      <c r="M183" s="13"/>
      <c r="N183" s="13"/>
      <c r="O183" s="13"/>
      <c r="P183" s="13"/>
      <c r="Q183" s="13"/>
      <c r="R183" s="13"/>
      <c r="S183" s="13"/>
      <c r="T183" s="13"/>
      <c r="U183" s="13"/>
      <c r="V183" s="13"/>
      <c r="W183" s="13"/>
      <c r="X183" s="13"/>
      <c r="Y183" s="13"/>
      <c r="Z183" s="13"/>
      <c r="AA183" s="13"/>
    </row>
    <row r="184" ht="20.25" customHeight="1">
      <c r="A184" s="15">
        <v>46000.048310185186</v>
      </c>
      <c r="B184" s="16" t="s">
        <v>677</v>
      </c>
      <c r="C184" s="16" t="s">
        <v>161</v>
      </c>
      <c r="D184" s="16" t="s">
        <v>683</v>
      </c>
      <c r="E184" s="17" t="s">
        <v>684</v>
      </c>
      <c r="F184" s="16"/>
      <c r="G184" s="13"/>
      <c r="H184" s="13"/>
      <c r="I184" s="13"/>
      <c r="J184" s="13"/>
      <c r="K184" s="13"/>
      <c r="L184" s="13"/>
      <c r="M184" s="13"/>
      <c r="N184" s="13"/>
      <c r="O184" s="13"/>
      <c r="P184" s="13"/>
      <c r="Q184" s="13"/>
      <c r="R184" s="13"/>
      <c r="S184" s="13"/>
      <c r="T184" s="13"/>
      <c r="U184" s="13"/>
      <c r="V184" s="13"/>
      <c r="W184" s="13"/>
      <c r="X184" s="13"/>
      <c r="Y184" s="13"/>
      <c r="Z184" s="13"/>
      <c r="AA184" s="13"/>
    </row>
    <row r="185" ht="20.25" customHeight="1">
      <c r="A185" s="15">
        <v>46000.05121527778</v>
      </c>
      <c r="B185" s="16" t="s">
        <v>685</v>
      </c>
      <c r="C185" s="16" t="s">
        <v>686</v>
      </c>
      <c r="D185" s="16" t="s">
        <v>687</v>
      </c>
      <c r="E185" s="17" t="s">
        <v>688</v>
      </c>
      <c r="F185" s="16"/>
      <c r="G185" s="13"/>
      <c r="H185" s="13"/>
      <c r="I185" s="13"/>
      <c r="J185" s="13"/>
      <c r="K185" s="13"/>
      <c r="L185" s="13"/>
      <c r="M185" s="13"/>
      <c r="N185" s="13"/>
      <c r="O185" s="13"/>
      <c r="P185" s="13"/>
      <c r="Q185" s="13"/>
      <c r="R185" s="13"/>
      <c r="S185" s="13"/>
      <c r="T185" s="13"/>
      <c r="U185" s="13"/>
      <c r="V185" s="13"/>
      <c r="W185" s="13"/>
      <c r="X185" s="13"/>
      <c r="Y185" s="13"/>
      <c r="Z185" s="13"/>
      <c r="AA185" s="13"/>
    </row>
    <row r="186" ht="20.25" customHeight="1">
      <c r="A186" s="15">
        <v>46000.05152777778</v>
      </c>
      <c r="B186" s="16" t="s">
        <v>506</v>
      </c>
      <c r="C186" s="16" t="s">
        <v>296</v>
      </c>
      <c r="D186" s="16" t="s">
        <v>689</v>
      </c>
      <c r="E186" s="17" t="s">
        <v>690</v>
      </c>
      <c r="F186" s="16"/>
      <c r="G186" s="13"/>
      <c r="H186" s="13"/>
      <c r="I186" s="13"/>
      <c r="J186" s="13"/>
      <c r="K186" s="13"/>
      <c r="L186" s="13"/>
      <c r="M186" s="13"/>
      <c r="N186" s="13"/>
      <c r="O186" s="13"/>
      <c r="P186" s="13"/>
      <c r="Q186" s="13"/>
      <c r="R186" s="13"/>
      <c r="S186" s="13"/>
      <c r="T186" s="13"/>
      <c r="U186" s="13"/>
      <c r="V186" s="13"/>
      <c r="W186" s="13"/>
      <c r="X186" s="13"/>
      <c r="Y186" s="13"/>
      <c r="Z186" s="13"/>
      <c r="AA186" s="13"/>
    </row>
    <row r="187" ht="20.25" customHeight="1">
      <c r="A187" s="15">
        <v>46000.06555555556</v>
      </c>
      <c r="B187" s="16" t="s">
        <v>691</v>
      </c>
      <c r="C187" s="16" t="s">
        <v>692</v>
      </c>
      <c r="D187" s="16" t="s">
        <v>693</v>
      </c>
      <c r="E187" s="17" t="s">
        <v>694</v>
      </c>
      <c r="F187" s="16"/>
      <c r="G187" s="13"/>
      <c r="H187" s="13"/>
      <c r="I187" s="13"/>
      <c r="J187" s="13"/>
      <c r="K187" s="13"/>
      <c r="L187" s="13"/>
      <c r="M187" s="13"/>
      <c r="N187" s="13"/>
      <c r="O187" s="13"/>
      <c r="P187" s="13"/>
      <c r="Q187" s="13"/>
      <c r="R187" s="13"/>
      <c r="S187" s="13"/>
      <c r="T187" s="13"/>
      <c r="U187" s="13"/>
      <c r="V187" s="13"/>
      <c r="W187" s="13"/>
      <c r="X187" s="13"/>
      <c r="Y187" s="13"/>
      <c r="Z187" s="13"/>
      <c r="AA187" s="13"/>
    </row>
    <row r="188" ht="20.25" customHeight="1">
      <c r="A188" s="15">
        <v>46000.06564814815</v>
      </c>
      <c r="B188" s="16" t="s">
        <v>695</v>
      </c>
      <c r="C188" s="16" t="s">
        <v>696</v>
      </c>
      <c r="D188" s="16" t="s">
        <v>697</v>
      </c>
      <c r="E188" s="17" t="s">
        <v>698</v>
      </c>
      <c r="F188" s="16"/>
      <c r="G188" s="13"/>
      <c r="H188" s="13"/>
      <c r="I188" s="13"/>
      <c r="J188" s="13"/>
      <c r="K188" s="13"/>
      <c r="L188" s="13"/>
      <c r="M188" s="13"/>
      <c r="N188" s="13"/>
      <c r="O188" s="13"/>
      <c r="P188" s="13"/>
      <c r="Q188" s="13"/>
      <c r="R188" s="13"/>
      <c r="S188" s="13"/>
      <c r="T188" s="13"/>
      <c r="U188" s="13"/>
      <c r="V188" s="13"/>
      <c r="W188" s="13"/>
      <c r="X188" s="13"/>
      <c r="Y188" s="13"/>
      <c r="Z188" s="13"/>
      <c r="AA188" s="13"/>
    </row>
    <row r="189" ht="20.25" customHeight="1">
      <c r="A189" s="15">
        <v>46000.06962962963</v>
      </c>
      <c r="B189" s="16" t="s">
        <v>699</v>
      </c>
      <c r="C189" s="16" t="s">
        <v>371</v>
      </c>
      <c r="D189" s="16" t="s">
        <v>700</v>
      </c>
      <c r="E189" s="17" t="s">
        <v>701</v>
      </c>
      <c r="F189" s="16"/>
      <c r="G189" s="13"/>
      <c r="H189" s="13"/>
      <c r="I189" s="13"/>
      <c r="J189" s="13"/>
      <c r="K189" s="13"/>
      <c r="L189" s="13"/>
      <c r="M189" s="13"/>
      <c r="N189" s="13"/>
      <c r="O189" s="13"/>
      <c r="P189" s="13"/>
      <c r="Q189" s="13"/>
      <c r="R189" s="13"/>
      <c r="S189" s="13"/>
      <c r="T189" s="13"/>
      <c r="U189" s="13"/>
      <c r="V189" s="13"/>
      <c r="W189" s="13"/>
      <c r="X189" s="13"/>
      <c r="Y189" s="13"/>
      <c r="Z189" s="13"/>
      <c r="AA189" s="13"/>
    </row>
    <row r="190" ht="20.25" customHeight="1">
      <c r="A190" s="15">
        <v>46000.0696875</v>
      </c>
      <c r="B190" s="16" t="s">
        <v>702</v>
      </c>
      <c r="C190" s="16" t="s">
        <v>405</v>
      </c>
      <c r="D190" s="16" t="s">
        <v>703</v>
      </c>
      <c r="E190" s="17" t="s">
        <v>704</v>
      </c>
      <c r="F190" s="16"/>
      <c r="G190" s="13"/>
      <c r="H190" s="13"/>
      <c r="I190" s="13"/>
      <c r="J190" s="13"/>
      <c r="K190" s="13"/>
      <c r="L190" s="13"/>
      <c r="M190" s="13"/>
      <c r="N190" s="13"/>
      <c r="O190" s="13"/>
      <c r="P190" s="13"/>
      <c r="Q190" s="13"/>
      <c r="R190" s="13"/>
      <c r="S190" s="13"/>
      <c r="T190" s="13"/>
      <c r="U190" s="13"/>
      <c r="V190" s="13"/>
      <c r="W190" s="13"/>
      <c r="X190" s="13"/>
      <c r="Y190" s="13"/>
      <c r="Z190" s="13"/>
      <c r="AA190" s="13"/>
    </row>
    <row r="191" ht="20.25" customHeight="1">
      <c r="A191" s="15">
        <v>46000.06979166667</v>
      </c>
      <c r="B191" s="16" t="s">
        <v>705</v>
      </c>
      <c r="C191" s="16" t="s">
        <v>706</v>
      </c>
      <c r="D191" s="16" t="s">
        <v>707</v>
      </c>
      <c r="E191" s="17" t="s">
        <v>708</v>
      </c>
      <c r="F191" s="16"/>
      <c r="G191" s="13"/>
      <c r="H191" s="13"/>
      <c r="I191" s="13"/>
      <c r="J191" s="13"/>
      <c r="K191" s="13"/>
      <c r="L191" s="13"/>
      <c r="M191" s="13"/>
      <c r="N191" s="13"/>
      <c r="O191" s="13"/>
      <c r="P191" s="13"/>
      <c r="Q191" s="13"/>
      <c r="R191" s="13"/>
      <c r="S191" s="13"/>
      <c r="T191" s="13"/>
      <c r="U191" s="13"/>
      <c r="V191" s="13"/>
      <c r="W191" s="13"/>
      <c r="X191" s="13"/>
      <c r="Y191" s="13"/>
      <c r="Z191" s="13"/>
      <c r="AA191" s="13"/>
    </row>
    <row r="192" ht="20.25" customHeight="1">
      <c r="A192" s="15">
        <v>46001.37106481481</v>
      </c>
      <c r="B192" s="16" t="s">
        <v>709</v>
      </c>
      <c r="C192" s="16" t="s">
        <v>710</v>
      </c>
      <c r="D192" s="16" t="s">
        <v>711</v>
      </c>
      <c r="E192" s="17" t="s">
        <v>712</v>
      </c>
      <c r="F192" s="16"/>
      <c r="G192" s="13"/>
      <c r="H192" s="13"/>
      <c r="I192" s="13"/>
      <c r="J192" s="13"/>
      <c r="K192" s="13"/>
      <c r="L192" s="13"/>
      <c r="M192" s="13"/>
      <c r="N192" s="13"/>
      <c r="O192" s="13"/>
      <c r="P192" s="13"/>
      <c r="Q192" s="13"/>
      <c r="R192" s="13"/>
      <c r="S192" s="13"/>
      <c r="T192" s="13"/>
      <c r="U192" s="13"/>
      <c r="V192" s="13"/>
      <c r="W192" s="13"/>
      <c r="X192" s="13"/>
      <c r="Y192" s="13"/>
      <c r="Z192" s="13"/>
      <c r="AA192" s="13"/>
    </row>
    <row r="193" ht="20.25" customHeight="1">
      <c r="A193" s="15">
        <v>46001.37157407407</v>
      </c>
      <c r="B193" s="16" t="s">
        <v>506</v>
      </c>
      <c r="C193" s="16" t="s">
        <v>713</v>
      </c>
      <c r="D193" s="16" t="s">
        <v>714</v>
      </c>
      <c r="E193" s="17" t="s">
        <v>715</v>
      </c>
      <c r="F193" s="16"/>
      <c r="G193" s="13"/>
      <c r="H193" s="13"/>
      <c r="I193" s="13"/>
      <c r="J193" s="13"/>
      <c r="K193" s="13"/>
      <c r="L193" s="13"/>
      <c r="M193" s="13"/>
      <c r="N193" s="13"/>
      <c r="O193" s="13"/>
      <c r="P193" s="13"/>
      <c r="Q193" s="13"/>
      <c r="R193" s="13"/>
      <c r="S193" s="13"/>
      <c r="T193" s="13"/>
      <c r="U193" s="13"/>
      <c r="V193" s="13"/>
      <c r="W193" s="13"/>
      <c r="X193" s="13"/>
      <c r="Y193" s="13"/>
      <c r="Z193" s="13"/>
      <c r="AA193" s="13"/>
    </row>
    <row r="194" ht="20.25" customHeight="1">
      <c r="A194" s="15">
        <v>46001.37556712963</v>
      </c>
      <c r="B194" s="16" t="s">
        <v>716</v>
      </c>
      <c r="C194" s="16" t="s">
        <v>488</v>
      </c>
      <c r="D194" s="16" t="s">
        <v>717</v>
      </c>
      <c r="E194" s="17" t="s">
        <v>718</v>
      </c>
      <c r="F194" s="16"/>
      <c r="G194" s="13"/>
      <c r="H194" s="13"/>
      <c r="I194" s="13"/>
      <c r="J194" s="13"/>
      <c r="K194" s="13"/>
      <c r="L194" s="13"/>
      <c r="M194" s="13"/>
      <c r="N194" s="13"/>
      <c r="O194" s="13"/>
      <c r="P194" s="13"/>
      <c r="Q194" s="13"/>
      <c r="R194" s="13"/>
      <c r="S194" s="13"/>
      <c r="T194" s="13"/>
      <c r="U194" s="13"/>
      <c r="V194" s="13"/>
      <c r="W194" s="13"/>
      <c r="X194" s="13"/>
      <c r="Y194" s="13"/>
      <c r="Z194" s="13"/>
      <c r="AA194" s="13"/>
    </row>
    <row r="195" ht="20.25" customHeight="1">
      <c r="A195" s="15">
        <v>46001.3755787037</v>
      </c>
      <c r="B195" s="16" t="s">
        <v>719</v>
      </c>
      <c r="C195" s="16" t="s">
        <v>720</v>
      </c>
      <c r="D195" s="16" t="s">
        <v>721</v>
      </c>
      <c r="E195" s="17" t="s">
        <v>722</v>
      </c>
      <c r="F195" s="16"/>
      <c r="G195" s="13"/>
      <c r="H195" s="13"/>
      <c r="I195" s="13"/>
      <c r="J195" s="13"/>
      <c r="K195" s="13"/>
      <c r="L195" s="13"/>
      <c r="M195" s="13"/>
      <c r="N195" s="13"/>
      <c r="O195" s="13"/>
      <c r="P195" s="13"/>
      <c r="Q195" s="13"/>
      <c r="R195" s="13"/>
      <c r="S195" s="13"/>
      <c r="T195" s="13"/>
      <c r="U195" s="13"/>
      <c r="V195" s="13"/>
      <c r="W195" s="13"/>
      <c r="X195" s="13"/>
      <c r="Y195" s="13"/>
      <c r="Z195" s="13"/>
      <c r="AA195" s="13"/>
    </row>
    <row r="196" ht="20.25" customHeight="1">
      <c r="A196" s="15">
        <v>46001.37662037037</v>
      </c>
      <c r="B196" s="16" t="s">
        <v>723</v>
      </c>
      <c r="C196" s="16" t="s">
        <v>724</v>
      </c>
      <c r="D196" s="16" t="s">
        <v>725</v>
      </c>
      <c r="E196" s="17" t="s">
        <v>726</v>
      </c>
      <c r="F196" s="16"/>
      <c r="G196" s="13"/>
      <c r="H196" s="13"/>
      <c r="I196" s="13"/>
      <c r="J196" s="13"/>
      <c r="K196" s="13"/>
      <c r="L196" s="13"/>
      <c r="M196" s="13"/>
      <c r="N196" s="13"/>
      <c r="O196" s="13"/>
      <c r="P196" s="13"/>
      <c r="Q196" s="13"/>
      <c r="R196" s="13"/>
      <c r="S196" s="13"/>
      <c r="T196" s="13"/>
      <c r="U196" s="13"/>
      <c r="V196" s="13"/>
      <c r="W196" s="13"/>
      <c r="X196" s="13"/>
      <c r="Y196" s="13"/>
      <c r="Z196" s="13"/>
      <c r="AA196" s="13"/>
    </row>
    <row r="197" ht="20.25" customHeight="1">
      <c r="A197" s="15">
        <v>46001.37751157407</v>
      </c>
      <c r="B197" s="16" t="s">
        <v>727</v>
      </c>
      <c r="C197" s="16" t="s">
        <v>728</v>
      </c>
      <c r="D197" s="16" t="s">
        <v>729</v>
      </c>
      <c r="E197" s="17" t="s">
        <v>730</v>
      </c>
      <c r="F197" s="16"/>
      <c r="G197" s="13"/>
      <c r="H197" s="13"/>
      <c r="I197" s="13"/>
      <c r="J197" s="13"/>
      <c r="K197" s="13"/>
      <c r="L197" s="13"/>
      <c r="M197" s="13"/>
      <c r="N197" s="13"/>
      <c r="O197" s="13"/>
      <c r="P197" s="13"/>
      <c r="Q197" s="13"/>
      <c r="R197" s="13"/>
      <c r="S197" s="13"/>
      <c r="T197" s="13"/>
      <c r="U197" s="13"/>
      <c r="V197" s="13"/>
      <c r="W197" s="13"/>
      <c r="X197" s="13"/>
      <c r="Y197" s="13"/>
      <c r="Z197" s="13"/>
      <c r="AA197" s="13"/>
    </row>
    <row r="198" ht="20.25" customHeight="1">
      <c r="A198" s="15">
        <v>46001.37787037037</v>
      </c>
      <c r="B198" s="16" t="s">
        <v>685</v>
      </c>
      <c r="C198" s="16" t="s">
        <v>731</v>
      </c>
      <c r="D198" s="16" t="s">
        <v>732</v>
      </c>
      <c r="E198" s="17" t="s">
        <v>733</v>
      </c>
      <c r="F198" s="16"/>
      <c r="G198" s="13"/>
      <c r="H198" s="13"/>
      <c r="I198" s="13"/>
      <c r="J198" s="13"/>
      <c r="K198" s="13"/>
      <c r="L198" s="13"/>
      <c r="M198" s="13"/>
      <c r="N198" s="13"/>
      <c r="O198" s="13"/>
      <c r="P198" s="13"/>
      <c r="Q198" s="13"/>
      <c r="R198" s="13"/>
      <c r="S198" s="13"/>
      <c r="T198" s="13"/>
      <c r="U198" s="13"/>
      <c r="V198" s="13"/>
      <c r="W198" s="13"/>
      <c r="X198" s="13"/>
      <c r="Y198" s="13"/>
      <c r="Z198" s="13"/>
      <c r="AA198" s="13"/>
    </row>
    <row r="199" ht="20.25" customHeight="1">
      <c r="A199" s="15">
        <v>46001.37813657407</v>
      </c>
      <c r="B199" s="16" t="s">
        <v>734</v>
      </c>
      <c r="C199" s="16" t="s">
        <v>735</v>
      </c>
      <c r="D199" s="16" t="s">
        <v>736</v>
      </c>
      <c r="E199" s="17" t="s">
        <v>737</v>
      </c>
      <c r="F199" s="16"/>
      <c r="G199" s="13"/>
      <c r="H199" s="13"/>
      <c r="I199" s="13"/>
      <c r="J199" s="13"/>
      <c r="K199" s="13"/>
      <c r="L199" s="13"/>
      <c r="M199" s="13"/>
      <c r="N199" s="13"/>
      <c r="O199" s="13"/>
      <c r="P199" s="13"/>
      <c r="Q199" s="13"/>
      <c r="R199" s="13"/>
      <c r="S199" s="13"/>
      <c r="T199" s="13"/>
      <c r="U199" s="13"/>
      <c r="V199" s="13"/>
      <c r="W199" s="13"/>
      <c r="X199" s="13"/>
      <c r="Y199" s="13"/>
      <c r="Z199" s="13"/>
      <c r="AA199" s="13"/>
    </row>
    <row r="200" ht="20.25" customHeight="1">
      <c r="A200" s="15">
        <v>46001.37892361111</v>
      </c>
      <c r="B200" s="16" t="s">
        <v>738</v>
      </c>
      <c r="C200" s="16" t="s">
        <v>739</v>
      </c>
      <c r="D200" s="16" t="s">
        <v>740</v>
      </c>
      <c r="E200" s="17" t="s">
        <v>741</v>
      </c>
      <c r="F200" s="16"/>
      <c r="G200" s="13"/>
      <c r="H200" s="13"/>
      <c r="I200" s="13"/>
      <c r="J200" s="13"/>
      <c r="K200" s="13"/>
      <c r="L200" s="13"/>
      <c r="M200" s="13"/>
      <c r="N200" s="13"/>
      <c r="O200" s="13"/>
      <c r="P200" s="13"/>
      <c r="Q200" s="13"/>
      <c r="R200" s="13"/>
      <c r="S200" s="13"/>
      <c r="T200" s="13"/>
      <c r="U200" s="13"/>
      <c r="V200" s="13"/>
      <c r="W200" s="13"/>
      <c r="X200" s="13"/>
      <c r="Y200" s="13"/>
      <c r="Z200" s="13"/>
      <c r="AA200" s="13"/>
    </row>
    <row r="201" ht="20.25" customHeight="1">
      <c r="A201" s="15">
        <v>46001.380590277775</v>
      </c>
      <c r="B201" s="16" t="s">
        <v>742</v>
      </c>
      <c r="C201" s="16" t="s">
        <v>743</v>
      </c>
      <c r="D201" s="16" t="s">
        <v>744</v>
      </c>
      <c r="E201" s="17" t="s">
        <v>745</v>
      </c>
      <c r="F201" s="16"/>
      <c r="G201" s="13"/>
      <c r="H201" s="13"/>
      <c r="I201" s="13"/>
      <c r="J201" s="13"/>
      <c r="K201" s="13"/>
      <c r="L201" s="13"/>
      <c r="M201" s="13"/>
      <c r="N201" s="13"/>
      <c r="O201" s="13"/>
      <c r="P201" s="13"/>
      <c r="Q201" s="13"/>
      <c r="R201" s="13"/>
      <c r="S201" s="13"/>
      <c r="T201" s="13"/>
      <c r="U201" s="13"/>
      <c r="V201" s="13"/>
      <c r="W201" s="13"/>
      <c r="X201" s="13"/>
      <c r="Y201" s="13"/>
      <c r="Z201" s="13"/>
      <c r="AA201" s="13"/>
    </row>
    <row r="202" ht="20.25" customHeight="1">
      <c r="A202" s="15">
        <v>46001.381516203706</v>
      </c>
      <c r="B202" s="16" t="s">
        <v>451</v>
      </c>
      <c r="C202" s="16" t="s">
        <v>746</v>
      </c>
      <c r="D202" s="16" t="s">
        <v>747</v>
      </c>
      <c r="E202" s="17" t="s">
        <v>748</v>
      </c>
      <c r="F202" s="16"/>
      <c r="G202" s="13"/>
      <c r="H202" s="13"/>
      <c r="I202" s="13"/>
      <c r="J202" s="13"/>
      <c r="K202" s="13"/>
      <c r="L202" s="13"/>
      <c r="M202" s="13"/>
      <c r="N202" s="13"/>
      <c r="O202" s="13"/>
      <c r="P202" s="13"/>
      <c r="Q202" s="13"/>
      <c r="R202" s="13"/>
      <c r="S202" s="13"/>
      <c r="T202" s="13"/>
      <c r="U202" s="13"/>
      <c r="V202" s="13"/>
      <c r="W202" s="13"/>
      <c r="X202" s="13"/>
      <c r="Y202" s="13"/>
      <c r="Z202" s="13"/>
      <c r="AA202" s="13"/>
    </row>
    <row r="203" ht="20.25" customHeight="1">
      <c r="A203" s="15">
        <v>46001.38292824074</v>
      </c>
      <c r="B203" s="16" t="s">
        <v>749</v>
      </c>
      <c r="C203" s="16" t="s">
        <v>750</v>
      </c>
      <c r="D203" s="16" t="s">
        <v>751</v>
      </c>
      <c r="E203" s="17" t="s">
        <v>752</v>
      </c>
      <c r="F203" s="16"/>
      <c r="G203" s="13"/>
      <c r="H203" s="13"/>
      <c r="I203" s="13"/>
      <c r="J203" s="13"/>
      <c r="K203" s="13"/>
      <c r="L203" s="13"/>
      <c r="M203" s="13"/>
      <c r="N203" s="13"/>
      <c r="O203" s="13"/>
      <c r="P203" s="13"/>
      <c r="Q203" s="13"/>
      <c r="R203" s="13"/>
      <c r="S203" s="13"/>
      <c r="T203" s="13"/>
      <c r="U203" s="13"/>
      <c r="V203" s="13"/>
      <c r="W203" s="13"/>
      <c r="X203" s="13"/>
      <c r="Y203" s="13"/>
      <c r="Z203" s="13"/>
      <c r="AA203" s="13"/>
    </row>
    <row r="204" ht="20.25" customHeight="1">
      <c r="A204" s="15">
        <v>46001.38396990741</v>
      </c>
      <c r="B204" s="16" t="s">
        <v>753</v>
      </c>
      <c r="C204" s="16" t="s">
        <v>754</v>
      </c>
      <c r="D204" s="16" t="s">
        <v>755</v>
      </c>
      <c r="E204" s="17" t="s">
        <v>756</v>
      </c>
      <c r="F204" s="16"/>
      <c r="G204" s="13"/>
      <c r="H204" s="13"/>
      <c r="I204" s="13"/>
      <c r="J204" s="13"/>
      <c r="K204" s="13"/>
      <c r="L204" s="13"/>
      <c r="M204" s="13"/>
      <c r="N204" s="13"/>
      <c r="O204" s="13"/>
      <c r="P204" s="13"/>
      <c r="Q204" s="13"/>
      <c r="R204" s="13"/>
      <c r="S204" s="13"/>
      <c r="T204" s="13"/>
      <c r="U204" s="13"/>
      <c r="V204" s="13"/>
      <c r="W204" s="13"/>
      <c r="X204" s="13"/>
      <c r="Y204" s="13"/>
      <c r="Z204" s="13"/>
      <c r="AA204" s="13"/>
    </row>
    <row r="205" ht="20.25" customHeight="1">
      <c r="A205" s="15">
        <v>46001.384097222224</v>
      </c>
      <c r="B205" s="16" t="s">
        <v>506</v>
      </c>
      <c r="C205" s="16" t="s">
        <v>488</v>
      </c>
      <c r="D205" s="16" t="s">
        <v>757</v>
      </c>
      <c r="E205" s="17" t="s">
        <v>758</v>
      </c>
      <c r="F205" s="16"/>
      <c r="G205" s="13"/>
      <c r="H205" s="13"/>
      <c r="I205" s="13"/>
      <c r="J205" s="13"/>
      <c r="K205" s="13"/>
      <c r="L205" s="13"/>
      <c r="M205" s="13"/>
      <c r="N205" s="13"/>
      <c r="O205" s="13"/>
      <c r="P205" s="13"/>
      <c r="Q205" s="13"/>
      <c r="R205" s="13"/>
      <c r="S205" s="13"/>
      <c r="T205" s="13"/>
      <c r="U205" s="13"/>
      <c r="V205" s="13"/>
      <c r="W205" s="13"/>
      <c r="X205" s="13"/>
      <c r="Y205" s="13"/>
      <c r="Z205" s="13"/>
      <c r="AA205" s="13"/>
    </row>
    <row r="206" ht="20.25" customHeight="1">
      <c r="A206" s="15">
        <v>46001.384375</v>
      </c>
      <c r="B206" s="16" t="s">
        <v>759</v>
      </c>
      <c r="C206" s="16" t="s">
        <v>760</v>
      </c>
      <c r="D206" s="16" t="s">
        <v>761</v>
      </c>
      <c r="E206" s="17" t="s">
        <v>762</v>
      </c>
      <c r="F206" s="16"/>
      <c r="G206" s="13"/>
      <c r="H206" s="13"/>
      <c r="I206" s="13"/>
      <c r="J206" s="13"/>
      <c r="K206" s="13"/>
      <c r="L206" s="13"/>
      <c r="M206" s="13"/>
      <c r="N206" s="13"/>
      <c r="O206" s="13"/>
      <c r="P206" s="13"/>
      <c r="Q206" s="13"/>
      <c r="R206" s="13"/>
      <c r="S206" s="13"/>
      <c r="T206" s="13"/>
      <c r="U206" s="13"/>
      <c r="V206" s="13"/>
      <c r="W206" s="13"/>
      <c r="X206" s="13"/>
      <c r="Y206" s="13"/>
      <c r="Z206" s="13"/>
      <c r="AA206" s="13"/>
    </row>
    <row r="207" ht="20.25" customHeight="1">
      <c r="A207" s="15">
        <v>46010.880833333336</v>
      </c>
      <c r="B207" s="16" t="s">
        <v>763</v>
      </c>
      <c r="C207" s="16" t="s">
        <v>764</v>
      </c>
      <c r="D207" s="16" t="s">
        <v>765</v>
      </c>
      <c r="E207" s="17" t="s">
        <v>766</v>
      </c>
      <c r="F207" s="16"/>
      <c r="G207" s="13"/>
      <c r="H207" s="13"/>
      <c r="I207" s="13"/>
      <c r="J207" s="13"/>
      <c r="K207" s="13"/>
      <c r="L207" s="13"/>
      <c r="M207" s="13"/>
      <c r="N207" s="13"/>
      <c r="O207" s="13"/>
      <c r="P207" s="13"/>
      <c r="Q207" s="13"/>
      <c r="R207" s="13"/>
      <c r="S207" s="13"/>
      <c r="T207" s="13"/>
      <c r="U207" s="13"/>
      <c r="V207" s="13"/>
      <c r="W207" s="13"/>
      <c r="X207" s="13"/>
      <c r="Y207" s="13"/>
      <c r="Z207" s="13"/>
      <c r="AA207" s="13"/>
    </row>
    <row r="208" ht="20.25" customHeight="1">
      <c r="A208" s="15">
        <v>46011.86651620371</v>
      </c>
      <c r="B208" s="16" t="s">
        <v>767</v>
      </c>
      <c r="C208" s="16" t="s">
        <v>768</v>
      </c>
      <c r="D208" s="16" t="s">
        <v>769</v>
      </c>
      <c r="E208" s="17" t="s">
        <v>770</v>
      </c>
      <c r="F208" s="16"/>
      <c r="G208" s="13"/>
      <c r="H208" s="13"/>
      <c r="I208" s="13"/>
      <c r="J208" s="13"/>
      <c r="K208" s="13"/>
      <c r="L208" s="13"/>
      <c r="M208" s="13"/>
      <c r="N208" s="13"/>
      <c r="O208" s="13"/>
      <c r="P208" s="13"/>
      <c r="Q208" s="13"/>
      <c r="R208" s="13"/>
      <c r="S208" s="13"/>
      <c r="T208" s="13"/>
      <c r="U208" s="13"/>
      <c r="V208" s="13"/>
      <c r="W208" s="13"/>
      <c r="X208" s="13"/>
      <c r="Y208" s="13"/>
      <c r="Z208" s="13"/>
      <c r="AA208" s="13"/>
    </row>
    <row r="209" ht="20.25" customHeight="1">
      <c r="A209" s="15">
        <v>46012.929756944446</v>
      </c>
      <c r="B209" s="16" t="s">
        <v>771</v>
      </c>
      <c r="C209" s="16" t="s">
        <v>625</v>
      </c>
      <c r="D209" s="16" t="s">
        <v>772</v>
      </c>
      <c r="E209" s="17" t="s">
        <v>773</v>
      </c>
      <c r="F209" s="16"/>
      <c r="G209" s="13"/>
      <c r="H209" s="13"/>
      <c r="I209" s="13"/>
      <c r="J209" s="13"/>
      <c r="K209" s="13"/>
      <c r="L209" s="13"/>
      <c r="M209" s="13"/>
      <c r="N209" s="13"/>
      <c r="O209" s="13"/>
      <c r="P209" s="13"/>
      <c r="Q209" s="13"/>
      <c r="R209" s="13"/>
      <c r="S209" s="13"/>
      <c r="T209" s="13"/>
      <c r="U209" s="13"/>
      <c r="V209" s="13"/>
      <c r="W209" s="13"/>
      <c r="X209" s="13"/>
      <c r="Y209" s="13"/>
      <c r="Z209" s="13"/>
      <c r="AA209" s="13"/>
    </row>
    <row r="210" ht="20.25" customHeight="1">
      <c r="A210" s="15">
        <v>46015.395590277774</v>
      </c>
      <c r="B210" s="16" t="s">
        <v>774</v>
      </c>
      <c r="C210" s="16" t="s">
        <v>775</v>
      </c>
      <c r="D210" s="16" t="s">
        <v>776</v>
      </c>
      <c r="E210" s="17" t="s">
        <v>777</v>
      </c>
      <c r="F210" s="16"/>
      <c r="G210" s="13"/>
      <c r="H210" s="13"/>
      <c r="I210" s="13"/>
      <c r="J210" s="13"/>
      <c r="K210" s="13"/>
      <c r="L210" s="13"/>
      <c r="M210" s="13"/>
      <c r="N210" s="13"/>
      <c r="O210" s="13"/>
      <c r="P210" s="13"/>
      <c r="Q210" s="13"/>
      <c r="R210" s="13"/>
      <c r="S210" s="13"/>
      <c r="T210" s="13"/>
      <c r="U210" s="13"/>
      <c r="V210" s="13"/>
      <c r="W210" s="13"/>
      <c r="X210" s="13"/>
      <c r="Y210" s="13"/>
      <c r="Z210" s="13"/>
      <c r="AA210" s="13"/>
    </row>
    <row r="211" ht="20.25" customHeight="1">
      <c r="A211" s="15">
        <v>46026.76474537037</v>
      </c>
      <c r="B211" s="16" t="s">
        <v>778</v>
      </c>
      <c r="C211" s="16" t="s">
        <v>779</v>
      </c>
      <c r="D211" s="16" t="s">
        <v>780</v>
      </c>
      <c r="E211" s="17" t="s">
        <v>781</v>
      </c>
      <c r="F211" s="16"/>
      <c r="G211" s="13"/>
      <c r="H211" s="13"/>
      <c r="I211" s="13"/>
      <c r="J211" s="13"/>
      <c r="K211" s="13"/>
      <c r="L211" s="13"/>
      <c r="M211" s="13"/>
      <c r="N211" s="13"/>
      <c r="O211" s="13"/>
      <c r="P211" s="13"/>
      <c r="Q211" s="13"/>
      <c r="R211" s="13"/>
      <c r="S211" s="13"/>
      <c r="T211" s="13"/>
      <c r="U211" s="13"/>
      <c r="V211" s="13"/>
      <c r="W211" s="13"/>
      <c r="X211" s="13"/>
      <c r="Y211" s="13"/>
      <c r="Z211" s="13"/>
      <c r="AA211" s="13"/>
    </row>
    <row r="212" ht="20.25" customHeight="1">
      <c r="A212" s="19">
        <v>46027.0</v>
      </c>
      <c r="B212" s="13" t="s">
        <v>782</v>
      </c>
      <c r="C212" s="16" t="s">
        <v>177</v>
      </c>
      <c r="D212" s="16" t="s">
        <v>783</v>
      </c>
      <c r="E212" s="16" t="s">
        <v>784</v>
      </c>
      <c r="F212" s="16"/>
      <c r="G212" s="13"/>
      <c r="H212" s="13"/>
      <c r="I212" s="13"/>
      <c r="J212" s="13"/>
      <c r="K212" s="13"/>
      <c r="L212" s="13"/>
      <c r="M212" s="13"/>
      <c r="N212" s="13"/>
      <c r="O212" s="13"/>
      <c r="P212" s="13"/>
      <c r="Q212" s="13"/>
      <c r="R212" s="13"/>
      <c r="S212" s="13"/>
      <c r="T212" s="13"/>
      <c r="U212" s="13"/>
      <c r="V212" s="13"/>
      <c r="W212" s="13"/>
      <c r="X212" s="13"/>
      <c r="Y212" s="13"/>
      <c r="Z212" s="13"/>
      <c r="AA212" s="13"/>
    </row>
    <row r="213" ht="20.25" customHeight="1">
      <c r="A213" s="19">
        <v>46027.0</v>
      </c>
      <c r="B213" s="13" t="s">
        <v>785</v>
      </c>
      <c r="C213" s="16" t="s">
        <v>786</v>
      </c>
      <c r="D213" s="16" t="s">
        <v>783</v>
      </c>
      <c r="E213" s="16" t="s">
        <v>784</v>
      </c>
      <c r="F213" s="16"/>
      <c r="G213" s="13"/>
      <c r="H213" s="13"/>
      <c r="I213" s="13"/>
      <c r="J213" s="13"/>
      <c r="K213" s="13"/>
      <c r="L213" s="13"/>
      <c r="M213" s="13"/>
      <c r="N213" s="13"/>
      <c r="O213" s="13"/>
      <c r="P213" s="13"/>
      <c r="Q213" s="13"/>
      <c r="R213" s="13"/>
      <c r="S213" s="13"/>
      <c r="T213" s="13"/>
      <c r="U213" s="13"/>
      <c r="V213" s="13"/>
      <c r="W213" s="13"/>
      <c r="X213" s="13"/>
      <c r="Y213" s="13"/>
      <c r="Z213" s="13"/>
      <c r="AA213" s="13"/>
    </row>
    <row r="214" ht="20.25" customHeight="1">
      <c r="A214" s="19">
        <v>46027.0</v>
      </c>
      <c r="B214" s="13" t="s">
        <v>378</v>
      </c>
      <c r="C214" s="16" t="s">
        <v>289</v>
      </c>
      <c r="D214" s="16" t="s">
        <v>783</v>
      </c>
      <c r="E214" s="16" t="s">
        <v>784</v>
      </c>
      <c r="F214" s="16"/>
      <c r="G214" s="13"/>
      <c r="H214" s="13"/>
      <c r="I214" s="13"/>
      <c r="J214" s="13"/>
      <c r="K214" s="13"/>
      <c r="L214" s="13"/>
      <c r="M214" s="13"/>
      <c r="N214" s="13"/>
      <c r="O214" s="13"/>
      <c r="P214" s="13"/>
      <c r="Q214" s="13"/>
      <c r="R214" s="13"/>
      <c r="S214" s="13"/>
      <c r="T214" s="13"/>
      <c r="U214" s="13"/>
      <c r="V214" s="13"/>
      <c r="W214" s="13"/>
      <c r="X214" s="13"/>
      <c r="Y214" s="13"/>
      <c r="Z214" s="13"/>
      <c r="AA214" s="13"/>
    </row>
    <row r="215" ht="20.25" customHeight="1">
      <c r="A215" s="19">
        <v>46027.0</v>
      </c>
      <c r="B215" s="13" t="s">
        <v>787</v>
      </c>
      <c r="C215" s="17" t="s">
        <v>788</v>
      </c>
      <c r="D215" s="16" t="s">
        <v>783</v>
      </c>
      <c r="E215" s="16" t="s">
        <v>784</v>
      </c>
      <c r="F215" s="16"/>
      <c r="G215" s="13"/>
      <c r="H215" s="13"/>
      <c r="I215" s="13"/>
      <c r="J215" s="13"/>
      <c r="K215" s="13"/>
      <c r="L215" s="13"/>
      <c r="M215" s="13"/>
      <c r="N215" s="13"/>
      <c r="O215" s="13"/>
      <c r="P215" s="13"/>
      <c r="Q215" s="13"/>
      <c r="R215" s="13"/>
      <c r="S215" s="13"/>
      <c r="T215" s="13"/>
      <c r="U215" s="13"/>
      <c r="V215" s="13"/>
      <c r="W215" s="13"/>
      <c r="X215" s="13"/>
      <c r="Y215" s="13"/>
      <c r="Z215" s="13"/>
      <c r="AA215" s="13"/>
    </row>
    <row r="216" ht="20.25" customHeight="1">
      <c r="A216" s="19">
        <v>46027.0</v>
      </c>
      <c r="B216" s="13" t="s">
        <v>787</v>
      </c>
      <c r="C216" s="16" t="s">
        <v>789</v>
      </c>
      <c r="D216" s="16" t="s">
        <v>783</v>
      </c>
      <c r="E216" s="16" t="s">
        <v>784</v>
      </c>
      <c r="F216" s="16"/>
      <c r="G216" s="13"/>
      <c r="H216" s="13"/>
      <c r="I216" s="13"/>
      <c r="J216" s="13"/>
      <c r="K216" s="13"/>
      <c r="L216" s="13"/>
      <c r="M216" s="13"/>
      <c r="N216" s="13"/>
      <c r="O216" s="13"/>
      <c r="P216" s="13"/>
      <c r="Q216" s="13"/>
      <c r="R216" s="13"/>
      <c r="S216" s="13"/>
      <c r="T216" s="13"/>
      <c r="U216" s="13"/>
      <c r="V216" s="13"/>
      <c r="W216" s="13"/>
      <c r="X216" s="13"/>
      <c r="Y216" s="13"/>
      <c r="Z216" s="13"/>
      <c r="AA216" s="13"/>
    </row>
    <row r="217" ht="20.25" customHeight="1">
      <c r="A217" s="19">
        <v>46027.0</v>
      </c>
      <c r="B217" s="13" t="s">
        <v>790</v>
      </c>
      <c r="C217" s="16" t="s">
        <v>791</v>
      </c>
      <c r="D217" s="16" t="s">
        <v>783</v>
      </c>
      <c r="E217" s="16" t="s">
        <v>784</v>
      </c>
      <c r="F217" s="16"/>
      <c r="G217" s="13"/>
      <c r="H217" s="13"/>
      <c r="I217" s="13"/>
      <c r="J217" s="13"/>
      <c r="K217" s="13"/>
      <c r="L217" s="13"/>
      <c r="M217" s="13"/>
      <c r="N217" s="13"/>
      <c r="O217" s="13"/>
      <c r="P217" s="13"/>
      <c r="Q217" s="13"/>
      <c r="R217" s="13"/>
      <c r="S217" s="13"/>
      <c r="T217" s="13"/>
      <c r="U217" s="13"/>
      <c r="V217" s="13"/>
      <c r="W217" s="13"/>
      <c r="X217" s="13"/>
      <c r="Y217" s="13"/>
      <c r="Z217" s="13"/>
      <c r="AA217" s="13"/>
    </row>
    <row r="218" ht="20.25" customHeight="1">
      <c r="A218" s="19">
        <v>46027.0</v>
      </c>
      <c r="B218" s="13" t="s">
        <v>792</v>
      </c>
      <c r="C218" s="16" t="s">
        <v>793</v>
      </c>
      <c r="D218" s="16" t="s">
        <v>783</v>
      </c>
      <c r="E218" s="16" t="s">
        <v>784</v>
      </c>
      <c r="F218" s="16"/>
      <c r="G218" s="16" t="s">
        <v>794</v>
      </c>
      <c r="H218" s="13"/>
      <c r="I218" s="13"/>
      <c r="J218" s="13"/>
      <c r="K218" s="13"/>
      <c r="L218" s="13"/>
      <c r="M218" s="13"/>
      <c r="N218" s="13"/>
      <c r="O218" s="13"/>
      <c r="P218" s="13"/>
      <c r="Q218" s="13"/>
      <c r="R218" s="13"/>
      <c r="S218" s="13"/>
      <c r="T218" s="13"/>
      <c r="U218" s="13"/>
      <c r="V218" s="13"/>
      <c r="W218" s="13"/>
      <c r="X218" s="13"/>
      <c r="Y218" s="13"/>
      <c r="Z218" s="13"/>
      <c r="AA218" s="13"/>
    </row>
    <row r="219" ht="20.25" customHeight="1">
      <c r="A219" s="19">
        <v>46027.0</v>
      </c>
      <c r="B219" s="13" t="s">
        <v>795</v>
      </c>
      <c r="C219" s="16" t="s">
        <v>796</v>
      </c>
      <c r="D219" s="16" t="s">
        <v>783</v>
      </c>
      <c r="E219" s="16" t="s">
        <v>784</v>
      </c>
      <c r="F219" s="16"/>
      <c r="G219" s="13"/>
      <c r="H219" s="13"/>
      <c r="I219" s="13"/>
      <c r="J219" s="13"/>
      <c r="K219" s="13"/>
      <c r="L219" s="13"/>
      <c r="M219" s="13"/>
      <c r="N219" s="13"/>
      <c r="O219" s="13"/>
      <c r="P219" s="13"/>
      <c r="Q219" s="13"/>
      <c r="R219" s="13"/>
      <c r="S219" s="13"/>
      <c r="T219" s="13"/>
      <c r="U219" s="13"/>
      <c r="V219" s="13"/>
      <c r="W219" s="13"/>
      <c r="X219" s="13"/>
      <c r="Y219" s="13"/>
      <c r="Z219" s="13"/>
      <c r="AA219" s="13"/>
    </row>
    <row r="220" ht="20.25" customHeight="1">
      <c r="A220" s="19">
        <v>46027.0</v>
      </c>
      <c r="B220" s="13" t="s">
        <v>797</v>
      </c>
      <c r="C220" s="16" t="s">
        <v>798</v>
      </c>
      <c r="D220" s="16" t="s">
        <v>783</v>
      </c>
      <c r="E220" s="16" t="s">
        <v>784</v>
      </c>
      <c r="F220" s="16"/>
      <c r="G220" s="13"/>
      <c r="H220" s="13"/>
      <c r="I220" s="13"/>
      <c r="J220" s="13"/>
      <c r="K220" s="13"/>
      <c r="L220" s="13"/>
      <c r="M220" s="13"/>
      <c r="N220" s="13"/>
      <c r="O220" s="13"/>
      <c r="P220" s="13"/>
      <c r="Q220" s="13"/>
      <c r="R220" s="13"/>
      <c r="S220" s="13"/>
      <c r="T220" s="13"/>
      <c r="U220" s="13"/>
      <c r="V220" s="13"/>
      <c r="W220" s="13"/>
      <c r="X220" s="13"/>
      <c r="Y220" s="13"/>
      <c r="Z220" s="13"/>
      <c r="AA220" s="13"/>
    </row>
    <row r="221" ht="20.25" customHeight="1">
      <c r="A221" s="19">
        <v>46027.0</v>
      </c>
      <c r="B221" s="13" t="s">
        <v>799</v>
      </c>
      <c r="C221" s="16" t="s">
        <v>800</v>
      </c>
      <c r="D221" s="16" t="s">
        <v>783</v>
      </c>
      <c r="E221" s="16" t="s">
        <v>784</v>
      </c>
      <c r="F221" s="16"/>
      <c r="G221" s="13"/>
      <c r="H221" s="13"/>
      <c r="I221" s="13"/>
      <c r="J221" s="13"/>
      <c r="K221" s="13"/>
      <c r="L221" s="13"/>
      <c r="M221" s="13"/>
      <c r="N221" s="13"/>
      <c r="O221" s="13"/>
      <c r="P221" s="13"/>
      <c r="Q221" s="13"/>
      <c r="R221" s="13"/>
      <c r="S221" s="13"/>
      <c r="T221" s="13"/>
      <c r="U221" s="13"/>
      <c r="V221" s="13"/>
      <c r="W221" s="13"/>
      <c r="X221" s="13"/>
      <c r="Y221" s="13"/>
      <c r="Z221" s="13"/>
      <c r="AA221" s="13"/>
    </row>
    <row r="222" ht="20.25" customHeight="1">
      <c r="A222" s="19">
        <v>46027.0</v>
      </c>
      <c r="B222" s="13" t="s">
        <v>801</v>
      </c>
      <c r="C222" s="16" t="s">
        <v>802</v>
      </c>
      <c r="D222" s="16" t="s">
        <v>783</v>
      </c>
      <c r="E222" s="16" t="s">
        <v>784</v>
      </c>
      <c r="F222" s="16"/>
      <c r="G222" s="13"/>
      <c r="H222" s="13"/>
      <c r="I222" s="13"/>
      <c r="J222" s="13"/>
      <c r="K222" s="13"/>
      <c r="L222" s="13"/>
      <c r="M222" s="13"/>
      <c r="N222" s="13"/>
      <c r="O222" s="13"/>
      <c r="P222" s="13"/>
      <c r="Q222" s="13"/>
      <c r="R222" s="13"/>
      <c r="S222" s="13"/>
      <c r="T222" s="13"/>
      <c r="U222" s="13"/>
      <c r="V222" s="13"/>
      <c r="W222" s="13"/>
      <c r="X222" s="13"/>
      <c r="Y222" s="13"/>
      <c r="Z222" s="13"/>
      <c r="AA222" s="13"/>
    </row>
    <row r="223" ht="20.25" customHeight="1">
      <c r="A223" s="19">
        <v>46027.0</v>
      </c>
      <c r="B223" s="13" t="s">
        <v>778</v>
      </c>
      <c r="C223" s="16" t="s">
        <v>779</v>
      </c>
      <c r="D223" s="16" t="s">
        <v>783</v>
      </c>
      <c r="E223" s="16" t="s">
        <v>784</v>
      </c>
      <c r="F223" s="16"/>
      <c r="G223" s="13"/>
      <c r="H223" s="13"/>
      <c r="I223" s="13"/>
      <c r="J223" s="13"/>
      <c r="K223" s="13"/>
      <c r="L223" s="13"/>
      <c r="M223" s="13"/>
      <c r="N223" s="13"/>
      <c r="O223" s="13"/>
      <c r="P223" s="13"/>
      <c r="Q223" s="13"/>
      <c r="R223" s="13"/>
      <c r="S223" s="13"/>
      <c r="T223" s="13"/>
      <c r="U223" s="13"/>
      <c r="V223" s="13"/>
      <c r="W223" s="13"/>
      <c r="X223" s="13"/>
      <c r="Y223" s="13"/>
      <c r="Z223" s="13"/>
      <c r="AA223" s="13"/>
    </row>
    <row r="224" ht="20.25" customHeight="1">
      <c r="A224" s="19">
        <v>46027.0</v>
      </c>
      <c r="B224" s="13" t="s">
        <v>801</v>
      </c>
      <c r="C224" s="16" t="s">
        <v>802</v>
      </c>
      <c r="D224" s="16" t="s">
        <v>783</v>
      </c>
      <c r="E224" s="16" t="s">
        <v>784</v>
      </c>
      <c r="F224" s="16"/>
      <c r="G224" s="13"/>
      <c r="H224" s="13"/>
      <c r="I224" s="13"/>
      <c r="J224" s="13"/>
      <c r="K224" s="13"/>
      <c r="L224" s="13"/>
      <c r="M224" s="13"/>
      <c r="N224" s="13"/>
      <c r="O224" s="13"/>
      <c r="P224" s="13"/>
      <c r="Q224" s="13"/>
      <c r="R224" s="13"/>
      <c r="S224" s="13"/>
      <c r="T224" s="13"/>
      <c r="U224" s="13"/>
      <c r="V224" s="13"/>
      <c r="W224" s="13"/>
      <c r="X224" s="13"/>
      <c r="Y224" s="13"/>
      <c r="Z224" s="13"/>
      <c r="AA224" s="13"/>
    </row>
    <row r="225" ht="20.25" customHeight="1">
      <c r="A225" s="19">
        <v>46027.0</v>
      </c>
      <c r="B225" s="13" t="s">
        <v>803</v>
      </c>
      <c r="C225" s="16" t="s">
        <v>804</v>
      </c>
      <c r="D225" s="16" t="s">
        <v>783</v>
      </c>
      <c r="E225" s="16" t="s">
        <v>784</v>
      </c>
      <c r="F225" s="16"/>
      <c r="G225" s="13"/>
      <c r="H225" s="13"/>
      <c r="I225" s="13"/>
      <c r="J225" s="13"/>
      <c r="K225" s="13"/>
      <c r="L225" s="13"/>
      <c r="M225" s="13"/>
      <c r="N225" s="13"/>
      <c r="O225" s="13"/>
      <c r="P225" s="13"/>
      <c r="Q225" s="13"/>
      <c r="R225" s="13"/>
      <c r="S225" s="13"/>
      <c r="T225" s="13"/>
      <c r="U225" s="13"/>
      <c r="V225" s="13"/>
      <c r="W225" s="13"/>
      <c r="X225" s="13"/>
      <c r="Y225" s="13"/>
      <c r="Z225" s="13"/>
      <c r="AA225" s="13"/>
    </row>
    <row r="226" ht="20.25" customHeight="1">
      <c r="A226" s="19">
        <v>46027.0</v>
      </c>
      <c r="B226" s="13" t="s">
        <v>805</v>
      </c>
      <c r="C226" s="16" t="s">
        <v>806</v>
      </c>
      <c r="D226" s="16" t="s">
        <v>783</v>
      </c>
      <c r="E226" s="16" t="s">
        <v>784</v>
      </c>
      <c r="F226" s="16"/>
      <c r="G226" s="13"/>
      <c r="H226" s="13"/>
      <c r="I226" s="13"/>
      <c r="J226" s="13"/>
      <c r="K226" s="13"/>
      <c r="L226" s="13"/>
      <c r="M226" s="13"/>
      <c r="N226" s="13"/>
      <c r="O226" s="13"/>
      <c r="P226" s="13"/>
      <c r="Q226" s="13"/>
      <c r="R226" s="13"/>
      <c r="S226" s="13"/>
      <c r="T226" s="13"/>
      <c r="U226" s="13"/>
      <c r="V226" s="13"/>
      <c r="W226" s="13"/>
      <c r="X226" s="13"/>
      <c r="Y226" s="13"/>
      <c r="Z226" s="13"/>
      <c r="AA226" s="13"/>
    </row>
    <row r="227" ht="20.25" customHeight="1">
      <c r="A227" s="19">
        <v>46027.0</v>
      </c>
      <c r="B227" s="13" t="s">
        <v>807</v>
      </c>
      <c r="C227" s="16" t="s">
        <v>808</v>
      </c>
      <c r="D227" s="16" t="s">
        <v>783</v>
      </c>
      <c r="E227" s="16" t="s">
        <v>784</v>
      </c>
      <c r="F227" s="16"/>
      <c r="G227" s="13"/>
      <c r="H227" s="13"/>
      <c r="I227" s="13"/>
      <c r="J227" s="13"/>
      <c r="K227" s="13"/>
      <c r="L227" s="13"/>
      <c r="M227" s="13"/>
      <c r="N227" s="13"/>
      <c r="O227" s="13"/>
      <c r="P227" s="13"/>
      <c r="Q227" s="13"/>
      <c r="R227" s="13"/>
      <c r="S227" s="13"/>
      <c r="T227" s="13"/>
      <c r="U227" s="13"/>
      <c r="V227" s="13"/>
      <c r="W227" s="13"/>
      <c r="X227" s="13"/>
      <c r="Y227" s="13"/>
      <c r="Z227" s="13"/>
      <c r="AA227" s="13"/>
    </row>
    <row r="228" ht="20.25" customHeight="1">
      <c r="A228" s="19">
        <v>46027.0</v>
      </c>
      <c r="B228" s="13" t="s">
        <v>809</v>
      </c>
      <c r="C228" s="16" t="s">
        <v>810</v>
      </c>
      <c r="D228" s="16" t="s">
        <v>783</v>
      </c>
      <c r="E228" s="16" t="s">
        <v>784</v>
      </c>
      <c r="F228" s="16"/>
      <c r="G228" s="13"/>
      <c r="H228" s="13"/>
      <c r="I228" s="13"/>
      <c r="J228" s="13"/>
      <c r="K228" s="13"/>
      <c r="L228" s="13"/>
      <c r="M228" s="13"/>
      <c r="N228" s="13"/>
      <c r="O228" s="13"/>
      <c r="P228" s="13"/>
      <c r="Q228" s="13"/>
      <c r="R228" s="13"/>
      <c r="S228" s="13"/>
      <c r="T228" s="13"/>
      <c r="U228" s="13"/>
      <c r="V228" s="13"/>
      <c r="W228" s="13"/>
      <c r="X228" s="13"/>
      <c r="Y228" s="13"/>
      <c r="Z228" s="13"/>
      <c r="AA228" s="13"/>
    </row>
    <row r="229" ht="20.25" customHeight="1">
      <c r="A229" s="19">
        <v>46027.0</v>
      </c>
      <c r="B229" s="13" t="s">
        <v>811</v>
      </c>
      <c r="C229" s="16" t="s">
        <v>812</v>
      </c>
      <c r="D229" s="16" t="s">
        <v>783</v>
      </c>
      <c r="E229" s="16" t="s">
        <v>784</v>
      </c>
      <c r="F229" s="16"/>
      <c r="G229" s="13"/>
      <c r="H229" s="13"/>
      <c r="I229" s="13"/>
      <c r="J229" s="13"/>
      <c r="K229" s="13"/>
      <c r="L229" s="13"/>
      <c r="M229" s="13"/>
      <c r="N229" s="13"/>
      <c r="O229" s="13"/>
      <c r="P229" s="13"/>
      <c r="Q229" s="13"/>
      <c r="R229" s="13"/>
      <c r="S229" s="13"/>
      <c r="T229" s="13"/>
      <c r="U229" s="13"/>
      <c r="V229" s="13"/>
      <c r="W229" s="13"/>
      <c r="X229" s="13"/>
      <c r="Y229" s="13"/>
      <c r="Z229" s="13"/>
      <c r="AA229" s="13"/>
    </row>
    <row r="230" ht="20.25" customHeight="1">
      <c r="A230" s="19">
        <v>46027.0</v>
      </c>
      <c r="B230" s="13" t="s">
        <v>813</v>
      </c>
      <c r="C230" s="16" t="s">
        <v>371</v>
      </c>
      <c r="D230" s="16" t="s">
        <v>783</v>
      </c>
      <c r="E230" s="16" t="s">
        <v>784</v>
      </c>
      <c r="F230" s="16"/>
      <c r="G230" s="13"/>
      <c r="H230" s="13"/>
      <c r="I230" s="13"/>
      <c r="J230" s="13"/>
      <c r="K230" s="13"/>
      <c r="L230" s="13"/>
      <c r="M230" s="13"/>
      <c r="N230" s="13"/>
      <c r="O230" s="13"/>
      <c r="P230" s="13"/>
      <c r="Q230" s="13"/>
      <c r="R230" s="13"/>
      <c r="S230" s="13"/>
      <c r="T230" s="13"/>
      <c r="U230" s="13"/>
      <c r="V230" s="13"/>
      <c r="W230" s="13"/>
      <c r="X230" s="13"/>
      <c r="Y230" s="13"/>
      <c r="Z230" s="13"/>
      <c r="AA230" s="13"/>
    </row>
    <row r="231" ht="20.25" customHeight="1">
      <c r="A231" s="19">
        <v>46027.0</v>
      </c>
      <c r="B231" s="13" t="s">
        <v>814</v>
      </c>
      <c r="C231" s="16" t="s">
        <v>815</v>
      </c>
      <c r="D231" s="16" t="s">
        <v>783</v>
      </c>
      <c r="E231" s="16" t="s">
        <v>784</v>
      </c>
      <c r="F231" s="16"/>
      <c r="G231" s="13"/>
      <c r="H231" s="13"/>
      <c r="I231" s="13"/>
      <c r="J231" s="13"/>
      <c r="K231" s="13"/>
      <c r="L231" s="13"/>
      <c r="M231" s="13"/>
      <c r="N231" s="13"/>
      <c r="O231" s="13"/>
      <c r="P231" s="13"/>
      <c r="Q231" s="13"/>
      <c r="R231" s="13"/>
      <c r="S231" s="13"/>
      <c r="T231" s="13"/>
      <c r="U231" s="13"/>
      <c r="V231" s="13"/>
      <c r="W231" s="13"/>
      <c r="X231" s="13"/>
      <c r="Y231" s="13"/>
      <c r="Z231" s="13"/>
      <c r="AA231" s="13"/>
    </row>
    <row r="232" ht="20.25" customHeight="1">
      <c r="A232" s="19">
        <v>46027.0</v>
      </c>
      <c r="B232" s="13" t="s">
        <v>813</v>
      </c>
      <c r="C232" s="16" t="s">
        <v>371</v>
      </c>
      <c r="D232" s="16" t="s">
        <v>783</v>
      </c>
      <c r="E232" s="16" t="s">
        <v>784</v>
      </c>
      <c r="F232" s="16"/>
      <c r="G232" s="13"/>
      <c r="H232" s="13"/>
      <c r="I232" s="13"/>
      <c r="J232" s="13"/>
      <c r="K232" s="13"/>
      <c r="L232" s="13"/>
      <c r="M232" s="13"/>
      <c r="N232" s="13"/>
      <c r="O232" s="13"/>
      <c r="P232" s="13"/>
      <c r="Q232" s="13"/>
      <c r="R232" s="13"/>
      <c r="S232" s="13"/>
      <c r="T232" s="13"/>
      <c r="U232" s="13"/>
      <c r="V232" s="13"/>
      <c r="W232" s="13"/>
      <c r="X232" s="13"/>
      <c r="Y232" s="13"/>
      <c r="Z232" s="13"/>
      <c r="AA232" s="13"/>
    </row>
    <row r="233" ht="20.25" customHeight="1">
      <c r="A233" s="19">
        <v>46027.0</v>
      </c>
      <c r="B233" s="13" t="s">
        <v>816</v>
      </c>
      <c r="C233" s="16" t="s">
        <v>817</v>
      </c>
      <c r="D233" s="16" t="s">
        <v>783</v>
      </c>
      <c r="E233" s="16" t="s">
        <v>784</v>
      </c>
      <c r="F233" s="16"/>
      <c r="G233" s="13"/>
      <c r="H233" s="13"/>
      <c r="I233" s="13"/>
      <c r="J233" s="13"/>
      <c r="K233" s="13"/>
      <c r="L233" s="13"/>
      <c r="M233" s="13"/>
      <c r="N233" s="13"/>
      <c r="O233" s="13"/>
      <c r="P233" s="13"/>
      <c r="Q233" s="13"/>
      <c r="R233" s="13"/>
      <c r="S233" s="13"/>
      <c r="T233" s="13"/>
      <c r="U233" s="13"/>
      <c r="V233" s="13"/>
      <c r="W233" s="13"/>
      <c r="X233" s="13"/>
      <c r="Y233" s="13"/>
      <c r="Z233" s="13"/>
      <c r="AA233" s="13"/>
    </row>
    <row r="234" ht="20.25" customHeight="1">
      <c r="A234" s="19">
        <v>46027.0</v>
      </c>
      <c r="B234" s="13" t="s">
        <v>818</v>
      </c>
      <c r="C234" s="16" t="s">
        <v>819</v>
      </c>
      <c r="D234" s="16" t="s">
        <v>783</v>
      </c>
      <c r="E234" s="16" t="s">
        <v>784</v>
      </c>
      <c r="F234" s="16"/>
      <c r="G234" s="13"/>
      <c r="H234" s="13"/>
      <c r="I234" s="13"/>
      <c r="J234" s="13"/>
      <c r="K234" s="13"/>
      <c r="L234" s="13"/>
      <c r="M234" s="13"/>
      <c r="N234" s="13"/>
      <c r="O234" s="13"/>
      <c r="P234" s="13"/>
      <c r="Q234" s="13"/>
      <c r="R234" s="13"/>
      <c r="S234" s="13"/>
      <c r="T234" s="13"/>
      <c r="U234" s="13"/>
      <c r="V234" s="13"/>
      <c r="W234" s="13"/>
      <c r="X234" s="13"/>
      <c r="Y234" s="13"/>
      <c r="Z234" s="13"/>
      <c r="AA234" s="13"/>
    </row>
    <row r="235" ht="20.25" customHeight="1">
      <c r="A235" s="19">
        <v>46027.0</v>
      </c>
      <c r="B235" s="13" t="s">
        <v>820</v>
      </c>
      <c r="C235" s="16" t="s">
        <v>371</v>
      </c>
      <c r="D235" s="16" t="s">
        <v>783</v>
      </c>
      <c r="E235" s="16" t="s">
        <v>784</v>
      </c>
      <c r="F235" s="16"/>
      <c r="G235" s="13"/>
      <c r="H235" s="13"/>
      <c r="I235" s="13"/>
      <c r="J235" s="13"/>
      <c r="K235" s="13"/>
      <c r="L235" s="13"/>
      <c r="M235" s="13"/>
      <c r="N235" s="13"/>
      <c r="O235" s="13"/>
      <c r="P235" s="13"/>
      <c r="Q235" s="13"/>
      <c r="R235" s="13"/>
      <c r="S235" s="13"/>
      <c r="T235" s="13"/>
      <c r="U235" s="13"/>
      <c r="V235" s="13"/>
      <c r="W235" s="13"/>
      <c r="X235" s="13"/>
      <c r="Y235" s="13"/>
      <c r="Z235" s="13"/>
      <c r="AA235" s="13"/>
    </row>
    <row r="236" ht="20.25" customHeight="1">
      <c r="A236" s="19">
        <v>46027.0</v>
      </c>
      <c r="B236" s="13" t="s">
        <v>820</v>
      </c>
      <c r="C236" s="16" t="s">
        <v>371</v>
      </c>
      <c r="D236" s="16" t="s">
        <v>783</v>
      </c>
      <c r="E236" s="16" t="s">
        <v>784</v>
      </c>
      <c r="F236" s="16"/>
      <c r="G236" s="13"/>
      <c r="H236" s="13"/>
      <c r="I236" s="13"/>
      <c r="J236" s="13"/>
      <c r="K236" s="13"/>
      <c r="L236" s="13"/>
      <c r="M236" s="13"/>
      <c r="N236" s="13"/>
      <c r="O236" s="13"/>
      <c r="P236" s="13"/>
      <c r="Q236" s="13"/>
      <c r="R236" s="13"/>
      <c r="S236" s="13"/>
      <c r="T236" s="13"/>
      <c r="U236" s="13"/>
      <c r="V236" s="13"/>
      <c r="W236" s="13"/>
      <c r="X236" s="13"/>
      <c r="Y236" s="13"/>
      <c r="Z236" s="13"/>
      <c r="AA236" s="13"/>
    </row>
    <row r="237" ht="20.25" customHeight="1">
      <c r="A237" s="19">
        <v>46027.0</v>
      </c>
      <c r="B237" s="13" t="s">
        <v>813</v>
      </c>
      <c r="C237" s="16" t="s">
        <v>371</v>
      </c>
      <c r="D237" s="16" t="s">
        <v>783</v>
      </c>
      <c r="E237" s="16" t="s">
        <v>784</v>
      </c>
      <c r="F237" s="16"/>
      <c r="G237" s="13"/>
      <c r="H237" s="13"/>
      <c r="I237" s="13"/>
      <c r="J237" s="13"/>
      <c r="K237" s="13"/>
      <c r="L237" s="13"/>
      <c r="M237" s="13"/>
      <c r="N237" s="13"/>
      <c r="O237" s="13"/>
      <c r="P237" s="13"/>
      <c r="Q237" s="13"/>
      <c r="R237" s="13"/>
      <c r="S237" s="13"/>
      <c r="T237" s="13"/>
      <c r="U237" s="13"/>
      <c r="V237" s="13"/>
      <c r="W237" s="13"/>
      <c r="X237" s="13"/>
      <c r="Y237" s="13"/>
      <c r="Z237" s="13"/>
      <c r="AA237" s="13"/>
    </row>
    <row r="238" ht="20.25" customHeight="1">
      <c r="A238" s="19">
        <v>46027.0</v>
      </c>
      <c r="B238" s="13" t="s">
        <v>397</v>
      </c>
      <c r="C238" s="16" t="s">
        <v>670</v>
      </c>
      <c r="D238" s="16" t="s">
        <v>783</v>
      </c>
      <c r="E238" s="16" t="s">
        <v>784</v>
      </c>
      <c r="F238" s="16"/>
      <c r="G238" s="13"/>
      <c r="H238" s="13"/>
      <c r="I238" s="13"/>
      <c r="J238" s="13"/>
      <c r="K238" s="13"/>
      <c r="L238" s="13"/>
      <c r="M238" s="13"/>
      <c r="N238" s="13"/>
      <c r="O238" s="13"/>
      <c r="P238" s="13"/>
      <c r="Q238" s="13"/>
      <c r="R238" s="13"/>
      <c r="S238" s="13"/>
      <c r="T238" s="13"/>
      <c r="U238" s="13"/>
      <c r="V238" s="13"/>
      <c r="W238" s="13"/>
      <c r="X238" s="13"/>
      <c r="Y238" s="13"/>
      <c r="Z238" s="13"/>
      <c r="AA238" s="13"/>
    </row>
    <row r="239" ht="20.25" customHeight="1">
      <c r="A239" s="19">
        <v>46027.0</v>
      </c>
      <c r="B239" s="13" t="s">
        <v>821</v>
      </c>
      <c r="C239" s="16" t="s">
        <v>822</v>
      </c>
      <c r="D239" s="16" t="s">
        <v>783</v>
      </c>
      <c r="E239" s="16" t="s">
        <v>784</v>
      </c>
      <c r="F239" s="16"/>
      <c r="G239" s="13"/>
      <c r="H239" s="13"/>
      <c r="I239" s="13"/>
      <c r="J239" s="13"/>
      <c r="K239" s="13"/>
      <c r="L239" s="13"/>
      <c r="M239" s="13"/>
      <c r="N239" s="13"/>
      <c r="O239" s="13"/>
      <c r="P239" s="13"/>
      <c r="Q239" s="13"/>
      <c r="R239" s="13"/>
      <c r="S239" s="13"/>
      <c r="T239" s="13"/>
      <c r="U239" s="13"/>
      <c r="V239" s="13"/>
      <c r="W239" s="13"/>
      <c r="X239" s="13"/>
      <c r="Y239" s="13"/>
      <c r="Z239" s="13"/>
      <c r="AA239" s="13"/>
    </row>
    <row r="240" ht="20.25" customHeight="1">
      <c r="A240" s="19">
        <v>46027.0</v>
      </c>
      <c r="B240" s="13" t="s">
        <v>823</v>
      </c>
      <c r="C240" s="16" t="s">
        <v>220</v>
      </c>
      <c r="D240" s="16" t="s">
        <v>783</v>
      </c>
      <c r="E240" s="16" t="s">
        <v>784</v>
      </c>
      <c r="F240" s="16"/>
      <c r="G240" s="13"/>
      <c r="H240" s="13"/>
      <c r="I240" s="13"/>
      <c r="J240" s="13"/>
      <c r="K240" s="13"/>
      <c r="L240" s="13"/>
      <c r="M240" s="13"/>
      <c r="N240" s="13"/>
      <c r="O240" s="13"/>
      <c r="P240" s="13"/>
      <c r="Q240" s="13"/>
      <c r="R240" s="13"/>
      <c r="S240" s="13"/>
      <c r="T240" s="13"/>
      <c r="U240" s="13"/>
      <c r="V240" s="13"/>
      <c r="W240" s="13"/>
      <c r="X240" s="13"/>
      <c r="Y240" s="13"/>
      <c r="Z240" s="13"/>
      <c r="AA240" s="13"/>
    </row>
    <row r="241" ht="20.25" customHeight="1">
      <c r="A241" s="19">
        <v>46027.0</v>
      </c>
      <c r="B241" s="13" t="s">
        <v>824</v>
      </c>
      <c r="C241" s="16" t="s">
        <v>825</v>
      </c>
      <c r="D241" s="16" t="s">
        <v>783</v>
      </c>
      <c r="E241" s="16" t="s">
        <v>784</v>
      </c>
      <c r="F241" s="16"/>
      <c r="G241" s="13"/>
      <c r="H241" s="13"/>
      <c r="I241" s="13"/>
      <c r="J241" s="13"/>
      <c r="K241" s="13"/>
      <c r="L241" s="13"/>
      <c r="M241" s="13"/>
      <c r="N241" s="13"/>
      <c r="O241" s="13"/>
      <c r="P241" s="13"/>
      <c r="Q241" s="13"/>
      <c r="R241" s="13"/>
      <c r="S241" s="13"/>
      <c r="T241" s="13"/>
      <c r="U241" s="13"/>
      <c r="V241" s="13"/>
      <c r="W241" s="13"/>
      <c r="X241" s="13"/>
      <c r="Y241" s="13"/>
      <c r="Z241" s="13"/>
      <c r="AA241" s="13"/>
    </row>
    <row r="242" ht="20.25" customHeight="1">
      <c r="A242" s="19">
        <v>46023.0</v>
      </c>
      <c r="B242" s="16" t="s">
        <v>826</v>
      </c>
      <c r="C242" s="13" t="s">
        <v>827</v>
      </c>
      <c r="D242" s="16" t="s">
        <v>783</v>
      </c>
      <c r="E242" s="16" t="s">
        <v>784</v>
      </c>
      <c r="F242" s="16"/>
      <c r="G242" s="13"/>
      <c r="H242" s="13"/>
      <c r="I242" s="13"/>
      <c r="J242" s="13"/>
      <c r="K242" s="13"/>
      <c r="L242" s="13"/>
      <c r="M242" s="13"/>
      <c r="N242" s="13"/>
      <c r="O242" s="13"/>
      <c r="P242" s="13"/>
      <c r="Q242" s="13"/>
      <c r="R242" s="13"/>
      <c r="S242" s="13"/>
      <c r="T242" s="13"/>
      <c r="U242" s="13"/>
      <c r="V242" s="13"/>
      <c r="W242" s="13"/>
      <c r="X242" s="13"/>
      <c r="Y242" s="13"/>
      <c r="Z242" s="13"/>
      <c r="AA242" s="13"/>
    </row>
    <row r="243" ht="20.25" customHeight="1">
      <c r="A243" s="19">
        <v>46023.0</v>
      </c>
      <c r="B243" s="16" t="s">
        <v>826</v>
      </c>
      <c r="C243" s="13" t="s">
        <v>828</v>
      </c>
      <c r="D243" s="16" t="s">
        <v>783</v>
      </c>
      <c r="E243" s="16" t="s">
        <v>784</v>
      </c>
      <c r="F243" s="16"/>
      <c r="G243" s="13"/>
      <c r="H243" s="13"/>
      <c r="I243" s="13"/>
      <c r="J243" s="13"/>
      <c r="K243" s="13"/>
      <c r="L243" s="13"/>
      <c r="M243" s="13"/>
      <c r="N243" s="13"/>
      <c r="O243" s="13"/>
      <c r="P243" s="13"/>
      <c r="Q243" s="13"/>
      <c r="R243" s="13"/>
      <c r="S243" s="13"/>
      <c r="T243" s="13"/>
      <c r="U243" s="13"/>
      <c r="V243" s="13"/>
      <c r="W243" s="13"/>
      <c r="X243" s="13"/>
      <c r="Y243" s="13"/>
      <c r="Z243" s="13"/>
      <c r="AA243" s="13"/>
    </row>
    <row r="244" ht="20.25" customHeight="1">
      <c r="A244" s="19">
        <v>46023.0</v>
      </c>
      <c r="B244" s="13" t="s">
        <v>829</v>
      </c>
      <c r="C244" s="13" t="s">
        <v>830</v>
      </c>
      <c r="D244" s="16" t="s">
        <v>783</v>
      </c>
      <c r="E244" s="16" t="s">
        <v>784</v>
      </c>
      <c r="F244" s="16"/>
      <c r="G244" s="13"/>
      <c r="H244" s="13"/>
      <c r="I244" s="13"/>
      <c r="J244" s="13"/>
      <c r="K244" s="13"/>
      <c r="L244" s="13"/>
      <c r="M244" s="13"/>
      <c r="N244" s="13"/>
      <c r="O244" s="13"/>
      <c r="P244" s="13"/>
      <c r="Q244" s="13"/>
      <c r="R244" s="13"/>
      <c r="S244" s="13"/>
      <c r="T244" s="13"/>
      <c r="U244" s="13"/>
      <c r="V244" s="13"/>
      <c r="W244" s="13"/>
      <c r="X244" s="13"/>
      <c r="Y244" s="13"/>
      <c r="Z244" s="13"/>
      <c r="AA244" s="13"/>
    </row>
    <row r="245" ht="20.25" customHeight="1">
      <c r="A245" s="19">
        <v>46023.0</v>
      </c>
      <c r="B245" s="13" t="s">
        <v>831</v>
      </c>
      <c r="C245" s="13" t="s">
        <v>802</v>
      </c>
      <c r="D245" s="16" t="s">
        <v>783</v>
      </c>
      <c r="E245" s="16" t="s">
        <v>784</v>
      </c>
      <c r="F245" s="16"/>
      <c r="G245" s="13"/>
      <c r="H245" s="13"/>
      <c r="I245" s="13"/>
      <c r="J245" s="13"/>
      <c r="K245" s="13"/>
      <c r="L245" s="13"/>
      <c r="M245" s="13"/>
      <c r="N245" s="13"/>
      <c r="O245" s="13"/>
      <c r="P245" s="13"/>
      <c r="Q245" s="13"/>
      <c r="R245" s="13"/>
      <c r="S245" s="13"/>
      <c r="T245" s="13"/>
      <c r="U245" s="13"/>
      <c r="V245" s="13"/>
      <c r="W245" s="13"/>
      <c r="X245" s="13"/>
      <c r="Y245" s="13"/>
      <c r="Z245" s="13"/>
      <c r="AA245" s="13"/>
    </row>
    <row r="246" ht="20.25" customHeight="1">
      <c r="A246" s="19">
        <v>46023.0</v>
      </c>
      <c r="B246" s="13" t="s">
        <v>832</v>
      </c>
      <c r="C246" s="13" t="s">
        <v>833</v>
      </c>
      <c r="D246" s="16" t="s">
        <v>783</v>
      </c>
      <c r="E246" s="16" t="s">
        <v>784</v>
      </c>
      <c r="F246" s="16"/>
      <c r="G246" s="13"/>
      <c r="H246" s="13"/>
      <c r="I246" s="13"/>
      <c r="J246" s="13"/>
      <c r="K246" s="13"/>
      <c r="L246" s="13"/>
      <c r="M246" s="13"/>
      <c r="N246" s="13"/>
      <c r="O246" s="13"/>
      <c r="P246" s="13"/>
      <c r="Q246" s="13"/>
      <c r="R246" s="13"/>
      <c r="S246" s="13"/>
      <c r="T246" s="13"/>
      <c r="U246" s="13"/>
      <c r="V246" s="13"/>
      <c r="W246" s="13"/>
      <c r="X246" s="13"/>
      <c r="Y246" s="13"/>
      <c r="Z246" s="13"/>
      <c r="AA246" s="13"/>
    </row>
    <row r="247" ht="20.25" customHeight="1">
      <c r="A247" s="19">
        <v>46023.0</v>
      </c>
      <c r="B247" s="16" t="s">
        <v>826</v>
      </c>
      <c r="C247" s="16" t="s">
        <v>834</v>
      </c>
      <c r="D247" s="16" t="s">
        <v>783</v>
      </c>
      <c r="E247" s="16" t="s">
        <v>784</v>
      </c>
      <c r="F247" s="16"/>
      <c r="G247" s="13"/>
      <c r="H247" s="13"/>
      <c r="I247" s="13"/>
      <c r="J247" s="13"/>
      <c r="K247" s="13"/>
      <c r="L247" s="13"/>
      <c r="M247" s="13"/>
      <c r="N247" s="13"/>
      <c r="O247" s="13"/>
      <c r="P247" s="13"/>
      <c r="Q247" s="13"/>
      <c r="R247" s="13"/>
      <c r="S247" s="13"/>
      <c r="T247" s="13"/>
      <c r="U247" s="13"/>
      <c r="V247" s="13"/>
      <c r="W247" s="13"/>
      <c r="X247" s="13"/>
      <c r="Y247" s="13"/>
      <c r="Z247" s="13"/>
      <c r="AA247" s="13"/>
    </row>
    <row r="248" ht="20.25" customHeight="1">
      <c r="A248" s="15">
        <v>46029.44159722222</v>
      </c>
      <c r="B248" s="16" t="s">
        <v>835</v>
      </c>
      <c r="C248" s="16" t="s">
        <v>532</v>
      </c>
      <c r="D248" s="16" t="s">
        <v>836</v>
      </c>
      <c r="E248" s="17" t="s">
        <v>837</v>
      </c>
      <c r="F248" s="16"/>
      <c r="G248" s="13"/>
      <c r="H248" s="13"/>
      <c r="I248" s="13"/>
      <c r="J248" s="13"/>
      <c r="K248" s="13"/>
      <c r="L248" s="13"/>
      <c r="M248" s="13"/>
      <c r="N248" s="13"/>
      <c r="O248" s="13"/>
      <c r="P248" s="13"/>
      <c r="Q248" s="13"/>
      <c r="R248" s="13"/>
      <c r="S248" s="13"/>
      <c r="T248" s="13"/>
      <c r="U248" s="13"/>
      <c r="V248" s="13"/>
      <c r="W248" s="13"/>
      <c r="X248" s="13"/>
      <c r="Y248" s="13"/>
      <c r="Z248" s="13"/>
      <c r="AA248" s="13"/>
    </row>
    <row r="249" ht="20.25" customHeight="1">
      <c r="A249" s="19">
        <v>46029.0</v>
      </c>
      <c r="B249" s="16" t="s">
        <v>838</v>
      </c>
      <c r="C249" s="16" t="s">
        <v>839</v>
      </c>
      <c r="D249" s="16" t="s">
        <v>783</v>
      </c>
      <c r="E249" s="16" t="s">
        <v>784</v>
      </c>
      <c r="F249" s="16"/>
      <c r="G249" s="13"/>
      <c r="H249" s="13"/>
      <c r="I249" s="13"/>
      <c r="J249" s="13"/>
      <c r="K249" s="13"/>
      <c r="L249" s="13"/>
      <c r="M249" s="13"/>
      <c r="N249" s="13"/>
      <c r="O249" s="13"/>
      <c r="P249" s="13"/>
      <c r="Q249" s="13"/>
      <c r="R249" s="13"/>
      <c r="S249" s="13"/>
      <c r="T249" s="13"/>
      <c r="U249" s="13"/>
      <c r="V249" s="13"/>
      <c r="W249" s="13"/>
      <c r="X249" s="13"/>
      <c r="Y249" s="13"/>
      <c r="Z249" s="13"/>
      <c r="AA249" s="13"/>
    </row>
    <row r="250" ht="20.25" customHeight="1">
      <c r="A250" s="19">
        <v>46029.0</v>
      </c>
      <c r="B250" s="16" t="s">
        <v>835</v>
      </c>
      <c r="C250" s="16" t="s">
        <v>532</v>
      </c>
      <c r="D250" s="16" t="s">
        <v>783</v>
      </c>
      <c r="E250" s="16" t="s">
        <v>840</v>
      </c>
      <c r="F250" s="16"/>
      <c r="G250" s="13"/>
      <c r="H250" s="13"/>
      <c r="I250" s="13"/>
      <c r="J250" s="13"/>
      <c r="K250" s="13"/>
      <c r="L250" s="13"/>
      <c r="M250" s="13"/>
      <c r="N250" s="13"/>
      <c r="O250" s="13"/>
      <c r="P250" s="13"/>
      <c r="Q250" s="13"/>
      <c r="R250" s="13"/>
      <c r="S250" s="13"/>
      <c r="T250" s="13"/>
      <c r="U250" s="13"/>
      <c r="V250" s="13"/>
      <c r="W250" s="13"/>
      <c r="X250" s="13"/>
      <c r="Y250" s="13"/>
      <c r="Z250" s="13"/>
      <c r="AA250" s="13"/>
    </row>
    <row r="251" ht="20.25" customHeight="1">
      <c r="A251" s="19">
        <v>46029.0</v>
      </c>
      <c r="B251" s="16" t="s">
        <v>841</v>
      </c>
      <c r="C251" s="16" t="s">
        <v>842</v>
      </c>
      <c r="D251" s="16" t="s">
        <v>783</v>
      </c>
      <c r="E251" s="16" t="s">
        <v>843</v>
      </c>
      <c r="F251" s="16"/>
      <c r="G251" s="13"/>
      <c r="H251" s="13"/>
      <c r="I251" s="13"/>
      <c r="J251" s="13"/>
      <c r="K251" s="13"/>
      <c r="L251" s="13"/>
      <c r="M251" s="13"/>
      <c r="N251" s="13"/>
      <c r="O251" s="13"/>
      <c r="P251" s="13"/>
      <c r="Q251" s="13"/>
      <c r="R251" s="13"/>
      <c r="S251" s="13"/>
      <c r="T251" s="13"/>
      <c r="U251" s="13"/>
      <c r="V251" s="13"/>
      <c r="W251" s="13"/>
      <c r="X251" s="13"/>
      <c r="Y251" s="13"/>
      <c r="Z251" s="13"/>
      <c r="AA251" s="13"/>
    </row>
    <row r="252" ht="20.25" customHeight="1">
      <c r="A252" s="19">
        <v>46029.0</v>
      </c>
      <c r="B252" s="16" t="s">
        <v>844</v>
      </c>
      <c r="C252" s="16" t="s">
        <v>845</v>
      </c>
      <c r="D252" s="16" t="s">
        <v>783</v>
      </c>
      <c r="E252" s="16" t="s">
        <v>846</v>
      </c>
      <c r="F252" s="16"/>
      <c r="G252" s="13"/>
      <c r="H252" s="13"/>
      <c r="I252" s="13"/>
      <c r="J252" s="13"/>
      <c r="K252" s="13"/>
      <c r="L252" s="13"/>
      <c r="M252" s="13"/>
      <c r="N252" s="13"/>
      <c r="O252" s="13"/>
      <c r="P252" s="13"/>
      <c r="Q252" s="13"/>
      <c r="R252" s="13"/>
      <c r="S252" s="13"/>
      <c r="T252" s="13"/>
      <c r="U252" s="13"/>
      <c r="V252" s="13"/>
      <c r="W252" s="13"/>
      <c r="X252" s="13"/>
      <c r="Y252" s="13"/>
      <c r="Z252" s="13"/>
      <c r="AA252" s="13"/>
    </row>
    <row r="253" ht="20.25" customHeight="1">
      <c r="A253" s="19">
        <v>46029.0</v>
      </c>
      <c r="B253" s="16" t="s">
        <v>847</v>
      </c>
      <c r="C253" s="16" t="s">
        <v>848</v>
      </c>
      <c r="D253" s="16" t="s">
        <v>783</v>
      </c>
      <c r="E253" s="16" t="s">
        <v>849</v>
      </c>
      <c r="F253" s="16"/>
      <c r="G253" s="13"/>
      <c r="H253" s="13"/>
      <c r="I253" s="13"/>
      <c r="J253" s="13"/>
      <c r="K253" s="13"/>
      <c r="L253" s="13"/>
      <c r="M253" s="13"/>
      <c r="N253" s="13"/>
      <c r="O253" s="13"/>
      <c r="P253" s="13"/>
      <c r="Q253" s="13"/>
      <c r="R253" s="13"/>
      <c r="S253" s="13"/>
      <c r="T253" s="13"/>
      <c r="U253" s="13"/>
      <c r="V253" s="13"/>
      <c r="W253" s="13"/>
      <c r="X253" s="13"/>
      <c r="Y253" s="13"/>
      <c r="Z253" s="13"/>
      <c r="AA253" s="13"/>
    </row>
    <row r="254" ht="20.25" customHeight="1">
      <c r="A254" s="19">
        <v>46029.0</v>
      </c>
      <c r="B254" s="16" t="s">
        <v>850</v>
      </c>
      <c r="C254" s="16" t="s">
        <v>851</v>
      </c>
      <c r="D254" s="16" t="s">
        <v>783</v>
      </c>
      <c r="E254" s="16" t="s">
        <v>852</v>
      </c>
      <c r="F254" s="16"/>
      <c r="G254" s="13"/>
      <c r="H254" s="13"/>
      <c r="I254" s="13"/>
      <c r="J254" s="13"/>
      <c r="K254" s="13"/>
      <c r="L254" s="13"/>
      <c r="M254" s="13"/>
      <c r="N254" s="13"/>
      <c r="O254" s="13"/>
      <c r="P254" s="13"/>
      <c r="Q254" s="13"/>
      <c r="R254" s="13"/>
      <c r="S254" s="13"/>
      <c r="T254" s="13"/>
      <c r="U254" s="13"/>
      <c r="V254" s="13"/>
      <c r="W254" s="13"/>
      <c r="X254" s="13"/>
      <c r="Y254" s="13"/>
      <c r="Z254" s="13"/>
      <c r="AA254" s="13"/>
    </row>
    <row r="255" ht="20.25" customHeight="1">
      <c r="A255" s="19">
        <v>46029.0</v>
      </c>
      <c r="B255" s="16" t="s">
        <v>853</v>
      </c>
      <c r="C255" s="16" t="s">
        <v>854</v>
      </c>
      <c r="D255" s="16" t="s">
        <v>783</v>
      </c>
      <c r="E255" s="16" t="s">
        <v>855</v>
      </c>
      <c r="F255" s="16"/>
      <c r="G255" s="13"/>
      <c r="H255" s="13"/>
      <c r="I255" s="13"/>
      <c r="J255" s="13"/>
      <c r="K255" s="13"/>
      <c r="L255" s="13"/>
      <c r="M255" s="13"/>
      <c r="N255" s="13"/>
      <c r="O255" s="13"/>
      <c r="P255" s="13"/>
      <c r="Q255" s="13"/>
      <c r="R255" s="13"/>
      <c r="S255" s="13"/>
      <c r="T255" s="13"/>
      <c r="U255" s="13"/>
      <c r="V255" s="13"/>
      <c r="W255" s="13"/>
      <c r="X255" s="13"/>
      <c r="Y255" s="13"/>
      <c r="Z255" s="13"/>
      <c r="AA255" s="13"/>
    </row>
    <row r="256" ht="20.25" customHeight="1">
      <c r="A256" s="19">
        <v>46028.0</v>
      </c>
      <c r="B256" s="16" t="s">
        <v>856</v>
      </c>
      <c r="C256" s="16" t="s">
        <v>857</v>
      </c>
      <c r="D256" s="16" t="s">
        <v>858</v>
      </c>
      <c r="E256" s="16" t="s">
        <v>859</v>
      </c>
      <c r="F256" s="16"/>
      <c r="G256" s="13"/>
      <c r="H256" s="13"/>
      <c r="I256" s="13"/>
      <c r="J256" s="13"/>
      <c r="K256" s="13"/>
      <c r="L256" s="13"/>
      <c r="M256" s="13"/>
      <c r="N256" s="13"/>
      <c r="O256" s="13"/>
      <c r="P256" s="13"/>
      <c r="Q256" s="13"/>
      <c r="R256" s="13"/>
      <c r="S256" s="13"/>
      <c r="T256" s="13"/>
      <c r="U256" s="13"/>
      <c r="V256" s="13"/>
      <c r="W256" s="13"/>
      <c r="X256" s="13"/>
      <c r="Y256" s="13"/>
      <c r="Z256" s="13"/>
      <c r="AA256" s="13"/>
    </row>
    <row r="257" ht="20.25" customHeight="1">
      <c r="A257" s="19">
        <v>46028.0</v>
      </c>
      <c r="B257" s="16" t="s">
        <v>860</v>
      </c>
      <c r="C257" s="16" t="s">
        <v>861</v>
      </c>
      <c r="D257" s="16" t="s">
        <v>862</v>
      </c>
      <c r="E257" s="16" t="s">
        <v>863</v>
      </c>
      <c r="F257" s="16"/>
      <c r="G257" s="13"/>
      <c r="H257" s="13"/>
      <c r="I257" s="13"/>
      <c r="J257" s="13"/>
      <c r="K257" s="13"/>
      <c r="L257" s="13"/>
      <c r="M257" s="13"/>
      <c r="N257" s="13"/>
      <c r="O257" s="13"/>
      <c r="P257" s="13"/>
      <c r="Q257" s="13"/>
      <c r="R257" s="13"/>
      <c r="S257" s="13"/>
      <c r="T257" s="13"/>
      <c r="U257" s="13"/>
      <c r="V257" s="13"/>
      <c r="W257" s="13"/>
      <c r="X257" s="13"/>
      <c r="Y257" s="13"/>
      <c r="Z257" s="13"/>
      <c r="AA257" s="13"/>
    </row>
    <row r="258" ht="20.25" customHeight="1">
      <c r="A258" s="19">
        <v>46028.0</v>
      </c>
      <c r="B258" s="16" t="s">
        <v>864</v>
      </c>
      <c r="C258" s="16" t="s">
        <v>865</v>
      </c>
      <c r="D258" s="16" t="s">
        <v>866</v>
      </c>
      <c r="E258" s="16" t="s">
        <v>867</v>
      </c>
      <c r="F258" s="16"/>
      <c r="G258" s="13"/>
      <c r="H258" s="13"/>
      <c r="I258" s="13"/>
      <c r="J258" s="13"/>
      <c r="K258" s="13"/>
      <c r="L258" s="13"/>
      <c r="M258" s="13"/>
      <c r="N258" s="13"/>
      <c r="O258" s="13"/>
      <c r="P258" s="13"/>
      <c r="Q258" s="13"/>
      <c r="R258" s="13"/>
      <c r="S258" s="13"/>
      <c r="T258" s="13"/>
      <c r="U258" s="13"/>
      <c r="V258" s="13"/>
      <c r="W258" s="13"/>
      <c r="X258" s="13"/>
      <c r="Y258" s="13"/>
      <c r="Z258" s="13"/>
      <c r="AA258" s="13"/>
    </row>
    <row r="259" ht="20.25" customHeight="1">
      <c r="A259" s="19">
        <v>46028.0</v>
      </c>
      <c r="B259" s="16" t="s">
        <v>868</v>
      </c>
      <c r="C259" s="16" t="s">
        <v>869</v>
      </c>
      <c r="D259" s="16" t="s">
        <v>870</v>
      </c>
      <c r="E259" s="16" t="s">
        <v>871</v>
      </c>
      <c r="F259" s="16"/>
      <c r="G259" s="13"/>
      <c r="H259" s="13"/>
      <c r="I259" s="13"/>
      <c r="J259" s="13"/>
      <c r="K259" s="13"/>
      <c r="L259" s="13"/>
      <c r="M259" s="13"/>
      <c r="N259" s="13"/>
      <c r="O259" s="13"/>
      <c r="P259" s="13"/>
      <c r="Q259" s="13"/>
      <c r="R259" s="13"/>
      <c r="S259" s="13"/>
      <c r="T259" s="13"/>
      <c r="U259" s="13"/>
      <c r="V259" s="13"/>
      <c r="W259" s="13"/>
      <c r="X259" s="13"/>
      <c r="Y259" s="13"/>
      <c r="Z259" s="13"/>
      <c r="AA259" s="13"/>
    </row>
    <row r="260" ht="20.25" customHeight="1">
      <c r="A260" s="19">
        <v>46028.0</v>
      </c>
      <c r="B260" s="16" t="s">
        <v>872</v>
      </c>
      <c r="C260" s="16" t="s">
        <v>873</v>
      </c>
      <c r="D260" s="16" t="s">
        <v>874</v>
      </c>
      <c r="E260" s="16" t="s">
        <v>875</v>
      </c>
      <c r="F260" s="16"/>
      <c r="G260" s="13"/>
      <c r="H260" s="13"/>
      <c r="I260" s="13"/>
      <c r="J260" s="13"/>
      <c r="K260" s="13"/>
      <c r="L260" s="13"/>
      <c r="M260" s="13"/>
      <c r="N260" s="13"/>
      <c r="O260" s="13"/>
      <c r="P260" s="13"/>
      <c r="Q260" s="13"/>
      <c r="R260" s="13"/>
      <c r="S260" s="13"/>
      <c r="T260" s="13"/>
      <c r="U260" s="13"/>
      <c r="V260" s="13"/>
      <c r="W260" s="13"/>
      <c r="X260" s="13"/>
      <c r="Y260" s="13"/>
      <c r="Z260" s="13"/>
      <c r="AA260" s="13"/>
    </row>
    <row r="261" ht="20.25" customHeight="1">
      <c r="A261" s="19">
        <v>46028.0</v>
      </c>
      <c r="B261" s="16" t="s">
        <v>876</v>
      </c>
      <c r="C261" s="16" t="s">
        <v>877</v>
      </c>
      <c r="D261" s="16" t="s">
        <v>878</v>
      </c>
      <c r="E261" s="16" t="s">
        <v>879</v>
      </c>
      <c r="F261" s="16"/>
      <c r="G261" s="13"/>
      <c r="H261" s="13"/>
      <c r="I261" s="13"/>
      <c r="J261" s="13"/>
      <c r="K261" s="13"/>
      <c r="L261" s="13"/>
      <c r="M261" s="13"/>
      <c r="N261" s="13"/>
      <c r="O261" s="13"/>
      <c r="P261" s="13"/>
      <c r="Q261" s="13"/>
      <c r="R261" s="13"/>
      <c r="S261" s="13"/>
      <c r="T261" s="13"/>
      <c r="U261" s="13"/>
      <c r="V261" s="13"/>
      <c r="W261" s="13"/>
      <c r="X261" s="13"/>
      <c r="Y261" s="13"/>
      <c r="Z261" s="13"/>
      <c r="AA261" s="13"/>
    </row>
    <row r="262" ht="20.25" customHeight="1">
      <c r="A262" s="19">
        <v>46027.0</v>
      </c>
      <c r="B262" s="16" t="s">
        <v>880</v>
      </c>
      <c r="C262" s="16" t="s">
        <v>881</v>
      </c>
      <c r="D262" s="16" t="s">
        <v>858</v>
      </c>
      <c r="E262" s="16" t="s">
        <v>882</v>
      </c>
      <c r="F262" s="16"/>
      <c r="G262" s="13"/>
      <c r="H262" s="13"/>
      <c r="I262" s="13"/>
      <c r="J262" s="13"/>
      <c r="K262" s="13"/>
      <c r="L262" s="13"/>
      <c r="M262" s="13"/>
      <c r="N262" s="13"/>
      <c r="O262" s="13"/>
      <c r="P262" s="13"/>
      <c r="Q262" s="13"/>
      <c r="R262" s="13"/>
      <c r="S262" s="13"/>
      <c r="T262" s="13"/>
      <c r="U262" s="13"/>
      <c r="V262" s="13"/>
      <c r="W262" s="13"/>
      <c r="X262" s="13"/>
      <c r="Y262" s="13"/>
      <c r="Z262" s="13"/>
      <c r="AA262" s="13"/>
    </row>
    <row r="263" ht="20.25" customHeight="1">
      <c r="A263" s="19">
        <v>46027.0</v>
      </c>
      <c r="B263" s="16" t="s">
        <v>883</v>
      </c>
      <c r="C263" s="16" t="s">
        <v>884</v>
      </c>
      <c r="D263" s="16" t="s">
        <v>885</v>
      </c>
      <c r="E263" s="16" t="s">
        <v>886</v>
      </c>
      <c r="F263" s="16"/>
      <c r="G263" s="13"/>
      <c r="H263" s="13"/>
      <c r="I263" s="13"/>
      <c r="J263" s="13"/>
      <c r="K263" s="13"/>
      <c r="L263" s="13"/>
      <c r="M263" s="13"/>
      <c r="N263" s="13"/>
      <c r="O263" s="13"/>
      <c r="P263" s="13"/>
      <c r="Q263" s="13"/>
      <c r="R263" s="13"/>
      <c r="S263" s="13"/>
      <c r="T263" s="13"/>
      <c r="U263" s="13"/>
      <c r="V263" s="13"/>
      <c r="W263" s="13"/>
      <c r="X263" s="13"/>
      <c r="Y263" s="13"/>
      <c r="Z263" s="13"/>
      <c r="AA263" s="13"/>
    </row>
    <row r="264" ht="20.25" customHeight="1">
      <c r="A264" s="19">
        <v>46027.0</v>
      </c>
      <c r="B264" s="16" t="s">
        <v>887</v>
      </c>
      <c r="C264" s="16" t="s">
        <v>888</v>
      </c>
      <c r="D264" s="16" t="s">
        <v>889</v>
      </c>
      <c r="E264" s="16" t="s">
        <v>890</v>
      </c>
      <c r="F264" s="16"/>
      <c r="G264" s="13"/>
      <c r="H264" s="13"/>
      <c r="I264" s="13"/>
      <c r="J264" s="13"/>
      <c r="K264" s="13"/>
      <c r="L264" s="13"/>
      <c r="M264" s="13"/>
      <c r="N264" s="13"/>
      <c r="O264" s="13"/>
      <c r="P264" s="13"/>
      <c r="Q264" s="13"/>
      <c r="R264" s="13"/>
      <c r="S264" s="13"/>
      <c r="T264" s="13"/>
      <c r="U264" s="13"/>
      <c r="V264" s="13"/>
      <c r="W264" s="13"/>
      <c r="X264" s="13"/>
      <c r="Y264" s="13"/>
      <c r="Z264" s="13"/>
      <c r="AA264" s="13"/>
    </row>
    <row r="265" ht="20.25" customHeight="1">
      <c r="A265" s="15">
        <v>46029.547627314816</v>
      </c>
      <c r="B265" s="16" t="s">
        <v>891</v>
      </c>
      <c r="C265" s="16" t="s">
        <v>892</v>
      </c>
      <c r="D265" s="16" t="s">
        <v>893</v>
      </c>
      <c r="E265" s="17" t="s">
        <v>894</v>
      </c>
      <c r="F265" s="16"/>
      <c r="G265" s="13"/>
      <c r="H265" s="13"/>
      <c r="I265" s="13"/>
      <c r="J265" s="13"/>
      <c r="K265" s="13"/>
      <c r="L265" s="13"/>
      <c r="M265" s="13"/>
      <c r="N265" s="13"/>
      <c r="O265" s="13"/>
      <c r="P265" s="13"/>
      <c r="Q265" s="13"/>
      <c r="R265" s="13"/>
      <c r="S265" s="13"/>
      <c r="T265" s="13"/>
      <c r="U265" s="13"/>
      <c r="V265" s="13"/>
      <c r="W265" s="13"/>
      <c r="X265" s="13"/>
      <c r="Y265" s="13"/>
      <c r="Z265" s="13"/>
      <c r="AA265" s="13"/>
    </row>
    <row r="266" ht="20.25" customHeight="1">
      <c r="A266" s="19">
        <v>46029.0</v>
      </c>
      <c r="B266" s="16" t="s">
        <v>895</v>
      </c>
      <c r="C266" s="16" t="s">
        <v>896</v>
      </c>
      <c r="D266" s="16" t="s">
        <v>897</v>
      </c>
      <c r="E266" s="16" t="s">
        <v>898</v>
      </c>
      <c r="F266" s="16"/>
      <c r="G266" s="13"/>
      <c r="H266" s="13"/>
      <c r="I266" s="13"/>
      <c r="J266" s="13"/>
      <c r="K266" s="13"/>
      <c r="L266" s="13"/>
      <c r="M266" s="13"/>
      <c r="N266" s="13"/>
      <c r="O266" s="13"/>
      <c r="P266" s="13"/>
      <c r="Q266" s="13"/>
      <c r="R266" s="13"/>
      <c r="S266" s="13"/>
      <c r="T266" s="13"/>
      <c r="U266" s="13"/>
      <c r="V266" s="13"/>
      <c r="W266" s="13"/>
      <c r="X266" s="13"/>
      <c r="Y266" s="13"/>
      <c r="Z266" s="13"/>
      <c r="AA266" s="13"/>
    </row>
    <row r="267" ht="20.25" customHeight="1">
      <c r="A267" s="19">
        <v>46029.0</v>
      </c>
      <c r="B267" s="16" t="s">
        <v>829</v>
      </c>
      <c r="C267" s="16" t="s">
        <v>830</v>
      </c>
      <c r="D267" s="16" t="s">
        <v>783</v>
      </c>
      <c r="E267" s="16" t="s">
        <v>899</v>
      </c>
      <c r="F267" s="16"/>
      <c r="G267" s="13"/>
      <c r="H267" s="13"/>
      <c r="I267" s="13"/>
      <c r="J267" s="13"/>
      <c r="K267" s="13"/>
      <c r="L267" s="13"/>
      <c r="M267" s="13"/>
      <c r="N267" s="13"/>
      <c r="O267" s="13"/>
      <c r="P267" s="13"/>
      <c r="Q267" s="13"/>
      <c r="R267" s="13"/>
      <c r="S267" s="13"/>
      <c r="T267" s="13"/>
      <c r="U267" s="13"/>
      <c r="V267" s="13"/>
      <c r="W267" s="13"/>
      <c r="X267" s="13"/>
      <c r="Y267" s="13"/>
      <c r="Z267" s="13"/>
      <c r="AA267" s="13"/>
    </row>
    <row r="268" ht="20.25" customHeight="1">
      <c r="A268" s="19">
        <v>46029.0</v>
      </c>
      <c r="B268" s="16" t="s">
        <v>397</v>
      </c>
      <c r="C268" s="16" t="s">
        <v>900</v>
      </c>
      <c r="D268" s="16" t="s">
        <v>901</v>
      </c>
      <c r="E268" s="16" t="s">
        <v>902</v>
      </c>
      <c r="F268" s="16"/>
      <c r="G268" s="13"/>
      <c r="H268" s="13"/>
      <c r="I268" s="13"/>
      <c r="J268" s="13"/>
      <c r="K268" s="13"/>
      <c r="L268" s="13"/>
      <c r="M268" s="13"/>
      <c r="N268" s="13"/>
      <c r="O268" s="13"/>
      <c r="P268" s="13"/>
      <c r="Q268" s="13"/>
      <c r="R268" s="13"/>
      <c r="S268" s="13"/>
      <c r="T268" s="13"/>
      <c r="U268" s="13"/>
      <c r="V268" s="13"/>
      <c r="W268" s="13"/>
      <c r="X268" s="13"/>
      <c r="Y268" s="13"/>
      <c r="Z268" s="13"/>
      <c r="AA268" s="13"/>
    </row>
    <row r="269" ht="20.25" customHeight="1">
      <c r="A269" s="19">
        <v>46029.0</v>
      </c>
      <c r="B269" s="16" t="s">
        <v>903</v>
      </c>
      <c r="C269" s="16" t="s">
        <v>904</v>
      </c>
      <c r="D269" s="16" t="s">
        <v>858</v>
      </c>
      <c r="E269" s="16" t="s">
        <v>905</v>
      </c>
      <c r="F269" s="16"/>
      <c r="G269" s="13"/>
      <c r="H269" s="13"/>
      <c r="I269" s="13"/>
      <c r="J269" s="13"/>
      <c r="K269" s="13"/>
      <c r="L269" s="13"/>
      <c r="M269" s="13"/>
      <c r="N269" s="13"/>
      <c r="O269" s="13"/>
      <c r="P269" s="13"/>
      <c r="Q269" s="13"/>
      <c r="R269" s="13"/>
      <c r="S269" s="13"/>
      <c r="T269" s="13"/>
      <c r="U269" s="13"/>
      <c r="V269" s="13"/>
      <c r="W269" s="13"/>
      <c r="X269" s="13"/>
      <c r="Y269" s="13"/>
      <c r="Z269" s="13"/>
      <c r="AA269" s="13"/>
    </row>
    <row r="270" ht="20.25" customHeight="1">
      <c r="A270" s="19">
        <v>46029.0</v>
      </c>
      <c r="B270" s="16" t="s">
        <v>397</v>
      </c>
      <c r="C270" s="16" t="s">
        <v>900</v>
      </c>
      <c r="D270" s="16" t="s">
        <v>906</v>
      </c>
      <c r="E270" s="16" t="s">
        <v>907</v>
      </c>
      <c r="F270" s="16"/>
      <c r="G270" s="13"/>
      <c r="H270" s="13"/>
      <c r="I270" s="13"/>
      <c r="J270" s="13"/>
      <c r="K270" s="13"/>
      <c r="L270" s="13"/>
      <c r="M270" s="13"/>
      <c r="N270" s="13"/>
      <c r="O270" s="13"/>
      <c r="P270" s="13"/>
      <c r="Q270" s="13"/>
      <c r="R270" s="13"/>
      <c r="S270" s="13"/>
      <c r="T270" s="13"/>
      <c r="U270" s="13"/>
      <c r="V270" s="13"/>
      <c r="W270" s="13"/>
      <c r="X270" s="13"/>
      <c r="Y270" s="13"/>
      <c r="Z270" s="13"/>
      <c r="AA270" s="13"/>
    </row>
    <row r="271" ht="20.25" customHeight="1">
      <c r="A271" s="19">
        <v>46029.0</v>
      </c>
      <c r="B271" s="16" t="s">
        <v>908</v>
      </c>
      <c r="C271" s="16" t="s">
        <v>45</v>
      </c>
      <c r="D271" s="16" t="s">
        <v>909</v>
      </c>
      <c r="E271" s="16" t="s">
        <v>910</v>
      </c>
      <c r="F271" s="16"/>
      <c r="G271" s="13"/>
      <c r="H271" s="13"/>
      <c r="I271" s="13"/>
      <c r="J271" s="13"/>
      <c r="K271" s="13"/>
      <c r="L271" s="13"/>
      <c r="M271" s="13"/>
      <c r="N271" s="13"/>
      <c r="O271" s="13"/>
      <c r="P271" s="13"/>
      <c r="Q271" s="13"/>
      <c r="R271" s="13"/>
      <c r="S271" s="13"/>
      <c r="T271" s="13"/>
      <c r="U271" s="13"/>
      <c r="V271" s="13"/>
      <c r="W271" s="13"/>
      <c r="X271" s="13"/>
      <c r="Y271" s="13"/>
      <c r="Z271" s="13"/>
      <c r="AA271" s="13"/>
    </row>
    <row r="272" ht="20.25" customHeight="1">
      <c r="A272" s="19">
        <v>46029.0</v>
      </c>
      <c r="B272" s="16" t="s">
        <v>911</v>
      </c>
      <c r="C272" s="16" t="s">
        <v>834</v>
      </c>
      <c r="D272" s="16" t="s">
        <v>866</v>
      </c>
      <c r="E272" s="16" t="s">
        <v>912</v>
      </c>
      <c r="F272" s="16"/>
      <c r="G272" s="13"/>
      <c r="H272" s="13"/>
      <c r="I272" s="13"/>
      <c r="J272" s="13"/>
      <c r="K272" s="13"/>
      <c r="L272" s="13"/>
      <c r="M272" s="13"/>
      <c r="N272" s="13"/>
      <c r="O272" s="13"/>
      <c r="P272" s="13"/>
      <c r="Q272" s="13"/>
      <c r="R272" s="13"/>
      <c r="S272" s="13"/>
      <c r="T272" s="13"/>
      <c r="U272" s="13"/>
      <c r="V272" s="13"/>
      <c r="W272" s="13"/>
      <c r="X272" s="13"/>
      <c r="Y272" s="13"/>
      <c r="Z272" s="13"/>
      <c r="AA272" s="13"/>
    </row>
    <row r="273" ht="20.25" customHeight="1">
      <c r="A273" s="19">
        <v>46027.0</v>
      </c>
      <c r="B273" s="16" t="s">
        <v>913</v>
      </c>
      <c r="C273" s="16" t="s">
        <v>914</v>
      </c>
      <c r="D273" s="16" t="s">
        <v>874</v>
      </c>
      <c r="E273" s="16" t="s">
        <v>915</v>
      </c>
      <c r="F273" s="16"/>
      <c r="G273" s="13"/>
      <c r="H273" s="13"/>
      <c r="I273" s="13"/>
      <c r="J273" s="13"/>
      <c r="K273" s="13"/>
      <c r="L273" s="13"/>
      <c r="M273" s="13"/>
      <c r="N273" s="13"/>
      <c r="O273" s="13"/>
      <c r="P273" s="13"/>
      <c r="Q273" s="13"/>
      <c r="R273" s="13"/>
      <c r="S273" s="13"/>
      <c r="T273" s="13"/>
      <c r="U273" s="13"/>
      <c r="V273" s="13"/>
      <c r="W273" s="13"/>
      <c r="X273" s="13"/>
      <c r="Y273" s="13"/>
      <c r="Z273" s="13"/>
      <c r="AA273" s="13"/>
    </row>
    <row r="274" ht="20.25" customHeight="1">
      <c r="A274" s="19">
        <v>46028.0</v>
      </c>
      <c r="B274" s="16" t="s">
        <v>916</v>
      </c>
      <c r="C274" s="16" t="s">
        <v>917</v>
      </c>
      <c r="D274" s="16" t="s">
        <v>675</v>
      </c>
      <c r="E274" s="17" t="s">
        <v>918</v>
      </c>
      <c r="F274" s="16"/>
      <c r="G274" s="13"/>
      <c r="H274" s="13"/>
      <c r="I274" s="13"/>
      <c r="J274" s="13"/>
      <c r="K274" s="13"/>
      <c r="L274" s="13"/>
      <c r="M274" s="13"/>
      <c r="N274" s="13"/>
      <c r="O274" s="13"/>
      <c r="P274" s="13"/>
      <c r="Q274" s="13"/>
      <c r="R274" s="13"/>
      <c r="S274" s="13"/>
      <c r="T274" s="13"/>
      <c r="U274" s="13"/>
      <c r="V274" s="13"/>
      <c r="W274" s="13"/>
      <c r="X274" s="13"/>
      <c r="Y274" s="13"/>
      <c r="Z274" s="13"/>
      <c r="AA274" s="13"/>
    </row>
    <row r="275" ht="20.25" customHeight="1">
      <c r="A275" s="19">
        <v>46026.0</v>
      </c>
      <c r="B275" s="16" t="s">
        <v>919</v>
      </c>
      <c r="C275" s="16" t="s">
        <v>920</v>
      </c>
      <c r="D275" s="13"/>
      <c r="E275" s="16" t="s">
        <v>921</v>
      </c>
      <c r="F275" s="13"/>
      <c r="G275" s="13"/>
      <c r="H275" s="13"/>
      <c r="I275" s="13"/>
      <c r="J275" s="13"/>
      <c r="K275" s="13"/>
      <c r="L275" s="13"/>
      <c r="M275" s="13"/>
      <c r="N275" s="13"/>
      <c r="O275" s="13"/>
      <c r="P275" s="13"/>
      <c r="Q275" s="13"/>
      <c r="R275" s="13"/>
      <c r="S275" s="13"/>
      <c r="T275" s="13"/>
      <c r="U275" s="13"/>
      <c r="V275" s="13"/>
      <c r="W275" s="13"/>
      <c r="X275" s="13"/>
      <c r="Y275" s="13"/>
      <c r="Z275" s="13"/>
      <c r="AA275" s="13"/>
    </row>
    <row r="276" ht="20.25" customHeight="1">
      <c r="A276" s="19">
        <v>46026.0</v>
      </c>
      <c r="B276" s="16" t="s">
        <v>922</v>
      </c>
      <c r="C276" s="16" t="s">
        <v>923</v>
      </c>
      <c r="D276" s="13"/>
      <c r="E276" s="16" t="s">
        <v>924</v>
      </c>
      <c r="F276" s="13"/>
      <c r="G276" s="13"/>
      <c r="H276" s="13"/>
      <c r="I276" s="13"/>
      <c r="J276" s="13"/>
      <c r="K276" s="13"/>
      <c r="L276" s="13"/>
      <c r="M276" s="13"/>
      <c r="N276" s="13"/>
      <c r="O276" s="13"/>
      <c r="P276" s="13"/>
      <c r="Q276" s="13"/>
      <c r="R276" s="13"/>
      <c r="S276" s="13"/>
      <c r="T276" s="13"/>
      <c r="U276" s="13"/>
      <c r="V276" s="13"/>
      <c r="W276" s="13"/>
      <c r="X276" s="13"/>
      <c r="Y276" s="13"/>
      <c r="Z276" s="13"/>
      <c r="AA276" s="13"/>
    </row>
    <row r="277" ht="20.25" customHeight="1">
      <c r="A277" s="19">
        <v>46025.0</v>
      </c>
      <c r="B277" s="16" t="s">
        <v>925</v>
      </c>
      <c r="C277" s="16" t="s">
        <v>926</v>
      </c>
      <c r="D277" s="13"/>
      <c r="E277" s="16" t="s">
        <v>927</v>
      </c>
      <c r="F277" s="13"/>
      <c r="G277" s="13"/>
      <c r="H277" s="13"/>
      <c r="I277" s="13"/>
      <c r="J277" s="13"/>
      <c r="K277" s="13"/>
      <c r="L277" s="13"/>
      <c r="M277" s="13"/>
      <c r="N277" s="13"/>
      <c r="O277" s="13"/>
      <c r="P277" s="13"/>
      <c r="Q277" s="13"/>
      <c r="R277" s="13"/>
      <c r="S277" s="13"/>
      <c r="T277" s="13"/>
      <c r="U277" s="13"/>
      <c r="V277" s="13"/>
      <c r="W277" s="13"/>
      <c r="X277" s="13"/>
      <c r="Y277" s="13"/>
      <c r="Z277" s="13"/>
      <c r="AA277" s="13"/>
    </row>
    <row r="278" ht="20.25" customHeight="1">
      <c r="A278" s="15">
        <v>46030.81631944444</v>
      </c>
      <c r="B278" s="16" t="s">
        <v>928</v>
      </c>
      <c r="C278" s="16" t="s">
        <v>929</v>
      </c>
      <c r="D278" s="16" t="s">
        <v>930</v>
      </c>
      <c r="E278" s="17" t="s">
        <v>931</v>
      </c>
      <c r="F278" s="16"/>
      <c r="G278" s="13"/>
      <c r="H278" s="13"/>
      <c r="I278" s="13"/>
      <c r="J278" s="13"/>
      <c r="K278" s="13"/>
      <c r="L278" s="13"/>
      <c r="M278" s="13"/>
      <c r="N278" s="13"/>
      <c r="O278" s="13"/>
      <c r="P278" s="13"/>
      <c r="Q278" s="13"/>
      <c r="R278" s="13"/>
      <c r="S278" s="13"/>
      <c r="T278" s="13"/>
      <c r="U278" s="13"/>
      <c r="V278" s="13"/>
      <c r="W278" s="13"/>
      <c r="X278" s="13"/>
      <c r="Y278" s="13"/>
      <c r="Z278" s="13"/>
      <c r="AA278" s="13"/>
    </row>
    <row r="279" ht="20.25" customHeight="1">
      <c r="A279" s="15">
        <v>46035.59579861111</v>
      </c>
      <c r="B279" s="16" t="s">
        <v>932</v>
      </c>
      <c r="C279" s="16" t="s">
        <v>933</v>
      </c>
      <c r="D279" s="16" t="s">
        <v>934</v>
      </c>
      <c r="E279" s="17" t="s">
        <v>935</v>
      </c>
      <c r="F279" s="16"/>
      <c r="G279" s="13"/>
      <c r="H279" s="13"/>
      <c r="I279" s="13"/>
      <c r="J279" s="13"/>
      <c r="K279" s="13"/>
      <c r="L279" s="13"/>
      <c r="M279" s="13"/>
      <c r="N279" s="13"/>
      <c r="O279" s="13"/>
      <c r="P279" s="13"/>
      <c r="Q279" s="13"/>
      <c r="R279" s="13"/>
      <c r="S279" s="13"/>
      <c r="T279" s="13"/>
      <c r="U279" s="13"/>
      <c r="V279" s="13"/>
      <c r="W279" s="13"/>
      <c r="X279" s="13"/>
      <c r="Y279" s="13"/>
      <c r="Z279" s="13"/>
      <c r="AA279" s="13"/>
    </row>
    <row r="280" ht="20.25" customHeight="1">
      <c r="A280" s="15">
        <v>46040.67175925926</v>
      </c>
      <c r="B280" s="16" t="s">
        <v>88</v>
      </c>
      <c r="C280" s="16" t="s">
        <v>936</v>
      </c>
      <c r="D280" s="16" t="s">
        <v>937</v>
      </c>
      <c r="E280" s="17" t="s">
        <v>938</v>
      </c>
      <c r="F280" s="16"/>
      <c r="G280" s="13"/>
      <c r="H280" s="13"/>
      <c r="I280" s="13"/>
      <c r="J280" s="13"/>
      <c r="K280" s="13"/>
      <c r="L280" s="13"/>
      <c r="M280" s="13"/>
      <c r="N280" s="13"/>
      <c r="O280" s="13"/>
      <c r="P280" s="13"/>
      <c r="Q280" s="13"/>
      <c r="R280" s="13"/>
      <c r="S280" s="13"/>
      <c r="T280" s="13"/>
      <c r="U280" s="13"/>
      <c r="V280" s="13"/>
      <c r="W280" s="13"/>
      <c r="X280" s="13"/>
      <c r="Y280" s="13"/>
      <c r="Z280" s="13"/>
      <c r="AA280" s="13"/>
    </row>
    <row r="281" ht="20.25" customHeight="1">
      <c r="A281" s="15">
        <v>46042.47232638889</v>
      </c>
      <c r="B281" s="16" t="s">
        <v>939</v>
      </c>
      <c r="C281" s="16" t="s">
        <v>940</v>
      </c>
      <c r="D281" s="16" t="s">
        <v>941</v>
      </c>
      <c r="E281" s="17" t="s">
        <v>942</v>
      </c>
      <c r="F281" s="16"/>
      <c r="G281" s="13"/>
      <c r="H281" s="13"/>
      <c r="I281" s="13"/>
      <c r="J281" s="13"/>
      <c r="K281" s="13"/>
      <c r="L281" s="13"/>
      <c r="M281" s="13"/>
      <c r="N281" s="13"/>
      <c r="O281" s="13"/>
      <c r="P281" s="13"/>
      <c r="Q281" s="13"/>
      <c r="R281" s="13"/>
      <c r="S281" s="13"/>
      <c r="T281" s="13"/>
      <c r="U281" s="13"/>
      <c r="V281" s="13"/>
      <c r="W281" s="13"/>
      <c r="X281" s="13"/>
      <c r="Y281" s="13"/>
      <c r="Z281" s="13"/>
      <c r="AA281" s="13"/>
    </row>
    <row r="282" ht="20.25" customHeight="1">
      <c r="A282" s="19">
        <v>46048.0</v>
      </c>
      <c r="B282" s="16" t="s">
        <v>823</v>
      </c>
      <c r="C282" s="16" t="s">
        <v>943</v>
      </c>
      <c r="D282" s="16" t="s">
        <v>944</v>
      </c>
      <c r="E282" s="16" t="s">
        <v>220</v>
      </c>
      <c r="F282" s="16"/>
      <c r="G282" s="16" t="s">
        <v>945</v>
      </c>
      <c r="H282" s="13"/>
      <c r="I282" s="13"/>
      <c r="J282" s="13"/>
      <c r="K282" s="13"/>
      <c r="L282" s="13"/>
      <c r="M282" s="13"/>
      <c r="N282" s="13"/>
      <c r="O282" s="13"/>
      <c r="P282" s="13"/>
      <c r="Q282" s="13"/>
      <c r="R282" s="13"/>
      <c r="S282" s="13"/>
      <c r="T282" s="13"/>
      <c r="U282" s="13"/>
      <c r="V282" s="13"/>
      <c r="W282" s="13"/>
      <c r="X282" s="13"/>
      <c r="Y282" s="13"/>
      <c r="Z282" s="13"/>
      <c r="AA282" s="13"/>
    </row>
    <row r="283" ht="20.25" customHeight="1">
      <c r="A283" s="19">
        <v>46048.0</v>
      </c>
      <c r="B283" s="16" t="s">
        <v>946</v>
      </c>
      <c r="C283" s="16" t="s">
        <v>947</v>
      </c>
      <c r="D283" s="16" t="s">
        <v>878</v>
      </c>
      <c r="E283" s="16" t="s">
        <v>220</v>
      </c>
      <c r="F283" s="16"/>
      <c r="G283" s="16" t="s">
        <v>945</v>
      </c>
      <c r="H283" s="13"/>
      <c r="I283" s="13"/>
      <c r="J283" s="13"/>
      <c r="K283" s="13"/>
      <c r="L283" s="13"/>
      <c r="M283" s="13"/>
      <c r="N283" s="13"/>
      <c r="O283" s="13"/>
      <c r="P283" s="13"/>
      <c r="Q283" s="13"/>
      <c r="R283" s="13"/>
      <c r="S283" s="13"/>
      <c r="T283" s="13"/>
      <c r="U283" s="13"/>
      <c r="V283" s="13"/>
      <c r="W283" s="13"/>
      <c r="X283" s="13"/>
      <c r="Y283" s="13"/>
      <c r="Z283" s="13"/>
      <c r="AA283" s="13"/>
    </row>
    <row r="284" ht="20.25" customHeight="1">
      <c r="A284" s="19">
        <v>46048.0</v>
      </c>
      <c r="B284" s="16" t="s">
        <v>948</v>
      </c>
      <c r="C284" s="16" t="s">
        <v>949</v>
      </c>
      <c r="D284" s="16" t="s">
        <v>379</v>
      </c>
      <c r="E284" s="16" t="s">
        <v>950</v>
      </c>
      <c r="F284" s="16"/>
      <c r="G284" s="13"/>
      <c r="H284" s="13"/>
      <c r="I284" s="13"/>
      <c r="J284" s="13"/>
      <c r="K284" s="13"/>
      <c r="L284" s="13"/>
      <c r="M284" s="13"/>
      <c r="N284" s="13"/>
      <c r="O284" s="13"/>
      <c r="P284" s="13"/>
      <c r="Q284" s="13"/>
      <c r="R284" s="13"/>
      <c r="S284" s="13"/>
      <c r="T284" s="13"/>
      <c r="U284" s="13"/>
      <c r="V284" s="13"/>
      <c r="W284" s="13"/>
      <c r="X284" s="13"/>
      <c r="Y284" s="13"/>
      <c r="Z284" s="13"/>
      <c r="AA284" s="13"/>
    </row>
    <row r="285" ht="20.25" customHeight="1">
      <c r="A285" s="19">
        <v>46048.0</v>
      </c>
      <c r="B285" s="16" t="s">
        <v>823</v>
      </c>
      <c r="C285" s="16" t="s">
        <v>951</v>
      </c>
      <c r="D285" s="16" t="s">
        <v>952</v>
      </c>
      <c r="E285" s="16" t="s">
        <v>220</v>
      </c>
      <c r="F285" s="16"/>
      <c r="G285" s="16" t="s">
        <v>945</v>
      </c>
      <c r="H285" s="13"/>
      <c r="I285" s="13"/>
      <c r="J285" s="13"/>
      <c r="K285" s="13"/>
      <c r="L285" s="13"/>
      <c r="M285" s="13"/>
      <c r="N285" s="13"/>
      <c r="O285" s="13"/>
      <c r="P285" s="13"/>
      <c r="Q285" s="13"/>
      <c r="R285" s="13"/>
      <c r="S285" s="13"/>
      <c r="T285" s="13"/>
      <c r="U285" s="13"/>
      <c r="V285" s="13"/>
      <c r="W285" s="13"/>
      <c r="X285" s="13"/>
      <c r="Y285" s="13"/>
      <c r="Z285" s="13"/>
      <c r="AA285" s="13"/>
    </row>
    <row r="286" ht="20.25" customHeight="1">
      <c r="A286" s="19">
        <v>46049.0</v>
      </c>
      <c r="B286" s="16" t="s">
        <v>953</v>
      </c>
      <c r="C286" s="16" t="s">
        <v>954</v>
      </c>
      <c r="D286" s="16" t="s">
        <v>955</v>
      </c>
      <c r="E286" s="16" t="s">
        <v>956</v>
      </c>
      <c r="F286" s="16"/>
      <c r="G286" s="13"/>
      <c r="H286" s="13"/>
      <c r="I286" s="13"/>
      <c r="J286" s="13"/>
      <c r="K286" s="13"/>
      <c r="L286" s="13"/>
      <c r="M286" s="13"/>
      <c r="N286" s="13"/>
      <c r="O286" s="13"/>
      <c r="P286" s="13"/>
      <c r="Q286" s="13"/>
      <c r="R286" s="13"/>
      <c r="S286" s="13"/>
      <c r="T286" s="13"/>
      <c r="U286" s="13"/>
      <c r="V286" s="13"/>
      <c r="W286" s="13"/>
      <c r="X286" s="13"/>
      <c r="Y286" s="13"/>
      <c r="Z286" s="13"/>
      <c r="AA286" s="13"/>
    </row>
    <row r="287" ht="20.25" customHeight="1">
      <c r="A287" s="19">
        <v>46049.0</v>
      </c>
      <c r="B287" s="16" t="s">
        <v>957</v>
      </c>
      <c r="C287" s="16" t="s">
        <v>958</v>
      </c>
      <c r="D287" s="16" t="s">
        <v>959</v>
      </c>
      <c r="E287" s="16" t="s">
        <v>956</v>
      </c>
      <c r="F287" s="16"/>
      <c r="G287" s="13"/>
      <c r="H287" s="13"/>
      <c r="I287" s="13"/>
      <c r="J287" s="13"/>
      <c r="K287" s="13"/>
      <c r="L287" s="13"/>
      <c r="M287" s="13"/>
      <c r="N287" s="13"/>
      <c r="O287" s="13"/>
      <c r="P287" s="13"/>
      <c r="Q287" s="13"/>
      <c r="R287" s="13"/>
      <c r="S287" s="13"/>
      <c r="T287" s="13"/>
      <c r="U287" s="13"/>
      <c r="V287" s="13"/>
      <c r="W287" s="13"/>
      <c r="X287" s="13"/>
      <c r="Y287" s="13"/>
      <c r="Z287" s="13"/>
      <c r="AA287" s="13"/>
    </row>
    <row r="288" ht="20.25" customHeight="1">
      <c r="A288" s="19">
        <v>46049.0</v>
      </c>
      <c r="B288" s="16" t="s">
        <v>960</v>
      </c>
      <c r="C288" s="16" t="s">
        <v>961</v>
      </c>
      <c r="D288" s="16" t="s">
        <v>962</v>
      </c>
      <c r="E288" s="16" t="s">
        <v>963</v>
      </c>
      <c r="F288" s="16"/>
      <c r="G288" s="16" t="s">
        <v>945</v>
      </c>
      <c r="H288" s="13"/>
      <c r="I288" s="13"/>
      <c r="J288" s="13"/>
      <c r="K288" s="13"/>
      <c r="L288" s="13"/>
      <c r="M288" s="13"/>
      <c r="N288" s="13"/>
      <c r="O288" s="13"/>
      <c r="P288" s="13"/>
      <c r="Q288" s="13"/>
      <c r="R288" s="13"/>
      <c r="S288" s="13"/>
      <c r="T288" s="13"/>
      <c r="U288" s="13"/>
      <c r="V288" s="13"/>
      <c r="W288" s="13"/>
      <c r="X288" s="13"/>
      <c r="Y288" s="13"/>
      <c r="Z288" s="13"/>
      <c r="AA288" s="13"/>
    </row>
    <row r="289" ht="20.25" customHeight="1">
      <c r="A289" s="19">
        <v>46049.0</v>
      </c>
      <c r="B289" s="16" t="s">
        <v>88</v>
      </c>
      <c r="C289" s="16" t="s">
        <v>964</v>
      </c>
      <c r="D289" s="16" t="s">
        <v>858</v>
      </c>
      <c r="E289" s="16" t="s">
        <v>45</v>
      </c>
      <c r="F289" s="16"/>
      <c r="G289" s="13"/>
      <c r="H289" s="13"/>
      <c r="I289" s="13"/>
      <c r="J289" s="13"/>
      <c r="K289" s="13"/>
      <c r="L289" s="13"/>
      <c r="M289" s="13"/>
      <c r="N289" s="13"/>
      <c r="O289" s="13"/>
      <c r="P289" s="13"/>
      <c r="Q289" s="13"/>
      <c r="R289" s="13"/>
      <c r="S289" s="13"/>
      <c r="T289" s="13"/>
      <c r="U289" s="13"/>
      <c r="V289" s="13"/>
      <c r="W289" s="13"/>
      <c r="X289" s="13"/>
      <c r="Y289" s="13"/>
      <c r="Z289" s="13"/>
      <c r="AA289" s="13"/>
    </row>
    <row r="290" ht="20.25" customHeight="1">
      <c r="A290" s="15">
        <v>46051.412314814814</v>
      </c>
      <c r="B290" s="16" t="s">
        <v>965</v>
      </c>
      <c r="C290" s="16" t="s">
        <v>386</v>
      </c>
      <c r="D290" s="16" t="s">
        <v>966</v>
      </c>
      <c r="E290" s="17" t="s">
        <v>967</v>
      </c>
      <c r="F290" s="16"/>
      <c r="G290" s="13"/>
      <c r="H290" s="13"/>
      <c r="I290" s="13"/>
      <c r="J290" s="13"/>
      <c r="K290" s="13"/>
      <c r="L290" s="13"/>
      <c r="M290" s="13"/>
      <c r="N290" s="13"/>
      <c r="O290" s="13"/>
      <c r="P290" s="13"/>
      <c r="Q290" s="13"/>
      <c r="R290" s="13"/>
      <c r="S290" s="13"/>
      <c r="T290" s="13"/>
      <c r="U290" s="13"/>
      <c r="V290" s="13"/>
      <c r="W290" s="13"/>
      <c r="X290" s="13"/>
      <c r="Y290" s="13"/>
      <c r="Z290" s="13"/>
      <c r="AA290" s="13"/>
    </row>
    <row r="291" ht="20.25" customHeight="1">
      <c r="A291" s="19">
        <v>46051.0</v>
      </c>
      <c r="B291" s="16" t="s">
        <v>917</v>
      </c>
      <c r="C291" s="16" t="s">
        <v>916</v>
      </c>
      <c r="D291" s="16" t="s">
        <v>968</v>
      </c>
      <c r="E291" s="16" t="s">
        <v>969</v>
      </c>
      <c r="F291" s="16"/>
      <c r="G291" s="13"/>
      <c r="H291" s="13"/>
      <c r="I291" s="13"/>
      <c r="J291" s="13"/>
      <c r="K291" s="13"/>
      <c r="L291" s="13"/>
      <c r="M291" s="13"/>
      <c r="N291" s="13"/>
      <c r="O291" s="13"/>
      <c r="P291" s="13"/>
      <c r="Q291" s="13"/>
      <c r="R291" s="13"/>
      <c r="S291" s="13"/>
      <c r="T291" s="13"/>
      <c r="U291" s="13"/>
      <c r="V291" s="13"/>
      <c r="W291" s="13"/>
      <c r="X291" s="13"/>
      <c r="Y291" s="13"/>
      <c r="Z291" s="13"/>
      <c r="AA291" s="13"/>
    </row>
    <row r="292" ht="20.25" customHeight="1">
      <c r="A292" s="19">
        <v>46051.0</v>
      </c>
      <c r="B292" s="16" t="s">
        <v>888</v>
      </c>
      <c r="C292" s="16" t="s">
        <v>887</v>
      </c>
      <c r="D292" s="16" t="s">
        <v>970</v>
      </c>
      <c r="E292" s="16" t="s">
        <v>971</v>
      </c>
      <c r="F292" s="16"/>
      <c r="G292" s="13"/>
      <c r="H292" s="13"/>
      <c r="I292" s="13"/>
      <c r="J292" s="13"/>
      <c r="K292" s="13"/>
      <c r="L292" s="13"/>
      <c r="M292" s="13"/>
      <c r="N292" s="13"/>
      <c r="O292" s="13"/>
      <c r="P292" s="13"/>
      <c r="Q292" s="13"/>
      <c r="R292" s="13"/>
      <c r="S292" s="13"/>
      <c r="T292" s="13"/>
      <c r="U292" s="13"/>
      <c r="V292" s="13"/>
      <c r="W292" s="13"/>
      <c r="X292" s="13"/>
      <c r="Y292" s="13"/>
      <c r="Z292" s="13"/>
      <c r="AA292" s="13"/>
    </row>
    <row r="293" ht="20.25" customHeight="1">
      <c r="A293" s="19">
        <v>46051.0</v>
      </c>
      <c r="B293" s="16" t="s">
        <v>972</v>
      </c>
      <c r="C293" s="16" t="s">
        <v>960</v>
      </c>
      <c r="D293" s="16" t="s">
        <v>973</v>
      </c>
      <c r="E293" s="16" t="s">
        <v>969</v>
      </c>
      <c r="F293" s="16"/>
      <c r="G293" s="13"/>
      <c r="H293" s="13"/>
      <c r="I293" s="13"/>
      <c r="J293" s="13"/>
      <c r="K293" s="13"/>
      <c r="L293" s="13"/>
      <c r="M293" s="13"/>
      <c r="N293" s="13"/>
      <c r="O293" s="13"/>
      <c r="P293" s="13"/>
      <c r="Q293" s="13"/>
      <c r="R293" s="13"/>
      <c r="S293" s="13"/>
      <c r="T293" s="13"/>
      <c r="U293" s="13"/>
      <c r="V293" s="13"/>
      <c r="W293" s="13"/>
      <c r="X293" s="13"/>
      <c r="Y293" s="13"/>
      <c r="Z293" s="13"/>
      <c r="AA293" s="13"/>
    </row>
    <row r="294" ht="20.25" customHeight="1">
      <c r="A294" s="19">
        <v>46051.0</v>
      </c>
      <c r="B294" s="16" t="s">
        <v>974</v>
      </c>
      <c r="C294" s="16" t="s">
        <v>975</v>
      </c>
      <c r="D294" s="16" t="s">
        <v>976</v>
      </c>
      <c r="E294" s="16" t="s">
        <v>969</v>
      </c>
      <c r="F294" s="16"/>
      <c r="G294" s="13"/>
      <c r="H294" s="13"/>
      <c r="I294" s="13"/>
      <c r="J294" s="13"/>
      <c r="K294" s="13"/>
      <c r="L294" s="13"/>
      <c r="M294" s="13"/>
      <c r="N294" s="13"/>
      <c r="O294" s="13"/>
      <c r="P294" s="13"/>
      <c r="Q294" s="13"/>
      <c r="R294" s="13"/>
      <c r="S294" s="13"/>
      <c r="T294" s="13"/>
      <c r="U294" s="13"/>
      <c r="V294" s="13"/>
      <c r="W294" s="13"/>
      <c r="X294" s="13"/>
      <c r="Y294" s="13"/>
      <c r="Z294" s="13"/>
      <c r="AA294" s="13"/>
    </row>
    <row r="295" ht="20.25" customHeight="1">
      <c r="A295" s="19">
        <v>46051.0</v>
      </c>
      <c r="B295" s="16" t="s">
        <v>977</v>
      </c>
      <c r="C295" s="16" t="s">
        <v>978</v>
      </c>
      <c r="D295" s="16" t="s">
        <v>979</v>
      </c>
      <c r="E295" s="16" t="s">
        <v>969</v>
      </c>
      <c r="F295" s="16"/>
      <c r="G295" s="13"/>
      <c r="H295" s="13"/>
      <c r="I295" s="13"/>
      <c r="J295" s="13"/>
      <c r="K295" s="13"/>
      <c r="L295" s="13"/>
      <c r="M295" s="13"/>
      <c r="N295" s="13"/>
      <c r="O295" s="13"/>
      <c r="P295" s="13"/>
      <c r="Q295" s="13"/>
      <c r="R295" s="13"/>
      <c r="S295" s="13"/>
      <c r="T295" s="13"/>
      <c r="U295" s="13"/>
      <c r="V295" s="13"/>
      <c r="W295" s="13"/>
      <c r="X295" s="13"/>
      <c r="Y295" s="13"/>
      <c r="Z295" s="13"/>
      <c r="AA295" s="13"/>
    </row>
    <row r="296" ht="20.25" customHeight="1">
      <c r="A296" s="19">
        <v>46051.0</v>
      </c>
      <c r="B296" s="16" t="s">
        <v>980</v>
      </c>
      <c r="C296" s="16" t="s">
        <v>981</v>
      </c>
      <c r="D296" s="16" t="s">
        <v>982</v>
      </c>
      <c r="E296" s="16" t="s">
        <v>971</v>
      </c>
      <c r="F296" s="16"/>
      <c r="G296" s="13"/>
      <c r="H296" s="13"/>
      <c r="I296" s="13"/>
      <c r="J296" s="13"/>
      <c r="K296" s="13"/>
      <c r="L296" s="13"/>
      <c r="M296" s="13"/>
      <c r="N296" s="13"/>
      <c r="O296" s="13"/>
      <c r="P296" s="13"/>
      <c r="Q296" s="13"/>
      <c r="R296" s="13"/>
      <c r="S296" s="13"/>
      <c r="T296" s="13"/>
      <c r="U296" s="13"/>
      <c r="V296" s="13"/>
      <c r="W296" s="13"/>
      <c r="X296" s="13"/>
      <c r="Y296" s="13"/>
      <c r="Z296" s="13"/>
      <c r="AA296" s="13"/>
    </row>
    <row r="297" ht="20.25" customHeight="1">
      <c r="A297" s="19">
        <v>46051.0</v>
      </c>
      <c r="B297" s="16" t="s">
        <v>983</v>
      </c>
      <c r="C297" s="16" t="s">
        <v>984</v>
      </c>
      <c r="D297" s="16" t="s">
        <v>985</v>
      </c>
      <c r="E297" s="16" t="s">
        <v>969</v>
      </c>
      <c r="F297" s="16"/>
      <c r="G297" s="13"/>
      <c r="H297" s="13"/>
      <c r="I297" s="13"/>
      <c r="J297" s="13"/>
      <c r="K297" s="13"/>
      <c r="L297" s="13"/>
      <c r="M297" s="13"/>
      <c r="N297" s="13"/>
      <c r="O297" s="13"/>
      <c r="P297" s="13"/>
      <c r="Q297" s="13"/>
      <c r="R297" s="13"/>
      <c r="S297" s="13"/>
      <c r="T297" s="13"/>
      <c r="U297" s="13"/>
      <c r="V297" s="13"/>
      <c r="W297" s="13"/>
      <c r="X297" s="13"/>
      <c r="Y297" s="13"/>
      <c r="Z297" s="13"/>
      <c r="AA297" s="13"/>
    </row>
    <row r="298" ht="20.25" customHeight="1">
      <c r="A298" s="19">
        <v>46051.0</v>
      </c>
      <c r="B298" s="17" t="s">
        <v>788</v>
      </c>
      <c r="C298" s="16" t="s">
        <v>787</v>
      </c>
      <c r="D298" s="16" t="s">
        <v>986</v>
      </c>
      <c r="E298" s="16" t="s">
        <v>971</v>
      </c>
      <c r="F298" s="16"/>
      <c r="G298" s="13"/>
      <c r="H298" s="13"/>
      <c r="I298" s="13"/>
      <c r="J298" s="13"/>
      <c r="K298" s="13"/>
      <c r="L298" s="13"/>
      <c r="M298" s="13"/>
      <c r="N298" s="13"/>
      <c r="O298" s="13"/>
      <c r="P298" s="13"/>
      <c r="Q298" s="13"/>
      <c r="R298" s="13"/>
      <c r="S298" s="13"/>
      <c r="T298" s="13"/>
      <c r="U298" s="13"/>
      <c r="V298" s="13"/>
      <c r="W298" s="13"/>
      <c r="X298" s="13"/>
      <c r="Y298" s="13"/>
      <c r="Z298" s="13"/>
      <c r="AA298" s="13"/>
    </row>
    <row r="299" ht="20.25" customHeight="1">
      <c r="A299" s="19">
        <v>46051.0</v>
      </c>
      <c r="B299" s="16" t="s">
        <v>789</v>
      </c>
      <c r="C299" s="16" t="s">
        <v>787</v>
      </c>
      <c r="D299" s="16" t="s">
        <v>987</v>
      </c>
      <c r="E299" s="16" t="s">
        <v>971</v>
      </c>
      <c r="F299" s="16"/>
      <c r="G299" s="13"/>
      <c r="H299" s="13"/>
      <c r="I299" s="13"/>
      <c r="J299" s="13"/>
      <c r="K299" s="13"/>
      <c r="L299" s="13"/>
      <c r="M299" s="13"/>
      <c r="N299" s="13"/>
      <c r="O299" s="13"/>
      <c r="P299" s="13"/>
      <c r="Q299" s="13"/>
      <c r="R299" s="13"/>
      <c r="S299" s="13"/>
      <c r="T299" s="13"/>
      <c r="U299" s="13"/>
      <c r="V299" s="13"/>
      <c r="W299" s="13"/>
      <c r="X299" s="13"/>
      <c r="Y299" s="13"/>
      <c r="Z299" s="13"/>
      <c r="AA299" s="13"/>
    </row>
    <row r="300" ht="20.25" customHeight="1">
      <c r="A300" s="19">
        <v>46051.0</v>
      </c>
      <c r="B300" s="13" t="s">
        <v>988</v>
      </c>
      <c r="C300" s="13" t="s">
        <v>989</v>
      </c>
      <c r="D300" s="13" t="s">
        <v>990</v>
      </c>
      <c r="E300" s="13"/>
      <c r="F300" s="13"/>
      <c r="G300" s="13"/>
      <c r="H300" s="13"/>
      <c r="I300" s="13"/>
      <c r="J300" s="13"/>
      <c r="K300" s="13"/>
      <c r="L300" s="13"/>
      <c r="M300" s="20"/>
      <c r="N300" s="20"/>
      <c r="O300" s="20"/>
      <c r="P300" s="20"/>
      <c r="Q300" s="20"/>
      <c r="R300" s="20"/>
      <c r="S300" s="20"/>
      <c r="T300" s="20"/>
      <c r="U300" s="20"/>
      <c r="V300" s="20"/>
      <c r="W300" s="13"/>
      <c r="X300" s="13"/>
      <c r="Y300" s="13"/>
      <c r="Z300" s="13"/>
      <c r="AA300" s="13"/>
    </row>
    <row r="301" ht="20.25" customHeight="1">
      <c r="A301" s="19">
        <v>46051.0</v>
      </c>
      <c r="B301" s="13" t="s">
        <v>778</v>
      </c>
      <c r="C301" s="13" t="s">
        <v>779</v>
      </c>
      <c r="D301" s="13" t="s">
        <v>991</v>
      </c>
      <c r="E301" s="13"/>
      <c r="F301" s="13"/>
      <c r="G301" s="13"/>
      <c r="H301" s="13"/>
      <c r="I301" s="13"/>
      <c r="J301" s="13"/>
      <c r="K301" s="13"/>
      <c r="L301" s="13"/>
      <c r="M301" s="20"/>
      <c r="N301" s="20"/>
      <c r="O301" s="20"/>
      <c r="P301" s="20"/>
      <c r="Q301" s="20"/>
      <c r="R301" s="20"/>
      <c r="S301" s="20"/>
      <c r="T301" s="20"/>
      <c r="U301" s="20"/>
      <c r="V301" s="20"/>
      <c r="W301" s="13"/>
      <c r="X301" s="13"/>
      <c r="Y301" s="13"/>
      <c r="Z301" s="13"/>
      <c r="AA301" s="13"/>
    </row>
    <row r="302" ht="20.25" customHeight="1">
      <c r="A302" s="19">
        <v>46052.0</v>
      </c>
      <c r="B302" s="13" t="s">
        <v>992</v>
      </c>
      <c r="C302" s="13" t="s">
        <v>993</v>
      </c>
      <c r="D302" s="13" t="s">
        <v>994</v>
      </c>
      <c r="E302" s="13"/>
      <c r="F302" s="13"/>
      <c r="G302" s="13"/>
      <c r="H302" s="13"/>
      <c r="I302" s="13"/>
      <c r="J302" s="13"/>
      <c r="K302" s="13"/>
      <c r="L302" s="13"/>
      <c r="M302" s="20"/>
      <c r="N302" s="20"/>
      <c r="O302" s="20"/>
      <c r="P302" s="20"/>
      <c r="Q302" s="20"/>
      <c r="R302" s="20"/>
      <c r="S302" s="20"/>
      <c r="T302" s="20"/>
      <c r="U302" s="20"/>
      <c r="V302" s="20"/>
      <c r="W302" s="13"/>
      <c r="X302" s="13"/>
      <c r="Y302" s="13"/>
      <c r="Z302" s="13"/>
      <c r="AA302" s="13"/>
    </row>
    <row r="303" ht="20.25" customHeight="1">
      <c r="A303" s="15">
        <v>46052.48121527778</v>
      </c>
      <c r="B303" s="16" t="s">
        <v>995</v>
      </c>
      <c r="C303" s="16" t="s">
        <v>775</v>
      </c>
      <c r="D303" s="16" t="s">
        <v>996</v>
      </c>
      <c r="E303" s="17" t="s">
        <v>997</v>
      </c>
      <c r="F303" s="16"/>
      <c r="G303" s="13"/>
      <c r="H303" s="13"/>
      <c r="I303" s="13"/>
      <c r="J303" s="13"/>
      <c r="K303" s="13"/>
      <c r="L303" s="13"/>
      <c r="M303" s="13"/>
      <c r="N303" s="13"/>
      <c r="O303" s="13"/>
      <c r="P303" s="13"/>
      <c r="Q303" s="13"/>
      <c r="R303" s="13"/>
      <c r="S303" s="13"/>
      <c r="T303" s="13"/>
      <c r="U303" s="13"/>
      <c r="V303" s="13"/>
      <c r="W303" s="13"/>
      <c r="X303" s="13"/>
      <c r="Y303" s="13"/>
      <c r="Z303" s="13"/>
      <c r="AA303" s="13"/>
    </row>
    <row r="304" ht="20.25" customHeight="1">
      <c r="A304" s="19">
        <v>46052.0</v>
      </c>
      <c r="B304" s="16" t="s">
        <v>998</v>
      </c>
      <c r="C304" s="16" t="s">
        <v>220</v>
      </c>
      <c r="D304" s="16" t="s">
        <v>999</v>
      </c>
      <c r="E304" s="16"/>
      <c r="F304" s="16"/>
      <c r="G304" s="16"/>
      <c r="H304" s="13"/>
      <c r="I304" s="13"/>
      <c r="J304" s="13"/>
      <c r="K304" s="13"/>
      <c r="L304" s="13"/>
      <c r="M304" s="13"/>
      <c r="N304" s="13"/>
      <c r="O304" s="13"/>
      <c r="P304" s="13"/>
      <c r="Q304" s="13"/>
      <c r="R304" s="13"/>
      <c r="S304" s="13"/>
      <c r="T304" s="13"/>
      <c r="U304" s="13"/>
      <c r="V304" s="13"/>
      <c r="W304" s="13"/>
      <c r="X304" s="13"/>
      <c r="Y304" s="13"/>
      <c r="Z304" s="13"/>
      <c r="AA304" s="13"/>
    </row>
    <row r="305" ht="20.25" customHeight="1">
      <c r="A305" s="19">
        <v>46052.0</v>
      </c>
      <c r="B305" s="13" t="s">
        <v>1000</v>
      </c>
      <c r="C305" s="13" t="s">
        <v>842</v>
      </c>
      <c r="D305" s="13" t="s">
        <v>1001</v>
      </c>
      <c r="E305" s="13"/>
      <c r="F305" s="13"/>
      <c r="G305" s="13"/>
      <c r="H305" s="13"/>
      <c r="I305" s="13"/>
      <c r="J305" s="13"/>
      <c r="K305" s="13"/>
      <c r="L305" s="13"/>
      <c r="M305" s="20"/>
      <c r="N305" s="20"/>
      <c r="O305" s="20"/>
      <c r="P305" s="20"/>
      <c r="Q305" s="20"/>
      <c r="R305" s="20"/>
      <c r="S305" s="20"/>
      <c r="T305" s="20"/>
      <c r="U305" s="20"/>
      <c r="V305" s="20"/>
      <c r="W305" s="13"/>
      <c r="X305" s="13"/>
      <c r="Y305" s="13"/>
      <c r="Z305" s="13"/>
      <c r="AA305" s="13"/>
    </row>
    <row r="306" ht="20.25" customHeight="1">
      <c r="A306" s="19">
        <v>46052.0</v>
      </c>
      <c r="B306" s="13" t="s">
        <v>1000</v>
      </c>
      <c r="C306" s="13" t="s">
        <v>842</v>
      </c>
      <c r="D306" s="13" t="s">
        <v>1002</v>
      </c>
      <c r="E306" s="13"/>
      <c r="F306" s="13"/>
      <c r="G306" s="13"/>
      <c r="H306" s="13"/>
      <c r="I306" s="13"/>
      <c r="J306" s="13"/>
      <c r="K306" s="13"/>
      <c r="L306" s="13"/>
      <c r="M306" s="20"/>
      <c r="N306" s="20"/>
      <c r="O306" s="20"/>
      <c r="P306" s="20"/>
      <c r="Q306" s="20"/>
      <c r="R306" s="20"/>
      <c r="S306" s="20"/>
      <c r="T306" s="20"/>
      <c r="U306" s="20"/>
      <c r="V306" s="20"/>
      <c r="W306" s="13"/>
      <c r="X306" s="13"/>
      <c r="Y306" s="13"/>
      <c r="Z306" s="13"/>
      <c r="AA306" s="13"/>
    </row>
    <row r="307" ht="20.25" customHeight="1">
      <c r="A307" s="19">
        <v>46052.0</v>
      </c>
      <c r="B307" s="13" t="s">
        <v>841</v>
      </c>
      <c r="C307" s="13" t="s">
        <v>842</v>
      </c>
      <c r="D307" s="13" t="s">
        <v>1003</v>
      </c>
      <c r="E307" s="13"/>
      <c r="F307" s="13"/>
      <c r="G307" s="13"/>
      <c r="H307" s="13"/>
      <c r="I307" s="13"/>
      <c r="J307" s="13"/>
      <c r="K307" s="13"/>
      <c r="L307" s="13"/>
      <c r="M307" s="20"/>
      <c r="N307" s="20"/>
      <c r="O307" s="20"/>
      <c r="P307" s="20"/>
      <c r="Q307" s="20"/>
      <c r="R307" s="20"/>
      <c r="S307" s="20"/>
      <c r="T307" s="20"/>
      <c r="U307" s="20"/>
      <c r="V307" s="20"/>
      <c r="W307" s="13"/>
      <c r="X307" s="13"/>
      <c r="Y307" s="13"/>
      <c r="Z307" s="13"/>
      <c r="AA307" s="13"/>
    </row>
    <row r="308" ht="20.25" customHeight="1">
      <c r="A308" s="15">
        <v>46052.497511574074</v>
      </c>
      <c r="B308" s="16" t="s">
        <v>1004</v>
      </c>
      <c r="C308" s="16" t="s">
        <v>1005</v>
      </c>
      <c r="D308" s="16" t="s">
        <v>1006</v>
      </c>
      <c r="E308" s="17" t="s">
        <v>1007</v>
      </c>
      <c r="F308" s="16"/>
      <c r="G308" s="13"/>
      <c r="H308" s="13"/>
      <c r="I308" s="13"/>
      <c r="J308" s="13"/>
      <c r="K308" s="13"/>
      <c r="L308" s="13"/>
      <c r="M308" s="13"/>
      <c r="N308" s="13"/>
      <c r="O308" s="13"/>
      <c r="P308" s="13"/>
      <c r="Q308" s="13"/>
      <c r="R308" s="13"/>
      <c r="S308" s="13"/>
      <c r="T308" s="13"/>
      <c r="U308" s="13"/>
      <c r="V308" s="13"/>
      <c r="W308" s="13"/>
      <c r="X308" s="13"/>
      <c r="Y308" s="13"/>
      <c r="Z308" s="13"/>
      <c r="AA308" s="13"/>
    </row>
    <row r="309" ht="20.25" customHeight="1">
      <c r="A309" s="19">
        <v>46051.0</v>
      </c>
      <c r="B309" s="16" t="s">
        <v>1008</v>
      </c>
      <c r="C309" s="16" t="s">
        <v>1009</v>
      </c>
      <c r="D309" s="16" t="s">
        <v>1010</v>
      </c>
      <c r="E309" s="16"/>
      <c r="F309" s="16"/>
      <c r="G309" s="16"/>
      <c r="H309" s="13"/>
      <c r="I309" s="13"/>
      <c r="J309" s="13"/>
      <c r="K309" s="13"/>
      <c r="L309" s="13"/>
      <c r="M309" s="13"/>
      <c r="N309" s="13"/>
      <c r="O309" s="13"/>
      <c r="P309" s="13"/>
      <c r="Q309" s="13"/>
      <c r="R309" s="13"/>
      <c r="S309" s="13"/>
      <c r="T309" s="13"/>
      <c r="U309" s="13"/>
      <c r="V309" s="13"/>
      <c r="W309" s="13"/>
      <c r="X309" s="13"/>
      <c r="Y309" s="13"/>
      <c r="Z309" s="13"/>
      <c r="AA309" s="13"/>
    </row>
    <row r="310" ht="20.25" customHeight="1">
      <c r="A310" s="19">
        <v>46051.0</v>
      </c>
      <c r="B310" s="13" t="s">
        <v>1011</v>
      </c>
      <c r="C310" s="13" t="s">
        <v>1012</v>
      </c>
      <c r="D310" s="13" t="s">
        <v>1013</v>
      </c>
      <c r="E310" s="13"/>
      <c r="F310" s="13"/>
      <c r="G310" s="13"/>
      <c r="H310" s="13"/>
      <c r="I310" s="13"/>
      <c r="J310" s="13"/>
      <c r="K310" s="13"/>
      <c r="L310" s="13"/>
      <c r="M310" s="20"/>
      <c r="N310" s="20"/>
      <c r="O310" s="20"/>
      <c r="P310" s="20"/>
      <c r="Q310" s="20"/>
      <c r="R310" s="20"/>
      <c r="S310" s="20"/>
      <c r="T310" s="20"/>
      <c r="U310" s="20"/>
      <c r="V310" s="20"/>
      <c r="W310" s="13"/>
      <c r="X310" s="13"/>
      <c r="Y310" s="13"/>
      <c r="Z310" s="13"/>
      <c r="AA310" s="13"/>
    </row>
    <row r="311" ht="20.25" customHeight="1">
      <c r="A311" s="19">
        <v>46051.0</v>
      </c>
      <c r="B311" s="13" t="s">
        <v>1011</v>
      </c>
      <c r="C311" s="13" t="s">
        <v>998</v>
      </c>
      <c r="D311" s="13" t="s">
        <v>1014</v>
      </c>
      <c r="E311" s="13"/>
      <c r="F311" s="13"/>
      <c r="G311" s="13"/>
      <c r="H311" s="13"/>
      <c r="I311" s="13"/>
      <c r="J311" s="13"/>
      <c r="K311" s="13"/>
      <c r="L311" s="13"/>
      <c r="M311" s="20"/>
      <c r="N311" s="20"/>
      <c r="O311" s="20"/>
      <c r="P311" s="20"/>
      <c r="Q311" s="20"/>
      <c r="R311" s="20"/>
      <c r="S311" s="20"/>
      <c r="T311" s="20"/>
      <c r="U311" s="20"/>
      <c r="V311" s="20"/>
      <c r="W311" s="13"/>
      <c r="X311" s="13"/>
      <c r="Y311" s="13"/>
      <c r="Z311" s="13"/>
      <c r="AA311" s="13"/>
    </row>
    <row r="312" ht="20.25" customHeight="1">
      <c r="A312" s="19">
        <v>46051.0</v>
      </c>
      <c r="B312" s="13" t="s">
        <v>1011</v>
      </c>
      <c r="C312" s="13" t="s">
        <v>1015</v>
      </c>
      <c r="D312" s="13" t="s">
        <v>1016</v>
      </c>
      <c r="E312" s="13"/>
      <c r="F312" s="13"/>
      <c r="G312" s="13"/>
      <c r="H312" s="13"/>
      <c r="I312" s="13"/>
      <c r="J312" s="13"/>
      <c r="K312" s="13"/>
      <c r="L312" s="13"/>
      <c r="M312" s="20"/>
      <c r="N312" s="20"/>
      <c r="O312" s="20"/>
      <c r="P312" s="20"/>
      <c r="Q312" s="20"/>
      <c r="R312" s="20"/>
      <c r="S312" s="20"/>
      <c r="T312" s="20"/>
      <c r="U312" s="20"/>
      <c r="V312" s="20"/>
      <c r="W312" s="13"/>
      <c r="X312" s="13"/>
      <c r="Y312" s="13"/>
      <c r="Z312" s="13"/>
      <c r="AA312" s="13"/>
    </row>
    <row r="313" ht="20.25" customHeight="1">
      <c r="A313" s="19">
        <v>46051.0</v>
      </c>
      <c r="B313" s="13" t="s">
        <v>1011</v>
      </c>
      <c r="C313" s="13" t="s">
        <v>1015</v>
      </c>
      <c r="D313" s="13" t="s">
        <v>1017</v>
      </c>
      <c r="E313" s="13"/>
      <c r="F313" s="13"/>
      <c r="G313" s="13"/>
      <c r="H313" s="13"/>
      <c r="I313" s="13"/>
      <c r="J313" s="13"/>
      <c r="K313" s="13"/>
      <c r="L313" s="13"/>
      <c r="M313" s="20"/>
      <c r="N313" s="20"/>
      <c r="O313" s="20"/>
      <c r="P313" s="20"/>
      <c r="Q313" s="20"/>
      <c r="R313" s="20"/>
      <c r="S313" s="20"/>
      <c r="T313" s="20"/>
      <c r="U313" s="20"/>
      <c r="V313" s="20"/>
      <c r="W313" s="13"/>
      <c r="X313" s="13"/>
      <c r="Y313" s="13"/>
      <c r="Z313" s="13"/>
      <c r="AA313" s="13"/>
    </row>
    <row r="314" ht="20.25" customHeight="1">
      <c r="A314" s="19">
        <v>46051.0</v>
      </c>
      <c r="B314" s="13" t="s">
        <v>1011</v>
      </c>
      <c r="C314" s="13" t="s">
        <v>1018</v>
      </c>
      <c r="D314" s="13" t="s">
        <v>1019</v>
      </c>
      <c r="E314" s="13"/>
      <c r="F314" s="13"/>
      <c r="G314" s="13"/>
      <c r="H314" s="13"/>
      <c r="I314" s="13"/>
      <c r="J314" s="13"/>
      <c r="K314" s="13"/>
      <c r="L314" s="13"/>
      <c r="M314" s="20"/>
      <c r="N314" s="20"/>
      <c r="O314" s="20"/>
      <c r="P314" s="20"/>
      <c r="Q314" s="20"/>
      <c r="R314" s="20"/>
      <c r="S314" s="20"/>
      <c r="T314" s="20"/>
      <c r="U314" s="20"/>
      <c r="V314" s="20"/>
      <c r="W314" s="13"/>
      <c r="X314" s="13"/>
      <c r="Y314" s="13"/>
      <c r="Z314" s="13"/>
      <c r="AA314" s="13"/>
    </row>
    <row r="315" ht="20.25" customHeight="1">
      <c r="A315" s="19">
        <v>46051.0</v>
      </c>
      <c r="B315" s="13" t="s">
        <v>1011</v>
      </c>
      <c r="C315" s="13" t="s">
        <v>998</v>
      </c>
      <c r="D315" s="13" t="s">
        <v>1020</v>
      </c>
      <c r="E315" s="13"/>
      <c r="F315" s="13"/>
      <c r="G315" s="13"/>
      <c r="H315" s="13"/>
      <c r="I315" s="13"/>
      <c r="J315" s="13"/>
      <c r="K315" s="13"/>
      <c r="L315" s="13"/>
      <c r="M315" s="20"/>
      <c r="N315" s="20"/>
      <c r="O315" s="20"/>
      <c r="P315" s="20"/>
      <c r="Q315" s="20"/>
      <c r="R315" s="20"/>
      <c r="S315" s="20"/>
      <c r="T315" s="20"/>
      <c r="U315" s="20"/>
      <c r="V315" s="20"/>
      <c r="W315" s="13"/>
      <c r="X315" s="13"/>
      <c r="Y315" s="13"/>
      <c r="Z315" s="13"/>
      <c r="AA315" s="13"/>
    </row>
    <row r="316" ht="20.25" customHeight="1">
      <c r="A316" s="19">
        <v>46058.0</v>
      </c>
      <c r="B316" s="13" t="s">
        <v>1021</v>
      </c>
      <c r="C316" s="13" t="s">
        <v>1022</v>
      </c>
      <c r="D316" s="13" t="s">
        <v>971</v>
      </c>
      <c r="E316" s="13" t="s">
        <v>1023</v>
      </c>
      <c r="F316" s="13"/>
      <c r="G316" s="13" t="s">
        <v>1024</v>
      </c>
      <c r="H316" s="13" t="s">
        <v>1025</v>
      </c>
      <c r="I316" s="13" t="s">
        <v>1026</v>
      </c>
      <c r="J316" s="13" t="s">
        <v>1027</v>
      </c>
      <c r="K316" s="13" t="s">
        <v>1028</v>
      </c>
      <c r="L316" s="13" t="s">
        <v>945</v>
      </c>
      <c r="M316" s="20"/>
      <c r="N316" s="20"/>
      <c r="O316" s="20"/>
      <c r="P316" s="20"/>
      <c r="Q316" s="20"/>
      <c r="R316" s="20"/>
      <c r="S316" s="20"/>
      <c r="T316" s="20"/>
      <c r="U316" s="20"/>
      <c r="V316" s="20"/>
      <c r="W316" s="13"/>
      <c r="X316" s="13"/>
      <c r="Y316" s="13"/>
      <c r="Z316" s="13"/>
      <c r="AA316" s="13"/>
    </row>
    <row r="317" ht="20.25" customHeight="1">
      <c r="A317" s="19">
        <v>46056.0</v>
      </c>
      <c r="B317" s="13" t="s">
        <v>1029</v>
      </c>
      <c r="C317" s="13" t="s">
        <v>1030</v>
      </c>
      <c r="D317" s="13" t="s">
        <v>971</v>
      </c>
      <c r="E317" s="13" t="s">
        <v>1031</v>
      </c>
      <c r="F317" s="13"/>
      <c r="G317" s="13" t="s">
        <v>1032</v>
      </c>
      <c r="H317" s="13" t="s">
        <v>1025</v>
      </c>
      <c r="I317" s="13" t="s">
        <v>1026</v>
      </c>
      <c r="J317" s="13" t="s">
        <v>1033</v>
      </c>
      <c r="K317" s="13" t="s">
        <v>1028</v>
      </c>
      <c r="L317" s="13"/>
      <c r="M317" s="20"/>
      <c r="N317" s="20"/>
      <c r="O317" s="20"/>
      <c r="P317" s="20"/>
      <c r="Q317" s="20"/>
      <c r="R317" s="20"/>
      <c r="S317" s="20"/>
      <c r="T317" s="20"/>
      <c r="U317" s="20"/>
      <c r="V317" s="20"/>
      <c r="W317" s="13"/>
      <c r="X317" s="13"/>
      <c r="Y317" s="13"/>
      <c r="Z317" s="13"/>
      <c r="AA317" s="13"/>
    </row>
    <row r="318" ht="20.25" customHeight="1">
      <c r="A318" s="19">
        <v>46056.0</v>
      </c>
      <c r="B318" s="13" t="s">
        <v>1029</v>
      </c>
      <c r="C318" s="13" t="s">
        <v>1034</v>
      </c>
      <c r="D318" s="13" t="s">
        <v>971</v>
      </c>
      <c r="E318" s="13" t="s">
        <v>1035</v>
      </c>
      <c r="F318" s="13"/>
      <c r="G318" s="13" t="s">
        <v>1036</v>
      </c>
      <c r="H318" s="13" t="s">
        <v>1025</v>
      </c>
      <c r="I318" s="13" t="s">
        <v>1026</v>
      </c>
      <c r="J318" s="13" t="s">
        <v>1033</v>
      </c>
      <c r="K318" s="13" t="s">
        <v>1028</v>
      </c>
      <c r="L318" s="13"/>
      <c r="M318" s="20"/>
      <c r="N318" s="20"/>
      <c r="O318" s="20"/>
      <c r="P318" s="20"/>
      <c r="Q318" s="20"/>
      <c r="R318" s="20"/>
      <c r="S318" s="20"/>
      <c r="T318" s="20"/>
      <c r="U318" s="20"/>
      <c r="V318" s="20"/>
      <c r="W318" s="13"/>
      <c r="X318" s="13"/>
      <c r="Y318" s="13"/>
      <c r="Z318" s="13"/>
      <c r="AA318" s="13"/>
    </row>
    <row r="319" ht="20.25" customHeight="1">
      <c r="A319" s="19">
        <v>46054.0</v>
      </c>
      <c r="B319" s="13" t="s">
        <v>1037</v>
      </c>
      <c r="C319" s="13" t="s">
        <v>1038</v>
      </c>
      <c r="D319" s="13" t="s">
        <v>971</v>
      </c>
      <c r="E319" s="13" t="s">
        <v>1031</v>
      </c>
      <c r="F319" s="13"/>
      <c r="G319" s="13" t="s">
        <v>1039</v>
      </c>
      <c r="H319" s="13" t="s">
        <v>1025</v>
      </c>
      <c r="I319" s="13" t="s">
        <v>1026</v>
      </c>
      <c r="J319" s="13" t="s">
        <v>1040</v>
      </c>
      <c r="K319" s="13" t="s">
        <v>1028</v>
      </c>
      <c r="L319" s="13"/>
      <c r="M319" s="20"/>
      <c r="N319" s="20"/>
      <c r="O319" s="20"/>
      <c r="P319" s="20"/>
      <c r="Q319" s="20"/>
      <c r="R319" s="20"/>
      <c r="S319" s="20"/>
      <c r="T319" s="20"/>
      <c r="U319" s="20"/>
      <c r="V319" s="20"/>
      <c r="W319" s="13"/>
      <c r="X319" s="13"/>
      <c r="Y319" s="13"/>
      <c r="Z319" s="13"/>
      <c r="AA319" s="13"/>
    </row>
    <row r="320" ht="20.25" customHeight="1">
      <c r="A320" s="19">
        <v>46052.0</v>
      </c>
      <c r="B320" s="13" t="s">
        <v>1041</v>
      </c>
      <c r="C320" s="13" t="s">
        <v>1042</v>
      </c>
      <c r="D320" s="13" t="s">
        <v>971</v>
      </c>
      <c r="E320" s="13" t="s">
        <v>1043</v>
      </c>
      <c r="F320" s="13"/>
      <c r="G320" s="13" t="s">
        <v>1044</v>
      </c>
      <c r="H320" s="13" t="s">
        <v>1025</v>
      </c>
      <c r="I320" s="13" t="s">
        <v>1026</v>
      </c>
      <c r="J320" s="13" t="s">
        <v>1045</v>
      </c>
      <c r="K320" s="13" t="s">
        <v>1028</v>
      </c>
      <c r="L320" s="13"/>
      <c r="M320" s="20"/>
      <c r="N320" s="20"/>
      <c r="O320" s="20"/>
      <c r="P320" s="20"/>
      <c r="Q320" s="20"/>
      <c r="R320" s="20"/>
      <c r="S320" s="20"/>
      <c r="T320" s="20"/>
      <c r="U320" s="20"/>
      <c r="V320" s="20"/>
      <c r="W320" s="13"/>
      <c r="X320" s="13"/>
      <c r="Y320" s="13"/>
      <c r="Z320" s="13"/>
      <c r="AA320" s="13"/>
    </row>
    <row r="321" ht="20.25" customHeight="1">
      <c r="A321" s="19">
        <v>46058.0</v>
      </c>
      <c r="B321" s="16" t="s">
        <v>381</v>
      </c>
      <c r="C321" s="16" t="s">
        <v>1046</v>
      </c>
      <c r="D321" s="16" t="s">
        <v>969</v>
      </c>
      <c r="E321" s="16" t="s">
        <v>1047</v>
      </c>
      <c r="F321" s="16"/>
      <c r="G321" s="16" t="s">
        <v>1048</v>
      </c>
      <c r="H321" s="16" t="s">
        <v>1025</v>
      </c>
      <c r="I321" s="16" t="s">
        <v>1049</v>
      </c>
      <c r="J321" s="16" t="s">
        <v>1050</v>
      </c>
      <c r="K321" s="16" t="s">
        <v>1028</v>
      </c>
      <c r="L321" s="13"/>
      <c r="M321" s="13"/>
      <c r="N321" s="13"/>
      <c r="O321" s="13"/>
      <c r="P321" s="13"/>
      <c r="Q321" s="13"/>
      <c r="R321" s="13"/>
      <c r="S321" s="13"/>
      <c r="T321" s="13"/>
      <c r="U321" s="13"/>
      <c r="V321" s="13"/>
      <c r="W321" s="13"/>
      <c r="X321" s="13"/>
      <c r="Y321" s="13"/>
      <c r="Z321" s="13"/>
      <c r="AA321" s="13"/>
    </row>
    <row r="322" ht="20.25" customHeight="1">
      <c r="A322" s="19">
        <v>46058.0</v>
      </c>
      <c r="B322" s="16" t="s">
        <v>381</v>
      </c>
      <c r="C322" s="16" t="s">
        <v>1051</v>
      </c>
      <c r="D322" s="16" t="s">
        <v>969</v>
      </c>
      <c r="E322" s="16" t="s">
        <v>1052</v>
      </c>
      <c r="F322" s="16"/>
      <c r="G322" s="16" t="s">
        <v>1053</v>
      </c>
      <c r="H322" s="16" t="s">
        <v>1025</v>
      </c>
      <c r="I322" s="16" t="s">
        <v>1049</v>
      </c>
      <c r="J322" s="16" t="s">
        <v>1050</v>
      </c>
      <c r="K322" s="16" t="s">
        <v>1028</v>
      </c>
      <c r="L322" s="13"/>
      <c r="M322" s="13"/>
      <c r="N322" s="13"/>
      <c r="O322" s="13"/>
      <c r="P322" s="13"/>
      <c r="Q322" s="13"/>
      <c r="R322" s="13"/>
      <c r="S322" s="13"/>
      <c r="T322" s="13"/>
      <c r="U322" s="13"/>
      <c r="V322" s="13"/>
      <c r="W322" s="13"/>
      <c r="X322" s="13"/>
      <c r="Y322" s="13"/>
      <c r="Z322" s="13"/>
      <c r="AA322" s="13"/>
    </row>
    <row r="323" ht="20.25" customHeight="1">
      <c r="A323" s="19">
        <v>46058.0</v>
      </c>
      <c r="B323" s="13" t="s">
        <v>1054</v>
      </c>
      <c r="C323" s="13" t="s">
        <v>1055</v>
      </c>
      <c r="D323" s="13"/>
      <c r="E323" s="13" t="s">
        <v>909</v>
      </c>
      <c r="F323" s="13"/>
      <c r="G323" s="13" t="s">
        <v>1056</v>
      </c>
      <c r="H323" s="13" t="s">
        <v>1057</v>
      </c>
      <c r="I323" s="13" t="s">
        <v>1058</v>
      </c>
      <c r="J323" s="13" t="s">
        <v>1059</v>
      </c>
      <c r="K323" s="13" t="s">
        <v>1028</v>
      </c>
      <c r="L323" s="13" t="s">
        <v>945</v>
      </c>
      <c r="M323" s="20"/>
      <c r="N323" s="20"/>
      <c r="O323" s="20"/>
      <c r="P323" s="20"/>
      <c r="Q323" s="20"/>
      <c r="R323" s="20"/>
      <c r="S323" s="20"/>
      <c r="T323" s="20"/>
      <c r="U323" s="20"/>
      <c r="V323" s="20"/>
      <c r="W323" s="13"/>
      <c r="X323" s="13"/>
      <c r="Y323" s="13"/>
      <c r="Z323" s="13"/>
      <c r="AA323" s="13"/>
    </row>
    <row r="324" ht="20.25" customHeight="1">
      <c r="A324" s="19">
        <v>46058.0</v>
      </c>
      <c r="B324" s="13" t="s">
        <v>1060</v>
      </c>
      <c r="C324" s="13" t="s">
        <v>1061</v>
      </c>
      <c r="D324" s="13"/>
      <c r="E324" s="13" t="s">
        <v>874</v>
      </c>
      <c r="F324" s="13"/>
      <c r="G324" s="13" t="s">
        <v>1062</v>
      </c>
      <c r="H324" s="13" t="s">
        <v>1063</v>
      </c>
      <c r="I324" s="13" t="s">
        <v>1064</v>
      </c>
      <c r="J324" s="13" t="s">
        <v>1065</v>
      </c>
      <c r="K324" s="13" t="s">
        <v>1028</v>
      </c>
      <c r="L324" s="13"/>
      <c r="M324" s="20"/>
      <c r="N324" s="20"/>
      <c r="O324" s="20"/>
      <c r="P324" s="20"/>
      <c r="Q324" s="20"/>
      <c r="R324" s="20"/>
      <c r="S324" s="20"/>
      <c r="T324" s="20"/>
      <c r="U324" s="20"/>
      <c r="V324" s="20"/>
      <c r="W324" s="13"/>
      <c r="X324" s="13"/>
      <c r="Y324" s="13"/>
      <c r="Z324" s="13"/>
      <c r="AA324" s="13"/>
    </row>
    <row r="325" ht="20.25" customHeight="1">
      <c r="A325" s="21">
        <v>46052.0</v>
      </c>
      <c r="B325" s="22" t="s">
        <v>1011</v>
      </c>
      <c r="C325" s="22" t="s">
        <v>1041</v>
      </c>
      <c r="D325" s="22" t="s">
        <v>1042</v>
      </c>
      <c r="E325" s="22" t="s">
        <v>971</v>
      </c>
      <c r="F325" s="22"/>
      <c r="G325" s="22" t="s">
        <v>1044</v>
      </c>
      <c r="H325" s="22" t="s">
        <v>1025</v>
      </c>
      <c r="I325" s="22" t="s">
        <v>1026</v>
      </c>
      <c r="J325" s="22" t="s">
        <v>1045</v>
      </c>
      <c r="K325" s="22" t="s">
        <v>1028</v>
      </c>
      <c r="L325" s="13"/>
      <c r="M325" s="13"/>
      <c r="N325" s="13"/>
      <c r="O325" s="13"/>
      <c r="P325" s="13"/>
      <c r="Q325" s="13"/>
      <c r="R325" s="13"/>
      <c r="S325" s="13"/>
      <c r="T325" s="13"/>
      <c r="U325" s="13"/>
      <c r="V325" s="13"/>
      <c r="W325" s="13"/>
      <c r="X325" s="13"/>
      <c r="Y325" s="13"/>
      <c r="Z325" s="13"/>
      <c r="AA325" s="13"/>
    </row>
    <row r="326" ht="20.25" customHeight="1">
      <c r="A326" s="23">
        <v>46059.409375</v>
      </c>
      <c r="B326" s="22" t="s">
        <v>1066</v>
      </c>
      <c r="C326" s="22" t="s">
        <v>416</v>
      </c>
      <c r="D326" s="22" t="s">
        <v>1067</v>
      </c>
      <c r="E326" s="24" t="s">
        <v>1068</v>
      </c>
      <c r="F326" s="22"/>
      <c r="G326" s="13"/>
      <c r="H326" s="13"/>
      <c r="I326" s="13"/>
      <c r="J326" s="13"/>
      <c r="K326" s="13"/>
      <c r="L326" s="13"/>
      <c r="M326" s="13"/>
      <c r="N326" s="13"/>
      <c r="O326" s="13"/>
      <c r="P326" s="13"/>
      <c r="Q326" s="13"/>
      <c r="R326" s="13"/>
      <c r="S326" s="13"/>
      <c r="T326" s="13"/>
      <c r="U326" s="13"/>
      <c r="V326" s="13"/>
      <c r="W326" s="13"/>
      <c r="X326" s="13"/>
      <c r="Y326" s="13"/>
      <c r="Z326" s="13"/>
      <c r="AA326" s="13"/>
    </row>
    <row r="327" ht="20.25" customHeight="1">
      <c r="A327" s="23">
        <v>46059.44704861111</v>
      </c>
      <c r="B327" s="22" t="s">
        <v>1069</v>
      </c>
      <c r="C327" s="22" t="s">
        <v>1070</v>
      </c>
      <c r="D327" s="22" t="s">
        <v>1071</v>
      </c>
      <c r="E327" s="24" t="s">
        <v>1072</v>
      </c>
      <c r="F327" s="22"/>
      <c r="G327" s="13"/>
      <c r="H327" s="13"/>
      <c r="I327" s="13"/>
      <c r="J327" s="13"/>
      <c r="K327" s="13"/>
      <c r="L327" s="13"/>
      <c r="M327" s="13"/>
      <c r="N327" s="13"/>
      <c r="O327" s="13"/>
      <c r="P327" s="13"/>
      <c r="Q327" s="13"/>
      <c r="R327" s="13"/>
      <c r="S327" s="13"/>
      <c r="T327" s="13"/>
      <c r="U327" s="13"/>
      <c r="V327" s="13"/>
      <c r="W327" s="13"/>
      <c r="X327" s="13"/>
      <c r="Y327" s="13"/>
      <c r="Z327" s="13"/>
      <c r="AA327" s="13"/>
    </row>
    <row r="328" ht="22.5" customHeight="1">
      <c r="A328" s="21">
        <v>46052.0</v>
      </c>
      <c r="B328" s="22" t="s">
        <v>1073</v>
      </c>
      <c r="C328" s="22" t="s">
        <v>1074</v>
      </c>
      <c r="D328" s="22" t="s">
        <v>1075</v>
      </c>
      <c r="E328" s="22" t="s">
        <v>1076</v>
      </c>
      <c r="F328" s="22"/>
      <c r="G328" s="22" t="s">
        <v>1077</v>
      </c>
      <c r="H328" s="22" t="s">
        <v>1057</v>
      </c>
      <c r="I328" s="22" t="s">
        <v>1078</v>
      </c>
      <c r="J328" s="22" t="s">
        <v>1079</v>
      </c>
      <c r="K328" s="22" t="s">
        <v>1028</v>
      </c>
      <c r="L328" s="22" t="s">
        <v>945</v>
      </c>
      <c r="M328" s="13"/>
      <c r="N328" s="13"/>
      <c r="O328" s="13"/>
      <c r="P328" s="13"/>
      <c r="Q328" s="13"/>
      <c r="R328" s="13"/>
      <c r="S328" s="13"/>
      <c r="T328" s="13"/>
      <c r="U328" s="13"/>
      <c r="V328" s="13"/>
      <c r="W328" s="13"/>
      <c r="X328" s="13"/>
      <c r="Y328" s="13"/>
      <c r="Z328" s="13"/>
      <c r="AA328" s="13"/>
    </row>
    <row r="329" ht="21.75" customHeight="1">
      <c r="A329" s="21">
        <v>46057.0</v>
      </c>
      <c r="B329" s="22" t="s">
        <v>1080</v>
      </c>
      <c r="C329" s="22" t="s">
        <v>1081</v>
      </c>
      <c r="D329" s="22" t="s">
        <v>1075</v>
      </c>
      <c r="E329" s="22" t="s">
        <v>1082</v>
      </c>
      <c r="F329" s="22"/>
      <c r="G329" s="22" t="s">
        <v>858</v>
      </c>
      <c r="H329" s="22" t="s">
        <v>1063</v>
      </c>
      <c r="I329" s="22" t="s">
        <v>1083</v>
      </c>
      <c r="J329" s="22" t="s">
        <v>1084</v>
      </c>
      <c r="K329" s="22" t="s">
        <v>1028</v>
      </c>
      <c r="L329" s="13"/>
      <c r="M329" s="13"/>
      <c r="N329" s="13"/>
      <c r="O329" s="13"/>
      <c r="P329" s="13"/>
      <c r="Q329" s="13"/>
      <c r="R329" s="13"/>
      <c r="S329" s="13"/>
      <c r="T329" s="13"/>
      <c r="U329" s="13"/>
      <c r="V329" s="13"/>
      <c r="W329" s="13"/>
      <c r="X329" s="13"/>
      <c r="Y329" s="13"/>
      <c r="Z329" s="13"/>
      <c r="AA329" s="13"/>
    </row>
    <row r="330" ht="20.25" customHeight="1">
      <c r="A330" s="25">
        <v>46057.0</v>
      </c>
      <c r="B330" s="20" t="s">
        <v>1085</v>
      </c>
      <c r="C330" s="20" t="s">
        <v>381</v>
      </c>
      <c r="D330" s="20" t="s">
        <v>1075</v>
      </c>
      <c r="E330" s="20" t="s">
        <v>1086</v>
      </c>
      <c r="F330" s="20"/>
      <c r="G330" s="20" t="s">
        <v>1087</v>
      </c>
      <c r="H330" s="20" t="s">
        <v>1088</v>
      </c>
      <c r="I330" s="20" t="s">
        <v>1089</v>
      </c>
      <c r="J330" s="20" t="s">
        <v>1090</v>
      </c>
      <c r="K330" s="20" t="s">
        <v>1028</v>
      </c>
      <c r="L330" s="20"/>
      <c r="M330" s="20"/>
      <c r="N330" s="20"/>
      <c r="O330" s="20"/>
      <c r="P330" s="20"/>
      <c r="Q330" s="20"/>
      <c r="R330" s="20"/>
      <c r="S330" s="20"/>
      <c r="T330" s="20"/>
      <c r="U330" s="20"/>
      <c r="V330" s="20"/>
      <c r="W330" s="13"/>
      <c r="X330" s="13"/>
      <c r="Y330" s="13"/>
      <c r="Z330" s="13"/>
      <c r="AA330" s="13"/>
    </row>
    <row r="331" ht="20.25" customHeight="1">
      <c r="A331" s="25">
        <v>46055.0</v>
      </c>
      <c r="B331" s="20" t="s">
        <v>416</v>
      </c>
      <c r="C331" s="20" t="s">
        <v>1091</v>
      </c>
      <c r="D331" s="20" t="s">
        <v>1075</v>
      </c>
      <c r="E331" s="20" t="s">
        <v>1092</v>
      </c>
      <c r="F331" s="20"/>
      <c r="G331" s="20" t="s">
        <v>1093</v>
      </c>
      <c r="H331" s="20" t="s">
        <v>1025</v>
      </c>
      <c r="I331" s="20" t="s">
        <v>1094</v>
      </c>
      <c r="J331" s="20" t="s">
        <v>1095</v>
      </c>
      <c r="K331" s="20" t="s">
        <v>1028</v>
      </c>
      <c r="L331" s="20" t="s">
        <v>945</v>
      </c>
      <c r="M331" s="20"/>
      <c r="N331" s="20"/>
      <c r="O331" s="20"/>
      <c r="P331" s="20"/>
      <c r="Q331" s="20"/>
      <c r="R331" s="20"/>
      <c r="S331" s="20"/>
      <c r="T331" s="20"/>
      <c r="U331" s="20"/>
      <c r="V331" s="20"/>
      <c r="W331" s="13"/>
      <c r="X331" s="13"/>
      <c r="Y331" s="13"/>
      <c r="Z331" s="13"/>
      <c r="AA331" s="13"/>
    </row>
    <row r="332" ht="20.25" customHeight="1">
      <c r="A332" s="25">
        <v>46057.0</v>
      </c>
      <c r="B332" s="20" t="s">
        <v>220</v>
      </c>
      <c r="C332" s="20" t="s">
        <v>1096</v>
      </c>
      <c r="D332" s="20" t="s">
        <v>1075</v>
      </c>
      <c r="E332" s="20" t="s">
        <v>1097</v>
      </c>
      <c r="F332" s="20"/>
      <c r="G332" s="20" t="s">
        <v>952</v>
      </c>
      <c r="H332" s="20" t="s">
        <v>1025</v>
      </c>
      <c r="I332" s="20" t="s">
        <v>1098</v>
      </c>
      <c r="J332" s="20" t="s">
        <v>1099</v>
      </c>
      <c r="K332" s="20" t="s">
        <v>1028</v>
      </c>
      <c r="L332" s="20" t="s">
        <v>945</v>
      </c>
      <c r="M332" s="20"/>
      <c r="N332" s="20"/>
      <c r="O332" s="20"/>
      <c r="P332" s="20"/>
      <c r="Q332" s="20"/>
      <c r="R332" s="20"/>
      <c r="S332" s="20"/>
      <c r="T332" s="20"/>
      <c r="U332" s="20"/>
      <c r="V332" s="20"/>
      <c r="W332" s="13"/>
      <c r="X332" s="13"/>
      <c r="Y332" s="13"/>
      <c r="Z332" s="13"/>
      <c r="AA332" s="13"/>
    </row>
    <row r="333" ht="20.25" customHeight="1">
      <c r="A333" s="25">
        <v>46053.0</v>
      </c>
      <c r="B333" s="20" t="s">
        <v>220</v>
      </c>
      <c r="C333" s="20" t="s">
        <v>1100</v>
      </c>
      <c r="D333" s="20" t="s">
        <v>1075</v>
      </c>
      <c r="E333" s="20" t="s">
        <v>1101</v>
      </c>
      <c r="F333" s="20"/>
      <c r="G333" s="20" t="s">
        <v>952</v>
      </c>
      <c r="H333" s="20" t="s">
        <v>1025</v>
      </c>
      <c r="I333" s="20" t="s">
        <v>1098</v>
      </c>
      <c r="J333" s="20" t="s">
        <v>1102</v>
      </c>
      <c r="K333" s="20" t="s">
        <v>1028</v>
      </c>
      <c r="L333" s="20" t="s">
        <v>945</v>
      </c>
      <c r="M333" s="20"/>
      <c r="N333" s="20"/>
      <c r="O333" s="20"/>
      <c r="P333" s="20"/>
      <c r="Q333" s="20"/>
      <c r="R333" s="20"/>
      <c r="S333" s="20"/>
      <c r="T333" s="20"/>
      <c r="U333" s="20"/>
      <c r="V333" s="20"/>
      <c r="W333" s="13"/>
      <c r="X333" s="13"/>
      <c r="Y333" s="13"/>
      <c r="Z333" s="13"/>
      <c r="AA333" s="13"/>
    </row>
    <row r="334" ht="20.25" customHeight="1">
      <c r="A334" s="26">
        <v>46052.0</v>
      </c>
      <c r="B334" s="27" t="s">
        <v>1103</v>
      </c>
      <c r="C334" s="27" t="s">
        <v>1104</v>
      </c>
      <c r="D334" s="27" t="s">
        <v>1075</v>
      </c>
      <c r="E334" s="27" t="s">
        <v>1105</v>
      </c>
      <c r="F334" s="27"/>
      <c r="G334" s="27" t="s">
        <v>1106</v>
      </c>
      <c r="H334" s="27" t="s">
        <v>1107</v>
      </c>
      <c r="I334" s="27"/>
      <c r="J334" s="27" t="s">
        <v>1108</v>
      </c>
      <c r="K334" s="27" t="s">
        <v>1028</v>
      </c>
      <c r="L334" s="27"/>
      <c r="M334" s="27"/>
      <c r="N334" s="27"/>
      <c r="O334" s="27"/>
      <c r="P334" s="27"/>
      <c r="Q334" s="27"/>
      <c r="R334" s="27"/>
      <c r="S334" s="27"/>
      <c r="T334" s="27"/>
      <c r="U334" s="27"/>
      <c r="V334" s="27"/>
      <c r="W334" s="13"/>
      <c r="X334" s="13"/>
      <c r="Y334" s="13"/>
      <c r="Z334" s="13"/>
      <c r="AA334" s="13"/>
    </row>
    <row r="335" ht="20.25" customHeight="1">
      <c r="A335" s="26">
        <v>46057.0</v>
      </c>
      <c r="B335" s="27" t="s">
        <v>1109</v>
      </c>
      <c r="C335" s="27" t="s">
        <v>1110</v>
      </c>
      <c r="D335" s="27" t="s">
        <v>1075</v>
      </c>
      <c r="E335" s="27" t="s">
        <v>1111</v>
      </c>
      <c r="F335" s="27"/>
      <c r="G335" s="27" t="s">
        <v>1112</v>
      </c>
      <c r="H335" s="27" t="s">
        <v>1025</v>
      </c>
      <c r="I335" s="27" t="s">
        <v>1113</v>
      </c>
      <c r="J335" s="27" t="s">
        <v>1114</v>
      </c>
      <c r="K335" s="27" t="s">
        <v>1028</v>
      </c>
      <c r="L335" s="27"/>
      <c r="M335" s="27"/>
      <c r="N335" s="27"/>
      <c r="O335" s="27"/>
      <c r="P335" s="27"/>
      <c r="Q335" s="27"/>
      <c r="R335" s="27"/>
      <c r="S335" s="27"/>
      <c r="T335" s="27"/>
      <c r="U335" s="27"/>
      <c r="V335" s="27"/>
      <c r="W335" s="13"/>
      <c r="X335" s="13"/>
      <c r="Y335" s="13"/>
      <c r="Z335" s="13"/>
      <c r="AA335" s="13"/>
    </row>
    <row r="336" ht="20.25" customHeight="1">
      <c r="A336" s="26">
        <v>46057.0</v>
      </c>
      <c r="B336" s="27" t="s">
        <v>137</v>
      </c>
      <c r="C336" s="27" t="s">
        <v>1115</v>
      </c>
      <c r="D336" s="27" t="s">
        <v>1075</v>
      </c>
      <c r="E336" s="27" t="s">
        <v>1116</v>
      </c>
      <c r="F336" s="27"/>
      <c r="G336" s="27" t="s">
        <v>1117</v>
      </c>
      <c r="H336" s="27" t="s">
        <v>1025</v>
      </c>
      <c r="I336" s="27" t="s">
        <v>1118</v>
      </c>
      <c r="J336" s="27" t="s">
        <v>1119</v>
      </c>
      <c r="K336" s="27" t="s">
        <v>1028</v>
      </c>
      <c r="L336" s="27"/>
      <c r="M336" s="27"/>
      <c r="N336" s="27"/>
      <c r="O336" s="27"/>
      <c r="P336" s="27"/>
      <c r="Q336" s="27"/>
      <c r="R336" s="27"/>
      <c r="S336" s="27"/>
      <c r="T336" s="27"/>
      <c r="U336" s="27"/>
      <c r="V336" s="27"/>
      <c r="W336" s="13"/>
      <c r="X336" s="13"/>
      <c r="Y336" s="13"/>
      <c r="Z336" s="13"/>
      <c r="AA336" s="13"/>
    </row>
    <row r="337" ht="20.25" customHeight="1">
      <c r="A337" s="26">
        <v>46056.0</v>
      </c>
      <c r="B337" s="27" t="s">
        <v>1120</v>
      </c>
      <c r="C337" s="27" t="s">
        <v>1121</v>
      </c>
      <c r="D337" s="27" t="s">
        <v>1075</v>
      </c>
      <c r="E337" s="27" t="s">
        <v>1122</v>
      </c>
      <c r="F337" s="27"/>
      <c r="G337" s="27" t="s">
        <v>858</v>
      </c>
      <c r="H337" s="27" t="s">
        <v>1057</v>
      </c>
      <c r="I337" s="27" t="s">
        <v>1123</v>
      </c>
      <c r="J337" s="27" t="s">
        <v>1124</v>
      </c>
      <c r="K337" s="27" t="s">
        <v>1028</v>
      </c>
      <c r="L337" s="27"/>
      <c r="M337" s="27"/>
      <c r="N337" s="27"/>
      <c r="O337" s="27"/>
      <c r="P337" s="27"/>
      <c r="Q337" s="27"/>
      <c r="R337" s="27"/>
      <c r="S337" s="27"/>
      <c r="T337" s="27"/>
      <c r="U337" s="27"/>
      <c r="V337" s="27"/>
      <c r="W337" s="13"/>
      <c r="X337" s="13"/>
      <c r="Y337" s="13"/>
      <c r="Z337" s="13"/>
      <c r="AA337" s="13"/>
    </row>
    <row r="338" ht="20.25" customHeight="1">
      <c r="A338" s="26">
        <v>46056.0</v>
      </c>
      <c r="B338" s="27" t="s">
        <v>1125</v>
      </c>
      <c r="C338" s="27" t="s">
        <v>1126</v>
      </c>
      <c r="D338" s="27" t="s">
        <v>1075</v>
      </c>
      <c r="E338" s="27" t="s">
        <v>1127</v>
      </c>
      <c r="F338" s="27"/>
      <c r="G338" s="27" t="s">
        <v>1128</v>
      </c>
      <c r="H338" s="27" t="s">
        <v>1129</v>
      </c>
      <c r="I338" s="27" t="s">
        <v>1130</v>
      </c>
      <c r="J338" s="27" t="s">
        <v>1131</v>
      </c>
      <c r="K338" s="27" t="s">
        <v>1028</v>
      </c>
      <c r="L338" s="27"/>
      <c r="M338" s="27"/>
      <c r="N338" s="27"/>
      <c r="O338" s="27"/>
      <c r="P338" s="27"/>
      <c r="Q338" s="27"/>
      <c r="R338" s="27"/>
      <c r="S338" s="27"/>
      <c r="T338" s="27"/>
      <c r="U338" s="27"/>
      <c r="V338" s="27"/>
      <c r="W338" s="13"/>
      <c r="X338" s="13"/>
      <c r="Y338" s="13"/>
      <c r="Z338" s="13"/>
      <c r="AA338" s="13"/>
    </row>
    <row r="339" ht="20.25" customHeight="1">
      <c r="A339" s="26">
        <v>46059.0</v>
      </c>
      <c r="B339" s="27" t="s">
        <v>914</v>
      </c>
      <c r="C339" s="27" t="s">
        <v>1132</v>
      </c>
      <c r="D339" s="27" t="s">
        <v>1075</v>
      </c>
      <c r="E339" s="27" t="s">
        <v>1133</v>
      </c>
      <c r="F339" s="27"/>
      <c r="G339" s="27" t="s">
        <v>1134</v>
      </c>
      <c r="H339" s="27" t="s">
        <v>1025</v>
      </c>
      <c r="I339" s="27" t="s">
        <v>1135</v>
      </c>
      <c r="J339" s="27" t="s">
        <v>1136</v>
      </c>
      <c r="K339" s="27" t="s">
        <v>1028</v>
      </c>
      <c r="L339" s="27"/>
      <c r="M339" s="27"/>
      <c r="N339" s="27"/>
      <c r="O339" s="27"/>
      <c r="P339" s="27"/>
      <c r="Q339" s="27"/>
      <c r="R339" s="27"/>
      <c r="S339" s="27"/>
      <c r="T339" s="27"/>
      <c r="U339" s="27"/>
      <c r="V339" s="27"/>
      <c r="W339" s="13"/>
      <c r="X339" s="13"/>
      <c r="Y339" s="13"/>
      <c r="Z339" s="13"/>
      <c r="AA339" s="13"/>
    </row>
    <row r="340" ht="20.25" customHeight="1">
      <c r="A340" s="26">
        <v>46058.0</v>
      </c>
      <c r="B340" s="27" t="s">
        <v>914</v>
      </c>
      <c r="C340" s="27" t="s">
        <v>1137</v>
      </c>
      <c r="D340" s="27" t="s">
        <v>1075</v>
      </c>
      <c r="E340" s="27" t="s">
        <v>1138</v>
      </c>
      <c r="F340" s="27"/>
      <c r="G340" s="27" t="s">
        <v>1139</v>
      </c>
      <c r="H340" s="27" t="s">
        <v>1025</v>
      </c>
      <c r="I340" s="27" t="s">
        <v>1135</v>
      </c>
      <c r="J340" s="27" t="s">
        <v>1140</v>
      </c>
      <c r="K340" s="27" t="s">
        <v>1028</v>
      </c>
      <c r="L340" s="27"/>
      <c r="M340" s="27"/>
      <c r="N340" s="27"/>
      <c r="O340" s="27"/>
      <c r="P340" s="27"/>
      <c r="Q340" s="27"/>
      <c r="R340" s="27"/>
      <c r="S340" s="27"/>
      <c r="T340" s="27"/>
      <c r="U340" s="27"/>
      <c r="V340" s="27"/>
      <c r="W340" s="13"/>
      <c r="X340" s="13"/>
      <c r="Y340" s="13"/>
      <c r="Z340" s="13"/>
      <c r="AA340" s="13"/>
    </row>
    <row r="341" ht="20.25" customHeight="1">
      <c r="A341" s="26">
        <v>46057.0</v>
      </c>
      <c r="B341" s="27" t="s">
        <v>1141</v>
      </c>
      <c r="C341" s="27" t="s">
        <v>1142</v>
      </c>
      <c r="D341" s="27" t="s">
        <v>1075</v>
      </c>
      <c r="E341" s="27" t="s">
        <v>1143</v>
      </c>
      <c r="F341" s="27"/>
      <c r="G341" s="27" t="s">
        <v>1144</v>
      </c>
      <c r="H341" s="27" t="s">
        <v>1107</v>
      </c>
      <c r="I341" s="27" t="s">
        <v>1145</v>
      </c>
      <c r="J341" s="27" t="s">
        <v>1146</v>
      </c>
      <c r="K341" s="27" t="s">
        <v>1028</v>
      </c>
      <c r="L341" s="27"/>
      <c r="M341" s="27"/>
      <c r="N341" s="27"/>
      <c r="O341" s="27"/>
      <c r="P341" s="27"/>
      <c r="Q341" s="27"/>
      <c r="R341" s="27"/>
      <c r="S341" s="27"/>
      <c r="T341" s="27"/>
      <c r="U341" s="27"/>
      <c r="V341" s="27"/>
      <c r="W341" s="13"/>
      <c r="X341" s="13"/>
      <c r="Y341" s="13"/>
      <c r="Z341" s="13"/>
      <c r="AA341" s="13"/>
    </row>
    <row r="342" ht="20.25" customHeight="1">
      <c r="A342" s="26">
        <v>46057.0</v>
      </c>
      <c r="B342" s="27" t="s">
        <v>1147</v>
      </c>
      <c r="C342" s="27" t="s">
        <v>1148</v>
      </c>
      <c r="D342" s="27" t="s">
        <v>1075</v>
      </c>
      <c r="E342" s="27" t="s">
        <v>1149</v>
      </c>
      <c r="F342" s="27"/>
      <c r="G342" s="27" t="s">
        <v>952</v>
      </c>
      <c r="H342" s="27" t="s">
        <v>1063</v>
      </c>
      <c r="I342" s="27" t="s">
        <v>1150</v>
      </c>
      <c r="J342" s="27" t="s">
        <v>1151</v>
      </c>
      <c r="K342" s="27" t="s">
        <v>1028</v>
      </c>
      <c r="L342" s="27"/>
      <c r="M342" s="27"/>
      <c r="N342" s="27"/>
      <c r="O342" s="27"/>
      <c r="P342" s="27"/>
      <c r="Q342" s="27"/>
      <c r="R342" s="27"/>
      <c r="S342" s="27"/>
      <c r="T342" s="27"/>
      <c r="U342" s="27"/>
      <c r="V342" s="27"/>
      <c r="W342" s="13"/>
      <c r="X342" s="13"/>
      <c r="Y342" s="13"/>
      <c r="Z342" s="13"/>
      <c r="AA342" s="13"/>
    </row>
    <row r="343" ht="20.25" customHeight="1">
      <c r="A343" s="26">
        <v>46057.0</v>
      </c>
      <c r="B343" s="27" t="s">
        <v>1147</v>
      </c>
      <c r="C343" s="27" t="s">
        <v>1152</v>
      </c>
      <c r="D343" s="27" t="s">
        <v>1075</v>
      </c>
      <c r="E343" s="27" t="s">
        <v>1153</v>
      </c>
      <c r="F343" s="27"/>
      <c r="G343" s="27" t="s">
        <v>944</v>
      </c>
      <c r="H343" s="27" t="s">
        <v>1063</v>
      </c>
      <c r="I343" s="27" t="s">
        <v>1150</v>
      </c>
      <c r="J343" s="27" t="s">
        <v>1154</v>
      </c>
      <c r="K343" s="27" t="s">
        <v>1028</v>
      </c>
      <c r="L343" s="27" t="s">
        <v>945</v>
      </c>
      <c r="M343" s="27"/>
      <c r="N343" s="27"/>
      <c r="O343" s="27"/>
      <c r="P343" s="27"/>
      <c r="Q343" s="27"/>
      <c r="R343" s="27"/>
      <c r="S343" s="27"/>
      <c r="T343" s="27"/>
      <c r="U343" s="27"/>
      <c r="V343" s="27"/>
      <c r="W343" s="13"/>
      <c r="X343" s="13"/>
      <c r="Y343" s="13"/>
      <c r="Z343" s="13"/>
      <c r="AA343" s="13"/>
    </row>
    <row r="344" ht="20.25" customHeight="1">
      <c r="A344" s="26">
        <v>46057.0</v>
      </c>
      <c r="B344" s="27" t="s">
        <v>1147</v>
      </c>
      <c r="C344" s="27" t="s">
        <v>1152</v>
      </c>
      <c r="D344" s="27" t="s">
        <v>1075</v>
      </c>
      <c r="E344" s="27" t="s">
        <v>1155</v>
      </c>
      <c r="F344" s="27"/>
      <c r="G344" s="27" t="s">
        <v>952</v>
      </c>
      <c r="H344" s="27" t="s">
        <v>1063</v>
      </c>
      <c r="I344" s="27" t="s">
        <v>1150</v>
      </c>
      <c r="J344" s="27" t="s">
        <v>1156</v>
      </c>
      <c r="K344" s="27" t="s">
        <v>1028</v>
      </c>
      <c r="L344" s="27"/>
      <c r="M344" s="27"/>
      <c r="N344" s="27"/>
      <c r="O344" s="27"/>
      <c r="P344" s="27"/>
      <c r="Q344" s="27"/>
      <c r="R344" s="27"/>
      <c r="S344" s="27"/>
      <c r="T344" s="27"/>
      <c r="U344" s="27"/>
      <c r="V344" s="27"/>
      <c r="W344" s="13"/>
      <c r="X344" s="13"/>
      <c r="Y344" s="13"/>
      <c r="Z344" s="13"/>
      <c r="AA344" s="13"/>
    </row>
    <row r="345" ht="20.25" customHeight="1">
      <c r="A345" s="26">
        <v>46055.0</v>
      </c>
      <c r="B345" s="27" t="s">
        <v>1157</v>
      </c>
      <c r="C345" s="27" t="s">
        <v>1158</v>
      </c>
      <c r="D345" s="27" t="s">
        <v>1075</v>
      </c>
      <c r="E345" s="27" t="s">
        <v>1159</v>
      </c>
      <c r="F345" s="27"/>
      <c r="G345" s="27" t="s">
        <v>1160</v>
      </c>
      <c r="H345" s="27" t="s">
        <v>1129</v>
      </c>
      <c r="I345" s="27" t="s">
        <v>1161</v>
      </c>
      <c r="J345" s="27" t="s">
        <v>1162</v>
      </c>
      <c r="K345" s="27" t="s">
        <v>1028</v>
      </c>
      <c r="L345" s="27"/>
      <c r="M345" s="27"/>
      <c r="N345" s="27"/>
      <c r="O345" s="27"/>
      <c r="P345" s="27"/>
      <c r="Q345" s="27"/>
      <c r="R345" s="27"/>
      <c r="S345" s="27"/>
      <c r="T345" s="27"/>
      <c r="U345" s="27"/>
      <c r="V345" s="27"/>
      <c r="W345" s="13"/>
      <c r="X345" s="13"/>
      <c r="Y345" s="13"/>
      <c r="Z345" s="13"/>
      <c r="AA345" s="13"/>
    </row>
    <row r="346" ht="20.25" customHeight="1">
      <c r="A346" s="21">
        <v>46064.0</v>
      </c>
      <c r="B346" s="22" t="s">
        <v>929</v>
      </c>
      <c r="C346" s="22" t="s">
        <v>1163</v>
      </c>
      <c r="D346" s="27" t="s">
        <v>1075</v>
      </c>
      <c r="E346" s="13"/>
      <c r="F346" s="13"/>
      <c r="G346" s="13"/>
      <c r="H346" s="13"/>
      <c r="I346" s="13"/>
      <c r="J346" s="13"/>
      <c r="K346" s="13"/>
      <c r="L346" s="13"/>
      <c r="M346" s="13"/>
      <c r="N346" s="13"/>
      <c r="O346" s="13"/>
      <c r="P346" s="13"/>
      <c r="Q346" s="13"/>
      <c r="R346" s="13"/>
      <c r="S346" s="13"/>
      <c r="T346" s="13"/>
      <c r="U346" s="13"/>
      <c r="V346" s="13"/>
      <c r="W346" s="13"/>
      <c r="X346" s="13"/>
      <c r="Y346" s="13"/>
      <c r="Z346" s="13"/>
      <c r="AA346" s="13"/>
    </row>
    <row r="347" ht="20.25" customHeight="1">
      <c r="A347" s="26">
        <v>46063.0</v>
      </c>
      <c r="B347" s="27" t="s">
        <v>397</v>
      </c>
      <c r="C347" s="27" t="s">
        <v>1164</v>
      </c>
      <c r="D347" s="27" t="s">
        <v>1165</v>
      </c>
      <c r="E347" s="27" t="s">
        <v>1166</v>
      </c>
      <c r="F347" s="27"/>
      <c r="G347" s="27"/>
      <c r="H347" s="27" t="s">
        <v>1063</v>
      </c>
      <c r="I347" s="27"/>
      <c r="J347" s="27" t="s">
        <v>1167</v>
      </c>
      <c r="K347" s="27" t="s">
        <v>1028</v>
      </c>
      <c r="L347" s="27"/>
      <c r="M347" s="27"/>
      <c r="N347" s="27"/>
      <c r="O347" s="27"/>
      <c r="P347" s="27"/>
      <c r="Q347" s="27"/>
      <c r="R347" s="27"/>
      <c r="S347" s="27"/>
      <c r="T347" s="27"/>
      <c r="U347" s="27"/>
      <c r="V347" s="27"/>
      <c r="W347" s="13"/>
      <c r="X347" s="13"/>
      <c r="Y347" s="13"/>
      <c r="Z347" s="13"/>
      <c r="AA347" s="13"/>
    </row>
    <row r="348" ht="20.25" customHeight="1">
      <c r="A348" s="26">
        <v>46063.0</v>
      </c>
      <c r="B348" s="27" t="s">
        <v>1168</v>
      </c>
      <c r="C348" s="27" t="s">
        <v>1169</v>
      </c>
      <c r="D348" s="27" t="s">
        <v>1170</v>
      </c>
      <c r="E348" s="27" t="s">
        <v>1171</v>
      </c>
      <c r="F348" s="27"/>
      <c r="G348" s="27"/>
      <c r="H348" s="28">
        <v>46032.0</v>
      </c>
      <c r="I348" s="27" t="s">
        <v>1172</v>
      </c>
      <c r="J348" s="27" t="s">
        <v>1173</v>
      </c>
      <c r="K348" s="27" t="s">
        <v>1028</v>
      </c>
      <c r="L348" s="27"/>
      <c r="M348" s="27"/>
      <c r="N348" s="27"/>
      <c r="O348" s="27"/>
      <c r="P348" s="27"/>
      <c r="Q348" s="27"/>
      <c r="R348" s="27"/>
      <c r="S348" s="27"/>
      <c r="T348" s="27"/>
      <c r="U348" s="27"/>
      <c r="V348" s="27"/>
      <c r="W348" s="13"/>
      <c r="X348" s="13"/>
      <c r="Y348" s="13"/>
      <c r="Z348" s="13"/>
      <c r="AA348" s="13"/>
    </row>
    <row r="349" ht="20.25" customHeight="1">
      <c r="A349" s="26">
        <v>46064.0</v>
      </c>
      <c r="B349" s="27" t="s">
        <v>1174</v>
      </c>
      <c r="C349" s="27" t="s">
        <v>1175</v>
      </c>
      <c r="D349" s="27" t="s">
        <v>1176</v>
      </c>
      <c r="E349" s="27" t="s">
        <v>1177</v>
      </c>
      <c r="F349" s="27"/>
      <c r="G349" s="27"/>
      <c r="H349" s="27" t="s">
        <v>1178</v>
      </c>
      <c r="I349" s="27"/>
      <c r="J349" s="27" t="s">
        <v>1179</v>
      </c>
      <c r="K349" s="27" t="s">
        <v>1028</v>
      </c>
      <c r="L349" s="27"/>
      <c r="M349" s="27"/>
      <c r="N349" s="27"/>
      <c r="O349" s="27"/>
      <c r="P349" s="27"/>
      <c r="Q349" s="27"/>
      <c r="R349" s="27"/>
      <c r="S349" s="27"/>
      <c r="T349" s="27"/>
      <c r="U349" s="27"/>
      <c r="V349" s="27"/>
      <c r="W349" s="13"/>
      <c r="X349" s="13"/>
      <c r="Y349" s="13"/>
      <c r="Z349" s="13"/>
      <c r="AA349" s="13"/>
    </row>
    <row r="350" ht="20.25" customHeight="1">
      <c r="A350" s="26">
        <v>46064.0</v>
      </c>
      <c r="B350" s="27" t="s">
        <v>1180</v>
      </c>
      <c r="C350" s="27" t="s">
        <v>1181</v>
      </c>
      <c r="D350" s="27" t="s">
        <v>1182</v>
      </c>
      <c r="E350" s="27" t="s">
        <v>1183</v>
      </c>
      <c r="F350" s="27"/>
      <c r="G350" s="27"/>
      <c r="H350" s="27" t="s">
        <v>1063</v>
      </c>
      <c r="I350" s="27" t="s">
        <v>1184</v>
      </c>
      <c r="J350" s="27" t="s">
        <v>1185</v>
      </c>
      <c r="K350" s="27" t="s">
        <v>1028</v>
      </c>
      <c r="L350" s="27"/>
      <c r="M350" s="27"/>
      <c r="N350" s="27"/>
      <c r="O350" s="27"/>
      <c r="P350" s="27"/>
      <c r="Q350" s="27"/>
      <c r="R350" s="27"/>
      <c r="S350" s="27"/>
      <c r="T350" s="27"/>
      <c r="U350" s="27"/>
      <c r="V350" s="27"/>
      <c r="W350" s="13"/>
      <c r="X350" s="13"/>
      <c r="Y350" s="13"/>
      <c r="Z350" s="13"/>
      <c r="AA350" s="13"/>
    </row>
    <row r="351" ht="20.25" customHeight="1">
      <c r="A351" s="26">
        <v>46062.0</v>
      </c>
      <c r="B351" s="27" t="s">
        <v>1186</v>
      </c>
      <c r="C351" s="27" t="s">
        <v>1181</v>
      </c>
      <c r="D351" s="27" t="s">
        <v>1187</v>
      </c>
      <c r="E351" s="27" t="s">
        <v>1188</v>
      </c>
      <c r="F351" s="27"/>
      <c r="G351" s="27"/>
      <c r="H351" s="27" t="s">
        <v>1063</v>
      </c>
      <c r="I351" s="27" t="s">
        <v>1184</v>
      </c>
      <c r="J351" s="27" t="s">
        <v>1189</v>
      </c>
      <c r="K351" s="27" t="s">
        <v>1028</v>
      </c>
      <c r="L351" s="27"/>
      <c r="M351" s="27"/>
      <c r="N351" s="27"/>
      <c r="O351" s="27"/>
      <c r="P351" s="27"/>
      <c r="Q351" s="27"/>
      <c r="R351" s="27"/>
      <c r="S351" s="27"/>
      <c r="T351" s="27"/>
      <c r="U351" s="27"/>
      <c r="V351" s="27"/>
      <c r="W351" s="13"/>
      <c r="X351" s="13"/>
      <c r="Y351" s="13"/>
      <c r="Z351" s="13"/>
      <c r="AA351" s="13"/>
    </row>
    <row r="352" ht="20.25" customHeight="1">
      <c r="A352" s="26">
        <v>46063.0</v>
      </c>
      <c r="B352" s="27" t="s">
        <v>1190</v>
      </c>
      <c r="C352" s="27" t="s">
        <v>1073</v>
      </c>
      <c r="D352" s="27" t="s">
        <v>1191</v>
      </c>
      <c r="E352" s="27" t="s">
        <v>1192</v>
      </c>
      <c r="F352" s="27"/>
      <c r="G352" s="27"/>
      <c r="H352" s="27" t="s">
        <v>1057</v>
      </c>
      <c r="I352" s="27" t="s">
        <v>1078</v>
      </c>
      <c r="J352" s="27" t="s">
        <v>1193</v>
      </c>
      <c r="K352" s="27" t="s">
        <v>1028</v>
      </c>
      <c r="L352" s="27"/>
      <c r="M352" s="27"/>
      <c r="N352" s="27"/>
      <c r="O352" s="27"/>
      <c r="P352" s="27"/>
      <c r="Q352" s="27"/>
      <c r="R352" s="27"/>
      <c r="S352" s="27"/>
      <c r="T352" s="27"/>
      <c r="U352" s="27"/>
      <c r="V352" s="27"/>
      <c r="W352" s="13"/>
      <c r="X352" s="13"/>
      <c r="Y352" s="13"/>
      <c r="Z352" s="13"/>
      <c r="AA352" s="13"/>
    </row>
    <row r="353" ht="20.25" customHeight="1">
      <c r="A353" s="21">
        <v>46063.0</v>
      </c>
      <c r="B353" s="22" t="s">
        <v>1194</v>
      </c>
      <c r="C353" s="22" t="s">
        <v>1195</v>
      </c>
      <c r="D353" s="22" t="s">
        <v>1196</v>
      </c>
      <c r="E353" s="22" t="s">
        <v>1197</v>
      </c>
      <c r="F353" s="27"/>
      <c r="G353" s="22"/>
      <c r="H353" s="22" t="s">
        <v>1107</v>
      </c>
      <c r="I353" s="22" t="s">
        <v>1113</v>
      </c>
      <c r="J353" s="22" t="s">
        <v>1198</v>
      </c>
      <c r="K353" s="22" t="s">
        <v>1028</v>
      </c>
      <c r="L353" s="22"/>
      <c r="M353" s="13"/>
      <c r="N353" s="13"/>
      <c r="O353" s="13"/>
      <c r="P353" s="13"/>
      <c r="Q353" s="13"/>
      <c r="R353" s="13"/>
      <c r="S353" s="13"/>
      <c r="T353" s="13"/>
      <c r="U353" s="13"/>
      <c r="V353" s="13"/>
      <c r="W353" s="13"/>
      <c r="X353" s="13"/>
      <c r="Y353" s="13"/>
      <c r="Z353" s="13"/>
      <c r="AA353" s="13"/>
    </row>
    <row r="354" ht="20.25" customHeight="1">
      <c r="A354" s="21">
        <v>46063.0</v>
      </c>
      <c r="B354" s="22" t="s">
        <v>1199</v>
      </c>
      <c r="C354" s="22" t="s">
        <v>1195</v>
      </c>
      <c r="D354" s="22" t="s">
        <v>1200</v>
      </c>
      <c r="E354" s="22" t="s">
        <v>1201</v>
      </c>
      <c r="F354" s="27"/>
      <c r="G354" s="22"/>
      <c r="H354" s="22" t="s">
        <v>1107</v>
      </c>
      <c r="I354" s="22" t="s">
        <v>1113</v>
      </c>
      <c r="J354" s="22" t="s">
        <v>1202</v>
      </c>
      <c r="K354" s="22" t="s">
        <v>1028</v>
      </c>
      <c r="L354" s="22"/>
      <c r="M354" s="13"/>
      <c r="N354" s="13"/>
      <c r="O354" s="13"/>
      <c r="P354" s="13"/>
      <c r="Q354" s="13"/>
      <c r="R354" s="13"/>
      <c r="S354" s="13"/>
      <c r="T354" s="13"/>
      <c r="U354" s="13"/>
      <c r="V354" s="13"/>
      <c r="W354" s="13"/>
      <c r="X354" s="13"/>
      <c r="Y354" s="13"/>
      <c r="Z354" s="13"/>
      <c r="AA354" s="13"/>
    </row>
    <row r="355" ht="20.25" customHeight="1">
      <c r="A355" s="21">
        <v>46063.0</v>
      </c>
      <c r="B355" s="22" t="s">
        <v>1203</v>
      </c>
      <c r="C355" s="22" t="s">
        <v>1204</v>
      </c>
      <c r="D355" s="22" t="s">
        <v>1205</v>
      </c>
      <c r="E355" s="22" t="s">
        <v>1206</v>
      </c>
      <c r="F355" s="27"/>
      <c r="G355" s="22"/>
      <c r="H355" s="22" t="s">
        <v>1207</v>
      </c>
      <c r="I355" s="22" t="s">
        <v>1208</v>
      </c>
      <c r="J355" s="22" t="s">
        <v>1209</v>
      </c>
      <c r="K355" s="22" t="s">
        <v>1028</v>
      </c>
      <c r="L355" s="22"/>
      <c r="M355" s="13"/>
      <c r="N355" s="13"/>
      <c r="O355" s="13"/>
      <c r="P355" s="13"/>
      <c r="Q355" s="13"/>
      <c r="R355" s="13"/>
      <c r="S355" s="13"/>
      <c r="T355" s="13"/>
      <c r="U355" s="13"/>
      <c r="V355" s="13"/>
      <c r="W355" s="13"/>
      <c r="X355" s="13"/>
      <c r="Y355" s="13"/>
      <c r="Z355" s="13"/>
      <c r="AA355" s="13"/>
    </row>
    <row r="356" ht="20.25" customHeight="1">
      <c r="A356" s="21">
        <v>46062.0</v>
      </c>
      <c r="B356" s="22" t="s">
        <v>1210</v>
      </c>
      <c r="C356" s="22" t="s">
        <v>1211</v>
      </c>
      <c r="D356" s="22" t="s">
        <v>1212</v>
      </c>
      <c r="E356" s="22" t="s">
        <v>1213</v>
      </c>
      <c r="F356" s="27"/>
      <c r="G356" s="22"/>
      <c r="H356" s="22" t="s">
        <v>1025</v>
      </c>
      <c r="I356" s="22" t="s">
        <v>1214</v>
      </c>
      <c r="J356" s="22" t="s">
        <v>1215</v>
      </c>
      <c r="K356" s="22" t="s">
        <v>1028</v>
      </c>
      <c r="L356" s="22" t="s">
        <v>945</v>
      </c>
      <c r="M356" s="13"/>
      <c r="N356" s="13"/>
      <c r="O356" s="13"/>
      <c r="P356" s="13"/>
      <c r="Q356" s="13"/>
      <c r="R356" s="13"/>
      <c r="S356" s="13"/>
      <c r="T356" s="13"/>
      <c r="U356" s="13"/>
      <c r="V356" s="13"/>
      <c r="W356" s="13"/>
      <c r="X356" s="13"/>
      <c r="Y356" s="13"/>
      <c r="Z356" s="13"/>
      <c r="AA356" s="13"/>
    </row>
    <row r="357" ht="19.5" customHeight="1">
      <c r="A357" s="21">
        <v>46059.0</v>
      </c>
      <c r="B357" s="22" t="s">
        <v>1216</v>
      </c>
      <c r="C357" s="22" t="s">
        <v>1217</v>
      </c>
      <c r="D357" s="22" t="s">
        <v>1218</v>
      </c>
      <c r="E357" s="22" t="s">
        <v>1219</v>
      </c>
      <c r="F357" s="27"/>
      <c r="G357" s="22"/>
      <c r="H357" s="22" t="s">
        <v>1057</v>
      </c>
      <c r="I357" s="22" t="s">
        <v>1220</v>
      </c>
      <c r="J357" s="22" t="s">
        <v>1221</v>
      </c>
      <c r="K357" s="22" t="s">
        <v>1028</v>
      </c>
      <c r="L357" s="22" t="s">
        <v>945</v>
      </c>
      <c r="M357" s="13"/>
      <c r="N357" s="13"/>
      <c r="O357" s="13"/>
      <c r="P357" s="13"/>
      <c r="Q357" s="13"/>
      <c r="R357" s="13"/>
      <c r="S357" s="13"/>
      <c r="T357" s="13"/>
      <c r="U357" s="13"/>
      <c r="V357" s="13"/>
      <c r="W357" s="13"/>
      <c r="X357" s="13"/>
      <c r="Y357" s="13"/>
      <c r="Z357" s="13"/>
      <c r="AA357" s="13"/>
    </row>
    <row r="358" ht="20.25" customHeight="1">
      <c r="A358" s="21">
        <v>46058.0</v>
      </c>
      <c r="B358" s="22" t="s">
        <v>1222</v>
      </c>
      <c r="C358" s="22" t="s">
        <v>1223</v>
      </c>
      <c r="D358" s="22" t="s">
        <v>1224</v>
      </c>
      <c r="E358" s="22" t="s">
        <v>1225</v>
      </c>
      <c r="F358" s="22"/>
      <c r="G358" s="22" t="s">
        <v>1226</v>
      </c>
      <c r="H358" s="22" t="s">
        <v>1063</v>
      </c>
      <c r="I358" s="22" t="s">
        <v>1227</v>
      </c>
      <c r="J358" s="22"/>
      <c r="K358" s="22" t="s">
        <v>1028</v>
      </c>
      <c r="L358" s="22"/>
      <c r="M358" s="22"/>
      <c r="N358" s="13"/>
      <c r="O358" s="13"/>
      <c r="P358" s="13"/>
      <c r="Q358" s="13"/>
      <c r="R358" s="13"/>
      <c r="S358" s="13"/>
      <c r="T358" s="13"/>
      <c r="U358" s="13"/>
      <c r="V358" s="13"/>
      <c r="W358" s="13"/>
      <c r="X358" s="13"/>
      <c r="Y358" s="13"/>
      <c r="Z358" s="13"/>
      <c r="AA358" s="13"/>
    </row>
    <row r="359" ht="20.25" customHeight="1">
      <c r="A359" s="21">
        <v>46064.0</v>
      </c>
      <c r="B359" s="22" t="s">
        <v>1228</v>
      </c>
      <c r="C359" s="22" t="s">
        <v>1229</v>
      </c>
      <c r="D359" s="22" t="s">
        <v>1230</v>
      </c>
      <c r="E359" s="22" t="s">
        <v>1231</v>
      </c>
      <c r="F359" s="22"/>
      <c r="G359" s="22"/>
      <c r="H359" s="22" t="s">
        <v>1129</v>
      </c>
      <c r="I359" s="22" t="s">
        <v>1232</v>
      </c>
      <c r="J359" s="22" t="s">
        <v>1233</v>
      </c>
      <c r="K359" s="22" t="s">
        <v>945</v>
      </c>
      <c r="L359" s="13"/>
      <c r="M359" s="13"/>
      <c r="N359" s="13"/>
      <c r="O359" s="13"/>
      <c r="P359" s="13"/>
      <c r="Q359" s="13"/>
      <c r="R359" s="13"/>
      <c r="S359" s="13"/>
      <c r="T359" s="13"/>
      <c r="U359" s="13"/>
      <c r="V359" s="13"/>
      <c r="W359" s="13"/>
      <c r="X359" s="13"/>
      <c r="Y359" s="13"/>
      <c r="Z359" s="13"/>
      <c r="AA359" s="13"/>
    </row>
    <row r="360" ht="20.25" customHeight="1">
      <c r="A360" s="21">
        <v>46059.0</v>
      </c>
      <c r="B360" s="22" t="s">
        <v>1234</v>
      </c>
      <c r="C360" s="22" t="s">
        <v>1235</v>
      </c>
      <c r="D360" s="22" t="s">
        <v>1236</v>
      </c>
      <c r="E360" s="22" t="s">
        <v>1237</v>
      </c>
      <c r="F360" s="22"/>
      <c r="G360" s="22"/>
      <c r="H360" s="22" t="s">
        <v>1025</v>
      </c>
      <c r="I360" s="22" t="s">
        <v>1238</v>
      </c>
      <c r="J360" s="22" t="s">
        <v>1239</v>
      </c>
      <c r="K360" s="22" t="s">
        <v>1028</v>
      </c>
      <c r="L360" s="22" t="s">
        <v>945</v>
      </c>
      <c r="M360" s="13"/>
      <c r="N360" s="13"/>
      <c r="O360" s="13"/>
      <c r="P360" s="13"/>
      <c r="Q360" s="13"/>
      <c r="R360" s="13"/>
      <c r="S360" s="13"/>
      <c r="T360" s="13"/>
      <c r="U360" s="13"/>
      <c r="V360" s="13"/>
      <c r="W360" s="13"/>
      <c r="X360" s="13"/>
      <c r="Y360" s="13"/>
      <c r="Z360" s="13"/>
      <c r="AA360" s="13"/>
    </row>
    <row r="361" ht="22.5" customHeight="1">
      <c r="A361" s="21">
        <v>46059.0</v>
      </c>
      <c r="B361" s="22" t="s">
        <v>1240</v>
      </c>
      <c r="C361" s="22" t="s">
        <v>1241</v>
      </c>
      <c r="D361" s="22" t="s">
        <v>1242</v>
      </c>
      <c r="E361" s="22" t="s">
        <v>1243</v>
      </c>
      <c r="F361" s="22"/>
      <c r="G361" s="22" t="s">
        <v>874</v>
      </c>
      <c r="H361" s="29">
        <v>46032.0</v>
      </c>
      <c r="I361" s="22" t="s">
        <v>1244</v>
      </c>
      <c r="J361" s="22" t="s">
        <v>1245</v>
      </c>
      <c r="K361" s="22" t="s">
        <v>1028</v>
      </c>
      <c r="L361" s="13"/>
      <c r="M361" s="13"/>
      <c r="N361" s="13"/>
      <c r="O361" s="13"/>
      <c r="P361" s="13"/>
      <c r="Q361" s="13"/>
      <c r="R361" s="13"/>
      <c r="S361" s="13"/>
      <c r="T361" s="13"/>
      <c r="U361" s="13"/>
      <c r="V361" s="13"/>
      <c r="W361" s="13"/>
      <c r="X361" s="13"/>
      <c r="Y361" s="13"/>
      <c r="Z361" s="13"/>
      <c r="AA361" s="13"/>
    </row>
    <row r="362" ht="20.25" customHeight="1">
      <c r="A362" s="21">
        <v>46064.0</v>
      </c>
      <c r="B362" s="22" t="s">
        <v>1246</v>
      </c>
      <c r="C362" s="22" t="s">
        <v>1247</v>
      </c>
      <c r="D362" s="22" t="s">
        <v>1176</v>
      </c>
      <c r="E362" s="22" t="s">
        <v>1248</v>
      </c>
      <c r="F362" s="22"/>
      <c r="G362" s="22" t="s">
        <v>1249</v>
      </c>
      <c r="H362" s="22" t="s">
        <v>1057</v>
      </c>
      <c r="I362" s="22" t="s">
        <v>1250</v>
      </c>
      <c r="J362" s="22" t="s">
        <v>1251</v>
      </c>
      <c r="K362" s="22" t="s">
        <v>1028</v>
      </c>
      <c r="L362" s="13"/>
      <c r="M362" s="13"/>
      <c r="N362" s="13"/>
      <c r="O362" s="13"/>
      <c r="P362" s="13"/>
      <c r="Q362" s="13"/>
      <c r="R362" s="13"/>
      <c r="S362" s="13"/>
      <c r="T362" s="13"/>
      <c r="U362" s="13"/>
      <c r="V362" s="13"/>
      <c r="W362" s="13"/>
      <c r="X362" s="13"/>
      <c r="Y362" s="13"/>
      <c r="Z362" s="13"/>
      <c r="AA362" s="13"/>
    </row>
    <row r="363" ht="20.25" customHeight="1">
      <c r="A363" s="21">
        <v>46059.0</v>
      </c>
      <c r="B363" s="22" t="s">
        <v>1252</v>
      </c>
      <c r="C363" s="22" t="s">
        <v>1253</v>
      </c>
      <c r="D363" s="22" t="s">
        <v>1254</v>
      </c>
      <c r="E363" s="22" t="s">
        <v>1255</v>
      </c>
      <c r="F363" s="22"/>
      <c r="G363" s="22" t="s">
        <v>1256</v>
      </c>
      <c r="H363" s="22" t="s">
        <v>1107</v>
      </c>
      <c r="I363" s="22" t="s">
        <v>1257</v>
      </c>
      <c r="J363" s="22" t="s">
        <v>1258</v>
      </c>
      <c r="K363" s="22" t="s">
        <v>1028</v>
      </c>
      <c r="L363" s="13"/>
      <c r="M363" s="13"/>
      <c r="N363" s="13"/>
      <c r="O363" s="13"/>
      <c r="P363" s="13"/>
      <c r="Q363" s="13"/>
      <c r="R363" s="13"/>
      <c r="S363" s="13"/>
      <c r="T363" s="13"/>
      <c r="U363" s="13"/>
      <c r="V363" s="13"/>
      <c r="W363" s="13"/>
      <c r="X363" s="13"/>
      <c r="Y363" s="13"/>
      <c r="Z363" s="13"/>
      <c r="AA363" s="13"/>
    </row>
    <row r="364" ht="20.25" customHeight="1">
      <c r="A364" s="21">
        <v>46064.0</v>
      </c>
      <c r="B364" s="22" t="s">
        <v>1259</v>
      </c>
      <c r="C364" s="22" t="s">
        <v>822</v>
      </c>
      <c r="D364" s="22" t="s">
        <v>1260</v>
      </c>
      <c r="E364" s="22" t="s">
        <v>1261</v>
      </c>
      <c r="F364" s="22"/>
      <c r="G364" s="22" t="s">
        <v>1262</v>
      </c>
      <c r="H364" s="22" t="s">
        <v>1025</v>
      </c>
      <c r="I364" s="22" t="s">
        <v>1263</v>
      </c>
      <c r="J364" s="22" t="s">
        <v>1264</v>
      </c>
      <c r="K364" s="22" t="s">
        <v>1028</v>
      </c>
      <c r="L364" s="13"/>
      <c r="M364" s="13"/>
      <c r="N364" s="13"/>
      <c r="O364" s="13"/>
      <c r="P364" s="13"/>
      <c r="Q364" s="13"/>
      <c r="R364" s="13"/>
      <c r="S364" s="13"/>
      <c r="T364" s="13"/>
      <c r="U364" s="13"/>
      <c r="V364" s="13"/>
      <c r="W364" s="13"/>
      <c r="X364" s="13"/>
      <c r="Y364" s="13"/>
      <c r="Z364" s="13"/>
      <c r="AA364" s="13"/>
    </row>
    <row r="365" ht="20.25" customHeight="1">
      <c r="A365" s="21">
        <v>46063.0</v>
      </c>
      <c r="B365" s="22" t="s">
        <v>1265</v>
      </c>
      <c r="C365" s="22" t="s">
        <v>822</v>
      </c>
      <c r="D365" s="22" t="s">
        <v>1260</v>
      </c>
      <c r="E365" s="22"/>
      <c r="F365" s="22"/>
      <c r="G365" s="22"/>
      <c r="H365" s="22"/>
      <c r="I365" s="22"/>
      <c r="J365" s="22"/>
      <c r="K365" s="22"/>
      <c r="L365" s="13"/>
      <c r="M365" s="13"/>
      <c r="N365" s="13"/>
      <c r="O365" s="13"/>
      <c r="P365" s="13"/>
      <c r="Q365" s="13"/>
      <c r="R365" s="13"/>
      <c r="S365" s="13"/>
      <c r="T365" s="13"/>
      <c r="U365" s="13"/>
      <c r="V365" s="13"/>
      <c r="W365" s="13"/>
      <c r="X365" s="13"/>
      <c r="Y365" s="13"/>
      <c r="Z365" s="13"/>
      <c r="AA365" s="13"/>
    </row>
    <row r="366" ht="20.25" customHeight="1">
      <c r="A366" s="21">
        <v>46059.0</v>
      </c>
      <c r="B366" s="22" t="s">
        <v>32</v>
      </c>
      <c r="C366" s="22" t="s">
        <v>1266</v>
      </c>
      <c r="D366" s="22" t="s">
        <v>1267</v>
      </c>
      <c r="E366" s="22" t="s">
        <v>1268</v>
      </c>
      <c r="F366" s="22"/>
      <c r="G366" s="22" t="s">
        <v>874</v>
      </c>
      <c r="H366" s="22" t="s">
        <v>1207</v>
      </c>
      <c r="I366" s="22" t="s">
        <v>1269</v>
      </c>
      <c r="J366" s="22" t="s">
        <v>1270</v>
      </c>
      <c r="K366" s="22" t="s">
        <v>1028</v>
      </c>
      <c r="L366" s="13"/>
      <c r="M366" s="13"/>
      <c r="N366" s="13"/>
      <c r="O366" s="13"/>
      <c r="P366" s="13"/>
      <c r="Q366" s="13"/>
      <c r="R366" s="13"/>
      <c r="S366" s="13"/>
      <c r="T366" s="13"/>
      <c r="U366" s="13"/>
      <c r="V366" s="13"/>
      <c r="W366" s="13"/>
      <c r="X366" s="13"/>
      <c r="Y366" s="13"/>
      <c r="Z366" s="13"/>
      <c r="AA366" s="13"/>
    </row>
    <row r="367" ht="22.5" customHeight="1">
      <c r="A367" s="21">
        <v>46059.0</v>
      </c>
      <c r="B367" s="22" t="s">
        <v>1240</v>
      </c>
      <c r="C367" s="22" t="s">
        <v>1223</v>
      </c>
      <c r="D367" s="22" t="s">
        <v>1271</v>
      </c>
      <c r="E367" s="22" t="s">
        <v>1272</v>
      </c>
      <c r="F367" s="22"/>
      <c r="G367" s="22" t="s">
        <v>1273</v>
      </c>
      <c r="H367" s="22" t="s">
        <v>1063</v>
      </c>
      <c r="I367" s="22" t="s">
        <v>1227</v>
      </c>
      <c r="J367" s="22" t="s">
        <v>1274</v>
      </c>
      <c r="K367" s="22" t="s">
        <v>1028</v>
      </c>
      <c r="L367" s="22"/>
      <c r="M367" s="13"/>
      <c r="N367" s="13"/>
      <c r="O367" s="13"/>
      <c r="P367" s="13"/>
      <c r="Q367" s="13"/>
      <c r="R367" s="13"/>
      <c r="S367" s="13"/>
      <c r="T367" s="13"/>
      <c r="U367" s="13"/>
      <c r="V367" s="13"/>
      <c r="W367" s="13"/>
      <c r="X367" s="13"/>
      <c r="Y367" s="13"/>
      <c r="Z367" s="13"/>
      <c r="AA367" s="13"/>
    </row>
    <row r="368" ht="20.25" customHeight="1">
      <c r="A368" s="26">
        <v>46062.0</v>
      </c>
      <c r="B368" s="27" t="s">
        <v>1275</v>
      </c>
      <c r="C368" s="27" t="s">
        <v>1276</v>
      </c>
      <c r="D368" s="27" t="s">
        <v>1277</v>
      </c>
      <c r="E368" s="27" t="s">
        <v>1278</v>
      </c>
      <c r="F368" s="27"/>
      <c r="G368" s="27" t="s">
        <v>573</v>
      </c>
      <c r="H368" s="27" t="s">
        <v>1107</v>
      </c>
      <c r="I368" s="27" t="s">
        <v>1279</v>
      </c>
      <c r="J368" s="27" t="s">
        <v>1280</v>
      </c>
      <c r="K368" s="27" t="s">
        <v>1028</v>
      </c>
      <c r="L368" s="27"/>
      <c r="M368" s="27"/>
      <c r="N368" s="27"/>
      <c r="O368" s="27"/>
      <c r="P368" s="27"/>
      <c r="Q368" s="27"/>
      <c r="R368" s="27"/>
      <c r="S368" s="27"/>
      <c r="T368" s="27"/>
      <c r="U368" s="27"/>
      <c r="V368" s="27"/>
      <c r="W368" s="13"/>
      <c r="X368" s="13"/>
      <c r="Y368" s="13"/>
      <c r="Z368" s="13"/>
      <c r="AA368" s="13"/>
    </row>
    <row r="369" ht="20.25" customHeight="1">
      <c r="A369" s="26">
        <v>46059.0</v>
      </c>
      <c r="B369" s="27" t="s">
        <v>1281</v>
      </c>
      <c r="C369" s="27" t="s">
        <v>1282</v>
      </c>
      <c r="D369" s="27" t="s">
        <v>1283</v>
      </c>
      <c r="E369" s="27" t="s">
        <v>1284</v>
      </c>
      <c r="F369" s="27"/>
      <c r="G369" s="27" t="s">
        <v>1285</v>
      </c>
      <c r="H369" s="27" t="s">
        <v>1057</v>
      </c>
      <c r="I369" s="27"/>
      <c r="J369" s="27" t="s">
        <v>1286</v>
      </c>
      <c r="K369" s="27" t="s">
        <v>1028</v>
      </c>
      <c r="L369" s="27"/>
      <c r="M369" s="27"/>
      <c r="N369" s="27"/>
      <c r="O369" s="27"/>
      <c r="P369" s="27"/>
      <c r="Q369" s="27"/>
      <c r="R369" s="27"/>
      <c r="S369" s="27"/>
      <c r="T369" s="27"/>
      <c r="U369" s="27"/>
      <c r="V369" s="27"/>
      <c r="W369" s="13"/>
      <c r="X369" s="13"/>
      <c r="Y369" s="13"/>
      <c r="Z369" s="13"/>
      <c r="AA369" s="13"/>
    </row>
    <row r="370" ht="20.25" customHeight="1">
      <c r="A370" s="26">
        <v>46063.0</v>
      </c>
      <c r="B370" s="27" t="s">
        <v>1287</v>
      </c>
      <c r="C370" s="30" t="s">
        <v>1288</v>
      </c>
      <c r="D370" s="27" t="s">
        <v>1289</v>
      </c>
      <c r="E370" s="27" t="s">
        <v>1290</v>
      </c>
      <c r="F370" s="27"/>
      <c r="G370" s="27" t="s">
        <v>1077</v>
      </c>
      <c r="H370" s="27" t="s">
        <v>1178</v>
      </c>
      <c r="I370" s="27" t="s">
        <v>1291</v>
      </c>
      <c r="J370" s="27" t="s">
        <v>1292</v>
      </c>
      <c r="K370" s="27" t="s">
        <v>1028</v>
      </c>
      <c r="L370" s="27"/>
      <c r="M370" s="27"/>
      <c r="N370" s="27"/>
      <c r="O370" s="27"/>
      <c r="P370" s="27"/>
      <c r="Q370" s="27"/>
      <c r="R370" s="27"/>
      <c r="S370" s="27"/>
      <c r="T370" s="27"/>
      <c r="U370" s="27"/>
      <c r="V370" s="27"/>
      <c r="W370" s="13"/>
      <c r="X370" s="13"/>
      <c r="Y370" s="13"/>
      <c r="Z370" s="13"/>
      <c r="AA370" s="13"/>
    </row>
    <row r="371" ht="20.25" customHeight="1">
      <c r="A371" s="26">
        <v>46063.0</v>
      </c>
      <c r="B371" s="27" t="s">
        <v>1293</v>
      </c>
      <c r="C371" s="30" t="s">
        <v>1288</v>
      </c>
      <c r="D371" s="27" t="s">
        <v>1294</v>
      </c>
      <c r="E371" s="27" t="s">
        <v>1295</v>
      </c>
      <c r="F371" s="27"/>
      <c r="G371" s="27" t="s">
        <v>1077</v>
      </c>
      <c r="H371" s="27" t="s">
        <v>1178</v>
      </c>
      <c r="I371" s="27" t="s">
        <v>1291</v>
      </c>
      <c r="J371" s="27" t="s">
        <v>1296</v>
      </c>
      <c r="K371" s="27" t="s">
        <v>1028</v>
      </c>
      <c r="L371" s="27"/>
      <c r="M371" s="27"/>
      <c r="N371" s="27"/>
      <c r="O371" s="27"/>
      <c r="P371" s="27"/>
      <c r="Q371" s="27"/>
      <c r="R371" s="27"/>
      <c r="S371" s="27"/>
      <c r="T371" s="27"/>
      <c r="U371" s="27"/>
      <c r="V371" s="27"/>
      <c r="W371" s="13"/>
      <c r="X371" s="13"/>
      <c r="Y371" s="13"/>
      <c r="Z371" s="13"/>
      <c r="AA371" s="13"/>
    </row>
    <row r="372" ht="20.25" customHeight="1">
      <c r="A372" s="21">
        <v>46061.0</v>
      </c>
      <c r="B372" s="22" t="s">
        <v>1297</v>
      </c>
      <c r="C372" s="22" t="s">
        <v>877</v>
      </c>
      <c r="D372" s="22" t="s">
        <v>1298</v>
      </c>
      <c r="E372" s="22" t="s">
        <v>1299</v>
      </c>
      <c r="F372" s="22"/>
      <c r="G372" s="22" t="s">
        <v>1300</v>
      </c>
      <c r="H372" s="22" t="s">
        <v>1129</v>
      </c>
      <c r="I372" s="22" t="s">
        <v>1301</v>
      </c>
      <c r="J372" s="22" t="s">
        <v>1302</v>
      </c>
      <c r="K372" s="22" t="s">
        <v>1028</v>
      </c>
      <c r="L372" s="13"/>
      <c r="M372" s="13"/>
      <c r="N372" s="13"/>
      <c r="O372" s="13"/>
      <c r="P372" s="13"/>
      <c r="Q372" s="13"/>
      <c r="R372" s="13"/>
      <c r="S372" s="13"/>
      <c r="T372" s="13"/>
      <c r="U372" s="13"/>
      <c r="V372" s="13"/>
      <c r="W372" s="13"/>
      <c r="X372" s="13"/>
      <c r="Y372" s="13"/>
      <c r="Z372" s="13"/>
      <c r="AA372" s="13"/>
    </row>
    <row r="373" ht="20.25" customHeight="1">
      <c r="A373" s="21">
        <v>46058.0</v>
      </c>
      <c r="B373" s="22" t="s">
        <v>1303</v>
      </c>
      <c r="C373" s="22" t="s">
        <v>877</v>
      </c>
      <c r="D373" s="22" t="s">
        <v>1304</v>
      </c>
      <c r="E373" s="22" t="s">
        <v>1305</v>
      </c>
      <c r="F373" s="22"/>
      <c r="G373" s="22" t="s">
        <v>1077</v>
      </c>
      <c r="H373" s="22" t="s">
        <v>1129</v>
      </c>
      <c r="I373" s="22" t="s">
        <v>1301</v>
      </c>
      <c r="J373" s="22" t="s">
        <v>1306</v>
      </c>
      <c r="K373" s="22" t="s">
        <v>1028</v>
      </c>
      <c r="L373" s="13"/>
      <c r="M373" s="13"/>
      <c r="N373" s="13"/>
      <c r="O373" s="13"/>
      <c r="P373" s="13"/>
      <c r="Q373" s="13"/>
      <c r="R373" s="13"/>
      <c r="S373" s="13"/>
      <c r="T373" s="13"/>
      <c r="U373" s="13"/>
      <c r="V373" s="13"/>
      <c r="W373" s="13"/>
      <c r="X373" s="13"/>
      <c r="Y373" s="13"/>
      <c r="Z373" s="13"/>
      <c r="AA373" s="13"/>
    </row>
    <row r="374" ht="20.25" customHeight="1">
      <c r="A374" s="21">
        <v>46064.0</v>
      </c>
      <c r="B374" s="22" t="s">
        <v>1307</v>
      </c>
      <c r="C374" s="22" t="s">
        <v>877</v>
      </c>
      <c r="D374" s="22" t="s">
        <v>1308</v>
      </c>
      <c r="E374" s="22" t="s">
        <v>1309</v>
      </c>
      <c r="F374" s="22"/>
      <c r="G374" s="22" t="s">
        <v>1077</v>
      </c>
      <c r="H374" s="22" t="s">
        <v>1129</v>
      </c>
      <c r="I374" s="22" t="s">
        <v>1301</v>
      </c>
      <c r="J374" s="22" t="s">
        <v>1310</v>
      </c>
      <c r="K374" s="22" t="s">
        <v>1028</v>
      </c>
      <c r="L374" s="13"/>
      <c r="M374" s="13"/>
      <c r="N374" s="13"/>
      <c r="O374" s="13"/>
      <c r="P374" s="13"/>
      <c r="Q374" s="13"/>
      <c r="R374" s="13"/>
      <c r="S374" s="13"/>
      <c r="T374" s="13"/>
      <c r="U374" s="13"/>
      <c r="V374" s="13"/>
      <c r="W374" s="13"/>
      <c r="X374" s="13"/>
      <c r="Y374" s="13"/>
      <c r="Z374" s="13"/>
      <c r="AA374" s="13"/>
    </row>
    <row r="375" ht="20.25" customHeight="1">
      <c r="A375" s="21">
        <v>46059.0</v>
      </c>
      <c r="B375" s="22" t="s">
        <v>88</v>
      </c>
      <c r="C375" s="22" t="s">
        <v>1311</v>
      </c>
      <c r="D375" s="22" t="s">
        <v>1312</v>
      </c>
      <c r="E375" s="22" t="s">
        <v>1313</v>
      </c>
      <c r="F375" s="22"/>
      <c r="G375" s="22" t="s">
        <v>1077</v>
      </c>
      <c r="H375" s="22" t="s">
        <v>1088</v>
      </c>
      <c r="I375" s="22" t="s">
        <v>1314</v>
      </c>
      <c r="J375" s="22" t="s">
        <v>1315</v>
      </c>
      <c r="K375" s="22" t="s">
        <v>1028</v>
      </c>
      <c r="L375" s="13"/>
      <c r="M375" s="13"/>
      <c r="N375" s="13"/>
      <c r="O375" s="13"/>
      <c r="P375" s="13"/>
      <c r="Q375" s="13"/>
      <c r="R375" s="13"/>
      <c r="S375" s="13"/>
      <c r="T375" s="13"/>
      <c r="U375" s="13"/>
      <c r="V375" s="13"/>
      <c r="W375" s="13"/>
      <c r="X375" s="13"/>
      <c r="Y375" s="13"/>
      <c r="Z375" s="13"/>
      <c r="AA375" s="13"/>
    </row>
    <row r="376" ht="20.25" customHeight="1">
      <c r="A376" s="21">
        <v>46061.0</v>
      </c>
      <c r="B376" s="22" t="s">
        <v>1316</v>
      </c>
      <c r="C376" s="22" t="s">
        <v>977</v>
      </c>
      <c r="D376" s="22" t="s">
        <v>1317</v>
      </c>
      <c r="E376" s="22" t="s">
        <v>1318</v>
      </c>
      <c r="F376" s="22"/>
      <c r="G376" s="22" t="s">
        <v>1319</v>
      </c>
      <c r="H376" s="22" t="s">
        <v>1129</v>
      </c>
      <c r="I376" s="22" t="s">
        <v>1320</v>
      </c>
      <c r="J376" s="22" t="s">
        <v>1321</v>
      </c>
      <c r="K376" s="22" t="s">
        <v>1028</v>
      </c>
      <c r="L376" s="13"/>
      <c r="M376" s="13"/>
      <c r="N376" s="13"/>
      <c r="O376" s="13"/>
      <c r="P376" s="13"/>
      <c r="Q376" s="13"/>
      <c r="R376" s="13"/>
      <c r="S376" s="13"/>
      <c r="T376" s="13"/>
      <c r="U376" s="13"/>
      <c r="V376" s="13"/>
      <c r="W376" s="13"/>
      <c r="X376" s="13"/>
      <c r="Y376" s="13"/>
      <c r="Z376" s="13"/>
      <c r="AA376" s="13"/>
    </row>
    <row r="377" ht="20.25" customHeight="1">
      <c r="A377" s="21">
        <v>46061.0</v>
      </c>
      <c r="B377" s="22" t="s">
        <v>1322</v>
      </c>
      <c r="C377" s="22" t="s">
        <v>977</v>
      </c>
      <c r="D377" s="22" t="s">
        <v>1317</v>
      </c>
      <c r="E377" s="22" t="s">
        <v>1323</v>
      </c>
      <c r="F377" s="22"/>
      <c r="G377" s="22" t="s">
        <v>1319</v>
      </c>
      <c r="H377" s="22" t="s">
        <v>1129</v>
      </c>
      <c r="I377" s="22" t="s">
        <v>1320</v>
      </c>
      <c r="J377" s="22" t="s">
        <v>1324</v>
      </c>
      <c r="K377" s="22" t="s">
        <v>1028</v>
      </c>
      <c r="L377" s="13"/>
      <c r="M377" s="13"/>
      <c r="N377" s="13"/>
      <c r="O377" s="13"/>
      <c r="P377" s="13"/>
      <c r="Q377" s="13"/>
      <c r="R377" s="13"/>
      <c r="S377" s="13"/>
      <c r="T377" s="13"/>
      <c r="U377" s="13"/>
      <c r="V377" s="13"/>
      <c r="W377" s="13"/>
      <c r="X377" s="13"/>
      <c r="Y377" s="13"/>
      <c r="Z377" s="13"/>
      <c r="AA377" s="13"/>
    </row>
    <row r="378" ht="20.25" customHeight="1">
      <c r="A378" s="21">
        <v>46058.0</v>
      </c>
      <c r="B378" s="22" t="s">
        <v>1325</v>
      </c>
      <c r="C378" s="22" t="s">
        <v>371</v>
      </c>
      <c r="D378" s="22" t="s">
        <v>1326</v>
      </c>
      <c r="E378" s="22" t="s">
        <v>1327</v>
      </c>
      <c r="F378" s="22"/>
      <c r="G378" s="22" t="s">
        <v>1328</v>
      </c>
      <c r="H378" s="22" t="s">
        <v>1025</v>
      </c>
      <c r="I378" s="22" t="s">
        <v>1329</v>
      </c>
      <c r="J378" s="22" t="s">
        <v>1330</v>
      </c>
      <c r="K378" s="22" t="s">
        <v>1028</v>
      </c>
      <c r="L378" s="13"/>
      <c r="M378" s="13"/>
      <c r="N378" s="13"/>
      <c r="O378" s="13"/>
      <c r="P378" s="13"/>
      <c r="Q378" s="13"/>
      <c r="R378" s="13"/>
      <c r="S378" s="13"/>
      <c r="T378" s="13"/>
      <c r="U378" s="13"/>
      <c r="V378" s="13"/>
      <c r="W378" s="13"/>
      <c r="X378" s="13"/>
      <c r="Y378" s="13"/>
      <c r="Z378" s="13"/>
      <c r="AA378" s="13"/>
    </row>
    <row r="379" ht="22.5" customHeight="1">
      <c r="A379" s="21">
        <v>46064.0</v>
      </c>
      <c r="B379" s="22" t="s">
        <v>1331</v>
      </c>
      <c r="C379" s="22" t="s">
        <v>1332</v>
      </c>
      <c r="D379" s="22" t="s">
        <v>1333</v>
      </c>
      <c r="E379" s="22" t="s">
        <v>1334</v>
      </c>
      <c r="F379" s="22"/>
      <c r="G379" s="22" t="s">
        <v>901</v>
      </c>
      <c r="H379" s="22" t="s">
        <v>1025</v>
      </c>
      <c r="I379" s="22" t="s">
        <v>1335</v>
      </c>
      <c r="J379" s="22" t="s">
        <v>1336</v>
      </c>
      <c r="K379" s="22" t="s">
        <v>1028</v>
      </c>
      <c r="L379" s="22"/>
      <c r="M379" s="13"/>
      <c r="N379" s="13"/>
      <c r="O379" s="13"/>
      <c r="P379" s="13"/>
      <c r="Q379" s="13"/>
      <c r="R379" s="13"/>
      <c r="S379" s="13"/>
      <c r="T379" s="13"/>
      <c r="U379" s="13"/>
      <c r="V379" s="13"/>
      <c r="W379" s="13"/>
      <c r="X379" s="13"/>
      <c r="Y379" s="13"/>
      <c r="Z379" s="13"/>
      <c r="AA379" s="13"/>
    </row>
    <row r="380" ht="22.5" customHeight="1">
      <c r="A380" s="21">
        <v>46063.0</v>
      </c>
      <c r="B380" s="22" t="s">
        <v>1337</v>
      </c>
      <c r="C380" s="22" t="s">
        <v>1338</v>
      </c>
      <c r="D380" s="22" t="s">
        <v>1283</v>
      </c>
      <c r="E380" s="22" t="s">
        <v>1339</v>
      </c>
      <c r="F380" s="22"/>
      <c r="G380" s="22" t="s">
        <v>1340</v>
      </c>
      <c r="H380" s="22" t="s">
        <v>1129</v>
      </c>
      <c r="I380" s="22"/>
      <c r="J380" s="22" t="s">
        <v>1341</v>
      </c>
      <c r="K380" s="22" t="s">
        <v>1028</v>
      </c>
      <c r="L380" s="22"/>
      <c r="M380" s="13"/>
      <c r="N380" s="13"/>
      <c r="O380" s="13"/>
      <c r="P380" s="13"/>
      <c r="Q380" s="13"/>
      <c r="R380" s="13"/>
      <c r="S380" s="13"/>
      <c r="T380" s="13"/>
      <c r="U380" s="13"/>
      <c r="V380" s="13"/>
      <c r="W380" s="13"/>
      <c r="X380" s="13"/>
      <c r="Y380" s="13"/>
      <c r="Z380" s="13"/>
      <c r="AA380" s="13"/>
    </row>
    <row r="381" ht="22.5" customHeight="1">
      <c r="A381" s="21">
        <v>46058.0</v>
      </c>
      <c r="B381" s="22" t="s">
        <v>1342</v>
      </c>
      <c r="C381" s="22" t="s">
        <v>558</v>
      </c>
      <c r="D381" s="22" t="s">
        <v>1343</v>
      </c>
      <c r="E381" s="22" t="s">
        <v>1344</v>
      </c>
      <c r="F381" s="22"/>
      <c r="G381" s="22" t="s">
        <v>1345</v>
      </c>
      <c r="H381" s="22" t="s">
        <v>1088</v>
      </c>
      <c r="I381" s="22" t="s">
        <v>1346</v>
      </c>
      <c r="J381" s="22" t="s">
        <v>1347</v>
      </c>
      <c r="K381" s="22" t="s">
        <v>1028</v>
      </c>
      <c r="L381" s="22"/>
      <c r="M381" s="13"/>
      <c r="N381" s="13"/>
      <c r="O381" s="13"/>
      <c r="P381" s="13"/>
      <c r="Q381" s="13"/>
      <c r="R381" s="13"/>
      <c r="S381" s="13"/>
      <c r="T381" s="13"/>
      <c r="U381" s="13"/>
      <c r="V381" s="13"/>
      <c r="W381" s="13"/>
      <c r="X381" s="13"/>
      <c r="Y381" s="13"/>
      <c r="Z381" s="13"/>
      <c r="AA381" s="13"/>
    </row>
    <row r="382" ht="22.5" customHeight="1">
      <c r="A382" s="21">
        <v>46059.0</v>
      </c>
      <c r="B382" s="22" t="s">
        <v>1348</v>
      </c>
      <c r="C382" s="22" t="s">
        <v>1349</v>
      </c>
      <c r="D382" s="22" t="s">
        <v>1267</v>
      </c>
      <c r="E382" s="22" t="s">
        <v>1350</v>
      </c>
      <c r="F382" s="22"/>
      <c r="G382" s="22" t="s">
        <v>1077</v>
      </c>
      <c r="H382" s="22" t="s">
        <v>1207</v>
      </c>
      <c r="I382" s="22" t="s">
        <v>1351</v>
      </c>
      <c r="J382" s="22" t="s">
        <v>1352</v>
      </c>
      <c r="K382" s="22" t="s">
        <v>1028</v>
      </c>
      <c r="L382" s="22"/>
      <c r="M382" s="13"/>
      <c r="N382" s="13"/>
      <c r="O382" s="13"/>
      <c r="P382" s="13"/>
      <c r="Q382" s="13"/>
      <c r="R382" s="13"/>
      <c r="S382" s="13"/>
      <c r="T382" s="13"/>
      <c r="U382" s="13"/>
      <c r="V382" s="13"/>
      <c r="W382" s="13"/>
      <c r="X382" s="13"/>
      <c r="Y382" s="13"/>
      <c r="Z382" s="13"/>
      <c r="AA382" s="13"/>
    </row>
    <row r="383" ht="22.5" customHeight="1">
      <c r="A383" s="21">
        <v>46063.0</v>
      </c>
      <c r="B383" s="22" t="s">
        <v>1353</v>
      </c>
      <c r="C383" s="22" t="s">
        <v>914</v>
      </c>
      <c r="D383" s="22" t="s">
        <v>1354</v>
      </c>
      <c r="E383" s="22" t="s">
        <v>1355</v>
      </c>
      <c r="F383" s="22"/>
      <c r="G383" s="22" t="s">
        <v>944</v>
      </c>
      <c r="H383" s="22" t="s">
        <v>1025</v>
      </c>
      <c r="I383" s="22" t="s">
        <v>1135</v>
      </c>
      <c r="J383" s="22" t="s">
        <v>1356</v>
      </c>
      <c r="K383" s="22" t="s">
        <v>1028</v>
      </c>
      <c r="L383" s="22"/>
      <c r="M383" s="13"/>
      <c r="N383" s="13"/>
      <c r="O383" s="13"/>
      <c r="P383" s="13"/>
      <c r="Q383" s="13"/>
      <c r="R383" s="13"/>
      <c r="S383" s="13"/>
      <c r="T383" s="13"/>
      <c r="U383" s="13"/>
      <c r="V383" s="13"/>
      <c r="W383" s="13"/>
      <c r="X383" s="13"/>
      <c r="Y383" s="13"/>
      <c r="Z383" s="13"/>
      <c r="AA383" s="13"/>
    </row>
    <row r="384" ht="22.5" customHeight="1">
      <c r="A384" s="21">
        <v>46064.0</v>
      </c>
      <c r="B384" s="22" t="s">
        <v>1357</v>
      </c>
      <c r="C384" s="22" t="s">
        <v>1358</v>
      </c>
      <c r="D384" s="22" t="s">
        <v>1359</v>
      </c>
      <c r="E384" s="22" t="s">
        <v>1360</v>
      </c>
      <c r="F384" s="22"/>
      <c r="G384" s="22" t="s">
        <v>874</v>
      </c>
      <c r="H384" s="22" t="s">
        <v>1107</v>
      </c>
      <c r="I384" s="22" t="s">
        <v>1361</v>
      </c>
      <c r="J384" s="22" t="s">
        <v>1362</v>
      </c>
      <c r="K384" s="22" t="s">
        <v>1028</v>
      </c>
      <c r="L384" s="13"/>
      <c r="M384" s="13"/>
      <c r="N384" s="13"/>
      <c r="O384" s="13"/>
      <c r="P384" s="13"/>
      <c r="Q384" s="13"/>
      <c r="R384" s="13"/>
      <c r="S384" s="13"/>
      <c r="T384" s="13"/>
      <c r="U384" s="13"/>
      <c r="V384" s="13"/>
      <c r="W384" s="13"/>
      <c r="X384" s="13"/>
      <c r="Y384" s="13"/>
      <c r="Z384" s="13"/>
      <c r="AA384" s="13"/>
    </row>
    <row r="385" ht="22.5" customHeight="1">
      <c r="A385" s="21">
        <v>46064.0</v>
      </c>
      <c r="B385" s="22" t="s">
        <v>1363</v>
      </c>
      <c r="C385" s="22" t="s">
        <v>1364</v>
      </c>
      <c r="D385" s="22" t="s">
        <v>1365</v>
      </c>
      <c r="E385" s="22" t="s">
        <v>1366</v>
      </c>
      <c r="F385" s="22"/>
      <c r="G385" s="22" t="s">
        <v>1367</v>
      </c>
      <c r="H385" s="22" t="s">
        <v>1178</v>
      </c>
      <c r="I385" s="22"/>
      <c r="J385" s="22" t="s">
        <v>1368</v>
      </c>
      <c r="K385" s="22" t="s">
        <v>1028</v>
      </c>
      <c r="L385" s="13"/>
      <c r="M385" s="13"/>
      <c r="N385" s="13"/>
      <c r="O385" s="13"/>
      <c r="P385" s="13"/>
      <c r="Q385" s="13"/>
      <c r="R385" s="13"/>
      <c r="S385" s="13"/>
      <c r="T385" s="13"/>
      <c r="U385" s="13"/>
      <c r="V385" s="13"/>
      <c r="W385" s="13"/>
      <c r="X385" s="13"/>
      <c r="Y385" s="13"/>
      <c r="Z385" s="13"/>
      <c r="AA385" s="13"/>
    </row>
    <row r="386" ht="22.5" customHeight="1">
      <c r="A386" s="21">
        <v>46062.0</v>
      </c>
      <c r="B386" s="22" t="s">
        <v>1369</v>
      </c>
      <c r="C386" s="22" t="s">
        <v>1370</v>
      </c>
      <c r="D386" s="22" t="s">
        <v>1371</v>
      </c>
      <c r="E386" s="22" t="s">
        <v>1372</v>
      </c>
      <c r="F386" s="22"/>
      <c r="G386" s="22" t="s">
        <v>1373</v>
      </c>
      <c r="H386" s="22" t="s">
        <v>1088</v>
      </c>
      <c r="I386" s="22"/>
      <c r="J386" s="22" t="s">
        <v>1374</v>
      </c>
      <c r="K386" s="22" t="s">
        <v>1028</v>
      </c>
      <c r="L386" s="13"/>
      <c r="M386" s="13"/>
      <c r="N386" s="13"/>
      <c r="O386" s="13"/>
      <c r="P386" s="13"/>
      <c r="Q386" s="13"/>
      <c r="R386" s="13"/>
      <c r="S386" s="13"/>
      <c r="T386" s="13"/>
      <c r="U386" s="13"/>
      <c r="V386" s="13"/>
      <c r="W386" s="13"/>
      <c r="X386" s="13"/>
      <c r="Y386" s="13"/>
      <c r="Z386" s="13"/>
      <c r="AA386" s="13"/>
    </row>
    <row r="387" ht="20.25" customHeight="1">
      <c r="A387" s="26">
        <v>46057.0</v>
      </c>
      <c r="B387" s="27" t="s">
        <v>1375</v>
      </c>
      <c r="C387" s="27" t="s">
        <v>1376</v>
      </c>
      <c r="D387" s="27" t="s">
        <v>1377</v>
      </c>
      <c r="E387" s="27" t="s">
        <v>1378</v>
      </c>
      <c r="F387" s="27"/>
      <c r="G387" s="27" t="s">
        <v>1379</v>
      </c>
      <c r="H387" s="27" t="s">
        <v>1129</v>
      </c>
      <c r="I387" s="27"/>
      <c r="J387" s="27" t="s">
        <v>1380</v>
      </c>
      <c r="K387" s="27" t="s">
        <v>1028</v>
      </c>
      <c r="L387" s="27"/>
      <c r="M387" s="27"/>
      <c r="N387" s="27"/>
      <c r="O387" s="27"/>
      <c r="P387" s="27"/>
      <c r="Q387" s="27"/>
      <c r="R387" s="27"/>
      <c r="S387" s="27"/>
      <c r="T387" s="27"/>
      <c r="U387" s="27"/>
      <c r="V387" s="27"/>
      <c r="W387" s="13"/>
      <c r="X387" s="13"/>
      <c r="Y387" s="13"/>
      <c r="Z387" s="13"/>
      <c r="AA387" s="13"/>
    </row>
    <row r="388" ht="20.25" customHeight="1">
      <c r="A388" s="26">
        <v>46063.0</v>
      </c>
      <c r="B388" s="27" t="s">
        <v>1381</v>
      </c>
      <c r="C388" s="27" t="s">
        <v>1382</v>
      </c>
      <c r="D388" s="27" t="s">
        <v>1383</v>
      </c>
      <c r="E388" s="27" t="s">
        <v>1384</v>
      </c>
      <c r="F388" s="27"/>
      <c r="G388" s="27" t="s">
        <v>379</v>
      </c>
      <c r="H388" s="27" t="s">
        <v>1207</v>
      </c>
      <c r="I388" s="27"/>
      <c r="J388" s="27" t="s">
        <v>1385</v>
      </c>
      <c r="K388" s="27" t="s">
        <v>1028</v>
      </c>
      <c r="L388" s="27"/>
      <c r="M388" s="27"/>
      <c r="N388" s="27"/>
      <c r="O388" s="27"/>
      <c r="P388" s="27"/>
      <c r="Q388" s="27"/>
      <c r="R388" s="27"/>
      <c r="S388" s="27"/>
      <c r="T388" s="27"/>
      <c r="U388" s="27"/>
      <c r="V388" s="27"/>
      <c r="W388" s="13"/>
      <c r="X388" s="13"/>
      <c r="Y388" s="13"/>
      <c r="Z388" s="13"/>
      <c r="AA388" s="13"/>
    </row>
    <row r="389" ht="20.25" customHeight="1">
      <c r="A389" s="26">
        <v>46062.0</v>
      </c>
      <c r="B389" s="27" t="s">
        <v>1386</v>
      </c>
      <c r="C389" s="27" t="s">
        <v>1382</v>
      </c>
      <c r="D389" s="27" t="s">
        <v>1383</v>
      </c>
      <c r="E389" s="27" t="s">
        <v>1387</v>
      </c>
      <c r="F389" s="27"/>
      <c r="G389" s="27" t="s">
        <v>1077</v>
      </c>
      <c r="H389" s="27" t="s">
        <v>1207</v>
      </c>
      <c r="I389" s="27"/>
      <c r="J389" s="27" t="s">
        <v>1388</v>
      </c>
      <c r="K389" s="27" t="s">
        <v>1028</v>
      </c>
      <c r="L389" s="27" t="s">
        <v>945</v>
      </c>
      <c r="M389" s="27"/>
      <c r="N389" s="27"/>
      <c r="O389" s="27"/>
      <c r="P389" s="27"/>
      <c r="Q389" s="27"/>
      <c r="R389" s="27"/>
      <c r="S389" s="27"/>
      <c r="T389" s="27"/>
      <c r="U389" s="27"/>
      <c r="V389" s="27"/>
      <c r="W389" s="13"/>
      <c r="X389" s="13"/>
      <c r="Y389" s="13"/>
      <c r="Z389" s="13"/>
      <c r="AA389" s="13"/>
    </row>
    <row r="390" ht="20.25" customHeight="1">
      <c r="A390" s="26">
        <v>46058.0</v>
      </c>
      <c r="B390" s="27" t="s">
        <v>1389</v>
      </c>
      <c r="C390" s="27" t="s">
        <v>839</v>
      </c>
      <c r="D390" s="27" t="s">
        <v>1390</v>
      </c>
      <c r="E390" s="27" t="s">
        <v>1391</v>
      </c>
      <c r="F390" s="27"/>
      <c r="G390" s="27" t="s">
        <v>1392</v>
      </c>
      <c r="H390" s="27" t="s">
        <v>1129</v>
      </c>
      <c r="I390" s="27" t="s">
        <v>1393</v>
      </c>
      <c r="J390" s="27" t="s">
        <v>1394</v>
      </c>
      <c r="K390" s="27" t="s">
        <v>1028</v>
      </c>
      <c r="L390" s="27" t="s">
        <v>945</v>
      </c>
      <c r="M390" s="27"/>
      <c r="N390" s="27"/>
      <c r="O390" s="27"/>
      <c r="P390" s="27"/>
      <c r="Q390" s="27"/>
      <c r="R390" s="27"/>
      <c r="S390" s="27"/>
      <c r="T390" s="27"/>
      <c r="U390" s="27"/>
      <c r="V390" s="27"/>
      <c r="W390" s="13"/>
      <c r="X390" s="13"/>
      <c r="Y390" s="13"/>
      <c r="Z390" s="13"/>
      <c r="AA390" s="13"/>
    </row>
    <row r="391" ht="20.25" customHeight="1">
      <c r="A391" s="26">
        <v>46063.0</v>
      </c>
      <c r="B391" s="27" t="s">
        <v>572</v>
      </c>
      <c r="C391" s="27" t="s">
        <v>873</v>
      </c>
      <c r="D391" s="27" t="s">
        <v>1395</v>
      </c>
      <c r="E391" s="27" t="s">
        <v>1396</v>
      </c>
      <c r="F391" s="27"/>
      <c r="G391" s="27" t="s">
        <v>874</v>
      </c>
      <c r="H391" s="27" t="s">
        <v>1129</v>
      </c>
      <c r="I391" s="27" t="s">
        <v>1397</v>
      </c>
      <c r="J391" s="27" t="s">
        <v>1398</v>
      </c>
      <c r="K391" s="27" t="s">
        <v>1028</v>
      </c>
      <c r="L391" s="27"/>
      <c r="M391" s="27"/>
      <c r="N391" s="27"/>
      <c r="O391" s="27"/>
      <c r="P391" s="27"/>
      <c r="Q391" s="27"/>
      <c r="R391" s="27"/>
      <c r="S391" s="27"/>
      <c r="T391" s="27"/>
      <c r="U391" s="27"/>
      <c r="V391" s="27"/>
      <c r="W391" s="13"/>
      <c r="X391" s="13"/>
      <c r="Y391" s="13"/>
      <c r="Z391" s="13"/>
      <c r="AA391" s="13"/>
    </row>
    <row r="392" ht="22.5" customHeight="1">
      <c r="A392" s="21">
        <v>46063.0</v>
      </c>
      <c r="B392" s="22" t="s">
        <v>1399</v>
      </c>
      <c r="C392" s="22" t="s">
        <v>1400</v>
      </c>
      <c r="D392" s="22" t="s">
        <v>1401</v>
      </c>
      <c r="E392" s="22" t="s">
        <v>1402</v>
      </c>
      <c r="F392" s="22"/>
      <c r="G392" s="22" t="s">
        <v>874</v>
      </c>
      <c r="H392" s="22" t="s">
        <v>1057</v>
      </c>
      <c r="I392" s="22" t="s">
        <v>1403</v>
      </c>
      <c r="J392" s="22" t="s">
        <v>1404</v>
      </c>
      <c r="K392" s="22" t="s">
        <v>1028</v>
      </c>
      <c r="L392" s="22" t="s">
        <v>945</v>
      </c>
      <c r="M392" s="13"/>
      <c r="N392" s="13"/>
      <c r="O392" s="13"/>
      <c r="P392" s="13"/>
      <c r="Q392" s="13"/>
      <c r="R392" s="13"/>
      <c r="S392" s="13"/>
      <c r="T392" s="13"/>
      <c r="U392" s="13"/>
      <c r="V392" s="13"/>
      <c r="W392" s="13"/>
      <c r="X392" s="13"/>
      <c r="Y392" s="13"/>
      <c r="Z392" s="13"/>
      <c r="AA392" s="13"/>
    </row>
    <row r="393" ht="20.25" customHeight="1">
      <c r="A393" s="26">
        <v>46059.0</v>
      </c>
      <c r="B393" s="27" t="s">
        <v>1405</v>
      </c>
      <c r="C393" s="27" t="s">
        <v>1406</v>
      </c>
      <c r="D393" s="27" t="s">
        <v>1407</v>
      </c>
      <c r="E393" s="27" t="s">
        <v>1408</v>
      </c>
      <c r="F393" s="27"/>
      <c r="G393" s="27" t="s">
        <v>858</v>
      </c>
      <c r="H393" s="27" t="s">
        <v>1129</v>
      </c>
      <c r="I393" s="27" t="s">
        <v>1409</v>
      </c>
      <c r="J393" s="27" t="s">
        <v>1410</v>
      </c>
      <c r="K393" s="27" t="s">
        <v>1028</v>
      </c>
      <c r="L393" s="27"/>
      <c r="M393" s="27"/>
      <c r="N393" s="27"/>
      <c r="O393" s="27"/>
      <c r="P393" s="27"/>
      <c r="Q393" s="27"/>
      <c r="R393" s="27"/>
      <c r="S393" s="27"/>
      <c r="T393" s="27"/>
      <c r="U393" s="27"/>
      <c r="V393" s="27"/>
      <c r="W393" s="13"/>
      <c r="X393" s="13"/>
      <c r="Y393" s="13"/>
      <c r="Z393" s="13"/>
      <c r="AA393" s="13"/>
    </row>
    <row r="394" ht="20.25" customHeight="1">
      <c r="A394" s="26">
        <v>46063.0</v>
      </c>
      <c r="B394" s="27" t="s">
        <v>818</v>
      </c>
      <c r="C394" s="27" t="s">
        <v>1411</v>
      </c>
      <c r="D394" s="27" t="s">
        <v>1412</v>
      </c>
      <c r="E394" s="27" t="s">
        <v>1413</v>
      </c>
      <c r="F394" s="27"/>
      <c r="G394" s="27" t="s">
        <v>874</v>
      </c>
      <c r="H394" s="27" t="s">
        <v>1025</v>
      </c>
      <c r="I394" s="27" t="s">
        <v>1414</v>
      </c>
      <c r="J394" s="27" t="s">
        <v>1415</v>
      </c>
      <c r="K394" s="27" t="s">
        <v>1028</v>
      </c>
      <c r="L394" s="27"/>
      <c r="M394" s="27"/>
      <c r="N394" s="27"/>
      <c r="O394" s="27"/>
      <c r="P394" s="27"/>
      <c r="Q394" s="27"/>
      <c r="R394" s="27"/>
      <c r="S394" s="27"/>
      <c r="T394" s="27"/>
      <c r="U394" s="27"/>
      <c r="V394" s="27"/>
      <c r="W394" s="13"/>
      <c r="X394" s="13"/>
      <c r="Y394" s="13"/>
      <c r="Z394" s="13"/>
      <c r="AA394" s="13"/>
    </row>
    <row r="395" ht="20.25" customHeight="1">
      <c r="A395" s="26">
        <v>46062.0</v>
      </c>
      <c r="B395" s="27" t="s">
        <v>1416</v>
      </c>
      <c r="C395" s="27" t="s">
        <v>1417</v>
      </c>
      <c r="D395" s="27" t="s">
        <v>1418</v>
      </c>
      <c r="E395" s="27" t="s">
        <v>1419</v>
      </c>
      <c r="F395" s="27"/>
      <c r="G395" s="27" t="s">
        <v>1420</v>
      </c>
      <c r="H395" s="27" t="s">
        <v>1178</v>
      </c>
      <c r="I395" s="27" t="s">
        <v>1421</v>
      </c>
      <c r="J395" s="27" t="s">
        <v>1422</v>
      </c>
      <c r="K395" s="27" t="s">
        <v>1028</v>
      </c>
      <c r="L395" s="27"/>
      <c r="M395" s="27"/>
      <c r="N395" s="27"/>
      <c r="O395" s="27"/>
      <c r="P395" s="27"/>
      <c r="Q395" s="27"/>
      <c r="R395" s="27"/>
      <c r="S395" s="27"/>
      <c r="T395" s="27"/>
      <c r="U395" s="27"/>
      <c r="V395" s="27"/>
      <c r="W395" s="13"/>
      <c r="X395" s="13"/>
      <c r="Y395" s="13"/>
      <c r="Z395" s="13"/>
      <c r="AA395" s="13"/>
    </row>
    <row r="396" ht="20.25" customHeight="1">
      <c r="A396" s="26">
        <v>46062.0</v>
      </c>
      <c r="B396" s="27" t="s">
        <v>1423</v>
      </c>
      <c r="C396" s="27" t="s">
        <v>1424</v>
      </c>
      <c r="D396" s="27" t="s">
        <v>1425</v>
      </c>
      <c r="E396" s="27" t="s">
        <v>1426</v>
      </c>
      <c r="F396" s="27"/>
      <c r="G396" s="27" t="s">
        <v>1427</v>
      </c>
      <c r="H396" s="27" t="s">
        <v>1088</v>
      </c>
      <c r="I396" s="27" t="s">
        <v>1428</v>
      </c>
      <c r="J396" s="27" t="s">
        <v>1429</v>
      </c>
      <c r="K396" s="27" t="s">
        <v>1028</v>
      </c>
      <c r="L396" s="27"/>
      <c r="M396" s="27"/>
      <c r="N396" s="27"/>
      <c r="O396" s="27"/>
      <c r="P396" s="27"/>
      <c r="Q396" s="27"/>
      <c r="R396" s="27"/>
      <c r="S396" s="27"/>
      <c r="T396" s="27"/>
      <c r="U396" s="27"/>
      <c r="V396" s="27"/>
      <c r="W396" s="13"/>
      <c r="X396" s="13"/>
      <c r="Y396" s="13"/>
      <c r="Z396" s="13"/>
      <c r="AA396" s="13"/>
    </row>
    <row r="397" ht="20.25" customHeight="1">
      <c r="A397" s="26">
        <v>46059.0</v>
      </c>
      <c r="B397" s="27" t="s">
        <v>1430</v>
      </c>
      <c r="C397" s="27" t="s">
        <v>1431</v>
      </c>
      <c r="D397" s="27" t="s">
        <v>1432</v>
      </c>
      <c r="E397" s="27" t="s">
        <v>1433</v>
      </c>
      <c r="F397" s="27"/>
      <c r="G397" s="27" t="s">
        <v>944</v>
      </c>
      <c r="H397" s="27" t="s">
        <v>1107</v>
      </c>
      <c r="I397" s="27" t="s">
        <v>1434</v>
      </c>
      <c r="J397" s="27" t="s">
        <v>1435</v>
      </c>
      <c r="K397" s="27" t="s">
        <v>1028</v>
      </c>
      <c r="L397" s="27"/>
      <c r="M397" s="27"/>
      <c r="N397" s="27"/>
      <c r="O397" s="27"/>
      <c r="P397" s="27"/>
      <c r="Q397" s="27"/>
      <c r="R397" s="27"/>
      <c r="S397" s="27"/>
      <c r="T397" s="27"/>
      <c r="U397" s="27"/>
      <c r="V397" s="27"/>
      <c r="W397" s="13"/>
      <c r="X397" s="13"/>
      <c r="Y397" s="13"/>
      <c r="Z397" s="13"/>
      <c r="AA397" s="13"/>
    </row>
    <row r="398" ht="20.25" customHeight="1">
      <c r="A398" s="26">
        <v>46058.0</v>
      </c>
      <c r="B398" s="27" t="s">
        <v>1436</v>
      </c>
      <c r="C398" s="27" t="s">
        <v>1437</v>
      </c>
      <c r="D398" s="27" t="s">
        <v>1438</v>
      </c>
      <c r="E398" s="27" t="s">
        <v>1439</v>
      </c>
      <c r="F398" s="27"/>
      <c r="G398" s="27" t="s">
        <v>1440</v>
      </c>
      <c r="H398" s="27" t="s">
        <v>1107</v>
      </c>
      <c r="I398" s="27" t="s">
        <v>1441</v>
      </c>
      <c r="J398" s="27" t="s">
        <v>1442</v>
      </c>
      <c r="K398" s="27" t="s">
        <v>1028</v>
      </c>
      <c r="L398" s="27" t="s">
        <v>945</v>
      </c>
      <c r="M398" s="27"/>
      <c r="N398" s="27"/>
      <c r="O398" s="27"/>
      <c r="P398" s="27"/>
      <c r="Q398" s="27"/>
      <c r="R398" s="27"/>
      <c r="S398" s="27"/>
      <c r="T398" s="27"/>
      <c r="U398" s="27"/>
      <c r="V398" s="27"/>
      <c r="W398" s="13"/>
      <c r="X398" s="13"/>
      <c r="Y398" s="13"/>
      <c r="Z398" s="13"/>
      <c r="AA398" s="13"/>
    </row>
    <row r="399" ht="20.25" customHeight="1">
      <c r="A399" s="26">
        <v>46059.0</v>
      </c>
      <c r="B399" s="27" t="s">
        <v>1443</v>
      </c>
      <c r="C399" s="27" t="s">
        <v>1444</v>
      </c>
      <c r="D399" s="27" t="s">
        <v>1445</v>
      </c>
      <c r="E399" s="27" t="s">
        <v>1446</v>
      </c>
      <c r="F399" s="27" t="s">
        <v>969</v>
      </c>
      <c r="G399" s="27" t="s">
        <v>1447</v>
      </c>
      <c r="H399" s="27" t="s">
        <v>1207</v>
      </c>
      <c r="I399" s="27" t="s">
        <v>1448</v>
      </c>
      <c r="J399" s="27" t="s">
        <v>1449</v>
      </c>
      <c r="K399" s="27" t="s">
        <v>1028</v>
      </c>
      <c r="L399" s="27"/>
      <c r="M399" s="27"/>
      <c r="N399" s="27"/>
      <c r="O399" s="27"/>
      <c r="P399" s="27"/>
      <c r="Q399" s="27"/>
      <c r="R399" s="27"/>
      <c r="S399" s="27"/>
      <c r="T399" s="27"/>
      <c r="U399" s="27"/>
      <c r="V399" s="27"/>
      <c r="W399" s="13"/>
      <c r="X399" s="13"/>
      <c r="Y399" s="13"/>
      <c r="Z399" s="13"/>
      <c r="AA399" s="13"/>
    </row>
    <row r="400" ht="20.25" customHeight="1">
      <c r="A400" s="26">
        <v>46064.0</v>
      </c>
      <c r="B400" s="27" t="s">
        <v>1450</v>
      </c>
      <c r="C400" s="27" t="s">
        <v>1451</v>
      </c>
      <c r="D400" s="27" t="s">
        <v>1452</v>
      </c>
      <c r="E400" s="27" t="s">
        <v>1453</v>
      </c>
      <c r="F400" s="27" t="s">
        <v>969</v>
      </c>
      <c r="G400" s="27" t="s">
        <v>1454</v>
      </c>
      <c r="H400" s="27" t="s">
        <v>1207</v>
      </c>
      <c r="I400" s="27" t="s">
        <v>1455</v>
      </c>
      <c r="J400" s="27" t="s">
        <v>1456</v>
      </c>
      <c r="K400" s="27" t="s">
        <v>1028</v>
      </c>
      <c r="L400" s="27"/>
      <c r="M400" s="27"/>
      <c r="N400" s="27"/>
      <c r="O400" s="27"/>
      <c r="P400" s="27"/>
      <c r="Q400" s="27"/>
      <c r="R400" s="27"/>
      <c r="S400" s="27"/>
      <c r="T400" s="27"/>
      <c r="U400" s="27"/>
      <c r="V400" s="27"/>
      <c r="W400" s="13"/>
      <c r="X400" s="13"/>
      <c r="Y400" s="13"/>
      <c r="Z400" s="13"/>
      <c r="AA400" s="13"/>
    </row>
    <row r="401" ht="20.25" customHeight="1">
      <c r="A401" s="26">
        <v>46064.0</v>
      </c>
      <c r="B401" s="27" t="s">
        <v>1457</v>
      </c>
      <c r="C401" s="27" t="s">
        <v>1458</v>
      </c>
      <c r="D401" s="27" t="s">
        <v>1459</v>
      </c>
      <c r="E401" s="27" t="s">
        <v>1460</v>
      </c>
      <c r="F401" s="27" t="s">
        <v>969</v>
      </c>
      <c r="G401" s="27" t="s">
        <v>1461</v>
      </c>
      <c r="H401" s="27" t="s">
        <v>1207</v>
      </c>
      <c r="I401" s="27" t="s">
        <v>1462</v>
      </c>
      <c r="J401" s="27" t="s">
        <v>1463</v>
      </c>
      <c r="K401" s="27" t="s">
        <v>1028</v>
      </c>
      <c r="L401" s="27"/>
      <c r="M401" s="27"/>
      <c r="N401" s="27"/>
      <c r="O401" s="27"/>
      <c r="P401" s="27"/>
      <c r="Q401" s="27"/>
      <c r="R401" s="27"/>
      <c r="S401" s="27"/>
      <c r="T401" s="27"/>
      <c r="U401" s="27"/>
      <c r="V401" s="27"/>
      <c r="W401" s="13"/>
      <c r="X401" s="13"/>
      <c r="Y401" s="13"/>
      <c r="Z401" s="13"/>
      <c r="AA401" s="13"/>
    </row>
    <row r="402" ht="20.25" customHeight="1">
      <c r="A402" s="26">
        <v>46063.0</v>
      </c>
      <c r="B402" s="27" t="s">
        <v>1464</v>
      </c>
      <c r="C402" s="27" t="s">
        <v>1465</v>
      </c>
      <c r="D402" s="27" t="s">
        <v>1466</v>
      </c>
      <c r="E402" s="27" t="s">
        <v>1467</v>
      </c>
      <c r="F402" s="27" t="s">
        <v>969</v>
      </c>
      <c r="G402" s="27" t="s">
        <v>1468</v>
      </c>
      <c r="H402" s="27" t="s">
        <v>1129</v>
      </c>
      <c r="I402" s="27" t="s">
        <v>1469</v>
      </c>
      <c r="J402" s="27" t="s">
        <v>1470</v>
      </c>
      <c r="K402" s="27" t="s">
        <v>1028</v>
      </c>
      <c r="L402" s="27"/>
      <c r="M402" s="27"/>
      <c r="N402" s="27"/>
      <c r="O402" s="27"/>
      <c r="P402" s="27"/>
      <c r="Q402" s="27"/>
      <c r="R402" s="27"/>
      <c r="S402" s="27"/>
      <c r="T402" s="27"/>
      <c r="U402" s="27"/>
      <c r="V402" s="27"/>
      <c r="W402" s="13"/>
      <c r="X402" s="13"/>
      <c r="Y402" s="13"/>
      <c r="Z402" s="13"/>
      <c r="AA402" s="13"/>
    </row>
    <row r="403" ht="20.25" customHeight="1">
      <c r="A403" s="26">
        <v>46058.0</v>
      </c>
      <c r="B403" s="27" t="s">
        <v>88</v>
      </c>
      <c r="C403" s="27" t="s">
        <v>1471</v>
      </c>
      <c r="D403" s="27" t="s">
        <v>1472</v>
      </c>
      <c r="E403" s="27" t="s">
        <v>1473</v>
      </c>
      <c r="F403" s="27" t="s">
        <v>971</v>
      </c>
      <c r="G403" s="27" t="s">
        <v>944</v>
      </c>
      <c r="H403" s="27" t="s">
        <v>1129</v>
      </c>
      <c r="I403" s="27" t="s">
        <v>1474</v>
      </c>
      <c r="J403" s="27" t="s">
        <v>1475</v>
      </c>
      <c r="K403" s="27" t="s">
        <v>1028</v>
      </c>
      <c r="L403" s="27" t="s">
        <v>945</v>
      </c>
      <c r="M403" s="27"/>
      <c r="N403" s="27"/>
      <c r="O403" s="27"/>
      <c r="P403" s="27"/>
      <c r="Q403" s="27"/>
      <c r="R403" s="27"/>
      <c r="S403" s="27"/>
      <c r="T403" s="27"/>
      <c r="U403" s="27"/>
      <c r="V403" s="27"/>
      <c r="W403" s="13"/>
      <c r="X403" s="13"/>
      <c r="Y403" s="13"/>
      <c r="Z403" s="13"/>
      <c r="AA403" s="13"/>
    </row>
    <row r="404" ht="20.25" customHeight="1">
      <c r="A404" s="26">
        <v>46060.0</v>
      </c>
      <c r="B404" s="27" t="s">
        <v>1476</v>
      </c>
      <c r="C404" s="27" t="s">
        <v>1477</v>
      </c>
      <c r="D404" s="27" t="s">
        <v>1478</v>
      </c>
      <c r="E404" s="27" t="s">
        <v>1479</v>
      </c>
      <c r="F404" s="27" t="s">
        <v>971</v>
      </c>
      <c r="G404" s="27" t="s">
        <v>364</v>
      </c>
      <c r="H404" s="27" t="s">
        <v>1178</v>
      </c>
      <c r="I404" s="27" t="s">
        <v>1480</v>
      </c>
      <c r="J404" s="27" t="s">
        <v>1481</v>
      </c>
      <c r="K404" s="27" t="s">
        <v>1028</v>
      </c>
      <c r="L404" s="27" t="s">
        <v>945</v>
      </c>
      <c r="M404" s="27"/>
      <c r="N404" s="27"/>
      <c r="O404" s="27"/>
      <c r="P404" s="27"/>
      <c r="Q404" s="27"/>
      <c r="R404" s="27"/>
      <c r="S404" s="27"/>
      <c r="T404" s="27"/>
      <c r="U404" s="27"/>
      <c r="V404" s="27"/>
      <c r="W404" s="13"/>
      <c r="X404" s="13"/>
      <c r="Y404" s="13"/>
      <c r="Z404" s="13"/>
      <c r="AA404" s="13"/>
    </row>
    <row r="405" ht="20.25" customHeight="1">
      <c r="A405" s="26">
        <v>46063.0</v>
      </c>
      <c r="B405" s="27" t="s">
        <v>1482</v>
      </c>
      <c r="C405" s="27" t="s">
        <v>1477</v>
      </c>
      <c r="D405" s="27" t="s">
        <v>1483</v>
      </c>
      <c r="E405" s="27" t="s">
        <v>1484</v>
      </c>
      <c r="F405" s="27" t="s">
        <v>971</v>
      </c>
      <c r="G405" s="27" t="s">
        <v>1485</v>
      </c>
      <c r="H405" s="27" t="s">
        <v>1178</v>
      </c>
      <c r="I405" s="27" t="s">
        <v>1480</v>
      </c>
      <c r="J405" s="27" t="s">
        <v>1486</v>
      </c>
      <c r="K405" s="27" t="s">
        <v>1028</v>
      </c>
      <c r="L405" s="27"/>
      <c r="M405" s="27"/>
      <c r="N405" s="27"/>
      <c r="O405" s="27"/>
      <c r="P405" s="27"/>
      <c r="Q405" s="27"/>
      <c r="R405" s="27"/>
      <c r="S405" s="27"/>
      <c r="T405" s="27"/>
      <c r="U405" s="27"/>
      <c r="V405" s="27"/>
      <c r="W405" s="13"/>
      <c r="X405" s="13"/>
      <c r="Y405" s="13"/>
      <c r="Z405" s="13"/>
      <c r="AA405" s="13"/>
    </row>
    <row r="406" ht="20.25" customHeight="1">
      <c r="A406" s="26">
        <v>46060.0</v>
      </c>
      <c r="B406" s="27" t="s">
        <v>1476</v>
      </c>
      <c r="C406" s="27" t="s">
        <v>1477</v>
      </c>
      <c r="D406" s="27" t="s">
        <v>1483</v>
      </c>
      <c r="E406" s="27" t="s">
        <v>1487</v>
      </c>
      <c r="F406" s="27" t="s">
        <v>971</v>
      </c>
      <c r="G406" s="27" t="s">
        <v>1077</v>
      </c>
      <c r="H406" s="27" t="s">
        <v>1178</v>
      </c>
      <c r="I406" s="27" t="s">
        <v>1480</v>
      </c>
      <c r="J406" s="27" t="s">
        <v>1481</v>
      </c>
      <c r="K406" s="27" t="s">
        <v>1028</v>
      </c>
      <c r="L406" s="27" t="s">
        <v>945</v>
      </c>
      <c r="M406" s="27"/>
      <c r="N406" s="27"/>
      <c r="O406" s="27"/>
      <c r="P406" s="27"/>
      <c r="Q406" s="27"/>
      <c r="R406" s="27"/>
      <c r="S406" s="27"/>
      <c r="T406" s="27"/>
      <c r="U406" s="27"/>
      <c r="V406" s="27"/>
      <c r="W406" s="13"/>
      <c r="X406" s="13"/>
      <c r="Y406" s="13"/>
      <c r="Z406" s="13"/>
      <c r="AA406" s="13"/>
    </row>
    <row r="407" ht="20.25" customHeight="1">
      <c r="A407" s="26">
        <v>46064.0</v>
      </c>
      <c r="B407" s="27" t="s">
        <v>1488</v>
      </c>
      <c r="C407" s="27" t="s">
        <v>1489</v>
      </c>
      <c r="D407" s="27" t="s">
        <v>1490</v>
      </c>
      <c r="E407" s="27" t="s">
        <v>1491</v>
      </c>
      <c r="F407" s="27" t="s">
        <v>971</v>
      </c>
      <c r="G407" s="27" t="s">
        <v>1492</v>
      </c>
      <c r="H407" s="27" t="s">
        <v>1025</v>
      </c>
      <c r="I407" s="27" t="s">
        <v>1026</v>
      </c>
      <c r="J407" s="27" t="s">
        <v>1493</v>
      </c>
      <c r="K407" s="27" t="s">
        <v>1028</v>
      </c>
      <c r="L407" s="27"/>
      <c r="M407" s="27"/>
      <c r="N407" s="27"/>
      <c r="O407" s="27"/>
      <c r="P407" s="27"/>
      <c r="Q407" s="27"/>
      <c r="R407" s="27"/>
      <c r="S407" s="27"/>
      <c r="T407" s="27"/>
      <c r="U407" s="27"/>
      <c r="V407" s="27"/>
      <c r="W407" s="13"/>
      <c r="X407" s="13"/>
      <c r="Y407" s="13"/>
      <c r="Z407" s="13"/>
      <c r="AA407" s="13"/>
    </row>
    <row r="408" ht="20.25" customHeight="1">
      <c r="A408" s="26">
        <v>46066.0</v>
      </c>
      <c r="B408" s="27" t="s">
        <v>1494</v>
      </c>
      <c r="C408" s="27" t="s">
        <v>1495</v>
      </c>
      <c r="D408" s="27"/>
      <c r="E408" s="27"/>
      <c r="F408" s="27" t="s">
        <v>971</v>
      </c>
      <c r="G408" s="27"/>
      <c r="H408" s="27"/>
      <c r="I408" s="27"/>
      <c r="J408" s="27"/>
      <c r="K408" s="27"/>
      <c r="L408" s="27"/>
      <c r="M408" s="27"/>
      <c r="N408" s="27"/>
      <c r="O408" s="27"/>
      <c r="P408" s="27"/>
      <c r="Q408" s="27"/>
      <c r="R408" s="27"/>
      <c r="S408" s="27"/>
      <c r="T408" s="27"/>
      <c r="U408" s="27"/>
      <c r="V408" s="27"/>
      <c r="W408" s="13"/>
      <c r="X408" s="13"/>
      <c r="Y408" s="13"/>
      <c r="Z408" s="13"/>
      <c r="AA408" s="13"/>
    </row>
    <row r="409" ht="20.25" customHeight="1">
      <c r="A409" s="26">
        <v>46063.0</v>
      </c>
      <c r="B409" s="27" t="s">
        <v>868</v>
      </c>
      <c r="C409" s="27" t="s">
        <v>869</v>
      </c>
      <c r="D409" s="27" t="s">
        <v>1496</v>
      </c>
      <c r="E409" s="27" t="s">
        <v>1497</v>
      </c>
      <c r="F409" s="27" t="s">
        <v>971</v>
      </c>
      <c r="G409" s="27" t="s">
        <v>1498</v>
      </c>
      <c r="H409" s="27" t="s">
        <v>1088</v>
      </c>
      <c r="I409" s="27" t="s">
        <v>1499</v>
      </c>
      <c r="J409" s="27" t="s">
        <v>1500</v>
      </c>
      <c r="K409" s="27" t="s">
        <v>1028</v>
      </c>
      <c r="L409" s="27"/>
      <c r="M409" s="27"/>
      <c r="N409" s="27"/>
      <c r="O409" s="27"/>
      <c r="P409" s="27"/>
      <c r="Q409" s="27"/>
      <c r="R409" s="27"/>
      <c r="S409" s="27"/>
      <c r="T409" s="27"/>
      <c r="U409" s="27"/>
      <c r="V409" s="27"/>
      <c r="W409" s="13"/>
      <c r="X409" s="13"/>
      <c r="Y409" s="13"/>
      <c r="Z409" s="13"/>
      <c r="AA409" s="13"/>
    </row>
    <row r="410" ht="20.25" customHeight="1">
      <c r="A410" s="26">
        <v>46064.0</v>
      </c>
      <c r="B410" s="27" t="s">
        <v>1501</v>
      </c>
      <c r="C410" s="27" t="s">
        <v>1502</v>
      </c>
      <c r="D410" s="27" t="s">
        <v>1503</v>
      </c>
      <c r="E410" s="27" t="s">
        <v>1504</v>
      </c>
      <c r="F410" s="27" t="s">
        <v>971</v>
      </c>
      <c r="G410" s="27" t="s">
        <v>909</v>
      </c>
      <c r="H410" s="27" t="s">
        <v>1025</v>
      </c>
      <c r="I410" s="27" t="s">
        <v>1505</v>
      </c>
      <c r="J410" s="27" t="s">
        <v>1506</v>
      </c>
      <c r="K410" s="27" t="s">
        <v>1028</v>
      </c>
      <c r="L410" s="27"/>
      <c r="M410" s="27"/>
      <c r="N410" s="27"/>
      <c r="O410" s="27"/>
      <c r="P410" s="27"/>
      <c r="Q410" s="27"/>
      <c r="R410" s="27"/>
      <c r="S410" s="27"/>
      <c r="T410" s="27"/>
      <c r="U410" s="27"/>
      <c r="V410" s="27"/>
      <c r="W410" s="13"/>
      <c r="X410" s="13"/>
      <c r="Y410" s="13"/>
      <c r="Z410" s="13"/>
      <c r="AA410" s="13"/>
    </row>
    <row r="411" ht="20.25" customHeight="1">
      <c r="A411" s="26">
        <v>46064.0</v>
      </c>
      <c r="B411" s="27" t="s">
        <v>1507</v>
      </c>
      <c r="C411" s="27" t="s">
        <v>1502</v>
      </c>
      <c r="D411" s="27" t="s">
        <v>1508</v>
      </c>
      <c r="E411" s="27" t="s">
        <v>1509</v>
      </c>
      <c r="F411" s="27" t="s">
        <v>971</v>
      </c>
      <c r="G411" s="27" t="s">
        <v>909</v>
      </c>
      <c r="H411" s="27" t="s">
        <v>1025</v>
      </c>
      <c r="I411" s="27" t="s">
        <v>1505</v>
      </c>
      <c r="J411" s="27" t="s">
        <v>1506</v>
      </c>
      <c r="K411" s="27" t="s">
        <v>1028</v>
      </c>
      <c r="L411" s="27"/>
      <c r="M411" s="27"/>
      <c r="N411" s="27"/>
      <c r="O411" s="27"/>
      <c r="P411" s="27"/>
      <c r="Q411" s="27"/>
      <c r="R411" s="27"/>
      <c r="S411" s="27"/>
      <c r="T411" s="27"/>
      <c r="U411" s="27"/>
      <c r="V411" s="27"/>
      <c r="W411" s="13"/>
      <c r="X411" s="13"/>
      <c r="Y411" s="13"/>
      <c r="Z411" s="13"/>
      <c r="AA411" s="13"/>
    </row>
    <row r="412" ht="22.5" customHeight="1">
      <c r="A412" s="21">
        <v>46063.0</v>
      </c>
      <c r="B412" s="22" t="s">
        <v>1510</v>
      </c>
      <c r="C412" s="22" t="s">
        <v>1511</v>
      </c>
      <c r="D412" s="22" t="s">
        <v>1512</v>
      </c>
      <c r="E412" s="22" t="s">
        <v>1513</v>
      </c>
      <c r="F412" s="22" t="s">
        <v>969</v>
      </c>
      <c r="G412" s="22" t="s">
        <v>1514</v>
      </c>
      <c r="H412" s="22" t="s">
        <v>1129</v>
      </c>
      <c r="I412" s="22" t="s">
        <v>1515</v>
      </c>
      <c r="J412" s="22" t="s">
        <v>1516</v>
      </c>
      <c r="K412" s="22" t="s">
        <v>1028</v>
      </c>
      <c r="L412" s="22"/>
      <c r="M412" s="13"/>
      <c r="N412" s="13"/>
      <c r="O412" s="13"/>
      <c r="P412" s="13"/>
      <c r="Q412" s="13"/>
      <c r="R412" s="13"/>
      <c r="S412" s="13"/>
      <c r="T412" s="13"/>
      <c r="U412" s="13"/>
      <c r="V412" s="13"/>
      <c r="W412" s="13"/>
      <c r="X412" s="13"/>
      <c r="Y412" s="13"/>
      <c r="Z412" s="13"/>
      <c r="AA412" s="13"/>
    </row>
    <row r="413" ht="20.25" customHeight="1">
      <c r="A413" s="21">
        <v>46058.0</v>
      </c>
      <c r="B413" s="22" t="s">
        <v>1517</v>
      </c>
      <c r="C413" s="24" t="s">
        <v>1518</v>
      </c>
      <c r="D413" s="22" t="s">
        <v>1289</v>
      </c>
      <c r="E413" s="22" t="s">
        <v>1519</v>
      </c>
      <c r="F413" s="22" t="s">
        <v>971</v>
      </c>
      <c r="G413" s="31" t="s">
        <v>1520</v>
      </c>
      <c r="H413" s="22" t="s">
        <v>1129</v>
      </c>
      <c r="I413" s="22" t="s">
        <v>1521</v>
      </c>
      <c r="J413" s="22" t="s">
        <v>1522</v>
      </c>
      <c r="K413" s="22" t="s">
        <v>1028</v>
      </c>
      <c r="L413" s="22"/>
      <c r="M413" s="13"/>
      <c r="N413" s="13"/>
      <c r="O413" s="13"/>
      <c r="P413" s="13"/>
      <c r="Q413" s="13"/>
      <c r="R413" s="13"/>
      <c r="S413" s="13"/>
      <c r="T413" s="13"/>
      <c r="U413" s="13"/>
      <c r="V413" s="13"/>
      <c r="W413" s="13"/>
      <c r="X413" s="13"/>
      <c r="Y413" s="13"/>
      <c r="Z413" s="13"/>
      <c r="AA413" s="13"/>
    </row>
    <row r="414" ht="20.25" customHeight="1">
      <c r="A414" s="32">
        <v>46058.0</v>
      </c>
      <c r="B414" s="33" t="s">
        <v>1523</v>
      </c>
      <c r="C414" s="24" t="s">
        <v>1518</v>
      </c>
      <c r="D414" s="33" t="s">
        <v>1205</v>
      </c>
      <c r="E414" s="22" t="s">
        <v>1524</v>
      </c>
      <c r="F414" s="22" t="s">
        <v>971</v>
      </c>
      <c r="G414" s="22" t="s">
        <v>1520</v>
      </c>
      <c r="H414" s="33" t="s">
        <v>1129</v>
      </c>
      <c r="I414" s="33" t="s">
        <v>1521</v>
      </c>
      <c r="J414" s="33" t="s">
        <v>1525</v>
      </c>
      <c r="K414" s="33" t="s">
        <v>1028</v>
      </c>
      <c r="L414" s="33"/>
      <c r="M414" s="13"/>
      <c r="N414" s="13"/>
      <c r="O414" s="13"/>
      <c r="P414" s="13"/>
      <c r="Q414" s="13"/>
      <c r="R414" s="13"/>
      <c r="S414" s="13"/>
      <c r="T414" s="13"/>
      <c r="U414" s="13"/>
      <c r="V414" s="13"/>
      <c r="W414" s="13"/>
      <c r="X414" s="13"/>
      <c r="Y414" s="13"/>
      <c r="Z414" s="13"/>
      <c r="AA414" s="13"/>
    </row>
    <row r="415" ht="20.25" customHeight="1">
      <c r="A415" s="21">
        <v>46062.0</v>
      </c>
      <c r="B415" s="22" t="s">
        <v>1526</v>
      </c>
      <c r="C415" s="22" t="s">
        <v>1527</v>
      </c>
      <c r="D415" s="22" t="s">
        <v>1528</v>
      </c>
      <c r="E415" s="22" t="s">
        <v>1529</v>
      </c>
      <c r="F415" s="22" t="s">
        <v>971</v>
      </c>
      <c r="G415" s="22" t="s">
        <v>1530</v>
      </c>
      <c r="H415" s="22" t="s">
        <v>1129</v>
      </c>
      <c r="I415" s="22" t="s">
        <v>1531</v>
      </c>
      <c r="J415" s="22" t="s">
        <v>1532</v>
      </c>
      <c r="K415" s="22" t="s">
        <v>1028</v>
      </c>
      <c r="L415" s="13"/>
      <c r="M415" s="13"/>
      <c r="N415" s="13"/>
      <c r="O415" s="13"/>
      <c r="P415" s="13"/>
      <c r="Q415" s="13"/>
      <c r="R415" s="13"/>
      <c r="S415" s="13"/>
      <c r="T415" s="13"/>
      <c r="U415" s="13"/>
      <c r="V415" s="13"/>
      <c r="W415" s="13"/>
      <c r="X415" s="13"/>
      <c r="Y415" s="13"/>
      <c r="Z415" s="13"/>
      <c r="AA415" s="13"/>
    </row>
    <row r="416" ht="20.25" customHeight="1">
      <c r="A416" s="21">
        <v>46058.0</v>
      </c>
      <c r="B416" s="22" t="s">
        <v>1533</v>
      </c>
      <c r="C416" s="22" t="s">
        <v>1534</v>
      </c>
      <c r="D416" s="22" t="s">
        <v>1535</v>
      </c>
      <c r="E416" s="22" t="s">
        <v>1536</v>
      </c>
      <c r="F416" s="22" t="s">
        <v>971</v>
      </c>
      <c r="G416" s="22" t="s">
        <v>1537</v>
      </c>
      <c r="H416" s="22" t="s">
        <v>1178</v>
      </c>
      <c r="I416" s="22" t="s">
        <v>1538</v>
      </c>
      <c r="J416" s="22" t="s">
        <v>1539</v>
      </c>
      <c r="K416" s="22" t="s">
        <v>1028</v>
      </c>
      <c r="L416" s="22"/>
      <c r="M416" s="13"/>
      <c r="N416" s="13"/>
      <c r="O416" s="13"/>
      <c r="P416" s="13"/>
      <c r="Q416" s="13"/>
      <c r="R416" s="13"/>
      <c r="S416" s="13"/>
      <c r="T416" s="13"/>
      <c r="U416" s="13"/>
      <c r="V416" s="13"/>
      <c r="W416" s="13"/>
      <c r="X416" s="13"/>
      <c r="Y416" s="13"/>
      <c r="Z416" s="13"/>
      <c r="AA416" s="13"/>
    </row>
    <row r="417" ht="20.25" customHeight="1">
      <c r="A417" s="21">
        <v>46059.0</v>
      </c>
      <c r="B417" s="22" t="s">
        <v>1540</v>
      </c>
      <c r="C417" s="22" t="s">
        <v>1541</v>
      </c>
      <c r="D417" s="22" t="s">
        <v>1542</v>
      </c>
      <c r="E417" s="22" t="s">
        <v>1543</v>
      </c>
      <c r="F417" s="22" t="s">
        <v>971</v>
      </c>
      <c r="G417" s="22" t="s">
        <v>858</v>
      </c>
      <c r="H417" s="22" t="s">
        <v>1207</v>
      </c>
      <c r="I417" s="22" t="s">
        <v>1544</v>
      </c>
      <c r="J417" s="22" t="s">
        <v>1545</v>
      </c>
      <c r="K417" s="22" t="s">
        <v>1028</v>
      </c>
      <c r="L417" s="22"/>
      <c r="M417" s="13"/>
      <c r="N417" s="13"/>
      <c r="O417" s="13"/>
      <c r="P417" s="13"/>
      <c r="Q417" s="13"/>
      <c r="R417" s="13"/>
      <c r="S417" s="13"/>
      <c r="T417" s="13"/>
      <c r="U417" s="13"/>
      <c r="V417" s="13"/>
      <c r="W417" s="13"/>
      <c r="X417" s="13"/>
      <c r="Y417" s="13"/>
      <c r="Z417" s="13"/>
      <c r="AA417" s="13"/>
    </row>
    <row r="418" ht="20.25" customHeight="1">
      <c r="A418" s="21">
        <v>46063.0</v>
      </c>
      <c r="B418" s="22" t="s">
        <v>1546</v>
      </c>
      <c r="C418" s="22" t="s">
        <v>1547</v>
      </c>
      <c r="D418" s="22" t="s">
        <v>1548</v>
      </c>
      <c r="E418" s="22" t="s">
        <v>1549</v>
      </c>
      <c r="F418" s="22" t="s">
        <v>971</v>
      </c>
      <c r="G418" s="22" t="s">
        <v>1550</v>
      </c>
      <c r="H418" s="22" t="s">
        <v>1129</v>
      </c>
      <c r="I418" s="22" t="s">
        <v>1551</v>
      </c>
      <c r="J418" s="22" t="s">
        <v>1552</v>
      </c>
      <c r="K418" s="22" t="s">
        <v>1028</v>
      </c>
      <c r="L418" s="22"/>
      <c r="M418" s="13"/>
      <c r="N418" s="13"/>
      <c r="O418" s="13"/>
      <c r="P418" s="13"/>
      <c r="Q418" s="13"/>
      <c r="R418" s="13"/>
      <c r="S418" s="13"/>
      <c r="T418" s="13"/>
      <c r="U418" s="13"/>
      <c r="V418" s="13"/>
      <c r="W418" s="13"/>
      <c r="X418" s="13"/>
      <c r="Y418" s="13"/>
      <c r="Z418" s="13"/>
      <c r="AA418" s="13"/>
    </row>
    <row r="419" ht="20.25" customHeight="1">
      <c r="A419" s="21">
        <v>46063.0</v>
      </c>
      <c r="B419" s="22" t="s">
        <v>1546</v>
      </c>
      <c r="C419" s="22" t="s">
        <v>1547</v>
      </c>
      <c r="D419" s="22" t="s">
        <v>1553</v>
      </c>
      <c r="E419" s="22" t="s">
        <v>1554</v>
      </c>
      <c r="F419" s="22" t="s">
        <v>971</v>
      </c>
      <c r="G419" s="22" t="s">
        <v>1555</v>
      </c>
      <c r="H419" s="22" t="s">
        <v>1129</v>
      </c>
      <c r="I419" s="22" t="s">
        <v>1551</v>
      </c>
      <c r="J419" s="22" t="s">
        <v>1552</v>
      </c>
      <c r="K419" s="22" t="s">
        <v>1028</v>
      </c>
      <c r="L419" s="22"/>
      <c r="M419" s="13"/>
      <c r="N419" s="13"/>
      <c r="O419" s="13"/>
      <c r="P419" s="13"/>
      <c r="Q419" s="13"/>
      <c r="R419" s="13"/>
      <c r="S419" s="13"/>
      <c r="T419" s="13"/>
      <c r="U419" s="13"/>
      <c r="V419" s="13"/>
      <c r="W419" s="13"/>
      <c r="X419" s="13"/>
      <c r="Y419" s="13"/>
      <c r="Z419" s="13"/>
      <c r="AA419" s="13"/>
    </row>
    <row r="420" ht="20.25" customHeight="1">
      <c r="A420" s="21">
        <v>46058.0</v>
      </c>
      <c r="B420" s="22" t="s">
        <v>1556</v>
      </c>
      <c r="C420" s="22" t="s">
        <v>1557</v>
      </c>
      <c r="D420" s="22" t="s">
        <v>1558</v>
      </c>
      <c r="E420" s="22" t="s">
        <v>1559</v>
      </c>
      <c r="F420" s="22" t="s">
        <v>971</v>
      </c>
      <c r="G420" s="22" t="s">
        <v>1560</v>
      </c>
      <c r="H420" s="22" t="s">
        <v>1129</v>
      </c>
      <c r="I420" s="22" t="s">
        <v>1291</v>
      </c>
      <c r="J420" s="22" t="s">
        <v>1561</v>
      </c>
      <c r="K420" s="22" t="s">
        <v>1028</v>
      </c>
      <c r="L420" s="22" t="s">
        <v>945</v>
      </c>
      <c r="M420" s="13"/>
      <c r="N420" s="13"/>
      <c r="O420" s="13"/>
      <c r="P420" s="13"/>
      <c r="Q420" s="13"/>
      <c r="R420" s="13"/>
      <c r="S420" s="13"/>
      <c r="T420" s="13"/>
      <c r="U420" s="13"/>
      <c r="V420" s="13"/>
      <c r="W420" s="13"/>
      <c r="X420" s="13"/>
      <c r="Y420" s="13"/>
      <c r="Z420" s="13"/>
      <c r="AA420" s="13"/>
    </row>
    <row r="421" ht="20.25" customHeight="1">
      <c r="A421" s="21">
        <v>46064.0</v>
      </c>
      <c r="B421" s="22" t="s">
        <v>88</v>
      </c>
      <c r="C421" s="22" t="s">
        <v>1562</v>
      </c>
      <c r="D421" s="22" t="s">
        <v>1563</v>
      </c>
      <c r="E421" s="22" t="s">
        <v>1564</v>
      </c>
      <c r="F421" s="22" t="s">
        <v>971</v>
      </c>
      <c r="G421" s="22" t="s">
        <v>1134</v>
      </c>
      <c r="H421" s="22" t="s">
        <v>1129</v>
      </c>
      <c r="I421" s="22" t="s">
        <v>1565</v>
      </c>
      <c r="J421" s="22" t="s">
        <v>1566</v>
      </c>
      <c r="K421" s="22" t="s">
        <v>1028</v>
      </c>
      <c r="L421" s="13"/>
      <c r="M421" s="13"/>
      <c r="N421" s="13"/>
      <c r="O421" s="13"/>
      <c r="P421" s="13"/>
      <c r="Q421" s="13"/>
      <c r="R421" s="13"/>
      <c r="S421" s="13"/>
      <c r="T421" s="13"/>
      <c r="U421" s="13"/>
      <c r="V421" s="13"/>
      <c r="W421" s="13"/>
      <c r="X421" s="13"/>
      <c r="Y421" s="13"/>
      <c r="Z421" s="13"/>
      <c r="AA421" s="13"/>
    </row>
    <row r="422" ht="20.25" customHeight="1">
      <c r="A422" s="21">
        <v>46064.0</v>
      </c>
      <c r="B422" s="22" t="s">
        <v>1567</v>
      </c>
      <c r="C422" s="22" t="s">
        <v>865</v>
      </c>
      <c r="D422" s="22" t="s">
        <v>1568</v>
      </c>
      <c r="E422" s="22" t="s">
        <v>1569</v>
      </c>
      <c r="F422" s="22" t="s">
        <v>971</v>
      </c>
      <c r="G422" s="22" t="s">
        <v>866</v>
      </c>
      <c r="H422" s="22" t="s">
        <v>1057</v>
      </c>
      <c r="I422" s="22" t="s">
        <v>1570</v>
      </c>
      <c r="J422" s="22" t="s">
        <v>1571</v>
      </c>
      <c r="K422" s="22" t="s">
        <v>1028</v>
      </c>
      <c r="L422" s="13"/>
      <c r="M422" s="13"/>
      <c r="N422" s="13"/>
      <c r="O422" s="13"/>
      <c r="P422" s="13"/>
      <c r="Q422" s="13"/>
      <c r="R422" s="13"/>
      <c r="S422" s="13"/>
      <c r="T422" s="13"/>
      <c r="U422" s="13"/>
      <c r="V422" s="13"/>
      <c r="W422" s="13"/>
      <c r="X422" s="13"/>
      <c r="Y422" s="13"/>
      <c r="Z422" s="13"/>
      <c r="AA422" s="13"/>
    </row>
    <row r="423" ht="20.25" customHeight="1">
      <c r="A423" s="21">
        <v>46063.0</v>
      </c>
      <c r="B423" s="22" t="s">
        <v>1572</v>
      </c>
      <c r="C423" s="22" t="s">
        <v>1573</v>
      </c>
      <c r="D423" s="22" t="s">
        <v>1574</v>
      </c>
      <c r="E423" s="22" t="s">
        <v>1575</v>
      </c>
      <c r="F423" s="22" t="s">
        <v>971</v>
      </c>
      <c r="G423" s="22" t="s">
        <v>1576</v>
      </c>
      <c r="H423" s="22" t="s">
        <v>1057</v>
      </c>
      <c r="I423" s="22"/>
      <c r="J423" s="22" t="s">
        <v>1577</v>
      </c>
      <c r="K423" s="22" t="s">
        <v>1028</v>
      </c>
      <c r="L423" s="13"/>
      <c r="M423" s="13"/>
      <c r="N423" s="13"/>
      <c r="O423" s="13"/>
      <c r="P423" s="13"/>
      <c r="Q423" s="13"/>
      <c r="R423" s="13"/>
      <c r="S423" s="13"/>
      <c r="T423" s="13"/>
      <c r="U423" s="13"/>
      <c r="V423" s="13"/>
      <c r="W423" s="13"/>
      <c r="X423" s="13"/>
      <c r="Y423" s="13"/>
      <c r="Z423" s="13"/>
      <c r="AA423" s="13"/>
    </row>
    <row r="424" ht="20.25" customHeight="1">
      <c r="A424" s="21">
        <v>46058.0</v>
      </c>
      <c r="B424" s="22" t="s">
        <v>1578</v>
      </c>
      <c r="C424" s="22" t="s">
        <v>812</v>
      </c>
      <c r="D424" s="22" t="s">
        <v>1579</v>
      </c>
      <c r="E424" s="22" t="s">
        <v>1580</v>
      </c>
      <c r="F424" s="22" t="s">
        <v>971</v>
      </c>
      <c r="G424" s="31" t="s">
        <v>862</v>
      </c>
      <c r="H424" s="22" t="s">
        <v>1063</v>
      </c>
      <c r="I424" s="22" t="s">
        <v>1428</v>
      </c>
      <c r="J424" s="22" t="s">
        <v>1581</v>
      </c>
      <c r="K424" s="22" t="s">
        <v>1028</v>
      </c>
      <c r="L424" s="22"/>
      <c r="M424" s="13"/>
      <c r="N424" s="13"/>
      <c r="O424" s="13"/>
      <c r="P424" s="13"/>
      <c r="Q424" s="13"/>
      <c r="R424" s="13"/>
      <c r="S424" s="13"/>
      <c r="T424" s="13"/>
      <c r="U424" s="13"/>
      <c r="V424" s="13"/>
      <c r="W424" s="13"/>
      <c r="X424" s="13"/>
      <c r="Y424" s="13"/>
      <c r="Z424" s="13"/>
      <c r="AA424" s="13"/>
    </row>
    <row r="425" ht="20.25" customHeight="1">
      <c r="A425" s="21">
        <v>46058.0</v>
      </c>
      <c r="B425" s="22" t="s">
        <v>1582</v>
      </c>
      <c r="C425" s="22" t="s">
        <v>1583</v>
      </c>
      <c r="D425" s="22" t="s">
        <v>1584</v>
      </c>
      <c r="E425" s="22" t="s">
        <v>1585</v>
      </c>
      <c r="F425" s="22" t="s">
        <v>971</v>
      </c>
      <c r="G425" s="22" t="s">
        <v>379</v>
      </c>
      <c r="H425" s="22" t="s">
        <v>1129</v>
      </c>
      <c r="I425" s="22" t="s">
        <v>1586</v>
      </c>
      <c r="J425" s="22" t="s">
        <v>1587</v>
      </c>
      <c r="K425" s="22" t="s">
        <v>1028</v>
      </c>
      <c r="L425" s="22"/>
      <c r="M425" s="13"/>
      <c r="N425" s="13"/>
      <c r="O425" s="13"/>
      <c r="P425" s="13"/>
      <c r="Q425" s="13"/>
      <c r="R425" s="13"/>
      <c r="S425" s="13"/>
      <c r="T425" s="13"/>
      <c r="U425" s="13"/>
      <c r="V425" s="13"/>
      <c r="W425" s="13"/>
      <c r="X425" s="13"/>
      <c r="Y425" s="13"/>
      <c r="Z425" s="13"/>
      <c r="AA425" s="13"/>
    </row>
    <row r="426" ht="20.25" customHeight="1">
      <c r="A426" s="26">
        <v>46064.0</v>
      </c>
      <c r="B426" s="27" t="s">
        <v>1588</v>
      </c>
      <c r="C426" s="27" t="s">
        <v>1589</v>
      </c>
      <c r="D426" s="27" t="s">
        <v>1590</v>
      </c>
      <c r="E426" s="27" t="s">
        <v>1591</v>
      </c>
      <c r="F426" s="27" t="s">
        <v>969</v>
      </c>
      <c r="G426" s="27" t="s">
        <v>1592</v>
      </c>
      <c r="H426" s="27" t="s">
        <v>1025</v>
      </c>
      <c r="I426" s="27" t="s">
        <v>1593</v>
      </c>
      <c r="J426" s="27" t="s">
        <v>1594</v>
      </c>
      <c r="K426" s="27" t="s">
        <v>945</v>
      </c>
      <c r="L426" s="27"/>
      <c r="M426" s="27"/>
      <c r="N426" s="27"/>
      <c r="O426" s="27"/>
      <c r="P426" s="27"/>
      <c r="Q426" s="27"/>
      <c r="R426" s="27"/>
      <c r="S426" s="27"/>
      <c r="T426" s="27"/>
      <c r="U426" s="27"/>
      <c r="V426" s="27"/>
      <c r="W426" s="13"/>
      <c r="X426" s="13"/>
      <c r="Y426" s="13"/>
      <c r="Z426" s="13"/>
      <c r="AA426" s="13"/>
    </row>
    <row r="427" ht="20.25" customHeight="1">
      <c r="A427" s="26">
        <v>46063.0</v>
      </c>
      <c r="B427" s="27" t="s">
        <v>1595</v>
      </c>
      <c r="C427" s="27" t="s">
        <v>1596</v>
      </c>
      <c r="D427" s="27" t="s">
        <v>1597</v>
      </c>
      <c r="E427" s="27" t="s">
        <v>1598</v>
      </c>
      <c r="F427" s="27" t="s">
        <v>969</v>
      </c>
      <c r="G427" s="27" t="s">
        <v>952</v>
      </c>
      <c r="H427" s="27" t="s">
        <v>1025</v>
      </c>
      <c r="I427" s="27" t="s">
        <v>1599</v>
      </c>
      <c r="J427" s="27" t="s">
        <v>1600</v>
      </c>
      <c r="K427" s="27" t="s">
        <v>1028</v>
      </c>
      <c r="L427" s="27"/>
      <c r="M427" s="27"/>
      <c r="N427" s="27"/>
      <c r="O427" s="27"/>
      <c r="P427" s="27"/>
      <c r="Q427" s="27"/>
      <c r="R427" s="27"/>
      <c r="S427" s="27"/>
      <c r="T427" s="27"/>
      <c r="U427" s="27"/>
      <c r="V427" s="27"/>
      <c r="W427" s="13"/>
      <c r="X427" s="13"/>
      <c r="Y427" s="13"/>
      <c r="Z427" s="13"/>
      <c r="AA427" s="13"/>
    </row>
    <row r="428" ht="20.25" customHeight="1">
      <c r="A428" s="26">
        <v>46062.0</v>
      </c>
      <c r="B428" s="27" t="s">
        <v>1601</v>
      </c>
      <c r="C428" s="27" t="s">
        <v>1602</v>
      </c>
      <c r="D428" s="27" t="s">
        <v>1603</v>
      </c>
      <c r="E428" s="27" t="s">
        <v>1604</v>
      </c>
      <c r="F428" s="27" t="s">
        <v>969</v>
      </c>
      <c r="G428" s="27" t="s">
        <v>1605</v>
      </c>
      <c r="H428" s="27" t="s">
        <v>1057</v>
      </c>
      <c r="I428" s="27" t="s">
        <v>1606</v>
      </c>
      <c r="J428" s="27" t="s">
        <v>1607</v>
      </c>
      <c r="K428" s="27" t="s">
        <v>1028</v>
      </c>
      <c r="L428" s="27"/>
      <c r="M428" s="27"/>
      <c r="N428" s="27"/>
      <c r="O428" s="27"/>
      <c r="P428" s="27"/>
      <c r="Q428" s="27"/>
      <c r="R428" s="27"/>
      <c r="S428" s="27"/>
      <c r="T428" s="27"/>
      <c r="U428" s="27"/>
      <c r="V428" s="27"/>
      <c r="W428" s="13"/>
      <c r="X428" s="13"/>
      <c r="Y428" s="13"/>
      <c r="Z428" s="13"/>
      <c r="AA428" s="13"/>
    </row>
    <row r="429" ht="20.25" customHeight="1">
      <c r="A429" s="26">
        <v>46063.0</v>
      </c>
      <c r="B429" s="27" t="s">
        <v>1601</v>
      </c>
      <c r="C429" s="27" t="s">
        <v>1602</v>
      </c>
      <c r="D429" s="27" t="s">
        <v>1608</v>
      </c>
      <c r="E429" s="27" t="s">
        <v>1609</v>
      </c>
      <c r="F429" s="27" t="s">
        <v>969</v>
      </c>
      <c r="G429" s="27" t="s">
        <v>1610</v>
      </c>
      <c r="H429" s="27" t="s">
        <v>1057</v>
      </c>
      <c r="I429" s="27" t="s">
        <v>1606</v>
      </c>
      <c r="J429" s="27" t="s">
        <v>1607</v>
      </c>
      <c r="K429" s="27" t="s">
        <v>1028</v>
      </c>
      <c r="L429" s="27"/>
      <c r="M429" s="27"/>
      <c r="N429" s="27"/>
      <c r="O429" s="27"/>
      <c r="P429" s="27"/>
      <c r="Q429" s="27"/>
      <c r="R429" s="27"/>
      <c r="S429" s="27"/>
      <c r="T429" s="27"/>
      <c r="U429" s="27"/>
      <c r="V429" s="27"/>
      <c r="W429" s="13"/>
      <c r="X429" s="13"/>
      <c r="Y429" s="13"/>
      <c r="Z429" s="13"/>
      <c r="AA429" s="13"/>
    </row>
    <row r="430" ht="22.5" customHeight="1">
      <c r="A430" s="21">
        <v>46060.0</v>
      </c>
      <c r="B430" s="22" t="s">
        <v>1611</v>
      </c>
      <c r="C430" s="22" t="s">
        <v>1612</v>
      </c>
      <c r="D430" s="22" t="s">
        <v>1613</v>
      </c>
      <c r="E430" s="22" t="s">
        <v>1614</v>
      </c>
      <c r="F430" s="22" t="s">
        <v>969</v>
      </c>
      <c r="G430" s="22" t="s">
        <v>1615</v>
      </c>
      <c r="H430" s="22" t="s">
        <v>1129</v>
      </c>
      <c r="I430" s="22" t="s">
        <v>1113</v>
      </c>
      <c r="J430" s="22" t="s">
        <v>1616</v>
      </c>
      <c r="K430" s="22" t="s">
        <v>1028</v>
      </c>
      <c r="L430" s="13"/>
      <c r="M430" s="13"/>
      <c r="N430" s="13"/>
      <c r="O430" s="13"/>
      <c r="P430" s="13"/>
      <c r="Q430" s="13"/>
      <c r="R430" s="13"/>
      <c r="S430" s="13"/>
      <c r="T430" s="13"/>
      <c r="U430" s="13"/>
      <c r="V430" s="13"/>
      <c r="W430" s="13"/>
      <c r="X430" s="13"/>
      <c r="Y430" s="13"/>
      <c r="Z430" s="13"/>
      <c r="AA430" s="13"/>
    </row>
    <row r="431" ht="20.25" customHeight="1">
      <c r="A431" s="26">
        <v>46068.0</v>
      </c>
      <c r="B431" s="27" t="s">
        <v>1617</v>
      </c>
      <c r="C431" s="27" t="s">
        <v>956</v>
      </c>
      <c r="D431" s="27" t="s">
        <v>1618</v>
      </c>
      <c r="E431" s="27" t="s">
        <v>1619</v>
      </c>
      <c r="F431" s="27" t="s">
        <v>274</v>
      </c>
      <c r="G431" s="27" t="s">
        <v>959</v>
      </c>
      <c r="H431" s="27" t="s">
        <v>1025</v>
      </c>
      <c r="I431" s="27" t="s">
        <v>1620</v>
      </c>
      <c r="J431" s="27" t="s">
        <v>1621</v>
      </c>
      <c r="K431" s="27" t="s">
        <v>1028</v>
      </c>
      <c r="L431" s="27" t="s">
        <v>945</v>
      </c>
      <c r="M431" s="27"/>
      <c r="N431" s="27"/>
      <c r="O431" s="27"/>
      <c r="P431" s="27"/>
      <c r="Q431" s="27"/>
      <c r="R431" s="27"/>
      <c r="S431" s="27"/>
      <c r="T431" s="27"/>
      <c r="U431" s="27"/>
      <c r="V431" s="27"/>
      <c r="W431" s="27"/>
      <c r="X431" s="27"/>
      <c r="Y431" s="27"/>
      <c r="Z431" s="27"/>
      <c r="AA431" s="13"/>
    </row>
    <row r="432" ht="20.25" customHeight="1">
      <c r="A432" s="26">
        <v>46068.0</v>
      </c>
      <c r="B432" s="27" t="s">
        <v>1622</v>
      </c>
      <c r="C432" s="27" t="s">
        <v>1623</v>
      </c>
      <c r="D432" s="27" t="s">
        <v>1624</v>
      </c>
      <c r="E432" s="27" t="s">
        <v>1625</v>
      </c>
      <c r="F432" s="27" t="s">
        <v>274</v>
      </c>
      <c r="G432" s="27" t="s">
        <v>874</v>
      </c>
      <c r="H432" s="27" t="s">
        <v>1207</v>
      </c>
      <c r="I432" s="27" t="s">
        <v>1291</v>
      </c>
      <c r="J432" s="27" t="s">
        <v>1626</v>
      </c>
      <c r="K432" s="27" t="s">
        <v>1028</v>
      </c>
      <c r="L432" s="27"/>
      <c r="M432" s="27"/>
      <c r="N432" s="27"/>
      <c r="O432" s="27"/>
      <c r="P432" s="27"/>
      <c r="Q432" s="27"/>
      <c r="R432" s="27"/>
      <c r="S432" s="27"/>
      <c r="T432" s="27"/>
      <c r="U432" s="27"/>
      <c r="V432" s="27"/>
      <c r="W432" s="27"/>
      <c r="X432" s="27"/>
      <c r="Y432" s="27"/>
      <c r="Z432" s="27"/>
      <c r="AA432" s="13"/>
    </row>
    <row r="433" ht="20.25" customHeight="1">
      <c r="A433" s="26">
        <v>46068.0</v>
      </c>
      <c r="B433" s="27" t="s">
        <v>1627</v>
      </c>
      <c r="C433" s="27" t="s">
        <v>1628</v>
      </c>
      <c r="D433" s="27" t="s">
        <v>1629</v>
      </c>
      <c r="E433" s="27" t="s">
        <v>1630</v>
      </c>
      <c r="F433" s="27" t="s">
        <v>274</v>
      </c>
      <c r="G433" s="27" t="s">
        <v>962</v>
      </c>
      <c r="H433" s="27" t="s">
        <v>1129</v>
      </c>
      <c r="I433" s="27" t="s">
        <v>1631</v>
      </c>
      <c r="J433" s="27" t="s">
        <v>1632</v>
      </c>
      <c r="K433" s="27" t="s">
        <v>1028</v>
      </c>
      <c r="L433" s="27"/>
      <c r="M433" s="27"/>
      <c r="N433" s="27"/>
      <c r="O433" s="27"/>
      <c r="P433" s="27"/>
      <c r="Q433" s="27"/>
      <c r="R433" s="27"/>
      <c r="S433" s="27"/>
      <c r="T433" s="27"/>
      <c r="U433" s="27"/>
      <c r="V433" s="27"/>
      <c r="W433" s="27"/>
      <c r="X433" s="27"/>
      <c r="Y433" s="27"/>
      <c r="Z433" s="27"/>
      <c r="AA433" s="13"/>
    </row>
    <row r="434" ht="20.25" customHeight="1">
      <c r="A434" s="26">
        <v>46068.0</v>
      </c>
      <c r="B434" s="27" t="s">
        <v>1633</v>
      </c>
      <c r="C434" s="27" t="s">
        <v>956</v>
      </c>
      <c r="D434" s="27" t="s">
        <v>1634</v>
      </c>
      <c r="E434" s="27" t="s">
        <v>1635</v>
      </c>
      <c r="F434" s="27" t="s">
        <v>274</v>
      </c>
      <c r="G434" s="27" t="s">
        <v>959</v>
      </c>
      <c r="H434" s="27" t="s">
        <v>1025</v>
      </c>
      <c r="I434" s="27" t="s">
        <v>1620</v>
      </c>
      <c r="J434" s="27" t="s">
        <v>1636</v>
      </c>
      <c r="K434" s="27" t="s">
        <v>1028</v>
      </c>
      <c r="L434" s="27"/>
      <c r="M434" s="27"/>
      <c r="N434" s="27"/>
      <c r="O434" s="27"/>
      <c r="P434" s="27"/>
      <c r="Q434" s="27"/>
      <c r="R434" s="27"/>
      <c r="S434" s="27"/>
      <c r="T434" s="27"/>
      <c r="U434" s="27"/>
      <c r="V434" s="27"/>
      <c r="W434" s="27"/>
      <c r="X434" s="27"/>
      <c r="Y434" s="27"/>
      <c r="Z434" s="27"/>
      <c r="AA434" s="13"/>
    </row>
    <row r="435" ht="20.25" customHeight="1">
      <c r="A435" s="26">
        <v>46068.0</v>
      </c>
      <c r="B435" s="27" t="s">
        <v>1637</v>
      </c>
      <c r="C435" s="27" t="s">
        <v>1638</v>
      </c>
      <c r="D435" s="27" t="s">
        <v>1371</v>
      </c>
      <c r="E435" s="27" t="s">
        <v>1639</v>
      </c>
      <c r="F435" s="27" t="s">
        <v>274</v>
      </c>
      <c r="G435" s="27" t="s">
        <v>858</v>
      </c>
      <c r="H435" s="27" t="s">
        <v>1129</v>
      </c>
      <c r="I435" s="27" t="s">
        <v>1640</v>
      </c>
      <c r="J435" s="27" t="s">
        <v>1641</v>
      </c>
      <c r="K435" s="27" t="s">
        <v>1028</v>
      </c>
      <c r="L435" s="27"/>
      <c r="M435" s="27"/>
      <c r="N435" s="27"/>
      <c r="O435" s="27"/>
      <c r="P435" s="27"/>
      <c r="Q435" s="27"/>
      <c r="R435" s="27"/>
      <c r="S435" s="27"/>
      <c r="T435" s="27"/>
      <c r="U435" s="27"/>
      <c r="V435" s="27"/>
      <c r="W435" s="27"/>
      <c r="X435" s="27"/>
      <c r="Y435" s="27"/>
      <c r="Z435" s="27"/>
      <c r="AA435" s="13"/>
    </row>
    <row r="436" ht="20.25" customHeight="1">
      <c r="A436" s="26">
        <v>46064.0</v>
      </c>
      <c r="B436" s="27" t="s">
        <v>88</v>
      </c>
      <c r="C436" s="27" t="s">
        <v>1642</v>
      </c>
      <c r="D436" s="27" t="s">
        <v>1643</v>
      </c>
      <c r="E436" s="27" t="s">
        <v>1644</v>
      </c>
      <c r="F436" s="27" t="s">
        <v>969</v>
      </c>
      <c r="G436" s="27" t="s">
        <v>944</v>
      </c>
      <c r="H436" s="27" t="s">
        <v>1129</v>
      </c>
      <c r="I436" s="27" t="s">
        <v>1645</v>
      </c>
      <c r="J436" s="27" t="s">
        <v>1646</v>
      </c>
      <c r="K436" s="27" t="s">
        <v>1028</v>
      </c>
      <c r="L436" s="27"/>
      <c r="M436" s="13"/>
      <c r="N436" s="13"/>
      <c r="O436" s="13"/>
      <c r="P436" s="13"/>
      <c r="Q436" s="13"/>
      <c r="R436" s="13"/>
      <c r="S436" s="13"/>
      <c r="T436" s="13"/>
      <c r="U436" s="13"/>
      <c r="V436" s="13"/>
      <c r="W436" s="13"/>
      <c r="X436" s="13"/>
      <c r="Y436" s="13"/>
      <c r="Z436" s="13"/>
      <c r="AA436" s="13"/>
    </row>
    <row r="437" ht="20.25" customHeight="1">
      <c r="A437" s="26">
        <v>46064.0</v>
      </c>
      <c r="B437" s="27" t="s">
        <v>88</v>
      </c>
      <c r="C437" s="27" t="s">
        <v>1642</v>
      </c>
      <c r="D437" s="27" t="s">
        <v>1647</v>
      </c>
      <c r="E437" s="27" t="s">
        <v>1648</v>
      </c>
      <c r="F437" s="27" t="s">
        <v>969</v>
      </c>
      <c r="G437" s="27" t="s">
        <v>1649</v>
      </c>
      <c r="H437" s="27" t="s">
        <v>1129</v>
      </c>
      <c r="I437" s="27" t="s">
        <v>1645</v>
      </c>
      <c r="J437" s="27" t="s">
        <v>1646</v>
      </c>
      <c r="K437" s="27" t="s">
        <v>1028</v>
      </c>
      <c r="L437" s="27"/>
      <c r="M437" s="13"/>
      <c r="N437" s="13"/>
      <c r="O437" s="13"/>
      <c r="P437" s="13"/>
      <c r="Q437" s="13"/>
      <c r="R437" s="13"/>
      <c r="S437" s="13"/>
      <c r="T437" s="13"/>
      <c r="U437" s="13"/>
      <c r="V437" s="13"/>
      <c r="W437" s="13"/>
      <c r="X437" s="13"/>
      <c r="Y437" s="13"/>
      <c r="Z437" s="13"/>
      <c r="AA437" s="13"/>
    </row>
    <row r="438" ht="20.25" customHeight="1">
      <c r="A438" s="26">
        <v>46069.0</v>
      </c>
      <c r="B438" s="27" t="s">
        <v>868</v>
      </c>
      <c r="C438" s="27" t="s">
        <v>869</v>
      </c>
      <c r="D438" s="27" t="s">
        <v>1497</v>
      </c>
      <c r="E438" s="27" t="s">
        <v>971</v>
      </c>
      <c r="F438" s="27" t="s">
        <v>1498</v>
      </c>
      <c r="G438" s="27" t="s">
        <v>1496</v>
      </c>
      <c r="H438" s="27" t="s">
        <v>1088</v>
      </c>
      <c r="I438" s="27" t="s">
        <v>1499</v>
      </c>
      <c r="J438" s="27" t="s">
        <v>1500</v>
      </c>
      <c r="K438" s="27" t="s">
        <v>1028</v>
      </c>
      <c r="L438" s="27"/>
      <c r="M438" s="27"/>
      <c r="N438" s="27"/>
      <c r="O438" s="27"/>
      <c r="P438" s="27"/>
      <c r="Q438" s="27"/>
      <c r="R438" s="27"/>
      <c r="S438" s="27"/>
      <c r="T438" s="27"/>
      <c r="U438" s="27"/>
      <c r="V438" s="27"/>
      <c r="W438" s="27"/>
      <c r="X438" s="27"/>
      <c r="Y438" s="27"/>
      <c r="Z438" s="27"/>
      <c r="AA438" s="13"/>
    </row>
    <row r="439" ht="20.25" customHeight="1">
      <c r="A439" s="26">
        <v>46069.0</v>
      </c>
      <c r="B439" s="27" t="s">
        <v>1650</v>
      </c>
      <c r="C439" s="27" t="s">
        <v>1651</v>
      </c>
      <c r="D439" s="27" t="s">
        <v>1652</v>
      </c>
      <c r="E439" s="27" t="s">
        <v>971</v>
      </c>
      <c r="F439" s="27" t="s">
        <v>1653</v>
      </c>
      <c r="G439" s="27" t="s">
        <v>1654</v>
      </c>
      <c r="H439" s="27" t="s">
        <v>1178</v>
      </c>
      <c r="I439" s="27"/>
      <c r="J439" s="27" t="s">
        <v>1655</v>
      </c>
      <c r="K439" s="27" t="s">
        <v>1028</v>
      </c>
      <c r="L439" s="27"/>
      <c r="M439" s="27"/>
      <c r="N439" s="27"/>
      <c r="O439" s="27"/>
      <c r="P439" s="27"/>
      <c r="Q439" s="27"/>
      <c r="R439" s="27"/>
      <c r="S439" s="27"/>
      <c r="T439" s="27"/>
      <c r="U439" s="27"/>
      <c r="V439" s="27"/>
      <c r="W439" s="27"/>
      <c r="X439" s="27"/>
      <c r="Y439" s="27"/>
      <c r="Z439" s="27"/>
      <c r="AA439" s="13"/>
    </row>
    <row r="440" ht="20.25" customHeight="1">
      <c r="A440" s="26">
        <v>46069.0</v>
      </c>
      <c r="B440" s="27" t="s">
        <v>1656</v>
      </c>
      <c r="C440" s="27" t="s">
        <v>1657</v>
      </c>
      <c r="D440" s="27" t="s">
        <v>1658</v>
      </c>
      <c r="E440" s="27" t="s">
        <v>969</v>
      </c>
      <c r="F440" s="27" t="s">
        <v>1285</v>
      </c>
      <c r="G440" s="27" t="s">
        <v>1659</v>
      </c>
      <c r="H440" s="27" t="s">
        <v>1178</v>
      </c>
      <c r="I440" s="27" t="s">
        <v>1291</v>
      </c>
      <c r="J440" s="27" t="s">
        <v>1660</v>
      </c>
      <c r="K440" s="27" t="s">
        <v>1028</v>
      </c>
      <c r="L440" s="27" t="s">
        <v>945</v>
      </c>
      <c r="M440" s="27"/>
      <c r="N440" s="27"/>
      <c r="O440" s="27"/>
      <c r="P440" s="27"/>
      <c r="Q440" s="27"/>
      <c r="R440" s="27"/>
      <c r="S440" s="27"/>
      <c r="T440" s="27"/>
      <c r="U440" s="27"/>
      <c r="V440" s="27"/>
      <c r="W440" s="27"/>
      <c r="X440" s="27"/>
      <c r="Y440" s="27"/>
      <c r="Z440" s="27"/>
      <c r="AA440" s="13"/>
    </row>
    <row r="441" ht="20.25" customHeight="1">
      <c r="A441" s="26">
        <v>46066.0</v>
      </c>
      <c r="B441" s="27" t="s">
        <v>1661</v>
      </c>
      <c r="C441" s="27" t="s">
        <v>1662</v>
      </c>
      <c r="D441" s="27" t="s">
        <v>1663</v>
      </c>
      <c r="E441" s="27" t="s">
        <v>971</v>
      </c>
      <c r="F441" s="27" t="s">
        <v>1319</v>
      </c>
      <c r="G441" s="27" t="s">
        <v>1664</v>
      </c>
      <c r="H441" s="27" t="s">
        <v>1207</v>
      </c>
      <c r="I441" s="27" t="s">
        <v>1665</v>
      </c>
      <c r="J441" s="27" t="s">
        <v>1666</v>
      </c>
      <c r="K441" s="27" t="s">
        <v>1028</v>
      </c>
      <c r="L441" s="27"/>
      <c r="M441" s="27"/>
      <c r="N441" s="27"/>
      <c r="O441" s="27"/>
      <c r="P441" s="27"/>
      <c r="Q441" s="27"/>
      <c r="R441" s="27"/>
      <c r="S441" s="27"/>
      <c r="T441" s="27"/>
      <c r="U441" s="27"/>
      <c r="V441" s="27"/>
      <c r="W441" s="27"/>
      <c r="X441" s="27"/>
      <c r="Y441" s="27"/>
      <c r="Z441" s="27"/>
      <c r="AA441" s="13"/>
    </row>
    <row r="442" ht="20.25" customHeight="1">
      <c r="A442" s="26">
        <v>46066.0</v>
      </c>
      <c r="B442" s="27" t="s">
        <v>1667</v>
      </c>
      <c r="C442" s="27" t="s">
        <v>1073</v>
      </c>
      <c r="D442" s="27" t="s">
        <v>1668</v>
      </c>
      <c r="E442" s="27" t="s">
        <v>969</v>
      </c>
      <c r="F442" s="27" t="s">
        <v>1077</v>
      </c>
      <c r="G442" s="27" t="s">
        <v>1191</v>
      </c>
      <c r="H442" s="27" t="s">
        <v>1057</v>
      </c>
      <c r="I442" s="27" t="s">
        <v>1078</v>
      </c>
      <c r="J442" s="27" t="s">
        <v>1193</v>
      </c>
      <c r="K442" s="27" t="s">
        <v>1028</v>
      </c>
      <c r="L442" s="27"/>
      <c r="M442" s="27"/>
      <c r="N442" s="27"/>
      <c r="O442" s="27"/>
      <c r="P442" s="27"/>
      <c r="Q442" s="27"/>
      <c r="R442" s="27"/>
      <c r="S442" s="27"/>
      <c r="T442" s="27"/>
      <c r="U442" s="27"/>
      <c r="V442" s="27"/>
      <c r="W442" s="27"/>
      <c r="X442" s="27"/>
      <c r="Y442" s="27"/>
      <c r="Z442" s="27"/>
      <c r="AA442" s="13"/>
    </row>
    <row r="443" ht="20.25" customHeight="1">
      <c r="A443" s="26">
        <v>46066.0</v>
      </c>
      <c r="B443" s="27" t="s">
        <v>1669</v>
      </c>
      <c r="C443" s="27" t="s">
        <v>416</v>
      </c>
      <c r="D443" s="27" t="s">
        <v>1670</v>
      </c>
      <c r="E443" s="27" t="s">
        <v>274</v>
      </c>
      <c r="F443" s="27" t="s">
        <v>1671</v>
      </c>
      <c r="G443" s="27" t="s">
        <v>1672</v>
      </c>
      <c r="H443" s="27" t="s">
        <v>1025</v>
      </c>
      <c r="I443" s="27" t="s">
        <v>1094</v>
      </c>
      <c r="J443" s="27" t="s">
        <v>1673</v>
      </c>
      <c r="K443" s="27" t="s">
        <v>1028</v>
      </c>
      <c r="L443" s="27"/>
      <c r="M443" s="27"/>
      <c r="N443" s="27"/>
      <c r="O443" s="27"/>
      <c r="P443" s="27"/>
      <c r="Q443" s="27"/>
      <c r="R443" s="27"/>
      <c r="S443" s="27"/>
      <c r="T443" s="27"/>
      <c r="U443" s="27"/>
      <c r="V443" s="27"/>
      <c r="W443" s="27"/>
      <c r="X443" s="27"/>
      <c r="Y443" s="27"/>
      <c r="Z443" s="27"/>
      <c r="AA443" s="13"/>
    </row>
    <row r="444" ht="20.25" customHeight="1">
      <c r="A444" s="26">
        <v>46066.0</v>
      </c>
      <c r="B444" s="27" t="s">
        <v>1674</v>
      </c>
      <c r="C444" s="27" t="s">
        <v>1675</v>
      </c>
      <c r="D444" s="27" t="s">
        <v>1676</v>
      </c>
      <c r="E444" s="27" t="s">
        <v>969</v>
      </c>
      <c r="F444" s="27" t="s">
        <v>1677</v>
      </c>
      <c r="G444" s="27" t="s">
        <v>1678</v>
      </c>
      <c r="H444" s="27" t="s">
        <v>1129</v>
      </c>
      <c r="I444" s="27" t="s">
        <v>1544</v>
      </c>
      <c r="J444" s="27" t="s">
        <v>1679</v>
      </c>
      <c r="K444" s="27" t="s">
        <v>1028</v>
      </c>
      <c r="L444" s="27"/>
      <c r="M444" s="27"/>
      <c r="N444" s="27"/>
      <c r="O444" s="27"/>
      <c r="P444" s="27"/>
      <c r="Q444" s="27"/>
      <c r="R444" s="27"/>
      <c r="S444" s="27"/>
      <c r="T444" s="27"/>
      <c r="U444" s="27"/>
      <c r="V444" s="27"/>
      <c r="W444" s="27"/>
      <c r="X444" s="27"/>
      <c r="Y444" s="27"/>
      <c r="Z444" s="27"/>
      <c r="AA444" s="13"/>
    </row>
    <row r="445" ht="20.25" customHeight="1">
      <c r="A445" s="26">
        <v>46069.0</v>
      </c>
      <c r="B445" s="27" t="s">
        <v>1680</v>
      </c>
      <c r="C445" s="27" t="s">
        <v>842</v>
      </c>
      <c r="D445" s="27" t="s">
        <v>1681</v>
      </c>
      <c r="E445" s="27" t="s">
        <v>274</v>
      </c>
      <c r="F445" s="27" t="s">
        <v>1682</v>
      </c>
      <c r="G445" s="27" t="s">
        <v>1683</v>
      </c>
      <c r="H445" s="27" t="s">
        <v>1129</v>
      </c>
      <c r="I445" s="27" t="s">
        <v>1684</v>
      </c>
      <c r="J445" s="27" t="s">
        <v>1685</v>
      </c>
      <c r="K445" s="27" t="s">
        <v>1028</v>
      </c>
      <c r="L445" s="27"/>
      <c r="M445" s="27"/>
      <c r="N445" s="27"/>
      <c r="O445" s="27"/>
      <c r="P445" s="27"/>
      <c r="Q445" s="27"/>
      <c r="R445" s="27"/>
      <c r="S445" s="27"/>
      <c r="T445" s="27"/>
      <c r="U445" s="27"/>
      <c r="V445" s="27"/>
      <c r="W445" s="27"/>
      <c r="X445" s="27"/>
      <c r="Y445" s="27"/>
      <c r="Z445" s="27"/>
      <c r="AA445" s="13"/>
    </row>
    <row r="446" ht="20.25" customHeight="1">
      <c r="A446" s="26">
        <v>46068.0</v>
      </c>
      <c r="B446" s="27" t="s">
        <v>841</v>
      </c>
      <c r="C446" s="27" t="s">
        <v>842</v>
      </c>
      <c r="D446" s="27" t="s">
        <v>1003</v>
      </c>
      <c r="E446" s="27" t="s">
        <v>274</v>
      </c>
      <c r="F446" s="27" t="s">
        <v>1686</v>
      </c>
      <c r="G446" s="27" t="s">
        <v>1687</v>
      </c>
      <c r="H446" s="27" t="s">
        <v>1129</v>
      </c>
      <c r="I446" s="27" t="s">
        <v>1684</v>
      </c>
      <c r="J446" s="27" t="s">
        <v>1685</v>
      </c>
      <c r="K446" s="27" t="s">
        <v>1028</v>
      </c>
      <c r="L446" s="27"/>
      <c r="M446" s="27"/>
      <c r="N446" s="27"/>
      <c r="O446" s="27"/>
      <c r="P446" s="27"/>
      <c r="Q446" s="27"/>
      <c r="R446" s="27"/>
      <c r="S446" s="27"/>
      <c r="T446" s="27"/>
      <c r="U446" s="27"/>
      <c r="V446" s="27"/>
      <c r="W446" s="27"/>
      <c r="X446" s="27"/>
      <c r="Y446" s="27"/>
      <c r="Z446" s="27"/>
      <c r="AA446" s="13"/>
    </row>
    <row r="447" ht="20.25" customHeight="1">
      <c r="A447" s="26">
        <v>46066.0</v>
      </c>
      <c r="B447" s="27" t="s">
        <v>1688</v>
      </c>
      <c r="C447" s="27" t="s">
        <v>1011</v>
      </c>
      <c r="D447" s="27" t="s">
        <v>1689</v>
      </c>
      <c r="E447" s="27" t="s">
        <v>971</v>
      </c>
      <c r="F447" s="27" t="s">
        <v>1031</v>
      </c>
      <c r="G447" s="27" t="s">
        <v>1690</v>
      </c>
      <c r="H447" s="27" t="s">
        <v>1025</v>
      </c>
      <c r="I447" s="27" t="s">
        <v>1026</v>
      </c>
      <c r="J447" s="27" t="s">
        <v>1691</v>
      </c>
      <c r="K447" s="27" t="s">
        <v>1028</v>
      </c>
      <c r="L447" s="27"/>
      <c r="M447" s="27"/>
      <c r="N447" s="27"/>
      <c r="O447" s="27"/>
      <c r="P447" s="27"/>
      <c r="Q447" s="27"/>
      <c r="R447" s="27"/>
      <c r="S447" s="27"/>
      <c r="T447" s="27"/>
      <c r="U447" s="27"/>
      <c r="V447" s="27"/>
      <c r="W447" s="27"/>
      <c r="X447" s="27"/>
      <c r="Y447" s="27"/>
      <c r="Z447" s="27"/>
      <c r="AA447" s="13"/>
    </row>
    <row r="448" ht="20.25" customHeight="1">
      <c r="A448" s="26">
        <v>46066.0</v>
      </c>
      <c r="B448" s="27" t="s">
        <v>1692</v>
      </c>
      <c r="C448" s="27" t="s">
        <v>1011</v>
      </c>
      <c r="D448" s="27" t="s">
        <v>1693</v>
      </c>
      <c r="E448" s="27" t="s">
        <v>971</v>
      </c>
      <c r="F448" s="27" t="s">
        <v>959</v>
      </c>
      <c r="G448" s="27" t="s">
        <v>1694</v>
      </c>
      <c r="H448" s="27" t="s">
        <v>1025</v>
      </c>
      <c r="I448" s="27" t="s">
        <v>1026</v>
      </c>
      <c r="J448" s="27" t="s">
        <v>1695</v>
      </c>
      <c r="K448" s="27" t="s">
        <v>1028</v>
      </c>
      <c r="L448" s="27"/>
      <c r="M448" s="27"/>
      <c r="N448" s="27"/>
      <c r="O448" s="27"/>
      <c r="P448" s="27"/>
      <c r="Q448" s="27"/>
      <c r="R448" s="27"/>
      <c r="S448" s="27"/>
      <c r="T448" s="27"/>
      <c r="U448" s="27"/>
      <c r="V448" s="27"/>
      <c r="W448" s="27"/>
      <c r="X448" s="27"/>
      <c r="Y448" s="27"/>
      <c r="Z448" s="27"/>
      <c r="AA448" s="13"/>
    </row>
    <row r="449" ht="20.25" customHeight="1">
      <c r="A449" s="26">
        <v>46067.0</v>
      </c>
      <c r="B449" s="27" t="s">
        <v>1696</v>
      </c>
      <c r="C449" s="27" t="s">
        <v>1697</v>
      </c>
      <c r="D449" s="27" t="s">
        <v>1698</v>
      </c>
      <c r="E449" s="27" t="s">
        <v>971</v>
      </c>
      <c r="F449" s="27" t="s">
        <v>1699</v>
      </c>
      <c r="G449" s="27" t="s">
        <v>1700</v>
      </c>
      <c r="H449" s="27" t="s">
        <v>1025</v>
      </c>
      <c r="I449" s="27" t="s">
        <v>1701</v>
      </c>
      <c r="J449" s="27" t="s">
        <v>1702</v>
      </c>
      <c r="K449" s="27" t="s">
        <v>1028</v>
      </c>
      <c r="L449" s="27"/>
      <c r="M449" s="27"/>
      <c r="N449" s="27"/>
      <c r="O449" s="27"/>
      <c r="P449" s="27"/>
      <c r="Q449" s="27"/>
      <c r="R449" s="27"/>
      <c r="S449" s="27"/>
      <c r="T449" s="27"/>
      <c r="U449" s="27"/>
      <c r="V449" s="27"/>
      <c r="W449" s="27"/>
      <c r="X449" s="27"/>
      <c r="Y449" s="27"/>
      <c r="Z449" s="27"/>
      <c r="AA449" s="13"/>
    </row>
    <row r="450" ht="20.25" customHeight="1">
      <c r="A450" s="26">
        <v>46066.0</v>
      </c>
      <c r="B450" s="27" t="s">
        <v>876</v>
      </c>
      <c r="C450" s="27" t="s">
        <v>1703</v>
      </c>
      <c r="D450" s="27" t="s">
        <v>1704</v>
      </c>
      <c r="E450" s="27" t="s">
        <v>971</v>
      </c>
      <c r="F450" s="27" t="s">
        <v>1077</v>
      </c>
      <c r="G450" s="27" t="s">
        <v>1705</v>
      </c>
      <c r="H450" s="27" t="s">
        <v>1129</v>
      </c>
      <c r="I450" s="27" t="s">
        <v>1706</v>
      </c>
      <c r="J450" s="27" t="s">
        <v>1707</v>
      </c>
      <c r="K450" s="27" t="s">
        <v>1028</v>
      </c>
      <c r="L450" s="27" t="s">
        <v>945</v>
      </c>
      <c r="M450" s="27"/>
      <c r="N450" s="27"/>
      <c r="O450" s="27"/>
      <c r="P450" s="27"/>
      <c r="Q450" s="27"/>
      <c r="R450" s="27"/>
      <c r="S450" s="27"/>
      <c r="T450" s="27"/>
      <c r="U450" s="27"/>
      <c r="V450" s="27"/>
      <c r="W450" s="27"/>
      <c r="X450" s="27"/>
      <c r="Y450" s="27"/>
      <c r="Z450" s="27"/>
      <c r="AA450" s="13"/>
    </row>
    <row r="451" ht="20.25" customHeight="1">
      <c r="A451" s="26">
        <v>46067.0</v>
      </c>
      <c r="B451" s="27" t="s">
        <v>1708</v>
      </c>
      <c r="C451" s="27" t="s">
        <v>1709</v>
      </c>
      <c r="D451" s="27" t="s">
        <v>1710</v>
      </c>
      <c r="E451" s="27" t="s">
        <v>971</v>
      </c>
      <c r="F451" s="27" t="s">
        <v>1711</v>
      </c>
      <c r="G451" s="27" t="s">
        <v>1712</v>
      </c>
      <c r="H451" s="27" t="s">
        <v>1063</v>
      </c>
      <c r="I451" s="27" t="s">
        <v>1713</v>
      </c>
      <c r="J451" s="27" t="s">
        <v>1714</v>
      </c>
      <c r="K451" s="27" t="s">
        <v>1028</v>
      </c>
      <c r="L451" s="27" t="s">
        <v>945</v>
      </c>
      <c r="M451" s="27"/>
      <c r="N451" s="27"/>
      <c r="O451" s="27"/>
      <c r="P451" s="27"/>
      <c r="Q451" s="27"/>
      <c r="R451" s="27"/>
      <c r="S451" s="27"/>
      <c r="T451" s="27"/>
      <c r="U451" s="27"/>
      <c r="V451" s="27"/>
      <c r="W451" s="27"/>
      <c r="X451" s="27"/>
      <c r="Y451" s="27"/>
      <c r="Z451" s="27"/>
      <c r="AA451" s="13"/>
    </row>
    <row r="452" ht="20.25" customHeight="1">
      <c r="A452" s="26">
        <v>46068.0</v>
      </c>
      <c r="B452" s="27" t="s">
        <v>1622</v>
      </c>
      <c r="C452" s="27" t="s">
        <v>1623</v>
      </c>
      <c r="D452" s="27" t="s">
        <v>1625</v>
      </c>
      <c r="E452" s="27" t="s">
        <v>971</v>
      </c>
      <c r="F452" s="27" t="s">
        <v>874</v>
      </c>
      <c r="G452" s="27" t="s">
        <v>1624</v>
      </c>
      <c r="H452" s="27" t="s">
        <v>1207</v>
      </c>
      <c r="I452" s="27" t="s">
        <v>1291</v>
      </c>
      <c r="J452" s="27" t="s">
        <v>1626</v>
      </c>
      <c r="K452" s="27" t="s">
        <v>1028</v>
      </c>
      <c r="L452" s="27"/>
      <c r="M452" s="27"/>
      <c r="N452" s="27"/>
      <c r="O452" s="27"/>
      <c r="P452" s="27"/>
      <c r="Q452" s="27"/>
      <c r="R452" s="27"/>
      <c r="S452" s="27"/>
      <c r="T452" s="27"/>
      <c r="U452" s="27"/>
      <c r="V452" s="27"/>
      <c r="W452" s="27"/>
      <c r="X452" s="27"/>
      <c r="Y452" s="27"/>
      <c r="Z452" s="27"/>
      <c r="AA452" s="13"/>
    </row>
    <row r="453" ht="20.25" customHeight="1">
      <c r="A453" s="26">
        <v>46067.0</v>
      </c>
      <c r="B453" s="27" t="s">
        <v>1715</v>
      </c>
      <c r="C453" s="27" t="s">
        <v>1716</v>
      </c>
      <c r="D453" s="27" t="s">
        <v>1717</v>
      </c>
      <c r="E453" s="27" t="s">
        <v>969</v>
      </c>
      <c r="F453" s="27" t="s">
        <v>328</v>
      </c>
      <c r="G453" s="27" t="s">
        <v>1718</v>
      </c>
      <c r="H453" s="27" t="s">
        <v>1107</v>
      </c>
      <c r="I453" s="27" t="s">
        <v>1719</v>
      </c>
      <c r="J453" s="27" t="s">
        <v>1720</v>
      </c>
      <c r="K453" s="27" t="s">
        <v>1028</v>
      </c>
      <c r="L453" s="27"/>
      <c r="M453" s="27"/>
      <c r="N453" s="27"/>
      <c r="O453" s="27"/>
      <c r="P453" s="27"/>
      <c r="Q453" s="27"/>
      <c r="R453" s="27"/>
      <c r="S453" s="27"/>
      <c r="T453" s="27"/>
      <c r="U453" s="27"/>
      <c r="V453" s="27"/>
      <c r="W453" s="27"/>
      <c r="X453" s="27"/>
      <c r="Y453" s="27"/>
      <c r="Z453" s="27"/>
      <c r="AA453" s="13"/>
    </row>
    <row r="454" ht="20.25" customHeight="1">
      <c r="A454" s="26">
        <v>46067.0</v>
      </c>
      <c r="B454" s="27" t="s">
        <v>1721</v>
      </c>
      <c r="C454" s="27" t="s">
        <v>1722</v>
      </c>
      <c r="D454" s="27" t="s">
        <v>1723</v>
      </c>
      <c r="E454" s="27" t="s">
        <v>969</v>
      </c>
      <c r="F454" s="27" t="s">
        <v>858</v>
      </c>
      <c r="G454" s="27" t="s">
        <v>1724</v>
      </c>
      <c r="H454" s="27" t="s">
        <v>1207</v>
      </c>
      <c r="I454" s="27" t="s">
        <v>1725</v>
      </c>
      <c r="J454" s="27" t="s">
        <v>1726</v>
      </c>
      <c r="K454" s="27" t="s">
        <v>1028</v>
      </c>
      <c r="L454" s="27"/>
      <c r="M454" s="27"/>
      <c r="N454" s="27"/>
      <c r="O454" s="27"/>
      <c r="P454" s="27"/>
      <c r="Q454" s="27"/>
      <c r="R454" s="27"/>
      <c r="S454" s="27"/>
      <c r="T454" s="27"/>
      <c r="U454" s="27"/>
      <c r="V454" s="27"/>
      <c r="W454" s="27"/>
      <c r="X454" s="27"/>
      <c r="Y454" s="27"/>
      <c r="Z454" s="27"/>
      <c r="AA454" s="13"/>
    </row>
    <row r="455" ht="20.25" customHeight="1">
      <c r="A455" s="26">
        <v>46068.0</v>
      </c>
      <c r="B455" s="27" t="s">
        <v>1727</v>
      </c>
      <c r="C455" s="27" t="s">
        <v>1728</v>
      </c>
      <c r="D455" s="27" t="s">
        <v>1729</v>
      </c>
      <c r="E455" s="27" t="s">
        <v>971</v>
      </c>
      <c r="F455" s="27" t="s">
        <v>1144</v>
      </c>
      <c r="G455" s="27" t="s">
        <v>1730</v>
      </c>
      <c r="H455" s="27" t="s">
        <v>1057</v>
      </c>
      <c r="I455" s="27" t="s">
        <v>1684</v>
      </c>
      <c r="J455" s="27" t="s">
        <v>1731</v>
      </c>
      <c r="K455" s="27" t="s">
        <v>1028</v>
      </c>
      <c r="L455" s="27"/>
      <c r="M455" s="27"/>
      <c r="N455" s="27"/>
      <c r="O455" s="27"/>
      <c r="P455" s="27"/>
      <c r="Q455" s="27"/>
      <c r="R455" s="27"/>
      <c r="S455" s="27"/>
      <c r="T455" s="27"/>
      <c r="U455" s="27"/>
      <c r="V455" s="27"/>
      <c r="W455" s="27"/>
      <c r="X455" s="27"/>
      <c r="Y455" s="27"/>
      <c r="Z455" s="27"/>
      <c r="AA455" s="13"/>
    </row>
    <row r="456" ht="20.25" customHeight="1">
      <c r="A456" s="26">
        <v>46067.0</v>
      </c>
      <c r="B456" s="27" t="s">
        <v>1732</v>
      </c>
      <c r="C456" s="27" t="s">
        <v>289</v>
      </c>
      <c r="D456" s="27" t="s">
        <v>1733</v>
      </c>
      <c r="E456" s="27" t="s">
        <v>971</v>
      </c>
      <c r="F456" s="27" t="s">
        <v>1734</v>
      </c>
      <c r="G456" s="27" t="s">
        <v>1735</v>
      </c>
      <c r="H456" s="27" t="s">
        <v>1025</v>
      </c>
      <c r="I456" s="27" t="s">
        <v>1736</v>
      </c>
      <c r="J456" s="27" t="s">
        <v>1737</v>
      </c>
      <c r="K456" s="27" t="s">
        <v>1028</v>
      </c>
      <c r="L456" s="27" t="s">
        <v>945</v>
      </c>
      <c r="M456" s="27"/>
      <c r="N456" s="27"/>
      <c r="O456" s="27"/>
      <c r="P456" s="27"/>
      <c r="Q456" s="27"/>
      <c r="R456" s="27"/>
      <c r="S456" s="27"/>
      <c r="T456" s="27"/>
      <c r="U456" s="27"/>
      <c r="V456" s="27"/>
      <c r="W456" s="27"/>
      <c r="X456" s="27"/>
      <c r="Y456" s="27"/>
      <c r="Z456" s="27"/>
      <c r="AA456" s="13"/>
    </row>
    <row r="457" ht="20.25" customHeight="1">
      <c r="A457" s="26">
        <v>46066.0</v>
      </c>
      <c r="B457" s="27" t="s">
        <v>1738</v>
      </c>
      <c r="C457" s="27" t="s">
        <v>625</v>
      </c>
      <c r="D457" s="27" t="s">
        <v>1739</v>
      </c>
      <c r="E457" s="27" t="s">
        <v>971</v>
      </c>
      <c r="F457" s="27" t="s">
        <v>1740</v>
      </c>
      <c r="G457" s="27" t="s">
        <v>1741</v>
      </c>
      <c r="H457" s="27" t="s">
        <v>1025</v>
      </c>
      <c r="I457" s="27" t="s">
        <v>1742</v>
      </c>
      <c r="J457" s="27" t="s">
        <v>1743</v>
      </c>
      <c r="K457" s="27" t="s">
        <v>1028</v>
      </c>
      <c r="L457" s="27"/>
      <c r="M457" s="27"/>
      <c r="N457" s="27"/>
      <c r="O457" s="27"/>
      <c r="P457" s="27"/>
      <c r="Q457" s="27"/>
      <c r="R457" s="27"/>
      <c r="S457" s="27"/>
      <c r="T457" s="27"/>
      <c r="U457" s="27"/>
      <c r="V457" s="27"/>
      <c r="W457" s="27"/>
      <c r="X457" s="27"/>
      <c r="Y457" s="27"/>
      <c r="Z457" s="27"/>
      <c r="AA457" s="13"/>
    </row>
    <row r="458" ht="20.25" customHeight="1">
      <c r="A458" s="26">
        <v>46069.0</v>
      </c>
      <c r="B458" s="27" t="s">
        <v>809</v>
      </c>
      <c r="C458" s="27" t="s">
        <v>810</v>
      </c>
      <c r="D458" s="27" t="s">
        <v>1744</v>
      </c>
      <c r="E458" s="27" t="s">
        <v>971</v>
      </c>
      <c r="F458" s="27" t="s">
        <v>858</v>
      </c>
      <c r="G458" s="27" t="s">
        <v>1745</v>
      </c>
      <c r="H458" s="27" t="s">
        <v>1057</v>
      </c>
      <c r="I458" s="27" t="s">
        <v>1746</v>
      </c>
      <c r="J458" s="27" t="s">
        <v>1747</v>
      </c>
      <c r="K458" s="27" t="s">
        <v>1028</v>
      </c>
      <c r="L458" s="27"/>
      <c r="M458" s="27"/>
      <c r="N458" s="27"/>
      <c r="O458" s="27"/>
      <c r="P458" s="27"/>
      <c r="Q458" s="27"/>
      <c r="R458" s="27"/>
      <c r="S458" s="27"/>
      <c r="T458" s="27"/>
      <c r="U458" s="27"/>
      <c r="V458" s="27"/>
      <c r="W458" s="27"/>
      <c r="X458" s="27"/>
      <c r="Y458" s="27"/>
      <c r="Z458" s="27"/>
      <c r="AA458" s="13"/>
    </row>
    <row r="459" ht="20.25" customHeight="1">
      <c r="A459" s="26">
        <v>46066.0</v>
      </c>
      <c r="B459" s="27" t="s">
        <v>1748</v>
      </c>
      <c r="C459" s="27" t="s">
        <v>1749</v>
      </c>
      <c r="D459" s="27" t="s">
        <v>1750</v>
      </c>
      <c r="E459" s="27" t="s">
        <v>971</v>
      </c>
      <c r="F459" s="27" t="s">
        <v>1751</v>
      </c>
      <c r="G459" s="27" t="s">
        <v>1752</v>
      </c>
      <c r="H459" s="27" t="s">
        <v>1025</v>
      </c>
      <c r="I459" s="27" t="s">
        <v>1238</v>
      </c>
      <c r="J459" s="27" t="s">
        <v>1753</v>
      </c>
      <c r="K459" s="27" t="s">
        <v>1028</v>
      </c>
      <c r="L459" s="27"/>
      <c r="M459" s="27"/>
      <c r="N459" s="27"/>
      <c r="O459" s="27"/>
      <c r="P459" s="27"/>
      <c r="Q459" s="27"/>
      <c r="R459" s="27"/>
      <c r="S459" s="27"/>
      <c r="T459" s="27"/>
      <c r="U459" s="27"/>
      <c r="V459" s="27"/>
      <c r="W459" s="27"/>
      <c r="X459" s="27"/>
      <c r="Y459" s="27"/>
      <c r="Z459" s="27"/>
      <c r="AA459" s="13"/>
    </row>
    <row r="460" ht="20.25" customHeight="1">
      <c r="A460" s="26">
        <v>46069.0</v>
      </c>
      <c r="B460" s="27" t="s">
        <v>1754</v>
      </c>
      <c r="C460" s="27" t="s">
        <v>1755</v>
      </c>
      <c r="D460" s="27" t="s">
        <v>1756</v>
      </c>
      <c r="E460" s="27"/>
      <c r="F460" s="27" t="s">
        <v>1144</v>
      </c>
      <c r="G460" s="27" t="s">
        <v>1757</v>
      </c>
      <c r="H460" s="27" t="s">
        <v>1129</v>
      </c>
      <c r="I460" s="27" t="s">
        <v>1758</v>
      </c>
      <c r="J460" s="27" t="s">
        <v>1759</v>
      </c>
      <c r="K460" s="27" t="s">
        <v>1028</v>
      </c>
      <c r="L460" s="27"/>
      <c r="M460" s="27"/>
      <c r="N460" s="27"/>
      <c r="O460" s="27"/>
      <c r="P460" s="27"/>
      <c r="Q460" s="27"/>
      <c r="R460" s="27"/>
      <c r="S460" s="27"/>
      <c r="T460" s="27"/>
      <c r="U460" s="27"/>
      <c r="V460" s="27"/>
      <c r="W460" s="27"/>
      <c r="X460" s="27"/>
      <c r="Y460" s="27"/>
      <c r="Z460" s="27"/>
      <c r="AA460" s="13"/>
    </row>
    <row r="461" ht="20.25" customHeight="1">
      <c r="A461" s="26">
        <v>46069.0</v>
      </c>
      <c r="B461" s="27" t="s">
        <v>1760</v>
      </c>
      <c r="C461" s="27" t="s">
        <v>1761</v>
      </c>
      <c r="D461" s="27" t="s">
        <v>1762</v>
      </c>
      <c r="E461" s="27"/>
      <c r="F461" s="27" t="s">
        <v>1763</v>
      </c>
      <c r="G461" s="27" t="s">
        <v>1764</v>
      </c>
      <c r="H461" s="27" t="s">
        <v>1025</v>
      </c>
      <c r="I461" s="27" t="s">
        <v>1130</v>
      </c>
      <c r="J461" s="27" t="s">
        <v>1765</v>
      </c>
      <c r="K461" s="27" t="s">
        <v>945</v>
      </c>
      <c r="L461" s="27"/>
      <c r="M461" s="27"/>
      <c r="N461" s="27"/>
      <c r="O461" s="27"/>
      <c r="P461" s="27"/>
      <c r="Q461" s="27"/>
      <c r="R461" s="27"/>
      <c r="S461" s="27"/>
      <c r="T461" s="27"/>
      <c r="U461" s="27"/>
      <c r="V461" s="27"/>
      <c r="W461" s="27"/>
      <c r="X461" s="27"/>
      <c r="Y461" s="27"/>
      <c r="Z461" s="27"/>
      <c r="AA461" s="13"/>
    </row>
    <row r="462" ht="20.25" customHeight="1">
      <c r="A462" s="26">
        <v>46069.0</v>
      </c>
      <c r="B462" s="27" t="s">
        <v>1766</v>
      </c>
      <c r="C462" s="27" t="s">
        <v>1489</v>
      </c>
      <c r="D462" s="27" t="s">
        <v>1767</v>
      </c>
      <c r="E462" s="27"/>
      <c r="F462" s="27" t="s">
        <v>1043</v>
      </c>
      <c r="G462" s="27" t="s">
        <v>1768</v>
      </c>
      <c r="H462" s="27" t="s">
        <v>1025</v>
      </c>
      <c r="I462" s="27" t="s">
        <v>1026</v>
      </c>
      <c r="J462" s="27" t="s">
        <v>1769</v>
      </c>
      <c r="K462" s="27" t="s">
        <v>1028</v>
      </c>
      <c r="L462" s="27"/>
      <c r="M462" s="27"/>
      <c r="N462" s="27"/>
      <c r="O462" s="27"/>
      <c r="P462" s="27"/>
      <c r="Q462" s="27"/>
      <c r="R462" s="27"/>
      <c r="S462" s="27"/>
      <c r="T462" s="27"/>
      <c r="U462" s="27"/>
      <c r="V462" s="27"/>
      <c r="W462" s="27"/>
      <c r="X462" s="27"/>
      <c r="Y462" s="27"/>
      <c r="Z462" s="27"/>
      <c r="AA462" s="13"/>
    </row>
    <row r="463" ht="20.25" customHeight="1">
      <c r="A463" s="26">
        <v>46069.0</v>
      </c>
      <c r="B463" s="27" t="s">
        <v>832</v>
      </c>
      <c r="C463" s="27" t="s">
        <v>833</v>
      </c>
      <c r="D463" s="27" t="s">
        <v>1770</v>
      </c>
      <c r="E463" s="27"/>
      <c r="F463" s="27" t="s">
        <v>1285</v>
      </c>
      <c r="G463" s="27" t="s">
        <v>1771</v>
      </c>
      <c r="H463" s="27" t="s">
        <v>1057</v>
      </c>
      <c r="I463" s="27" t="s">
        <v>1631</v>
      </c>
      <c r="J463" s="27" t="s">
        <v>1772</v>
      </c>
      <c r="K463" s="27" t="s">
        <v>1028</v>
      </c>
      <c r="L463" s="27" t="s">
        <v>945</v>
      </c>
      <c r="M463" s="27"/>
      <c r="N463" s="27"/>
      <c r="O463" s="27"/>
      <c r="P463" s="27"/>
      <c r="Q463" s="27"/>
      <c r="R463" s="27"/>
      <c r="S463" s="27"/>
      <c r="T463" s="27"/>
      <c r="U463" s="27"/>
      <c r="V463" s="27"/>
      <c r="W463" s="27"/>
      <c r="X463" s="27"/>
      <c r="Y463" s="27"/>
      <c r="Z463" s="27"/>
      <c r="AA463" s="13"/>
    </row>
    <row r="464" ht="20.25" customHeight="1">
      <c r="A464" s="26">
        <v>46069.0</v>
      </c>
      <c r="B464" s="27" t="s">
        <v>1773</v>
      </c>
      <c r="C464" s="27" t="s">
        <v>1774</v>
      </c>
      <c r="D464" s="27" t="s">
        <v>1775</v>
      </c>
      <c r="E464" s="27"/>
      <c r="F464" s="27" t="s">
        <v>1093</v>
      </c>
      <c r="G464" s="27" t="s">
        <v>1776</v>
      </c>
      <c r="H464" s="27" t="s">
        <v>1129</v>
      </c>
      <c r="I464" s="27" t="s">
        <v>1777</v>
      </c>
      <c r="J464" s="27" t="s">
        <v>1778</v>
      </c>
      <c r="K464" s="27" t="s">
        <v>1028</v>
      </c>
      <c r="L464" s="27"/>
      <c r="M464" s="27"/>
      <c r="N464" s="27"/>
      <c r="O464" s="27"/>
      <c r="P464" s="27"/>
      <c r="Q464" s="27"/>
      <c r="R464" s="27"/>
      <c r="S464" s="27"/>
      <c r="T464" s="27"/>
      <c r="U464" s="27"/>
      <c r="V464" s="27"/>
      <c r="W464" s="27"/>
      <c r="X464" s="27"/>
      <c r="Y464" s="27"/>
      <c r="Z464" s="27"/>
      <c r="AA464" s="13"/>
    </row>
    <row r="465" ht="20.25" customHeight="1">
      <c r="A465" s="26">
        <v>46069.0</v>
      </c>
      <c r="B465" s="27" t="s">
        <v>1779</v>
      </c>
      <c r="C465" s="27" t="s">
        <v>1774</v>
      </c>
      <c r="D465" s="27" t="s">
        <v>1780</v>
      </c>
      <c r="E465" s="27"/>
      <c r="F465" s="27" t="s">
        <v>1093</v>
      </c>
      <c r="G465" s="27" t="s">
        <v>1781</v>
      </c>
      <c r="H465" s="27" t="s">
        <v>1129</v>
      </c>
      <c r="I465" s="27" t="s">
        <v>1777</v>
      </c>
      <c r="J465" s="27" t="s">
        <v>1782</v>
      </c>
      <c r="K465" s="27" t="s">
        <v>1028</v>
      </c>
      <c r="L465" s="27"/>
      <c r="M465" s="27"/>
      <c r="N465" s="27"/>
      <c r="O465" s="27"/>
      <c r="P465" s="27"/>
      <c r="Q465" s="27"/>
      <c r="R465" s="27"/>
      <c r="S465" s="27"/>
      <c r="T465" s="27"/>
      <c r="U465" s="27"/>
      <c r="V465" s="27"/>
      <c r="W465" s="27"/>
      <c r="X465" s="27"/>
      <c r="Y465" s="27"/>
      <c r="Z465" s="27"/>
      <c r="AA465" s="13"/>
    </row>
    <row r="466" ht="20.25" customHeight="1">
      <c r="A466" s="26">
        <v>46069.0</v>
      </c>
      <c r="B466" s="27" t="s">
        <v>1783</v>
      </c>
      <c r="C466" s="27" t="s">
        <v>1784</v>
      </c>
      <c r="D466" s="27" t="s">
        <v>971</v>
      </c>
      <c r="E466" s="27"/>
      <c r="F466" s="27" t="s">
        <v>1785</v>
      </c>
      <c r="G466" s="27" t="s">
        <v>1786</v>
      </c>
      <c r="H466" s="27" t="s">
        <v>1178</v>
      </c>
      <c r="I466" s="27"/>
      <c r="J466" s="27" t="s">
        <v>1787</v>
      </c>
      <c r="K466" s="27" t="s">
        <v>1028</v>
      </c>
      <c r="L466" s="27"/>
      <c r="M466" s="27"/>
      <c r="N466" s="27"/>
      <c r="O466" s="27"/>
      <c r="P466" s="27"/>
      <c r="Q466" s="27"/>
      <c r="R466" s="27"/>
      <c r="S466" s="27"/>
      <c r="T466" s="27"/>
      <c r="U466" s="27"/>
      <c r="V466" s="27"/>
      <c r="W466" s="27"/>
      <c r="X466" s="27"/>
      <c r="Y466" s="27"/>
      <c r="Z466" s="27"/>
      <c r="AA466" s="13"/>
    </row>
    <row r="467" ht="20.25" customHeight="1">
      <c r="A467" s="26">
        <v>46069.0</v>
      </c>
      <c r="B467" s="27" t="s">
        <v>1680</v>
      </c>
      <c r="C467" s="27" t="s">
        <v>1788</v>
      </c>
      <c r="D467" s="27" t="s">
        <v>274</v>
      </c>
      <c r="E467" s="27"/>
      <c r="F467" s="27" t="s">
        <v>842</v>
      </c>
      <c r="G467" s="27" t="s">
        <v>1687</v>
      </c>
      <c r="H467" s="27" t="s">
        <v>1129</v>
      </c>
      <c r="I467" s="27" t="s">
        <v>1684</v>
      </c>
      <c r="J467" s="27" t="s">
        <v>1685</v>
      </c>
      <c r="K467" s="27" t="s">
        <v>1028</v>
      </c>
      <c r="L467" s="27"/>
      <c r="M467" s="27"/>
      <c r="N467" s="27"/>
      <c r="O467" s="27"/>
      <c r="P467" s="27"/>
      <c r="Q467" s="27"/>
      <c r="R467" s="27"/>
      <c r="S467" s="27"/>
      <c r="T467" s="27"/>
      <c r="U467" s="27"/>
      <c r="V467" s="27"/>
      <c r="W467" s="27"/>
      <c r="X467" s="27"/>
      <c r="Y467" s="27"/>
      <c r="Z467" s="27"/>
      <c r="AA467" s="13"/>
    </row>
    <row r="468" ht="20.25" customHeight="1">
      <c r="A468" s="26">
        <v>46069.0</v>
      </c>
      <c r="B468" s="27" t="s">
        <v>1789</v>
      </c>
      <c r="C468" s="27" t="s">
        <v>1790</v>
      </c>
      <c r="D468" s="27" t="s">
        <v>971</v>
      </c>
      <c r="E468" s="27"/>
      <c r="F468" s="27" t="s">
        <v>1791</v>
      </c>
      <c r="G468" s="27" t="s">
        <v>1792</v>
      </c>
      <c r="H468" s="27" t="s">
        <v>1207</v>
      </c>
      <c r="I468" s="27" t="s">
        <v>1793</v>
      </c>
      <c r="J468" s="27" t="s">
        <v>1794</v>
      </c>
      <c r="K468" s="27" t="s">
        <v>1028</v>
      </c>
      <c r="L468" s="27" t="s">
        <v>945</v>
      </c>
      <c r="M468" s="27"/>
      <c r="N468" s="27"/>
      <c r="O468" s="27"/>
      <c r="P468" s="27"/>
      <c r="Q468" s="27"/>
      <c r="R468" s="27"/>
      <c r="S468" s="27"/>
      <c r="T468" s="27"/>
      <c r="U468" s="27"/>
      <c r="V468" s="27"/>
      <c r="W468" s="27"/>
      <c r="X468" s="27"/>
      <c r="Y468" s="27"/>
      <c r="Z468" s="27"/>
      <c r="AA468" s="13"/>
    </row>
    <row r="469" ht="20.25" customHeight="1">
      <c r="A469" s="26">
        <v>46069.0</v>
      </c>
      <c r="B469" s="27" t="s">
        <v>381</v>
      </c>
      <c r="C469" s="27" t="s">
        <v>1795</v>
      </c>
      <c r="D469" s="27" t="s">
        <v>274</v>
      </c>
      <c r="E469" s="27"/>
      <c r="F469" s="27" t="s">
        <v>1796</v>
      </c>
      <c r="G469" s="27" t="s">
        <v>1797</v>
      </c>
      <c r="H469" s="27" t="s">
        <v>1129</v>
      </c>
      <c r="I469" s="27" t="s">
        <v>1798</v>
      </c>
      <c r="J469" s="27" t="s">
        <v>1799</v>
      </c>
      <c r="K469" s="27" t="s">
        <v>1028</v>
      </c>
      <c r="L469" s="27"/>
      <c r="M469" s="27"/>
      <c r="N469" s="27"/>
      <c r="O469" s="27"/>
      <c r="P469" s="27"/>
      <c r="Q469" s="27"/>
      <c r="R469" s="27"/>
      <c r="S469" s="27"/>
      <c r="T469" s="27"/>
      <c r="U469" s="27"/>
      <c r="V469" s="27"/>
      <c r="W469" s="27"/>
      <c r="X469" s="27"/>
      <c r="Y469" s="27"/>
      <c r="Z469" s="27"/>
      <c r="AA469" s="13"/>
    </row>
    <row r="470" ht="20.25" customHeight="1">
      <c r="A470" s="19">
        <v>46068.0</v>
      </c>
      <c r="B470" s="13" t="s">
        <v>1800</v>
      </c>
      <c r="C470" s="13" t="s">
        <v>1801</v>
      </c>
      <c r="D470" s="13" t="s">
        <v>1802</v>
      </c>
      <c r="E470" s="13" t="s">
        <v>971</v>
      </c>
      <c r="F470" s="13" t="s">
        <v>1077</v>
      </c>
      <c r="G470" s="13" t="s">
        <v>1803</v>
      </c>
      <c r="H470" s="34">
        <v>46032.0</v>
      </c>
      <c r="I470" s="13"/>
      <c r="J470" s="13" t="s">
        <v>1804</v>
      </c>
      <c r="K470" s="13" t="s">
        <v>1028</v>
      </c>
      <c r="L470" s="13"/>
      <c r="M470" s="13"/>
      <c r="N470" s="13"/>
      <c r="O470" s="13"/>
      <c r="P470" s="13"/>
      <c r="Q470" s="13"/>
      <c r="R470" s="13"/>
      <c r="S470" s="13"/>
      <c r="T470" s="13"/>
      <c r="U470" s="13"/>
      <c r="V470" s="13"/>
      <c r="W470" s="13"/>
      <c r="X470" s="13"/>
      <c r="Y470" s="13"/>
      <c r="Z470" s="13"/>
      <c r="AA470" s="13"/>
    </row>
    <row r="471" ht="20.25" customHeight="1">
      <c r="A471" s="19">
        <v>46068.0</v>
      </c>
      <c r="B471" s="13" t="s">
        <v>960</v>
      </c>
      <c r="C471" s="13" t="s">
        <v>1805</v>
      </c>
      <c r="D471" s="13" t="s">
        <v>1806</v>
      </c>
      <c r="E471" s="13" t="s">
        <v>971</v>
      </c>
      <c r="F471" s="13" t="s">
        <v>1807</v>
      </c>
      <c r="G471" s="13" t="s">
        <v>1808</v>
      </c>
      <c r="H471" s="13" t="s">
        <v>1107</v>
      </c>
      <c r="I471" s="13" t="s">
        <v>1809</v>
      </c>
      <c r="J471" s="13" t="s">
        <v>1810</v>
      </c>
      <c r="K471" s="13" t="s">
        <v>1028</v>
      </c>
      <c r="L471" s="13"/>
      <c r="M471" s="13"/>
      <c r="N471" s="13"/>
      <c r="O471" s="13"/>
      <c r="P471" s="13"/>
      <c r="Q471" s="13"/>
      <c r="R471" s="13"/>
      <c r="S471" s="13"/>
      <c r="T471" s="13"/>
      <c r="U471" s="13"/>
      <c r="V471" s="13"/>
      <c r="W471" s="13"/>
      <c r="X471" s="13"/>
      <c r="Y471" s="13"/>
      <c r="Z471" s="13"/>
      <c r="AA471" s="13"/>
    </row>
    <row r="472" ht="20.25" customHeight="1">
      <c r="A472" s="19">
        <v>46068.0</v>
      </c>
      <c r="B472" s="13" t="s">
        <v>1811</v>
      </c>
      <c r="C472" s="13" t="s">
        <v>1812</v>
      </c>
      <c r="D472" s="13" t="s">
        <v>1813</v>
      </c>
      <c r="E472" s="13" t="s">
        <v>971</v>
      </c>
      <c r="F472" s="13" t="s">
        <v>1814</v>
      </c>
      <c r="G472" s="13" t="s">
        <v>1815</v>
      </c>
      <c r="H472" s="13" t="s">
        <v>1107</v>
      </c>
      <c r="I472" s="13" t="s">
        <v>1816</v>
      </c>
      <c r="J472" s="13" t="s">
        <v>1817</v>
      </c>
      <c r="K472" s="13" t="s">
        <v>1028</v>
      </c>
      <c r="L472" s="13"/>
      <c r="M472" s="13"/>
      <c r="N472" s="13"/>
      <c r="O472" s="13"/>
      <c r="P472" s="13"/>
      <c r="Q472" s="13"/>
      <c r="R472" s="13"/>
      <c r="S472" s="13"/>
      <c r="T472" s="13"/>
      <c r="U472" s="13"/>
      <c r="V472" s="13"/>
      <c r="W472" s="13"/>
      <c r="X472" s="13"/>
      <c r="Y472" s="13"/>
      <c r="Z472" s="13"/>
      <c r="AA472" s="13"/>
    </row>
    <row r="473" ht="20.25" customHeight="1">
      <c r="A473" s="19">
        <v>46068.0</v>
      </c>
      <c r="B473" s="13" t="s">
        <v>1818</v>
      </c>
      <c r="C473" s="13" t="s">
        <v>1819</v>
      </c>
      <c r="D473" s="13" t="s">
        <v>1820</v>
      </c>
      <c r="E473" s="13" t="s">
        <v>971</v>
      </c>
      <c r="F473" s="13" t="s">
        <v>364</v>
      </c>
      <c r="G473" s="13" t="s">
        <v>1821</v>
      </c>
      <c r="H473" s="13" t="s">
        <v>1178</v>
      </c>
      <c r="I473" s="13" t="s">
        <v>1428</v>
      </c>
      <c r="J473" s="13" t="s">
        <v>1822</v>
      </c>
      <c r="K473" s="13" t="s">
        <v>1028</v>
      </c>
      <c r="L473" s="13" t="s">
        <v>945</v>
      </c>
      <c r="M473" s="13"/>
      <c r="N473" s="13"/>
      <c r="O473" s="13"/>
      <c r="P473" s="13"/>
      <c r="Q473" s="13"/>
      <c r="R473" s="13"/>
      <c r="S473" s="13"/>
      <c r="T473" s="13"/>
      <c r="U473" s="13"/>
      <c r="V473" s="13"/>
      <c r="W473" s="13"/>
      <c r="X473" s="13"/>
      <c r="Y473" s="13"/>
      <c r="Z473" s="13"/>
      <c r="AA473" s="13"/>
    </row>
    <row r="474" ht="20.25" customHeight="1">
      <c r="A474" s="19">
        <v>46068.0</v>
      </c>
      <c r="B474" s="13" t="s">
        <v>831</v>
      </c>
      <c r="C474" s="13" t="s">
        <v>802</v>
      </c>
      <c r="D474" s="13" t="s">
        <v>1823</v>
      </c>
      <c r="E474" s="13" t="s">
        <v>971</v>
      </c>
      <c r="F474" s="13" t="s">
        <v>1087</v>
      </c>
      <c r="G474" s="13" t="s">
        <v>1824</v>
      </c>
      <c r="H474" s="13" t="s">
        <v>1129</v>
      </c>
      <c r="I474" s="13" t="s">
        <v>1825</v>
      </c>
      <c r="J474" s="13" t="s">
        <v>1826</v>
      </c>
      <c r="K474" s="13" t="s">
        <v>1028</v>
      </c>
      <c r="L474" s="13" t="s">
        <v>945</v>
      </c>
      <c r="M474" s="13"/>
      <c r="N474" s="13"/>
      <c r="O474" s="13"/>
      <c r="P474" s="13"/>
      <c r="Q474" s="13"/>
      <c r="R474" s="13"/>
      <c r="S474" s="13"/>
      <c r="T474" s="13"/>
      <c r="U474" s="13"/>
      <c r="V474" s="13"/>
      <c r="W474" s="13"/>
      <c r="X474" s="13"/>
      <c r="Y474" s="13"/>
      <c r="Z474" s="13"/>
      <c r="AA474" s="13"/>
    </row>
    <row r="475" ht="20.25" customHeight="1">
      <c r="A475" s="19">
        <v>46068.0</v>
      </c>
      <c r="B475" s="13" t="s">
        <v>1827</v>
      </c>
      <c r="C475" s="13" t="s">
        <v>1828</v>
      </c>
      <c r="D475" s="13" t="s">
        <v>1829</v>
      </c>
      <c r="E475" s="13" t="s">
        <v>971</v>
      </c>
      <c r="F475" s="13" t="s">
        <v>1830</v>
      </c>
      <c r="G475" s="13" t="s">
        <v>1831</v>
      </c>
      <c r="H475" s="34">
        <v>46032.0</v>
      </c>
      <c r="I475" s="13" t="s">
        <v>1832</v>
      </c>
      <c r="J475" s="13" t="s">
        <v>1833</v>
      </c>
      <c r="K475" s="13" t="s">
        <v>1028</v>
      </c>
      <c r="L475" s="13"/>
      <c r="M475" s="13"/>
      <c r="N475" s="13"/>
      <c r="O475" s="13"/>
      <c r="P475" s="13"/>
      <c r="Q475" s="13"/>
      <c r="R475" s="13"/>
      <c r="S475" s="13"/>
      <c r="T475" s="13"/>
      <c r="U475" s="13"/>
      <c r="V475" s="13"/>
      <c r="W475" s="13"/>
      <c r="X475" s="13"/>
      <c r="Y475" s="13"/>
      <c r="Z475" s="13"/>
      <c r="AA475" s="13"/>
    </row>
    <row r="476" ht="20.25" customHeight="1">
      <c r="A476" s="19">
        <v>46067.0</v>
      </c>
      <c r="B476" s="13" t="s">
        <v>1834</v>
      </c>
      <c r="C476" s="13" t="s">
        <v>1835</v>
      </c>
      <c r="D476" s="13" t="s">
        <v>1836</v>
      </c>
      <c r="E476" s="13" t="s">
        <v>971</v>
      </c>
      <c r="F476" s="13" t="s">
        <v>379</v>
      </c>
      <c r="G476" s="13" t="s">
        <v>1837</v>
      </c>
      <c r="H476" s="13" t="s">
        <v>1057</v>
      </c>
      <c r="I476" s="13" t="s">
        <v>1250</v>
      </c>
      <c r="J476" s="13" t="s">
        <v>1838</v>
      </c>
      <c r="K476" s="13" t="s">
        <v>1028</v>
      </c>
      <c r="L476" s="13" t="s">
        <v>945</v>
      </c>
      <c r="M476" s="13"/>
      <c r="N476" s="13"/>
      <c r="O476" s="13"/>
      <c r="P476" s="13"/>
      <c r="Q476" s="13"/>
      <c r="R476" s="13"/>
      <c r="S476" s="13"/>
      <c r="T476" s="13"/>
      <c r="U476" s="13"/>
      <c r="V476" s="13"/>
      <c r="W476" s="13"/>
      <c r="X476" s="13"/>
      <c r="Y476" s="13"/>
      <c r="Z476" s="13"/>
      <c r="AA476" s="13"/>
    </row>
    <row r="477" ht="20.25" customHeight="1">
      <c r="A477" s="19">
        <v>46067.0</v>
      </c>
      <c r="B477" s="13" t="s">
        <v>1839</v>
      </c>
      <c r="C477" s="13" t="s">
        <v>1840</v>
      </c>
      <c r="D477" s="13" t="s">
        <v>1841</v>
      </c>
      <c r="E477" s="13" t="s">
        <v>971</v>
      </c>
      <c r="F477" s="13" t="s">
        <v>1842</v>
      </c>
      <c r="G477" s="13" t="s">
        <v>1843</v>
      </c>
      <c r="H477" s="13" t="s">
        <v>1129</v>
      </c>
      <c r="I477" s="13" t="s">
        <v>1844</v>
      </c>
      <c r="J477" s="13" t="s">
        <v>1845</v>
      </c>
      <c r="K477" s="13" t="s">
        <v>1028</v>
      </c>
      <c r="L477" s="13"/>
      <c r="M477" s="13"/>
      <c r="N477" s="13"/>
      <c r="O477" s="13"/>
      <c r="P477" s="13"/>
      <c r="Q477" s="13"/>
      <c r="R477" s="13"/>
      <c r="S477" s="13"/>
      <c r="T477" s="13"/>
      <c r="U477" s="13"/>
      <c r="V477" s="13"/>
      <c r="W477" s="13"/>
      <c r="X477" s="13"/>
      <c r="Y477" s="13"/>
      <c r="Z477" s="13"/>
      <c r="AA477" s="13"/>
    </row>
    <row r="478" ht="20.25" customHeight="1">
      <c r="A478" s="19">
        <v>46067.0</v>
      </c>
      <c r="B478" s="13" t="s">
        <v>1846</v>
      </c>
      <c r="C478" s="13" t="s">
        <v>1847</v>
      </c>
      <c r="D478" s="13" t="s">
        <v>1848</v>
      </c>
      <c r="E478" s="13" t="s">
        <v>969</v>
      </c>
      <c r="F478" s="13" t="s">
        <v>1144</v>
      </c>
      <c r="G478" s="13" t="s">
        <v>1849</v>
      </c>
      <c r="H478" s="13" t="s">
        <v>1207</v>
      </c>
      <c r="I478" s="13" t="s">
        <v>1850</v>
      </c>
      <c r="J478" s="13" t="s">
        <v>1851</v>
      </c>
      <c r="K478" s="13" t="s">
        <v>1028</v>
      </c>
      <c r="L478" s="13"/>
      <c r="M478" s="13"/>
      <c r="N478" s="13"/>
      <c r="O478" s="13"/>
      <c r="P478" s="13"/>
      <c r="Q478" s="13"/>
      <c r="R478" s="13"/>
      <c r="S478" s="13"/>
      <c r="T478" s="13"/>
      <c r="U478" s="13"/>
      <c r="V478" s="13"/>
      <c r="W478" s="13"/>
      <c r="X478" s="13"/>
      <c r="Y478" s="13"/>
      <c r="Z478" s="13"/>
      <c r="AA478" s="13"/>
    </row>
    <row r="479" ht="20.25" customHeight="1">
      <c r="A479" s="19">
        <v>46067.0</v>
      </c>
      <c r="B479" s="13" t="s">
        <v>1852</v>
      </c>
      <c r="C479" s="13" t="s">
        <v>1853</v>
      </c>
      <c r="D479" s="13" t="s">
        <v>1854</v>
      </c>
      <c r="E479" s="13" t="s">
        <v>969</v>
      </c>
      <c r="F479" s="13" t="s">
        <v>944</v>
      </c>
      <c r="G479" s="13" t="s">
        <v>1855</v>
      </c>
      <c r="H479" s="13" t="s">
        <v>1129</v>
      </c>
      <c r="I479" s="13" t="s">
        <v>1856</v>
      </c>
      <c r="J479" s="13" t="s">
        <v>1857</v>
      </c>
      <c r="K479" s="13" t="s">
        <v>1028</v>
      </c>
      <c r="L479" s="13"/>
      <c r="M479" s="13"/>
      <c r="N479" s="13"/>
      <c r="O479" s="13"/>
      <c r="P479" s="13"/>
      <c r="Q479" s="13"/>
      <c r="R479" s="13"/>
      <c r="S479" s="13"/>
      <c r="T479" s="13"/>
      <c r="U479" s="13"/>
      <c r="V479" s="13"/>
      <c r="W479" s="13"/>
      <c r="X479" s="13"/>
      <c r="Y479" s="13"/>
      <c r="Z479" s="13"/>
      <c r="AA479" s="13"/>
    </row>
    <row r="480">
      <c r="A480" s="35">
        <v>46066.0</v>
      </c>
      <c r="B480" s="1" t="s">
        <v>1858</v>
      </c>
      <c r="C480" s="1" t="s">
        <v>1859</v>
      </c>
      <c r="D480" s="1" t="s">
        <v>1860</v>
      </c>
      <c r="E480" s="1" t="s">
        <v>971</v>
      </c>
      <c r="F480" s="1" t="s">
        <v>1144</v>
      </c>
      <c r="G480" s="1" t="s">
        <v>1553</v>
      </c>
      <c r="H480" s="1" t="s">
        <v>1107</v>
      </c>
      <c r="I480" s="1" t="s">
        <v>1861</v>
      </c>
      <c r="J480" s="1" t="s">
        <v>1862</v>
      </c>
      <c r="K480" s="1" t="s">
        <v>1028</v>
      </c>
      <c r="L480" s="2"/>
      <c r="M480" s="2"/>
      <c r="N480" s="2"/>
      <c r="O480" s="2"/>
      <c r="P480" s="2"/>
      <c r="Q480" s="2"/>
      <c r="R480" s="2"/>
      <c r="S480" s="2"/>
      <c r="T480" s="2"/>
      <c r="U480" s="2"/>
      <c r="V480" s="2"/>
      <c r="W480" s="2"/>
      <c r="X480" s="2"/>
      <c r="Y480" s="2"/>
      <c r="Z480" s="2"/>
      <c r="AA480" s="13"/>
    </row>
    <row r="481" ht="20.25" customHeight="1">
      <c r="A481" s="26">
        <v>46067.0</v>
      </c>
      <c r="B481" s="27" t="s">
        <v>1863</v>
      </c>
      <c r="C481" s="27" t="s">
        <v>1864</v>
      </c>
      <c r="D481" s="27" t="s">
        <v>1865</v>
      </c>
      <c r="E481" s="27" t="s">
        <v>971</v>
      </c>
      <c r="F481" s="27" t="s">
        <v>1866</v>
      </c>
      <c r="G481" s="27" t="s">
        <v>1867</v>
      </c>
      <c r="H481" s="28">
        <v>46032.0</v>
      </c>
      <c r="I481" s="27"/>
      <c r="J481" s="27" t="s">
        <v>1868</v>
      </c>
      <c r="K481" s="27" t="s">
        <v>1028</v>
      </c>
      <c r="L481" s="27" t="s">
        <v>945</v>
      </c>
      <c r="M481" s="27"/>
      <c r="N481" s="27"/>
      <c r="O481" s="27"/>
      <c r="P481" s="27"/>
      <c r="Q481" s="27"/>
      <c r="R481" s="27"/>
      <c r="S481" s="27"/>
      <c r="T481" s="27"/>
      <c r="U481" s="27"/>
      <c r="V481" s="27"/>
      <c r="W481" s="27"/>
      <c r="X481" s="27"/>
      <c r="Y481" s="27"/>
      <c r="Z481" s="27"/>
      <c r="AA481" s="13"/>
    </row>
    <row r="482" ht="20.25" customHeight="1">
      <c r="A482" s="26">
        <v>46067.0</v>
      </c>
      <c r="B482" s="27" t="s">
        <v>1869</v>
      </c>
      <c r="C482" s="27" t="s">
        <v>926</v>
      </c>
      <c r="D482" s="27" t="s">
        <v>1870</v>
      </c>
      <c r="E482" s="27" t="s">
        <v>971</v>
      </c>
      <c r="F482" s="27" t="s">
        <v>1871</v>
      </c>
      <c r="G482" s="27" t="s">
        <v>1872</v>
      </c>
      <c r="H482" s="27" t="s">
        <v>1025</v>
      </c>
      <c r="I482" s="27" t="s">
        <v>1238</v>
      </c>
      <c r="J482" s="27" t="s">
        <v>1873</v>
      </c>
      <c r="K482" s="27" t="s">
        <v>1028</v>
      </c>
      <c r="L482" s="27"/>
      <c r="M482" s="27"/>
      <c r="N482" s="27"/>
      <c r="O482" s="27"/>
      <c r="P482" s="27"/>
      <c r="Q482" s="27"/>
      <c r="R482" s="27"/>
      <c r="S482" s="27"/>
      <c r="T482" s="27"/>
      <c r="U482" s="27"/>
      <c r="V482" s="27"/>
      <c r="W482" s="27"/>
      <c r="X482" s="27"/>
      <c r="Y482" s="27"/>
      <c r="Z482" s="27"/>
      <c r="AA482" s="13"/>
    </row>
    <row r="483" ht="20.25" customHeight="1">
      <c r="A483" s="26">
        <v>46067.0</v>
      </c>
      <c r="B483" s="27" t="s">
        <v>1874</v>
      </c>
      <c r="C483" s="27" t="s">
        <v>1875</v>
      </c>
      <c r="D483" s="27" t="s">
        <v>1876</v>
      </c>
      <c r="E483" s="27" t="s">
        <v>971</v>
      </c>
      <c r="F483" s="27" t="s">
        <v>952</v>
      </c>
      <c r="G483" s="27" t="s">
        <v>1877</v>
      </c>
      <c r="H483" s="27" t="s">
        <v>1063</v>
      </c>
      <c r="I483" s="27" t="s">
        <v>1878</v>
      </c>
      <c r="J483" s="27" t="s">
        <v>1879</v>
      </c>
      <c r="K483" s="27" t="s">
        <v>1028</v>
      </c>
      <c r="L483" s="27"/>
      <c r="M483" s="27"/>
      <c r="N483" s="27"/>
      <c r="O483" s="27"/>
      <c r="P483" s="27"/>
      <c r="Q483" s="27"/>
      <c r="R483" s="27"/>
      <c r="S483" s="27"/>
      <c r="T483" s="27"/>
      <c r="U483" s="27"/>
      <c r="V483" s="27"/>
      <c r="W483" s="27"/>
      <c r="X483" s="27"/>
      <c r="Y483" s="27"/>
      <c r="Z483" s="27"/>
      <c r="AA483" s="13"/>
    </row>
    <row r="484" ht="15.75" customHeight="1">
      <c r="A484" s="35">
        <v>46067.0</v>
      </c>
      <c r="B484" s="1" t="s">
        <v>1880</v>
      </c>
      <c r="C484" s="1" t="s">
        <v>1458</v>
      </c>
      <c r="D484" s="1" t="s">
        <v>1881</v>
      </c>
      <c r="E484" s="1" t="s">
        <v>971</v>
      </c>
      <c r="F484" s="1" t="s">
        <v>1882</v>
      </c>
      <c r="G484" s="1" t="s">
        <v>1883</v>
      </c>
      <c r="H484" s="1" t="s">
        <v>1207</v>
      </c>
      <c r="I484" s="1" t="s">
        <v>1462</v>
      </c>
      <c r="J484" s="1" t="s">
        <v>1884</v>
      </c>
      <c r="K484" s="1" t="s">
        <v>1028</v>
      </c>
      <c r="L484" s="2"/>
      <c r="M484" s="2"/>
      <c r="N484" s="2"/>
      <c r="O484" s="2"/>
      <c r="P484" s="2"/>
      <c r="Q484" s="2"/>
      <c r="R484" s="2"/>
      <c r="S484" s="2"/>
      <c r="T484" s="2"/>
      <c r="U484" s="2"/>
      <c r="V484" s="2"/>
      <c r="W484" s="2"/>
      <c r="X484" s="2"/>
      <c r="Y484" s="2"/>
      <c r="Z484" s="2"/>
      <c r="AA484" s="13"/>
    </row>
    <row r="485" ht="20.25" customHeight="1">
      <c r="A485" s="26">
        <v>46066.0</v>
      </c>
      <c r="B485" s="27" t="s">
        <v>1885</v>
      </c>
      <c r="C485" s="27" t="s">
        <v>1886</v>
      </c>
      <c r="D485" s="27" t="s">
        <v>1887</v>
      </c>
      <c r="E485" s="27" t="s">
        <v>971</v>
      </c>
      <c r="F485" s="27" t="s">
        <v>1888</v>
      </c>
      <c r="G485" s="27" t="s">
        <v>1889</v>
      </c>
      <c r="H485" s="27" t="s">
        <v>1025</v>
      </c>
      <c r="I485" s="27" t="s">
        <v>1238</v>
      </c>
      <c r="J485" s="27" t="s">
        <v>1890</v>
      </c>
      <c r="K485" s="27" t="s">
        <v>1028</v>
      </c>
      <c r="L485" s="27"/>
      <c r="M485" s="27"/>
      <c r="N485" s="27"/>
      <c r="O485" s="27"/>
      <c r="P485" s="27"/>
      <c r="Q485" s="27"/>
      <c r="R485" s="27"/>
      <c r="S485" s="27"/>
      <c r="T485" s="27"/>
      <c r="U485" s="27"/>
      <c r="V485" s="27"/>
      <c r="W485" s="27"/>
      <c r="X485" s="27"/>
      <c r="Y485" s="27"/>
      <c r="Z485" s="27"/>
      <c r="AA485" s="13"/>
    </row>
    <row r="486" ht="20.25" customHeight="1">
      <c r="A486" s="26">
        <v>46066.0</v>
      </c>
      <c r="B486" s="27" t="s">
        <v>381</v>
      </c>
      <c r="C486" s="27" t="s">
        <v>1891</v>
      </c>
      <c r="D486" s="27" t="s">
        <v>1892</v>
      </c>
      <c r="E486" s="27" t="s">
        <v>969</v>
      </c>
      <c r="F486" s="27" t="s">
        <v>1610</v>
      </c>
      <c r="G486" s="27" t="s">
        <v>1893</v>
      </c>
      <c r="H486" s="27" t="s">
        <v>1129</v>
      </c>
      <c r="I486" s="27" t="s">
        <v>1894</v>
      </c>
      <c r="J486" s="27" t="s">
        <v>1895</v>
      </c>
      <c r="K486" s="27" t="s">
        <v>1028</v>
      </c>
      <c r="L486" s="27"/>
      <c r="M486" s="27"/>
      <c r="N486" s="27"/>
      <c r="O486" s="27"/>
      <c r="P486" s="27"/>
      <c r="Q486" s="27"/>
      <c r="R486" s="27"/>
      <c r="S486" s="27"/>
      <c r="T486" s="27"/>
      <c r="U486" s="27"/>
      <c r="V486" s="27"/>
      <c r="W486" s="27"/>
      <c r="X486" s="27"/>
      <c r="Y486" s="27"/>
      <c r="Z486" s="27"/>
      <c r="AA486" s="13"/>
    </row>
    <row r="487" ht="20.25" customHeight="1">
      <c r="A487" s="21">
        <v>46069.0</v>
      </c>
      <c r="B487" s="22" t="s">
        <v>1896</v>
      </c>
      <c r="C487" s="22" t="s">
        <v>1897</v>
      </c>
      <c r="D487" s="22" t="s">
        <v>1898</v>
      </c>
      <c r="E487" s="22" t="s">
        <v>971</v>
      </c>
      <c r="F487" s="22" t="s">
        <v>1899</v>
      </c>
      <c r="G487" s="22" t="s">
        <v>1900</v>
      </c>
      <c r="H487" s="22" t="s">
        <v>1129</v>
      </c>
      <c r="I487" s="22" t="s">
        <v>1901</v>
      </c>
      <c r="J487" s="22" t="s">
        <v>1902</v>
      </c>
      <c r="K487" s="22" t="s">
        <v>1028</v>
      </c>
      <c r="L487" s="22"/>
      <c r="M487" s="13"/>
      <c r="N487" s="13"/>
      <c r="O487" s="13"/>
      <c r="P487" s="13"/>
      <c r="Q487" s="13"/>
      <c r="R487" s="13"/>
      <c r="S487" s="13"/>
      <c r="T487" s="13"/>
      <c r="U487" s="13"/>
      <c r="V487" s="13"/>
      <c r="W487" s="13"/>
      <c r="X487" s="13"/>
      <c r="Y487" s="13"/>
      <c r="Z487" s="13"/>
      <c r="AA487" s="13"/>
    </row>
    <row r="488" ht="20.25" customHeight="1">
      <c r="A488" s="19">
        <v>46069.0</v>
      </c>
      <c r="B488" s="13" t="s">
        <v>1903</v>
      </c>
      <c r="C488" s="13" t="s">
        <v>1904</v>
      </c>
      <c r="D488" s="13" t="s">
        <v>1905</v>
      </c>
      <c r="E488" s="13" t="s">
        <v>971</v>
      </c>
      <c r="F488" s="13" t="s">
        <v>1649</v>
      </c>
      <c r="G488" s="13" t="s">
        <v>1906</v>
      </c>
      <c r="H488" s="13" t="s">
        <v>1107</v>
      </c>
      <c r="I488" s="13" t="s">
        <v>1907</v>
      </c>
      <c r="J488" s="13" t="s">
        <v>1908</v>
      </c>
      <c r="K488" s="13" t="s">
        <v>1028</v>
      </c>
      <c r="L488" s="13"/>
      <c r="M488" s="13"/>
      <c r="N488" s="13"/>
      <c r="O488" s="13"/>
      <c r="P488" s="13"/>
      <c r="Q488" s="13"/>
      <c r="R488" s="13"/>
      <c r="S488" s="13"/>
      <c r="T488" s="13"/>
      <c r="U488" s="13"/>
      <c r="V488" s="13"/>
      <c r="W488" s="13"/>
      <c r="X488" s="13"/>
      <c r="Y488" s="13"/>
      <c r="Z488" s="13"/>
      <c r="AA488" s="13"/>
    </row>
    <row r="489" ht="20.25" customHeight="1">
      <c r="A489" s="19">
        <v>46069.0</v>
      </c>
      <c r="B489" s="13" t="s">
        <v>1909</v>
      </c>
      <c r="C489" s="13" t="s">
        <v>1910</v>
      </c>
      <c r="D489" s="13" t="s">
        <v>1911</v>
      </c>
      <c r="E489" s="13" t="s">
        <v>971</v>
      </c>
      <c r="F489" s="13" t="s">
        <v>1077</v>
      </c>
      <c r="G489" s="13" t="s">
        <v>1912</v>
      </c>
      <c r="H489" s="34">
        <v>46032.0</v>
      </c>
      <c r="I489" s="13" t="s">
        <v>1538</v>
      </c>
      <c r="J489" s="13" t="s">
        <v>1913</v>
      </c>
      <c r="K489" s="13" t="s">
        <v>1028</v>
      </c>
      <c r="L489" s="13" t="s">
        <v>945</v>
      </c>
      <c r="M489" s="13"/>
      <c r="N489" s="13"/>
      <c r="O489" s="13"/>
      <c r="P489" s="13"/>
      <c r="Q489" s="13"/>
      <c r="R489" s="13"/>
      <c r="S489" s="13"/>
      <c r="T489" s="13"/>
      <c r="U489" s="13"/>
      <c r="V489" s="13"/>
      <c r="W489" s="13"/>
      <c r="X489" s="13"/>
      <c r="Y489" s="13"/>
      <c r="Z489" s="13"/>
      <c r="AA489" s="13"/>
    </row>
    <row r="490" ht="20.25" customHeight="1">
      <c r="A490" s="19">
        <v>46069.0</v>
      </c>
      <c r="B490" s="13" t="s">
        <v>88</v>
      </c>
      <c r="C490" s="13" t="s">
        <v>1914</v>
      </c>
      <c r="D490" s="13" t="s">
        <v>1915</v>
      </c>
      <c r="E490" s="13" t="s">
        <v>969</v>
      </c>
      <c r="F490" s="13" t="s">
        <v>1916</v>
      </c>
      <c r="G490" s="13" t="s">
        <v>1917</v>
      </c>
      <c r="H490" s="13" t="s">
        <v>1178</v>
      </c>
      <c r="I490" s="13"/>
      <c r="J490" s="13" t="s">
        <v>1918</v>
      </c>
      <c r="K490" s="13" t="s">
        <v>1028</v>
      </c>
      <c r="L490" s="13"/>
      <c r="M490" s="13"/>
      <c r="N490" s="13"/>
      <c r="O490" s="13"/>
      <c r="P490" s="13"/>
      <c r="Q490" s="13"/>
      <c r="R490" s="13"/>
      <c r="S490" s="13"/>
      <c r="T490" s="13"/>
      <c r="U490" s="13"/>
      <c r="V490" s="13"/>
      <c r="W490" s="13"/>
      <c r="X490" s="13"/>
      <c r="Y490" s="13"/>
      <c r="Z490" s="13"/>
      <c r="AA490" s="13"/>
    </row>
    <row r="491" ht="20.25" customHeight="1">
      <c r="A491" s="19">
        <v>46070.0</v>
      </c>
      <c r="B491" s="13" t="s">
        <v>1567</v>
      </c>
      <c r="C491" s="13" t="s">
        <v>888</v>
      </c>
      <c r="D491" s="13" t="s">
        <v>1919</v>
      </c>
      <c r="E491" s="13" t="s">
        <v>969</v>
      </c>
      <c r="F491" s="13" t="s">
        <v>1920</v>
      </c>
      <c r="G491" s="13" t="s">
        <v>1921</v>
      </c>
      <c r="H491" s="13" t="s">
        <v>1129</v>
      </c>
      <c r="I491" s="13" t="s">
        <v>1922</v>
      </c>
      <c r="J491" s="13" t="s">
        <v>1923</v>
      </c>
      <c r="K491" s="13" t="s">
        <v>1028</v>
      </c>
      <c r="L491" s="13"/>
      <c r="M491" s="13"/>
      <c r="N491" s="13"/>
      <c r="O491" s="13"/>
      <c r="P491" s="13"/>
      <c r="Q491" s="13"/>
      <c r="R491" s="13"/>
      <c r="S491" s="13"/>
      <c r="T491" s="13"/>
      <c r="U491" s="13"/>
      <c r="V491" s="13"/>
      <c r="W491" s="13"/>
      <c r="X491" s="13"/>
      <c r="Y491" s="13"/>
      <c r="Z491" s="13"/>
      <c r="AA491" s="13"/>
    </row>
    <row r="492" ht="20.25" customHeight="1">
      <c r="A492" s="19">
        <v>46070.0</v>
      </c>
      <c r="B492" s="13" t="s">
        <v>1924</v>
      </c>
      <c r="C492" s="13" t="s">
        <v>865</v>
      </c>
      <c r="D492" s="13" t="s">
        <v>1925</v>
      </c>
      <c r="E492" s="13" t="s">
        <v>971</v>
      </c>
      <c r="F492" s="13" t="s">
        <v>866</v>
      </c>
      <c r="G492" s="13" t="s">
        <v>1926</v>
      </c>
      <c r="H492" s="13" t="s">
        <v>1057</v>
      </c>
      <c r="I492" s="13" t="s">
        <v>1570</v>
      </c>
      <c r="J492" s="13" t="s">
        <v>1927</v>
      </c>
      <c r="K492" s="13" t="s">
        <v>1028</v>
      </c>
      <c r="L492" s="13"/>
      <c r="M492" s="13"/>
      <c r="N492" s="13"/>
      <c r="O492" s="13"/>
      <c r="P492" s="13"/>
      <c r="Q492" s="13"/>
      <c r="R492" s="13"/>
      <c r="S492" s="13"/>
      <c r="T492" s="13"/>
      <c r="U492" s="13"/>
      <c r="V492" s="13"/>
      <c r="W492" s="13"/>
      <c r="X492" s="13"/>
      <c r="Y492" s="13"/>
      <c r="Z492" s="13"/>
      <c r="AA492" s="13"/>
    </row>
    <row r="493" ht="20.25" customHeight="1">
      <c r="A493" s="19">
        <v>46070.0</v>
      </c>
      <c r="B493" s="13" t="s">
        <v>1928</v>
      </c>
      <c r="C493" s="13" t="s">
        <v>1382</v>
      </c>
      <c r="D493" s="13" t="s">
        <v>1929</v>
      </c>
      <c r="E493" s="13" t="s">
        <v>971</v>
      </c>
      <c r="F493" s="13" t="s">
        <v>1077</v>
      </c>
      <c r="G493" s="13" t="s">
        <v>1930</v>
      </c>
      <c r="H493" s="13" t="s">
        <v>1207</v>
      </c>
      <c r="I493" s="13"/>
      <c r="J493" s="13" t="s">
        <v>1388</v>
      </c>
      <c r="K493" s="13" t="s">
        <v>1028</v>
      </c>
      <c r="L493" s="13" t="s">
        <v>945</v>
      </c>
      <c r="M493" s="13"/>
      <c r="N493" s="13"/>
      <c r="O493" s="13"/>
      <c r="P493" s="13"/>
      <c r="Q493" s="13"/>
      <c r="R493" s="13"/>
      <c r="S493" s="13"/>
      <c r="T493" s="13"/>
      <c r="U493" s="13"/>
      <c r="V493" s="13"/>
      <c r="W493" s="13"/>
      <c r="X493" s="13"/>
      <c r="Y493" s="13"/>
      <c r="Z493" s="13"/>
      <c r="AA493" s="13"/>
    </row>
    <row r="494" ht="20.25" customHeight="1">
      <c r="A494" s="19">
        <v>46070.0</v>
      </c>
      <c r="B494" s="13" t="s">
        <v>1931</v>
      </c>
      <c r="C494" s="13" t="s">
        <v>1382</v>
      </c>
      <c r="D494" s="13" t="s">
        <v>1932</v>
      </c>
      <c r="E494" s="13" t="s">
        <v>274</v>
      </c>
      <c r="F494" s="13" t="s">
        <v>1345</v>
      </c>
      <c r="G494" s="13" t="s">
        <v>1930</v>
      </c>
      <c r="H494" s="13" t="s">
        <v>1207</v>
      </c>
      <c r="I494" s="13"/>
      <c r="J494" s="13" t="s">
        <v>1385</v>
      </c>
      <c r="K494" s="13" t="s">
        <v>1028</v>
      </c>
      <c r="L494" s="13"/>
      <c r="M494" s="13"/>
      <c r="N494" s="13"/>
      <c r="O494" s="13"/>
      <c r="P494" s="13"/>
      <c r="Q494" s="13"/>
      <c r="R494" s="13"/>
      <c r="S494" s="13"/>
      <c r="T494" s="13"/>
      <c r="U494" s="13"/>
      <c r="V494" s="13"/>
      <c r="W494" s="13"/>
      <c r="X494" s="13"/>
      <c r="Y494" s="13"/>
      <c r="Z494" s="13"/>
      <c r="AA494" s="13"/>
    </row>
    <row r="495" ht="20.25" customHeight="1">
      <c r="A495" s="19">
        <v>46070.0</v>
      </c>
      <c r="B495" s="13" t="s">
        <v>1381</v>
      </c>
      <c r="C495" s="13" t="s">
        <v>1382</v>
      </c>
      <c r="D495" s="13" t="s">
        <v>1933</v>
      </c>
      <c r="E495" s="13" t="s">
        <v>274</v>
      </c>
      <c r="F495" s="13" t="s">
        <v>379</v>
      </c>
      <c r="G495" s="13" t="s">
        <v>1930</v>
      </c>
      <c r="H495" s="13" t="s">
        <v>1207</v>
      </c>
      <c r="I495" s="13"/>
      <c r="J495" s="13" t="s">
        <v>1385</v>
      </c>
      <c r="K495" s="13" t="s">
        <v>1028</v>
      </c>
      <c r="L495" s="13"/>
      <c r="M495" s="13"/>
      <c r="N495" s="13"/>
      <c r="O495" s="13"/>
      <c r="P495" s="13"/>
      <c r="Q495" s="13"/>
      <c r="R495" s="13"/>
      <c r="S495" s="13"/>
      <c r="T495" s="13"/>
      <c r="U495" s="13"/>
      <c r="V495" s="13"/>
      <c r="W495" s="13"/>
      <c r="X495" s="13"/>
      <c r="Y495" s="13"/>
      <c r="Z495" s="13"/>
      <c r="AA495" s="13"/>
    </row>
    <row r="496" ht="20.25" customHeight="1">
      <c r="A496" s="19">
        <v>46070.0</v>
      </c>
      <c r="B496" s="13" t="s">
        <v>1934</v>
      </c>
      <c r="C496" s="13" t="s">
        <v>1935</v>
      </c>
      <c r="D496" s="13" t="s">
        <v>1936</v>
      </c>
      <c r="E496" s="13" t="s">
        <v>969</v>
      </c>
      <c r="F496" s="13" t="s">
        <v>1937</v>
      </c>
      <c r="G496" s="13" t="s">
        <v>1938</v>
      </c>
      <c r="H496" s="13" t="s">
        <v>1025</v>
      </c>
      <c r="I496" s="13" t="s">
        <v>1939</v>
      </c>
      <c r="J496" s="13" t="s">
        <v>1940</v>
      </c>
      <c r="K496" s="13" t="s">
        <v>1028</v>
      </c>
      <c r="L496" s="13"/>
      <c r="M496" s="13"/>
      <c r="N496" s="13"/>
      <c r="O496" s="13"/>
      <c r="P496" s="13"/>
      <c r="Q496" s="13"/>
      <c r="R496" s="13"/>
      <c r="S496" s="13"/>
      <c r="T496" s="13"/>
      <c r="U496" s="13"/>
      <c r="V496" s="13"/>
      <c r="W496" s="13"/>
      <c r="X496" s="13"/>
      <c r="Y496" s="13"/>
      <c r="Z496" s="13"/>
      <c r="AA496" s="13"/>
    </row>
    <row r="497" ht="20.25" customHeight="1">
      <c r="A497" s="19">
        <v>46070.0</v>
      </c>
      <c r="B497" s="13" t="s">
        <v>1941</v>
      </c>
      <c r="C497" s="13" t="s">
        <v>1942</v>
      </c>
      <c r="D497" s="13" t="s">
        <v>1943</v>
      </c>
      <c r="E497" s="13" t="s">
        <v>971</v>
      </c>
      <c r="F497" s="13" t="s">
        <v>1944</v>
      </c>
      <c r="G497" s="13" t="s">
        <v>1945</v>
      </c>
      <c r="H497" s="13" t="s">
        <v>1025</v>
      </c>
      <c r="I497" s="13" t="s">
        <v>1946</v>
      </c>
      <c r="J497" s="13" t="s">
        <v>1947</v>
      </c>
      <c r="K497" s="13" t="s">
        <v>1028</v>
      </c>
      <c r="L497" s="13"/>
      <c r="M497" s="13"/>
      <c r="N497" s="13"/>
      <c r="O497" s="13"/>
      <c r="P497" s="13"/>
      <c r="Q497" s="13"/>
      <c r="R497" s="13"/>
      <c r="S497" s="13"/>
      <c r="T497" s="13"/>
      <c r="U497" s="13"/>
      <c r="V497" s="13"/>
      <c r="W497" s="13"/>
      <c r="X497" s="13"/>
      <c r="Y497" s="13"/>
      <c r="Z497" s="13"/>
      <c r="AA497" s="13"/>
    </row>
    <row r="498" ht="20.25" customHeight="1">
      <c r="A498" s="19">
        <v>46070.0</v>
      </c>
      <c r="B498" s="13" t="s">
        <v>864</v>
      </c>
      <c r="C498" s="13" t="s">
        <v>865</v>
      </c>
      <c r="D498" s="13" t="s">
        <v>867</v>
      </c>
      <c r="E498" s="13" t="s">
        <v>969</v>
      </c>
      <c r="F498" s="13" t="s">
        <v>866</v>
      </c>
      <c r="G498" s="13" t="s">
        <v>1948</v>
      </c>
      <c r="H498" s="13" t="s">
        <v>1057</v>
      </c>
      <c r="I498" s="13" t="s">
        <v>1570</v>
      </c>
      <c r="J498" s="13" t="s">
        <v>1949</v>
      </c>
      <c r="K498" s="13" t="s">
        <v>1028</v>
      </c>
      <c r="L498" s="13"/>
      <c r="M498" s="13"/>
      <c r="N498" s="13"/>
      <c r="O498" s="13"/>
      <c r="P498" s="13"/>
      <c r="Q498" s="13"/>
      <c r="R498" s="13"/>
      <c r="S498" s="13"/>
      <c r="T498" s="13"/>
      <c r="U498" s="13"/>
      <c r="V498" s="13"/>
      <c r="W498" s="13"/>
      <c r="X498" s="13"/>
      <c r="Y498" s="13"/>
      <c r="Z498" s="13"/>
      <c r="AA498" s="13"/>
    </row>
    <row r="499" ht="20.25" customHeight="1">
      <c r="A499" s="19">
        <v>46070.0</v>
      </c>
      <c r="B499" s="13" t="s">
        <v>1950</v>
      </c>
      <c r="C499" s="13" t="s">
        <v>800</v>
      </c>
      <c r="D499" s="13" t="s">
        <v>1951</v>
      </c>
      <c r="E499" s="13" t="s">
        <v>971</v>
      </c>
      <c r="F499" s="13" t="s">
        <v>1093</v>
      </c>
      <c r="G499" s="13" t="s">
        <v>1952</v>
      </c>
      <c r="H499" s="13" t="s">
        <v>1178</v>
      </c>
      <c r="I499" s="13" t="s">
        <v>1953</v>
      </c>
      <c r="J499" s="13" t="s">
        <v>1954</v>
      </c>
      <c r="K499" s="13" t="s">
        <v>1028</v>
      </c>
      <c r="L499" s="13" t="s">
        <v>945</v>
      </c>
      <c r="M499" s="13"/>
      <c r="N499" s="13"/>
      <c r="O499" s="13"/>
      <c r="P499" s="13"/>
      <c r="Q499" s="13"/>
      <c r="R499" s="13"/>
      <c r="S499" s="13"/>
      <c r="T499" s="13"/>
      <c r="U499" s="13"/>
      <c r="V499" s="13"/>
      <c r="W499" s="13"/>
      <c r="X499" s="13"/>
      <c r="Y499" s="13"/>
      <c r="Z499" s="13"/>
      <c r="AA499" s="13"/>
    </row>
    <row r="500" ht="20.25" customHeight="1">
      <c r="A500" s="19">
        <v>46070.0</v>
      </c>
      <c r="B500" s="13" t="s">
        <v>1955</v>
      </c>
      <c r="C500" s="13" t="s">
        <v>1956</v>
      </c>
      <c r="D500" s="13" t="s">
        <v>1957</v>
      </c>
      <c r="E500" s="13" t="s">
        <v>971</v>
      </c>
      <c r="F500" s="13" t="s">
        <v>944</v>
      </c>
      <c r="G500" s="13" t="s">
        <v>1958</v>
      </c>
      <c r="H500" s="13" t="s">
        <v>1178</v>
      </c>
      <c r="I500" s="13" t="s">
        <v>1959</v>
      </c>
      <c r="J500" s="13" t="s">
        <v>1960</v>
      </c>
      <c r="K500" s="13" t="s">
        <v>1028</v>
      </c>
      <c r="L500" s="13"/>
      <c r="M500" s="13"/>
      <c r="N500" s="13"/>
      <c r="O500" s="13"/>
      <c r="P500" s="13"/>
      <c r="Q500" s="13"/>
      <c r="R500" s="13"/>
      <c r="S500" s="13"/>
      <c r="T500" s="13"/>
      <c r="U500" s="13"/>
      <c r="V500" s="13"/>
      <c r="W500" s="13"/>
      <c r="X500" s="13"/>
      <c r="Y500" s="13"/>
      <c r="Z500" s="13"/>
      <c r="AA500" s="13"/>
    </row>
    <row r="501" ht="20.25" customHeight="1">
      <c r="A501" s="19">
        <v>46070.0</v>
      </c>
      <c r="B501" s="13" t="s">
        <v>1482</v>
      </c>
      <c r="C501" s="13" t="s">
        <v>1477</v>
      </c>
      <c r="D501" s="13" t="s">
        <v>1961</v>
      </c>
      <c r="E501" s="13" t="s">
        <v>971</v>
      </c>
      <c r="F501" s="13" t="s">
        <v>1962</v>
      </c>
      <c r="G501" s="13" t="s">
        <v>1483</v>
      </c>
      <c r="H501" s="13" t="s">
        <v>1178</v>
      </c>
      <c r="I501" s="13" t="s">
        <v>1480</v>
      </c>
      <c r="J501" s="13" t="s">
        <v>1963</v>
      </c>
      <c r="K501" s="13" t="s">
        <v>1028</v>
      </c>
      <c r="L501" s="13"/>
      <c r="M501" s="13"/>
      <c r="N501" s="13"/>
      <c r="O501" s="13"/>
      <c r="P501" s="13"/>
      <c r="Q501" s="13"/>
      <c r="R501" s="13"/>
      <c r="S501" s="13"/>
      <c r="T501" s="13"/>
      <c r="U501" s="13"/>
      <c r="V501" s="13"/>
      <c r="W501" s="13"/>
      <c r="X501" s="13"/>
      <c r="Y501" s="13"/>
      <c r="Z501" s="13"/>
      <c r="AA501" s="13"/>
    </row>
    <row r="502" ht="20.25" customHeight="1">
      <c r="A502" s="19">
        <v>46070.0</v>
      </c>
      <c r="B502" s="13" t="s">
        <v>1964</v>
      </c>
      <c r="C502" s="13" t="s">
        <v>1628</v>
      </c>
      <c r="D502" s="13" t="s">
        <v>1965</v>
      </c>
      <c r="E502" s="13" t="s">
        <v>969</v>
      </c>
      <c r="F502" s="13" t="s">
        <v>962</v>
      </c>
      <c r="G502" s="13" t="s">
        <v>1966</v>
      </c>
      <c r="H502" s="13" t="s">
        <v>1129</v>
      </c>
      <c r="I502" s="13" t="s">
        <v>1631</v>
      </c>
      <c r="J502" s="13" t="s">
        <v>1967</v>
      </c>
      <c r="K502" s="13" t="s">
        <v>1028</v>
      </c>
      <c r="L502" s="13"/>
      <c r="M502" s="13"/>
      <c r="N502" s="13"/>
      <c r="O502" s="13"/>
      <c r="P502" s="13"/>
      <c r="Q502" s="13"/>
      <c r="R502" s="13"/>
      <c r="S502" s="13"/>
      <c r="T502" s="13"/>
      <c r="U502" s="13"/>
      <c r="V502" s="13"/>
      <c r="W502" s="13"/>
      <c r="X502" s="13"/>
      <c r="Y502" s="13"/>
      <c r="Z502" s="13"/>
      <c r="AA502" s="13"/>
    </row>
    <row r="503" ht="20.25" customHeight="1">
      <c r="A503" s="19">
        <v>46070.0</v>
      </c>
      <c r="B503" s="13" t="s">
        <v>569</v>
      </c>
      <c r="C503" s="13" t="s">
        <v>1968</v>
      </c>
      <c r="D503" s="13" t="s">
        <v>1969</v>
      </c>
      <c r="E503" s="13" t="s">
        <v>971</v>
      </c>
      <c r="F503" s="13" t="s">
        <v>996</v>
      </c>
      <c r="G503" s="13" t="s">
        <v>1970</v>
      </c>
      <c r="H503" s="13" t="s">
        <v>1057</v>
      </c>
      <c r="I503" s="13" t="s">
        <v>1971</v>
      </c>
      <c r="J503" s="13" t="s">
        <v>1972</v>
      </c>
      <c r="K503" s="13" t="s">
        <v>1028</v>
      </c>
      <c r="L503" s="13"/>
      <c r="M503" s="13"/>
      <c r="N503" s="13"/>
      <c r="O503" s="13"/>
      <c r="P503" s="13"/>
      <c r="Q503" s="13"/>
      <c r="R503" s="13"/>
      <c r="S503" s="13"/>
      <c r="T503" s="13"/>
      <c r="U503" s="13"/>
      <c r="V503" s="13"/>
      <c r="W503" s="13"/>
      <c r="X503" s="13"/>
      <c r="Y503" s="13"/>
      <c r="Z503" s="13"/>
      <c r="AA503" s="13"/>
    </row>
    <row r="504" ht="20.25" customHeight="1">
      <c r="A504" s="19">
        <v>46070.0</v>
      </c>
      <c r="B504" s="13" t="s">
        <v>1973</v>
      </c>
      <c r="C504" s="13" t="s">
        <v>1935</v>
      </c>
      <c r="D504" s="13" t="s">
        <v>1974</v>
      </c>
      <c r="E504" s="13" t="s">
        <v>969</v>
      </c>
      <c r="F504" s="13" t="s">
        <v>1937</v>
      </c>
      <c r="G504" s="13" t="s">
        <v>1975</v>
      </c>
      <c r="H504" s="13" t="s">
        <v>1025</v>
      </c>
      <c r="I504" s="13" t="s">
        <v>1939</v>
      </c>
      <c r="J504" s="13" t="s">
        <v>1976</v>
      </c>
      <c r="K504" s="13" t="s">
        <v>1028</v>
      </c>
      <c r="L504" s="13"/>
      <c r="M504" s="13"/>
      <c r="N504" s="13"/>
      <c r="O504" s="13"/>
      <c r="P504" s="13"/>
      <c r="Q504" s="13"/>
      <c r="R504" s="13"/>
      <c r="S504" s="13"/>
      <c r="T504" s="13"/>
      <c r="U504" s="13"/>
      <c r="V504" s="13"/>
      <c r="W504" s="13"/>
      <c r="X504" s="13"/>
      <c r="Y504" s="13"/>
      <c r="Z504" s="13"/>
      <c r="AA504" s="13"/>
    </row>
    <row r="505" ht="20.25" customHeight="1">
      <c r="A505" s="21">
        <v>46070.0</v>
      </c>
      <c r="B505" s="22" t="s">
        <v>876</v>
      </c>
      <c r="C505" s="22" t="s">
        <v>877</v>
      </c>
      <c r="D505" s="22" t="s">
        <v>1977</v>
      </c>
      <c r="E505" s="22" t="s">
        <v>971</v>
      </c>
      <c r="F505" s="22" t="s">
        <v>1978</v>
      </c>
      <c r="G505" s="22" t="s">
        <v>1979</v>
      </c>
      <c r="H505" s="22" t="s">
        <v>1129</v>
      </c>
      <c r="I505" s="22" t="s">
        <v>1301</v>
      </c>
      <c r="J505" s="22" t="s">
        <v>1980</v>
      </c>
      <c r="K505" s="22" t="s">
        <v>1028</v>
      </c>
      <c r="L505" s="22" t="s">
        <v>945</v>
      </c>
      <c r="M505" s="13"/>
      <c r="N505" s="13"/>
      <c r="O505" s="13"/>
      <c r="P505" s="13"/>
      <c r="Q505" s="13"/>
      <c r="R505" s="13"/>
      <c r="S505" s="13"/>
      <c r="T505" s="13"/>
      <c r="U505" s="13"/>
      <c r="V505" s="13"/>
      <c r="W505" s="13"/>
      <c r="X505" s="13"/>
      <c r="Y505" s="13"/>
      <c r="Z505" s="13"/>
      <c r="AA505" s="13"/>
    </row>
    <row r="506" ht="20.25" customHeight="1">
      <c r="A506" s="21">
        <v>46070.0</v>
      </c>
      <c r="B506" s="22" t="s">
        <v>1981</v>
      </c>
      <c r="C506" s="22" t="s">
        <v>1982</v>
      </c>
      <c r="D506" s="22" t="s">
        <v>1983</v>
      </c>
      <c r="E506" s="22" t="s">
        <v>274</v>
      </c>
      <c r="F506" s="22" t="s">
        <v>1984</v>
      </c>
      <c r="G506" s="22" t="s">
        <v>1985</v>
      </c>
      <c r="H506" s="22" t="s">
        <v>1129</v>
      </c>
      <c r="I506" s="22" t="s">
        <v>1986</v>
      </c>
      <c r="J506" s="22" t="s">
        <v>1987</v>
      </c>
      <c r="K506" s="22" t="s">
        <v>1028</v>
      </c>
      <c r="L506" s="22"/>
      <c r="M506" s="13"/>
      <c r="N506" s="13"/>
      <c r="O506" s="13"/>
      <c r="P506" s="13"/>
      <c r="Q506" s="13"/>
      <c r="R506" s="13"/>
      <c r="S506" s="13"/>
      <c r="T506" s="13"/>
      <c r="U506" s="13"/>
      <c r="V506" s="13"/>
      <c r="W506" s="13"/>
      <c r="X506" s="13"/>
      <c r="Y506" s="13"/>
      <c r="Z506" s="13"/>
      <c r="AA506" s="13"/>
    </row>
    <row r="507" ht="20.25" customHeight="1">
      <c r="A507" s="21">
        <v>46065.0</v>
      </c>
      <c r="B507" s="22" t="s">
        <v>88</v>
      </c>
      <c r="C507" s="22" t="s">
        <v>1988</v>
      </c>
      <c r="D507" s="36" t="s">
        <v>1989</v>
      </c>
      <c r="E507" s="13"/>
      <c r="F507" s="13"/>
      <c r="G507" s="13"/>
      <c r="H507" s="13"/>
      <c r="I507" s="13"/>
      <c r="J507" s="13"/>
      <c r="K507" s="13"/>
      <c r="L507" s="13"/>
      <c r="M507" s="13"/>
      <c r="N507" s="13"/>
      <c r="O507" s="13"/>
      <c r="P507" s="13"/>
      <c r="Q507" s="13"/>
      <c r="R507" s="13"/>
      <c r="S507" s="13"/>
      <c r="T507" s="13"/>
      <c r="U507" s="13"/>
      <c r="V507" s="13"/>
      <c r="W507" s="13"/>
      <c r="X507" s="13"/>
      <c r="Y507" s="13"/>
      <c r="Z507" s="13"/>
      <c r="AA507" s="13"/>
    </row>
    <row r="508" ht="20.25" customHeight="1">
      <c r="A508" s="21">
        <v>46065.0</v>
      </c>
      <c r="B508" s="22" t="s">
        <v>88</v>
      </c>
      <c r="C508" s="22" t="s">
        <v>1990</v>
      </c>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row>
    <row r="509" ht="20.25" customHeight="1">
      <c r="A509" s="21">
        <v>46065.0</v>
      </c>
      <c r="B509" s="22" t="s">
        <v>1991</v>
      </c>
      <c r="C509" s="22" t="s">
        <v>289</v>
      </c>
      <c r="D509" s="24" t="s">
        <v>1992</v>
      </c>
      <c r="E509" s="13"/>
      <c r="F509" s="13"/>
      <c r="G509" s="13"/>
      <c r="H509" s="13"/>
      <c r="I509" s="13"/>
      <c r="J509" s="13"/>
      <c r="K509" s="13"/>
      <c r="L509" s="13"/>
      <c r="M509" s="13"/>
      <c r="N509" s="13"/>
      <c r="O509" s="13"/>
      <c r="P509" s="13"/>
      <c r="Q509" s="13"/>
      <c r="R509" s="13"/>
      <c r="S509" s="13"/>
      <c r="T509" s="13"/>
      <c r="U509" s="13"/>
      <c r="V509" s="13"/>
      <c r="W509" s="13"/>
      <c r="X509" s="13"/>
      <c r="Y509" s="13"/>
      <c r="Z509" s="13"/>
      <c r="AA509" s="13"/>
    </row>
    <row r="510" ht="22.5" customHeight="1">
      <c r="A510" s="21">
        <v>46070.0</v>
      </c>
      <c r="B510" s="22" t="s">
        <v>1993</v>
      </c>
      <c r="C510" s="22" t="s">
        <v>405</v>
      </c>
      <c r="D510" s="22" t="s">
        <v>1994</v>
      </c>
      <c r="E510" s="22" t="s">
        <v>969</v>
      </c>
      <c r="F510" s="22" t="s">
        <v>1995</v>
      </c>
      <c r="G510" s="22" t="s">
        <v>1996</v>
      </c>
      <c r="H510" s="22" t="s">
        <v>1025</v>
      </c>
      <c r="I510" s="22" t="s">
        <v>1997</v>
      </c>
      <c r="J510" s="22" t="s">
        <v>1998</v>
      </c>
      <c r="K510" s="22" t="s">
        <v>1028</v>
      </c>
      <c r="L510" s="22" t="s">
        <v>945</v>
      </c>
      <c r="M510" s="37"/>
      <c r="N510" s="37"/>
      <c r="O510" s="37"/>
      <c r="P510" s="37"/>
      <c r="Q510" s="37"/>
      <c r="R510" s="37"/>
      <c r="S510" s="37"/>
      <c r="T510" s="37"/>
      <c r="U510" s="37"/>
      <c r="V510" s="37"/>
      <c r="W510" s="13"/>
      <c r="X510" s="13"/>
      <c r="Y510" s="13"/>
      <c r="Z510" s="13"/>
      <c r="AA510" s="13"/>
    </row>
    <row r="511" ht="20.25" customHeight="1">
      <c r="A511" s="21">
        <v>46065.0</v>
      </c>
      <c r="B511" s="22" t="s">
        <v>1993</v>
      </c>
      <c r="C511" s="22" t="s">
        <v>405</v>
      </c>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row>
    <row r="512" ht="20.25" customHeight="1">
      <c r="A512" s="19">
        <v>46070.0</v>
      </c>
      <c r="B512" s="13" t="s">
        <v>1999</v>
      </c>
      <c r="C512" s="13" t="s">
        <v>2000</v>
      </c>
      <c r="D512" s="13" t="s">
        <v>2001</v>
      </c>
      <c r="E512" s="13" t="s">
        <v>274</v>
      </c>
      <c r="F512" s="13" t="s">
        <v>2002</v>
      </c>
      <c r="G512" s="13" t="s">
        <v>2003</v>
      </c>
      <c r="H512" s="13" t="s">
        <v>1129</v>
      </c>
      <c r="I512" s="13" t="s">
        <v>2004</v>
      </c>
      <c r="J512" s="13" t="s">
        <v>2005</v>
      </c>
      <c r="K512" s="13" t="s">
        <v>1028</v>
      </c>
      <c r="L512" s="13" t="s">
        <v>945</v>
      </c>
      <c r="M512" s="13"/>
      <c r="N512" s="13"/>
      <c r="O512" s="13"/>
      <c r="P512" s="13"/>
      <c r="Q512" s="13"/>
      <c r="R512" s="13"/>
      <c r="S512" s="13"/>
      <c r="T512" s="13"/>
      <c r="U512" s="13"/>
      <c r="V512" s="13"/>
      <c r="W512" s="13"/>
      <c r="X512" s="13"/>
      <c r="Y512" s="13"/>
      <c r="Z512" s="13"/>
      <c r="AA512" s="13"/>
    </row>
    <row r="513" ht="20.25" customHeight="1">
      <c r="A513" s="19">
        <v>46070.0</v>
      </c>
      <c r="B513" s="13" t="s">
        <v>2006</v>
      </c>
      <c r="C513" s="13" t="s">
        <v>2007</v>
      </c>
      <c r="D513" s="13" t="s">
        <v>2008</v>
      </c>
      <c r="E513" s="13" t="s">
        <v>971</v>
      </c>
      <c r="F513" s="13" t="s">
        <v>2009</v>
      </c>
      <c r="G513" s="13" t="s">
        <v>2010</v>
      </c>
      <c r="H513" s="13" t="s">
        <v>1063</v>
      </c>
      <c r="I513" s="13"/>
      <c r="J513" s="13" t="s">
        <v>2011</v>
      </c>
      <c r="K513" s="13" t="s">
        <v>1028</v>
      </c>
      <c r="L513" s="13"/>
      <c r="M513" s="13"/>
      <c r="N513" s="13"/>
      <c r="O513" s="13"/>
      <c r="P513" s="13"/>
      <c r="Q513" s="13"/>
      <c r="R513" s="13"/>
      <c r="S513" s="13"/>
      <c r="T513" s="13"/>
      <c r="U513" s="13"/>
      <c r="V513" s="13"/>
      <c r="W513" s="13"/>
      <c r="X513" s="13"/>
      <c r="Y513" s="13"/>
      <c r="Z513" s="13"/>
      <c r="AA513" s="13"/>
    </row>
    <row r="514" ht="20.25" customHeight="1">
      <c r="A514" s="19">
        <v>46070.0</v>
      </c>
      <c r="B514" s="13" t="s">
        <v>2012</v>
      </c>
      <c r="C514" s="13" t="s">
        <v>1596</v>
      </c>
      <c r="D514" s="13" t="s">
        <v>2013</v>
      </c>
      <c r="E514" s="13" t="s">
        <v>969</v>
      </c>
      <c r="F514" s="13" t="s">
        <v>2014</v>
      </c>
      <c r="G514" s="13" t="s">
        <v>2015</v>
      </c>
      <c r="H514" s="13" t="s">
        <v>1025</v>
      </c>
      <c r="I514" s="13" t="s">
        <v>1599</v>
      </c>
      <c r="J514" s="13" t="s">
        <v>2016</v>
      </c>
      <c r="K514" s="13" t="s">
        <v>1028</v>
      </c>
      <c r="L514" s="13"/>
      <c r="M514" s="13"/>
      <c r="N514" s="13"/>
      <c r="O514" s="13"/>
      <c r="P514" s="13"/>
      <c r="Q514" s="13"/>
      <c r="R514" s="13"/>
      <c r="S514" s="13"/>
      <c r="T514" s="13"/>
      <c r="U514" s="13"/>
      <c r="V514" s="13"/>
      <c r="W514" s="13"/>
      <c r="X514" s="13"/>
      <c r="Y514" s="13"/>
      <c r="Z514" s="13"/>
      <c r="AA514" s="13"/>
    </row>
    <row r="515" ht="20.25" customHeight="1">
      <c r="A515" s="19">
        <v>46070.0</v>
      </c>
      <c r="B515" s="13" t="s">
        <v>2017</v>
      </c>
      <c r="C515" s="13" t="s">
        <v>2018</v>
      </c>
      <c r="D515" s="13" t="s">
        <v>2019</v>
      </c>
      <c r="E515" s="13" t="s">
        <v>971</v>
      </c>
      <c r="F515" s="13" t="s">
        <v>2020</v>
      </c>
      <c r="G515" s="13" t="s">
        <v>2021</v>
      </c>
      <c r="H515" s="13" t="s">
        <v>1025</v>
      </c>
      <c r="I515" s="13" t="s">
        <v>2022</v>
      </c>
      <c r="J515" s="13" t="s">
        <v>2023</v>
      </c>
      <c r="K515" s="13" t="s">
        <v>1028</v>
      </c>
      <c r="L515" s="13" t="s">
        <v>945</v>
      </c>
      <c r="M515" s="13"/>
      <c r="N515" s="13"/>
      <c r="O515" s="13"/>
      <c r="P515" s="13"/>
      <c r="Q515" s="13"/>
      <c r="R515" s="13"/>
      <c r="S515" s="13"/>
      <c r="T515" s="13"/>
      <c r="U515" s="13"/>
      <c r="V515" s="13"/>
      <c r="W515" s="13"/>
      <c r="X515" s="13"/>
      <c r="Y515" s="13"/>
      <c r="Z515" s="13"/>
      <c r="AA515" s="13"/>
    </row>
    <row r="516" ht="20.25" customHeight="1">
      <c r="A516" s="19">
        <v>46070.0</v>
      </c>
      <c r="B516" s="13" t="s">
        <v>2024</v>
      </c>
      <c r="C516" s="13" t="s">
        <v>2025</v>
      </c>
      <c r="D516" s="13" t="s">
        <v>2026</v>
      </c>
      <c r="E516" s="13" t="s">
        <v>971</v>
      </c>
      <c r="F516" s="13" t="s">
        <v>1144</v>
      </c>
      <c r="G516" s="13" t="s">
        <v>2027</v>
      </c>
      <c r="H516" s="13" t="s">
        <v>1025</v>
      </c>
      <c r="I516" s="13" t="s">
        <v>2028</v>
      </c>
      <c r="J516" s="13" t="s">
        <v>2029</v>
      </c>
      <c r="K516" s="13" t="s">
        <v>1028</v>
      </c>
      <c r="L516" s="13"/>
      <c r="M516" s="13"/>
      <c r="N516" s="13"/>
      <c r="O516" s="13"/>
      <c r="P516" s="13"/>
      <c r="Q516" s="13"/>
      <c r="R516" s="13"/>
      <c r="S516" s="13"/>
      <c r="T516" s="13"/>
      <c r="U516" s="13"/>
      <c r="V516" s="13"/>
      <c r="W516" s="13"/>
      <c r="X516" s="13"/>
      <c r="Y516" s="13"/>
      <c r="Z516" s="13"/>
      <c r="AA516" s="13"/>
    </row>
    <row r="517" ht="20.25" customHeight="1">
      <c r="A517" s="19">
        <v>46070.0</v>
      </c>
      <c r="B517" s="13" t="s">
        <v>1880</v>
      </c>
      <c r="C517" s="13" t="s">
        <v>1458</v>
      </c>
      <c r="D517" s="13" t="s">
        <v>1881</v>
      </c>
      <c r="E517" s="13" t="s">
        <v>971</v>
      </c>
      <c r="F517" s="13" t="s">
        <v>1882</v>
      </c>
      <c r="G517" s="13" t="s">
        <v>1883</v>
      </c>
      <c r="H517" s="13" t="s">
        <v>1207</v>
      </c>
      <c r="I517" s="13" t="s">
        <v>1462</v>
      </c>
      <c r="J517" s="13" t="s">
        <v>1884</v>
      </c>
      <c r="K517" s="13" t="s">
        <v>1028</v>
      </c>
      <c r="L517" s="13"/>
      <c r="M517" s="13"/>
      <c r="N517" s="13"/>
      <c r="O517" s="13"/>
      <c r="P517" s="13"/>
      <c r="Q517" s="13"/>
      <c r="R517" s="13"/>
      <c r="S517" s="13"/>
      <c r="T517" s="13"/>
      <c r="U517" s="13"/>
      <c r="V517" s="13"/>
      <c r="W517" s="13"/>
      <c r="X517" s="13"/>
      <c r="Y517" s="13"/>
      <c r="Z517" s="13"/>
      <c r="AA517" s="13"/>
    </row>
    <row r="518" ht="20.25" customHeight="1">
      <c r="A518" s="19">
        <v>46070.0</v>
      </c>
      <c r="B518" s="13" t="s">
        <v>381</v>
      </c>
      <c r="C518" s="13" t="s">
        <v>2030</v>
      </c>
      <c r="D518" s="13" t="s">
        <v>2031</v>
      </c>
      <c r="E518" s="13" t="s">
        <v>274</v>
      </c>
      <c r="F518" s="13" t="s">
        <v>1615</v>
      </c>
      <c r="G518" s="13" t="s">
        <v>2032</v>
      </c>
      <c r="H518" s="34">
        <v>46032.0</v>
      </c>
      <c r="I518" s="13" t="s">
        <v>2033</v>
      </c>
      <c r="J518" s="13" t="s">
        <v>2034</v>
      </c>
      <c r="K518" s="13" t="s">
        <v>1028</v>
      </c>
      <c r="L518" s="13"/>
      <c r="M518" s="13"/>
      <c r="N518" s="13"/>
      <c r="O518" s="13"/>
      <c r="P518" s="13"/>
      <c r="Q518" s="13"/>
      <c r="R518" s="13"/>
      <c r="S518" s="13"/>
      <c r="T518" s="13"/>
      <c r="U518" s="13"/>
      <c r="V518" s="13"/>
      <c r="W518" s="13"/>
      <c r="X518" s="13"/>
      <c r="Y518" s="13"/>
      <c r="Z518" s="13"/>
      <c r="AA518" s="13"/>
    </row>
    <row r="519" ht="20.25" customHeight="1">
      <c r="A519" s="19">
        <v>46070.0</v>
      </c>
      <c r="B519" s="13" t="s">
        <v>2035</v>
      </c>
      <c r="C519" s="13" t="s">
        <v>2036</v>
      </c>
      <c r="D519" s="13" t="s">
        <v>2037</v>
      </c>
      <c r="E519" s="13" t="s">
        <v>274</v>
      </c>
      <c r="F519" s="13" t="s">
        <v>858</v>
      </c>
      <c r="G519" s="13" t="s">
        <v>1647</v>
      </c>
      <c r="H519" s="13" t="s">
        <v>1129</v>
      </c>
      <c r="I519" s="13" t="s">
        <v>2038</v>
      </c>
      <c r="J519" s="13" t="s">
        <v>2039</v>
      </c>
      <c r="K519" s="13" t="s">
        <v>1028</v>
      </c>
      <c r="L519" s="13"/>
      <c r="M519" s="13"/>
      <c r="N519" s="13"/>
      <c r="O519" s="13"/>
      <c r="P519" s="13"/>
      <c r="Q519" s="13"/>
      <c r="R519" s="13"/>
      <c r="S519" s="13"/>
      <c r="T519" s="13"/>
      <c r="U519" s="13"/>
      <c r="V519" s="13"/>
      <c r="W519" s="13"/>
      <c r="X519" s="13"/>
      <c r="Y519" s="13"/>
      <c r="Z519" s="13"/>
      <c r="AA519" s="13"/>
    </row>
    <row r="520" ht="20.25" customHeight="1">
      <c r="A520" s="19">
        <v>46070.0</v>
      </c>
      <c r="B520" s="13" t="s">
        <v>2040</v>
      </c>
      <c r="C520" s="13" t="s">
        <v>2041</v>
      </c>
      <c r="D520" s="13" t="s">
        <v>2042</v>
      </c>
      <c r="E520" s="13" t="s">
        <v>274</v>
      </c>
      <c r="F520" s="13" t="s">
        <v>2043</v>
      </c>
      <c r="G520" s="13" t="s">
        <v>2044</v>
      </c>
      <c r="H520" s="13" t="s">
        <v>1063</v>
      </c>
      <c r="I520" s="13" t="s">
        <v>1684</v>
      </c>
      <c r="J520" s="13" t="s">
        <v>2045</v>
      </c>
      <c r="K520" s="13" t="s">
        <v>1028</v>
      </c>
      <c r="L520" s="13"/>
      <c r="M520" s="13"/>
      <c r="N520" s="13"/>
      <c r="O520" s="13"/>
      <c r="P520" s="13"/>
      <c r="Q520" s="13"/>
      <c r="R520" s="13"/>
      <c r="S520" s="13"/>
      <c r="T520" s="13"/>
      <c r="U520" s="13"/>
      <c r="V520" s="13"/>
      <c r="W520" s="13"/>
      <c r="X520" s="13"/>
      <c r="Y520" s="13"/>
      <c r="Z520" s="13"/>
      <c r="AA520" s="13"/>
    </row>
    <row r="521" ht="20.25" customHeight="1">
      <c r="A521" s="19">
        <v>46070.0</v>
      </c>
      <c r="B521" s="13" t="s">
        <v>2046</v>
      </c>
      <c r="C521" s="13" t="s">
        <v>2047</v>
      </c>
      <c r="D521" s="13" t="s">
        <v>2048</v>
      </c>
      <c r="E521" s="13" t="s">
        <v>971</v>
      </c>
      <c r="F521" s="13" t="s">
        <v>2049</v>
      </c>
      <c r="G521" s="13" t="s">
        <v>2050</v>
      </c>
      <c r="H521" s="13" t="s">
        <v>1178</v>
      </c>
      <c r="I521" s="13" t="s">
        <v>2051</v>
      </c>
      <c r="J521" s="13" t="s">
        <v>2052</v>
      </c>
      <c r="K521" s="13" t="s">
        <v>1028</v>
      </c>
      <c r="L521" s="13"/>
      <c r="M521" s="13"/>
      <c r="N521" s="13"/>
      <c r="O521" s="13"/>
      <c r="P521" s="13"/>
      <c r="Q521" s="13"/>
      <c r="R521" s="13"/>
      <c r="S521" s="13"/>
      <c r="T521" s="13"/>
      <c r="U521" s="13"/>
      <c r="V521" s="13"/>
      <c r="W521" s="13"/>
      <c r="X521" s="13"/>
      <c r="Y521" s="13"/>
      <c r="Z521" s="13"/>
      <c r="AA521" s="13"/>
    </row>
    <row r="522" ht="20.25" customHeight="1">
      <c r="A522" s="19">
        <v>46070.0</v>
      </c>
      <c r="B522" s="13" t="s">
        <v>2053</v>
      </c>
      <c r="C522" s="13" t="s">
        <v>2054</v>
      </c>
      <c r="D522" s="13" t="s">
        <v>2055</v>
      </c>
      <c r="E522" s="13" t="s">
        <v>971</v>
      </c>
      <c r="F522" s="13" t="s">
        <v>2056</v>
      </c>
      <c r="G522" s="13" t="s">
        <v>2057</v>
      </c>
      <c r="H522" s="13" t="s">
        <v>1107</v>
      </c>
      <c r="I522" s="13"/>
      <c r="J522" s="13" t="s">
        <v>2058</v>
      </c>
      <c r="K522" s="13" t="s">
        <v>1028</v>
      </c>
      <c r="L522" s="13"/>
      <c r="M522" s="13"/>
      <c r="N522" s="13"/>
      <c r="O522" s="13"/>
      <c r="P522" s="13"/>
      <c r="Q522" s="13"/>
      <c r="R522" s="13"/>
      <c r="S522" s="13"/>
      <c r="T522" s="13"/>
      <c r="U522" s="13"/>
      <c r="V522" s="13"/>
      <c r="W522" s="13"/>
      <c r="X522" s="13"/>
      <c r="Y522" s="13"/>
      <c r="Z522" s="13"/>
      <c r="AA522" s="13"/>
    </row>
    <row r="523" ht="20.25" customHeight="1">
      <c r="A523" s="19">
        <v>46070.0</v>
      </c>
      <c r="B523" s="13" t="s">
        <v>2059</v>
      </c>
      <c r="C523" s="13" t="s">
        <v>804</v>
      </c>
      <c r="D523" s="13" t="s">
        <v>2060</v>
      </c>
      <c r="E523" s="13" t="s">
        <v>971</v>
      </c>
      <c r="F523" s="13" t="s">
        <v>2061</v>
      </c>
      <c r="G523" s="13" t="s">
        <v>2062</v>
      </c>
      <c r="H523" s="13" t="s">
        <v>1063</v>
      </c>
      <c r="I523" s="13" t="s">
        <v>2063</v>
      </c>
      <c r="J523" s="13" t="s">
        <v>2064</v>
      </c>
      <c r="K523" s="13" t="s">
        <v>1028</v>
      </c>
      <c r="L523" s="13" t="s">
        <v>945</v>
      </c>
      <c r="M523" s="13"/>
      <c r="N523" s="13"/>
      <c r="O523" s="13"/>
      <c r="P523" s="13"/>
      <c r="Q523" s="13"/>
      <c r="R523" s="13"/>
      <c r="S523" s="13"/>
      <c r="T523" s="13"/>
      <c r="U523" s="13"/>
      <c r="V523" s="13"/>
      <c r="W523" s="13"/>
      <c r="X523" s="13"/>
      <c r="Y523" s="13"/>
      <c r="Z523" s="13"/>
      <c r="AA523" s="13"/>
    </row>
    <row r="524" ht="20.25" customHeight="1">
      <c r="A524" s="19">
        <v>46070.0</v>
      </c>
      <c r="B524" s="13" t="s">
        <v>2065</v>
      </c>
      <c r="C524" s="13" t="s">
        <v>2066</v>
      </c>
      <c r="D524" s="13" t="s">
        <v>2067</v>
      </c>
      <c r="E524" s="13" t="s">
        <v>969</v>
      </c>
      <c r="F524" s="13" t="s">
        <v>2068</v>
      </c>
      <c r="G524" s="13" t="s">
        <v>2069</v>
      </c>
      <c r="H524" s="13" t="s">
        <v>1088</v>
      </c>
      <c r="I524" s="13" t="s">
        <v>2070</v>
      </c>
      <c r="J524" s="13" t="s">
        <v>2071</v>
      </c>
      <c r="K524" s="13" t="s">
        <v>1028</v>
      </c>
      <c r="L524" s="13"/>
      <c r="M524" s="13"/>
      <c r="N524" s="13"/>
      <c r="O524" s="13"/>
      <c r="P524" s="13"/>
      <c r="Q524" s="13"/>
      <c r="R524" s="13"/>
      <c r="S524" s="13"/>
      <c r="T524" s="13"/>
      <c r="U524" s="13"/>
      <c r="V524" s="13"/>
      <c r="W524" s="13"/>
      <c r="X524" s="13"/>
      <c r="Y524" s="13"/>
      <c r="Z524" s="13"/>
      <c r="AA524" s="13"/>
    </row>
    <row r="525" ht="20.25" customHeight="1">
      <c r="A525" s="19">
        <v>46070.0</v>
      </c>
      <c r="B525" s="13" t="s">
        <v>2072</v>
      </c>
      <c r="C525" s="13" t="s">
        <v>2073</v>
      </c>
      <c r="D525" s="13" t="s">
        <v>2074</v>
      </c>
      <c r="E525" s="13" t="s">
        <v>969</v>
      </c>
      <c r="F525" s="13" t="s">
        <v>2075</v>
      </c>
      <c r="G525" s="13" t="s">
        <v>2076</v>
      </c>
      <c r="H525" s="13" t="s">
        <v>1063</v>
      </c>
      <c r="I525" s="13" t="s">
        <v>1172</v>
      </c>
      <c r="J525" s="13" t="s">
        <v>2077</v>
      </c>
      <c r="K525" s="13" t="s">
        <v>1028</v>
      </c>
      <c r="L525" s="13" t="s">
        <v>945</v>
      </c>
      <c r="M525" s="13"/>
      <c r="N525" s="13"/>
      <c r="O525" s="13"/>
      <c r="P525" s="13"/>
      <c r="Q525" s="13"/>
      <c r="R525" s="13"/>
      <c r="S525" s="13"/>
      <c r="T525" s="13"/>
      <c r="U525" s="13"/>
      <c r="V525" s="13"/>
      <c r="W525" s="13"/>
      <c r="X525" s="13"/>
      <c r="Y525" s="13"/>
      <c r="Z525" s="13"/>
      <c r="AA525" s="13"/>
    </row>
    <row r="526" ht="20.25" customHeight="1">
      <c r="A526" s="21">
        <v>46070.0</v>
      </c>
      <c r="B526" s="22" t="s">
        <v>1464</v>
      </c>
      <c r="C526" s="22" t="s">
        <v>1465</v>
      </c>
      <c r="D526" s="22" t="s">
        <v>2078</v>
      </c>
      <c r="E526" s="22" t="s">
        <v>969</v>
      </c>
      <c r="F526" s="22" t="s">
        <v>2068</v>
      </c>
      <c r="G526" s="22" t="s">
        <v>2079</v>
      </c>
      <c r="H526" s="22" t="s">
        <v>1129</v>
      </c>
      <c r="I526" s="22" t="s">
        <v>1469</v>
      </c>
      <c r="J526" s="22" t="s">
        <v>2080</v>
      </c>
      <c r="K526" s="22" t="s">
        <v>1028</v>
      </c>
      <c r="L526" s="22"/>
      <c r="M526" s="13"/>
      <c r="N526" s="13"/>
      <c r="O526" s="13"/>
      <c r="P526" s="13"/>
      <c r="Q526" s="13"/>
      <c r="R526" s="13"/>
      <c r="S526" s="13"/>
      <c r="T526" s="13"/>
      <c r="U526" s="13"/>
      <c r="V526" s="13"/>
      <c r="W526" s="13"/>
      <c r="X526" s="13"/>
      <c r="Y526" s="13"/>
      <c r="Z526" s="13"/>
      <c r="AA526" s="13"/>
    </row>
    <row r="527" ht="20.25" customHeight="1">
      <c r="A527" s="21">
        <v>46070.0</v>
      </c>
      <c r="B527" s="22" t="s">
        <v>2081</v>
      </c>
      <c r="C527" s="22" t="s">
        <v>2082</v>
      </c>
      <c r="D527" s="22" t="s">
        <v>969</v>
      </c>
      <c r="E527" s="22" t="s">
        <v>2083</v>
      </c>
      <c r="F527" s="22" t="s">
        <v>2084</v>
      </c>
      <c r="G527" s="22" t="s">
        <v>2085</v>
      </c>
      <c r="H527" s="22" t="s">
        <v>1129</v>
      </c>
      <c r="I527" s="22" t="s">
        <v>2086</v>
      </c>
      <c r="J527" s="22" t="s">
        <v>2087</v>
      </c>
      <c r="K527" s="22" t="s">
        <v>1028</v>
      </c>
      <c r="L527" s="22" t="s">
        <v>945</v>
      </c>
      <c r="M527" s="13"/>
      <c r="N527" s="13"/>
      <c r="O527" s="13"/>
      <c r="P527" s="13"/>
      <c r="Q527" s="13"/>
      <c r="R527" s="13"/>
      <c r="S527" s="13"/>
      <c r="T527" s="13"/>
      <c r="U527" s="13"/>
      <c r="V527" s="13"/>
      <c r="W527" s="13"/>
      <c r="X527" s="13"/>
      <c r="Y527" s="13"/>
      <c r="Z527" s="13"/>
      <c r="AA527" s="13"/>
    </row>
    <row r="528" ht="20.25" customHeight="1">
      <c r="A528" s="19">
        <v>46070.0</v>
      </c>
      <c r="B528" s="13" t="s">
        <v>2088</v>
      </c>
      <c r="C528" s="13" t="s">
        <v>2089</v>
      </c>
      <c r="D528" s="13" t="s">
        <v>969</v>
      </c>
      <c r="E528" s="13" t="s">
        <v>2090</v>
      </c>
      <c r="F528" s="13" t="s">
        <v>2091</v>
      </c>
      <c r="G528" s="13" t="s">
        <v>2092</v>
      </c>
      <c r="H528" s="13" t="s">
        <v>1107</v>
      </c>
      <c r="I528" s="13" t="s">
        <v>2093</v>
      </c>
      <c r="J528" s="13" t="s">
        <v>2094</v>
      </c>
      <c r="K528" s="13" t="s">
        <v>1028</v>
      </c>
      <c r="L528" s="13"/>
      <c r="M528" s="13"/>
      <c r="N528" s="13"/>
      <c r="O528" s="13"/>
      <c r="P528" s="13"/>
      <c r="Q528" s="13"/>
      <c r="R528" s="13"/>
      <c r="S528" s="13"/>
      <c r="T528" s="13"/>
      <c r="U528" s="13"/>
      <c r="V528" s="13"/>
      <c r="W528" s="13"/>
      <c r="X528" s="13"/>
      <c r="Y528" s="13"/>
      <c r="Z528" s="13"/>
      <c r="AA528" s="13"/>
    </row>
    <row r="529" ht="20.25" customHeight="1">
      <c r="A529" s="19">
        <v>46070.0</v>
      </c>
      <c r="B529" s="13" t="s">
        <v>2095</v>
      </c>
      <c r="C529" s="13" t="s">
        <v>2096</v>
      </c>
      <c r="D529" s="13" t="s">
        <v>969</v>
      </c>
      <c r="E529" s="13" t="s">
        <v>1077</v>
      </c>
      <c r="F529" s="13" t="s">
        <v>917</v>
      </c>
      <c r="G529" s="13" t="s">
        <v>2097</v>
      </c>
      <c r="H529" s="13" t="s">
        <v>1063</v>
      </c>
      <c r="I529" s="13" t="s">
        <v>2098</v>
      </c>
      <c r="J529" s="13" t="s">
        <v>2099</v>
      </c>
      <c r="K529" s="13" t="s">
        <v>1028</v>
      </c>
      <c r="L529" s="13" t="s">
        <v>945</v>
      </c>
      <c r="M529" s="13"/>
      <c r="N529" s="13"/>
      <c r="O529" s="13"/>
      <c r="P529" s="13"/>
      <c r="Q529" s="13"/>
      <c r="R529" s="13"/>
      <c r="S529" s="13"/>
      <c r="T529" s="13"/>
      <c r="U529" s="13"/>
      <c r="V529" s="13"/>
      <c r="W529" s="13"/>
      <c r="X529" s="13"/>
      <c r="Y529" s="13"/>
      <c r="Z529" s="13"/>
      <c r="AA529" s="13"/>
    </row>
    <row r="530" ht="20.25" customHeight="1">
      <c r="A530" s="19">
        <v>46070.0</v>
      </c>
      <c r="B530" s="13" t="s">
        <v>2100</v>
      </c>
      <c r="C530" s="13" t="s">
        <v>2101</v>
      </c>
      <c r="D530" s="13" t="s">
        <v>274</v>
      </c>
      <c r="E530" s="13" t="s">
        <v>858</v>
      </c>
      <c r="F530" s="13" t="s">
        <v>2102</v>
      </c>
      <c r="G530" s="13" t="s">
        <v>2103</v>
      </c>
      <c r="H530" s="13" t="s">
        <v>1129</v>
      </c>
      <c r="I530" s="13" t="s">
        <v>2104</v>
      </c>
      <c r="J530" s="13" t="s">
        <v>2105</v>
      </c>
      <c r="K530" s="13" t="s">
        <v>1028</v>
      </c>
      <c r="L530" s="13"/>
      <c r="M530" s="13"/>
      <c r="N530" s="13"/>
      <c r="O530" s="13"/>
      <c r="P530" s="13"/>
      <c r="Q530" s="13"/>
      <c r="R530" s="13"/>
      <c r="S530" s="13"/>
      <c r="T530" s="13"/>
      <c r="U530" s="13"/>
      <c r="V530" s="13"/>
      <c r="W530" s="13"/>
      <c r="X530" s="13"/>
      <c r="Y530" s="13"/>
      <c r="Z530" s="13"/>
      <c r="AA530" s="13"/>
    </row>
    <row r="531" ht="20.25" customHeight="1">
      <c r="A531" s="19">
        <v>46070.0</v>
      </c>
      <c r="B531" s="13" t="s">
        <v>2106</v>
      </c>
      <c r="C531" s="13" t="s">
        <v>2107</v>
      </c>
      <c r="D531" s="13" t="s">
        <v>971</v>
      </c>
      <c r="E531" s="13" t="s">
        <v>2108</v>
      </c>
      <c r="F531" s="13" t="s">
        <v>2109</v>
      </c>
      <c r="G531" s="13" t="s">
        <v>2110</v>
      </c>
      <c r="H531" s="13" t="s">
        <v>1088</v>
      </c>
      <c r="I531" s="13" t="s">
        <v>2111</v>
      </c>
      <c r="J531" s="13" t="s">
        <v>2112</v>
      </c>
      <c r="K531" s="13" t="s">
        <v>1028</v>
      </c>
      <c r="L531" s="13"/>
      <c r="M531" s="13"/>
      <c r="N531" s="13"/>
      <c r="O531" s="13"/>
      <c r="P531" s="13"/>
      <c r="Q531" s="13"/>
      <c r="R531" s="13"/>
      <c r="S531" s="13"/>
      <c r="T531" s="13"/>
      <c r="U531" s="13"/>
      <c r="V531" s="13"/>
      <c r="W531" s="13"/>
      <c r="X531" s="13"/>
      <c r="Y531" s="13"/>
      <c r="Z531" s="13"/>
      <c r="AA531" s="13"/>
    </row>
    <row r="532" ht="20.25" customHeight="1">
      <c r="A532" s="19">
        <v>46070.0</v>
      </c>
      <c r="B532" s="13" t="s">
        <v>2113</v>
      </c>
      <c r="C532" s="13" t="s">
        <v>2114</v>
      </c>
      <c r="D532" s="13" t="s">
        <v>971</v>
      </c>
      <c r="E532" s="13" t="s">
        <v>2115</v>
      </c>
      <c r="F532" s="13" t="s">
        <v>1968</v>
      </c>
      <c r="G532" s="13" t="s">
        <v>1808</v>
      </c>
      <c r="H532" s="13" t="s">
        <v>1057</v>
      </c>
      <c r="I532" s="13" t="s">
        <v>1971</v>
      </c>
      <c r="J532" s="13" t="s">
        <v>2116</v>
      </c>
      <c r="K532" s="13" t="s">
        <v>1028</v>
      </c>
      <c r="L532" s="13" t="s">
        <v>945</v>
      </c>
      <c r="M532" s="13"/>
      <c r="N532" s="13"/>
      <c r="O532" s="13"/>
      <c r="P532" s="13"/>
      <c r="Q532" s="13"/>
      <c r="R532" s="13"/>
      <c r="S532" s="13"/>
      <c r="T532" s="13"/>
      <c r="U532" s="13"/>
      <c r="V532" s="13"/>
      <c r="W532" s="13"/>
      <c r="X532" s="13"/>
      <c r="Y532" s="13"/>
      <c r="Z532" s="13"/>
      <c r="AA532" s="13"/>
    </row>
    <row r="533" ht="20.25" customHeight="1">
      <c r="A533" s="19">
        <v>46070.0</v>
      </c>
      <c r="B533" s="13" t="s">
        <v>2117</v>
      </c>
      <c r="C533" s="13" t="s">
        <v>2118</v>
      </c>
      <c r="D533" s="13" t="s">
        <v>971</v>
      </c>
      <c r="E533" s="13" t="s">
        <v>2119</v>
      </c>
      <c r="F533" s="13" t="s">
        <v>2120</v>
      </c>
      <c r="G533" s="13" t="s">
        <v>2121</v>
      </c>
      <c r="H533" s="13" t="s">
        <v>1207</v>
      </c>
      <c r="I533" s="13" t="s">
        <v>2122</v>
      </c>
      <c r="J533" s="13" t="s">
        <v>2123</v>
      </c>
      <c r="K533" s="13" t="s">
        <v>1028</v>
      </c>
      <c r="L533" s="13"/>
      <c r="M533" s="13"/>
      <c r="N533" s="13"/>
      <c r="O533" s="13"/>
      <c r="P533" s="13"/>
      <c r="Q533" s="13"/>
      <c r="R533" s="13"/>
      <c r="S533" s="13"/>
      <c r="T533" s="13"/>
      <c r="U533" s="13"/>
      <c r="V533" s="13"/>
      <c r="W533" s="13"/>
      <c r="X533" s="13"/>
      <c r="Y533" s="13"/>
      <c r="Z533" s="13"/>
      <c r="AA533" s="13"/>
    </row>
    <row r="534" ht="20.25" customHeight="1">
      <c r="A534" s="21">
        <v>46065.0</v>
      </c>
      <c r="B534" s="22" t="s">
        <v>2124</v>
      </c>
      <c r="C534" s="22" t="s">
        <v>2125</v>
      </c>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row>
    <row r="535" ht="20.25" customHeight="1">
      <c r="A535" s="19">
        <v>46065.0</v>
      </c>
      <c r="B535" s="13" t="s">
        <v>2126</v>
      </c>
      <c r="C535" s="13" t="s">
        <v>914</v>
      </c>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row>
    <row r="536" ht="20.25" customHeight="1">
      <c r="A536" s="38">
        <v>46072.0</v>
      </c>
      <c r="B536" s="39" t="s">
        <v>2127</v>
      </c>
      <c r="C536" s="40" t="s">
        <v>1562</v>
      </c>
      <c r="D536" s="40" t="s">
        <v>2128</v>
      </c>
      <c r="E536" s="40" t="s">
        <v>971</v>
      </c>
      <c r="F536" s="40" t="s">
        <v>2129</v>
      </c>
      <c r="G536" s="40" t="s">
        <v>2130</v>
      </c>
      <c r="H536" s="40" t="s">
        <v>1129</v>
      </c>
      <c r="I536" s="40" t="s">
        <v>1565</v>
      </c>
      <c r="J536" s="40" t="s">
        <v>2131</v>
      </c>
      <c r="K536" s="40" t="s">
        <v>1028</v>
      </c>
      <c r="L536" s="40"/>
      <c r="M536" s="40"/>
      <c r="N536" s="40"/>
      <c r="O536" s="40"/>
      <c r="P536" s="40"/>
      <c r="Q536" s="40"/>
      <c r="R536" s="40"/>
      <c r="S536" s="40"/>
      <c r="T536" s="40"/>
      <c r="U536" s="40"/>
      <c r="V536" s="40"/>
      <c r="W536" s="40"/>
      <c r="X536" s="40"/>
      <c r="Y536" s="40"/>
      <c r="Z536" s="40"/>
      <c r="AA536" s="13"/>
    </row>
    <row r="537" ht="20.25" customHeight="1">
      <c r="A537" s="38">
        <v>46072.0</v>
      </c>
      <c r="B537" s="39" t="s">
        <v>2127</v>
      </c>
      <c r="C537" s="40" t="s">
        <v>1562</v>
      </c>
      <c r="D537" s="40" t="s">
        <v>2132</v>
      </c>
      <c r="E537" s="40" t="s">
        <v>971</v>
      </c>
      <c r="F537" s="40" t="s">
        <v>1043</v>
      </c>
      <c r="G537" s="40" t="s">
        <v>1563</v>
      </c>
      <c r="H537" s="40" t="s">
        <v>1129</v>
      </c>
      <c r="I537" s="40" t="s">
        <v>1565</v>
      </c>
      <c r="J537" s="40" t="s">
        <v>2131</v>
      </c>
      <c r="K537" s="40" t="s">
        <v>1028</v>
      </c>
      <c r="L537" s="40"/>
      <c r="M537" s="40"/>
      <c r="N537" s="40"/>
      <c r="O537" s="40"/>
      <c r="P537" s="40"/>
      <c r="Q537" s="40"/>
      <c r="R537" s="40"/>
      <c r="S537" s="40"/>
      <c r="T537" s="40"/>
      <c r="U537" s="40"/>
      <c r="V537" s="40"/>
      <c r="W537" s="40"/>
      <c r="X537" s="40"/>
      <c r="Y537" s="40"/>
      <c r="Z537" s="40"/>
      <c r="AA537" s="13"/>
    </row>
    <row r="538" ht="20.25" customHeight="1">
      <c r="A538" s="38">
        <v>46072.0</v>
      </c>
      <c r="B538" s="39" t="s">
        <v>2133</v>
      </c>
      <c r="C538" s="40" t="s">
        <v>2134</v>
      </c>
      <c r="D538" s="40" t="s">
        <v>2135</v>
      </c>
      <c r="E538" s="40" t="s">
        <v>969</v>
      </c>
      <c r="F538" s="40" t="s">
        <v>2075</v>
      </c>
      <c r="G538" s="40" t="s">
        <v>2136</v>
      </c>
      <c r="H538" s="40" t="s">
        <v>1207</v>
      </c>
      <c r="I538" s="40" t="s">
        <v>2137</v>
      </c>
      <c r="J538" s="40" t="s">
        <v>2138</v>
      </c>
      <c r="K538" s="40" t="s">
        <v>1028</v>
      </c>
      <c r="L538" s="40" t="s">
        <v>945</v>
      </c>
      <c r="M538" s="40"/>
      <c r="N538" s="40"/>
      <c r="O538" s="40"/>
      <c r="P538" s="40"/>
      <c r="Q538" s="40"/>
      <c r="R538" s="40"/>
      <c r="S538" s="40"/>
      <c r="T538" s="40"/>
      <c r="U538" s="40"/>
      <c r="V538" s="40"/>
      <c r="W538" s="40"/>
      <c r="X538" s="40"/>
      <c r="Y538" s="40"/>
      <c r="Z538" s="40"/>
      <c r="AA538" s="13"/>
    </row>
    <row r="539" ht="20.25" customHeight="1">
      <c r="A539" s="19">
        <v>46072.0</v>
      </c>
      <c r="B539" s="19" t="s">
        <v>1727</v>
      </c>
      <c r="C539" s="13" t="s">
        <v>1728</v>
      </c>
      <c r="D539" s="13" t="s">
        <v>2139</v>
      </c>
      <c r="E539" s="13" t="s">
        <v>971</v>
      </c>
      <c r="F539" s="13" t="s">
        <v>2140</v>
      </c>
      <c r="G539" s="13" t="s">
        <v>2141</v>
      </c>
      <c r="H539" s="13" t="s">
        <v>1057</v>
      </c>
      <c r="I539" s="13" t="s">
        <v>1684</v>
      </c>
      <c r="J539" s="13" t="s">
        <v>1731</v>
      </c>
      <c r="K539" s="13" t="s">
        <v>1028</v>
      </c>
      <c r="L539" s="13"/>
      <c r="M539" s="13"/>
      <c r="N539" s="13"/>
      <c r="O539" s="13"/>
      <c r="P539" s="13"/>
      <c r="Q539" s="13"/>
      <c r="R539" s="13"/>
      <c r="S539" s="13"/>
      <c r="T539" s="13"/>
      <c r="U539" s="13"/>
      <c r="V539" s="13"/>
      <c r="W539" s="13"/>
      <c r="X539" s="13"/>
      <c r="Y539" s="13"/>
      <c r="Z539" s="13"/>
      <c r="AA539" s="13"/>
    </row>
    <row r="540" ht="20.25" customHeight="1">
      <c r="A540" s="19">
        <v>46072.0</v>
      </c>
      <c r="B540" s="19" t="s">
        <v>2142</v>
      </c>
      <c r="C540" s="13" t="s">
        <v>2143</v>
      </c>
      <c r="D540" s="13" t="s">
        <v>2144</v>
      </c>
      <c r="E540" s="13" t="s">
        <v>969</v>
      </c>
      <c r="F540" s="13" t="s">
        <v>874</v>
      </c>
      <c r="G540" s="13" t="s">
        <v>2145</v>
      </c>
      <c r="H540" s="13" t="s">
        <v>1178</v>
      </c>
      <c r="I540" s="13" t="s">
        <v>1314</v>
      </c>
      <c r="J540" s="13" t="s">
        <v>2146</v>
      </c>
      <c r="K540" s="13" t="s">
        <v>1028</v>
      </c>
      <c r="L540" s="13"/>
      <c r="M540" s="13"/>
      <c r="N540" s="13"/>
      <c r="O540" s="13"/>
      <c r="P540" s="13"/>
      <c r="Q540" s="13"/>
      <c r="R540" s="13"/>
      <c r="S540" s="13"/>
      <c r="T540" s="13"/>
      <c r="U540" s="13"/>
      <c r="V540" s="13"/>
      <c r="W540" s="13"/>
      <c r="X540" s="13"/>
      <c r="Y540" s="13"/>
      <c r="Z540" s="13"/>
      <c r="AA540" s="13"/>
    </row>
    <row r="541" ht="20.25" customHeight="1">
      <c r="A541" s="19">
        <v>46072.0</v>
      </c>
      <c r="B541" s="19" t="s">
        <v>88</v>
      </c>
      <c r="C541" s="13" t="s">
        <v>2147</v>
      </c>
      <c r="D541" s="13" t="s">
        <v>2148</v>
      </c>
      <c r="E541" s="13" t="s">
        <v>274</v>
      </c>
      <c r="F541" s="13" t="s">
        <v>2149</v>
      </c>
      <c r="G541" s="13" t="s">
        <v>2150</v>
      </c>
      <c r="H541" s="13" t="s">
        <v>1107</v>
      </c>
      <c r="I541" s="13" t="s">
        <v>1684</v>
      </c>
      <c r="J541" s="13" t="s">
        <v>2151</v>
      </c>
      <c r="K541" s="13" t="s">
        <v>1028</v>
      </c>
      <c r="L541" s="13" t="s">
        <v>945</v>
      </c>
      <c r="M541" s="13"/>
      <c r="N541" s="13"/>
      <c r="O541" s="13"/>
      <c r="P541" s="13"/>
      <c r="Q541" s="13"/>
      <c r="R541" s="13"/>
      <c r="S541" s="13"/>
      <c r="T541" s="13"/>
      <c r="U541" s="13"/>
      <c r="V541" s="13"/>
      <c r="W541" s="13"/>
      <c r="X541" s="13"/>
      <c r="Y541" s="13"/>
      <c r="Z541" s="13"/>
      <c r="AA541" s="13"/>
    </row>
    <row r="542" ht="20.25" customHeight="1">
      <c r="A542" s="19">
        <v>46069.0</v>
      </c>
      <c r="B542" s="13" t="s">
        <v>2126</v>
      </c>
      <c r="C542" s="13" t="s">
        <v>2152</v>
      </c>
      <c r="D542" s="13" t="s">
        <v>971</v>
      </c>
      <c r="E542" s="13"/>
      <c r="F542" s="13" t="s">
        <v>914</v>
      </c>
      <c r="G542" s="13" t="s">
        <v>2153</v>
      </c>
      <c r="H542" s="13" t="s">
        <v>1025</v>
      </c>
      <c r="I542" s="13" t="s">
        <v>1135</v>
      </c>
      <c r="J542" s="13" t="s">
        <v>2154</v>
      </c>
      <c r="K542" s="13" t="s">
        <v>1028</v>
      </c>
      <c r="L542" s="13"/>
      <c r="M542" s="13"/>
      <c r="N542" s="13"/>
      <c r="O542" s="13"/>
      <c r="P542" s="13"/>
      <c r="Q542" s="13"/>
      <c r="R542" s="13"/>
      <c r="S542" s="13"/>
      <c r="T542" s="13"/>
      <c r="U542" s="13"/>
      <c r="V542" s="13"/>
      <c r="W542" s="13"/>
      <c r="X542" s="13"/>
      <c r="Y542" s="13"/>
      <c r="Z542" s="13"/>
      <c r="AA542" s="13"/>
    </row>
    <row r="543" ht="20.25" customHeight="1">
      <c r="A543" s="21">
        <v>46074.0</v>
      </c>
      <c r="B543" s="22" t="s">
        <v>1074</v>
      </c>
      <c r="C543" s="22" t="s">
        <v>1057</v>
      </c>
      <c r="D543" s="22" t="s">
        <v>1073</v>
      </c>
      <c r="E543" s="22" t="s">
        <v>1076</v>
      </c>
      <c r="F543" s="22" t="s">
        <v>969</v>
      </c>
      <c r="G543" s="22" t="s">
        <v>1077</v>
      </c>
      <c r="H543" s="22" t="s">
        <v>2155</v>
      </c>
      <c r="I543" s="13"/>
      <c r="J543" s="13"/>
      <c r="K543" s="13"/>
      <c r="L543" s="13"/>
      <c r="M543" s="13"/>
      <c r="N543" s="13"/>
      <c r="O543" s="13"/>
      <c r="P543" s="13"/>
      <c r="Q543" s="13"/>
      <c r="R543" s="13"/>
      <c r="S543" s="13"/>
      <c r="T543" s="13"/>
      <c r="U543" s="13"/>
      <c r="V543" s="13"/>
      <c r="W543" s="13"/>
      <c r="X543" s="13"/>
      <c r="Y543" s="13"/>
      <c r="Z543" s="13"/>
      <c r="AA543" s="13"/>
    </row>
    <row r="544" ht="20.25" customHeight="1">
      <c r="A544" s="21">
        <v>46074.0</v>
      </c>
      <c r="B544" s="22" t="s">
        <v>1216</v>
      </c>
      <c r="C544" s="22" t="s">
        <v>1057</v>
      </c>
      <c r="D544" s="22" t="s">
        <v>1217</v>
      </c>
      <c r="E544" s="22" t="s">
        <v>2156</v>
      </c>
      <c r="F544" s="22" t="s">
        <v>969</v>
      </c>
      <c r="G544" s="22" t="s">
        <v>2157</v>
      </c>
      <c r="H544" s="22" t="s">
        <v>1218</v>
      </c>
      <c r="I544" s="13"/>
      <c r="J544" s="13"/>
      <c r="K544" s="13"/>
      <c r="L544" s="13"/>
      <c r="M544" s="13"/>
      <c r="N544" s="13"/>
      <c r="O544" s="13"/>
      <c r="P544" s="13"/>
      <c r="Q544" s="13"/>
      <c r="R544" s="13"/>
      <c r="S544" s="13"/>
      <c r="T544" s="13"/>
      <c r="U544" s="13"/>
      <c r="V544" s="13"/>
      <c r="W544" s="13"/>
      <c r="X544" s="13"/>
      <c r="Y544" s="13"/>
      <c r="Z544" s="13"/>
      <c r="AA544" s="13"/>
    </row>
    <row r="545" ht="20.25" customHeight="1">
      <c r="A545" s="21">
        <v>46074.0</v>
      </c>
      <c r="B545" s="22" t="s">
        <v>2158</v>
      </c>
      <c r="C545" s="22" t="s">
        <v>1057</v>
      </c>
      <c r="D545" s="22" t="s">
        <v>2159</v>
      </c>
      <c r="E545" s="22" t="s">
        <v>2160</v>
      </c>
      <c r="F545" s="22" t="s">
        <v>969</v>
      </c>
      <c r="G545" s="22" t="s">
        <v>2161</v>
      </c>
      <c r="H545" s="22" t="s">
        <v>2162</v>
      </c>
      <c r="I545" s="13"/>
      <c r="J545" s="13"/>
      <c r="K545" s="13"/>
      <c r="L545" s="13"/>
      <c r="M545" s="13"/>
      <c r="N545" s="13"/>
      <c r="O545" s="13"/>
      <c r="P545" s="13"/>
      <c r="Q545" s="13"/>
      <c r="R545" s="13"/>
      <c r="S545" s="13"/>
      <c r="T545" s="13"/>
      <c r="U545" s="13"/>
      <c r="V545" s="13"/>
      <c r="W545" s="13"/>
      <c r="X545" s="13"/>
      <c r="Y545" s="13"/>
      <c r="Z545" s="13"/>
      <c r="AA545" s="13"/>
    </row>
    <row r="546" ht="20.25" customHeight="1">
      <c r="A546" s="21">
        <v>46074.0</v>
      </c>
      <c r="B546" s="22" t="s">
        <v>2163</v>
      </c>
      <c r="C546" s="22" t="s">
        <v>1025</v>
      </c>
      <c r="D546" s="22" t="s">
        <v>1697</v>
      </c>
      <c r="E546" s="22" t="s">
        <v>2164</v>
      </c>
      <c r="F546" s="22" t="s">
        <v>971</v>
      </c>
      <c r="G546" s="22" t="s">
        <v>1699</v>
      </c>
      <c r="H546" s="22" t="s">
        <v>2165</v>
      </c>
      <c r="I546" s="13"/>
      <c r="J546" s="13"/>
      <c r="K546" s="13"/>
      <c r="L546" s="13"/>
      <c r="M546" s="13"/>
      <c r="N546" s="13"/>
      <c r="O546" s="13"/>
      <c r="P546" s="13"/>
      <c r="Q546" s="13"/>
      <c r="R546" s="13"/>
      <c r="S546" s="13"/>
      <c r="T546" s="13"/>
      <c r="U546" s="13"/>
      <c r="V546" s="13"/>
      <c r="W546" s="13"/>
      <c r="X546" s="13"/>
      <c r="Y546" s="13"/>
      <c r="Z546" s="13"/>
      <c r="AA546" s="13"/>
    </row>
    <row r="547" ht="20.2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row>
    <row r="548" ht="20.2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row>
    <row r="549" ht="20.2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row>
    <row r="550" ht="20.2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row>
    <row r="551" ht="20.2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row>
    <row r="552" ht="20.2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row>
    <row r="553" ht="20.2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row>
    <row r="554" ht="20.2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row>
    <row r="555" ht="20.2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row>
    <row r="556" ht="20.2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row>
    <row r="557" ht="20.2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row>
    <row r="558" ht="20.2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row>
    <row r="559" ht="20.2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row>
    <row r="560" ht="20.2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row>
    <row r="561" ht="20.2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row>
    <row r="562" ht="20.2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row>
    <row r="563" ht="20.2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row>
    <row r="564" ht="20.2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row>
    <row r="565" ht="20.2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row>
    <row r="566" ht="20.2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row>
    <row r="567" ht="20.2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row>
    <row r="568" ht="20.2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row>
    <row r="569" ht="20.2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row>
    <row r="570" ht="20.2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row>
    <row r="571" ht="20.2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row>
    <row r="572" ht="20.2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row>
    <row r="573" ht="20.2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row>
    <row r="574" ht="20.2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row>
    <row r="575" ht="20.2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row>
    <row r="576" ht="20.2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row>
    <row r="577" ht="20.2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row>
    <row r="578" ht="20.2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row>
    <row r="579" ht="20.2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row>
    <row r="580" ht="20.2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row>
    <row r="581" ht="20.2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row>
    <row r="582" ht="20.2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row>
    <row r="583" ht="20.2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row>
    <row r="584" ht="20.2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row>
    <row r="585" ht="20.2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row>
    <row r="586" ht="20.2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row>
    <row r="587" ht="20.2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row>
    <row r="588" ht="20.2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row>
    <row r="589" ht="20.2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row>
    <row r="590" ht="20.2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row>
    <row r="591" ht="20.2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row>
    <row r="592" ht="20.2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row>
    <row r="593" ht="20.2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row>
    <row r="594" ht="20.2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row>
    <row r="595" ht="20.2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row>
    <row r="596" ht="20.2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row>
    <row r="597" ht="20.2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row>
    <row r="598" ht="20.2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row>
    <row r="599" ht="20.2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row>
    <row r="600" ht="20.2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row>
    <row r="601" ht="20.2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row>
    <row r="602" ht="20.2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row>
    <row r="603" ht="20.2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row>
    <row r="604" ht="20.2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row>
    <row r="605" ht="20.2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row>
    <row r="606" ht="20.2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row>
    <row r="607" ht="20.2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row>
    <row r="608" ht="20.2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row>
    <row r="609" ht="20.2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row>
    <row r="610" ht="20.2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row>
    <row r="611" ht="20.2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row>
    <row r="612" ht="20.2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row>
    <row r="613" ht="20.2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row>
    <row r="614" ht="20.2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row>
    <row r="615" ht="20.2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row>
    <row r="616" ht="20.2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row>
    <row r="617" ht="20.2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row>
    <row r="618" ht="20.2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row>
    <row r="619" ht="20.2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row>
    <row r="620" ht="20.2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row>
    <row r="621" ht="20.2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row>
    <row r="622" ht="20.2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row>
    <row r="623" ht="20.2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row>
    <row r="624" ht="20.2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row>
    <row r="625" ht="20.2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row>
    <row r="626" ht="20.2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row>
    <row r="627" ht="20.2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row>
    <row r="628" ht="20.2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row>
    <row r="629" ht="20.2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row>
    <row r="630" ht="20.2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row>
    <row r="631" ht="20.2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row>
    <row r="632" ht="20.2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row>
    <row r="633" ht="20.2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row>
    <row r="634" ht="20.2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row>
    <row r="635" ht="20.2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row>
    <row r="636" ht="20.2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row>
    <row r="637" ht="20.2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row>
    <row r="638" ht="20.2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row>
    <row r="639" ht="20.2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row>
    <row r="640" ht="20.2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row>
    <row r="641" ht="20.2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row>
    <row r="642" ht="20.2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row>
    <row r="643" ht="20.2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row>
    <row r="644" ht="20.2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row>
    <row r="645" ht="20.2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row>
    <row r="646" ht="20.2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row>
    <row r="647" ht="20.2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row>
    <row r="648" ht="20.2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row>
    <row r="649" ht="20.2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row>
    <row r="650" ht="20.2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row>
    <row r="651" ht="20.2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row>
    <row r="652" ht="20.2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row>
    <row r="653" ht="20.2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row>
    <row r="654" ht="20.2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row>
    <row r="655" ht="20.2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row>
    <row r="656" ht="20.2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row>
    <row r="657" ht="20.2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row>
    <row r="658" ht="20.2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row>
    <row r="659" ht="20.2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row>
    <row r="660" ht="20.2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row>
    <row r="661" ht="20.2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row>
    <row r="662" ht="20.2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row>
    <row r="663" ht="20.2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row>
    <row r="664" ht="20.2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row>
    <row r="665" ht="20.2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row>
    <row r="666" ht="20.2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row>
    <row r="667" ht="20.2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row>
    <row r="668" ht="20.2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row>
    <row r="669" ht="20.2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row>
    <row r="670" ht="20.2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row>
    <row r="671" ht="20.2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row>
    <row r="672" ht="20.2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row>
    <row r="673" ht="20.2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row>
    <row r="674" ht="20.2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row>
    <row r="675" ht="20.2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row>
    <row r="676" ht="20.2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row>
    <row r="677" ht="20.2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row>
    <row r="678" ht="20.2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row>
    <row r="679" ht="20.2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row>
    <row r="680" ht="20.2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row>
    <row r="681" ht="20.2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row>
    <row r="682" ht="20.2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row>
    <row r="683" ht="20.2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row>
    <row r="684" ht="20.2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row>
    <row r="685" ht="20.2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row>
    <row r="686" ht="20.2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row>
    <row r="687" ht="20.2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row>
    <row r="688" ht="20.2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row>
    <row r="689" ht="20.2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row>
    <row r="690" ht="20.2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row>
    <row r="691" ht="20.2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row>
    <row r="692" ht="20.2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row>
    <row r="693" ht="20.2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row>
    <row r="694" ht="20.2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row>
    <row r="695" ht="20.2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row>
    <row r="696" ht="20.2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row>
    <row r="697" ht="20.2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row>
    <row r="698" ht="20.2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row>
    <row r="699" ht="20.2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row>
    <row r="700" ht="20.2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row>
    <row r="701" ht="20.2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row>
    <row r="702" ht="20.2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row>
    <row r="703" ht="20.2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row>
    <row r="704" ht="20.2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row>
    <row r="705" ht="20.2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row>
    <row r="706" ht="20.2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row>
    <row r="707" ht="20.2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row>
    <row r="708" ht="20.2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row>
    <row r="709" ht="20.2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row>
    <row r="710" ht="20.2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row>
    <row r="711" ht="20.2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row>
    <row r="712" ht="20.2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row>
    <row r="713" ht="20.2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row>
    <row r="714" ht="20.2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row>
    <row r="715" ht="20.2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row>
    <row r="716" ht="20.2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row>
    <row r="717" ht="20.2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row>
    <row r="718" ht="20.2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row>
    <row r="719" ht="20.2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row>
    <row r="720" ht="20.2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row>
    <row r="721" ht="20.2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row>
    <row r="722" ht="20.2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row>
    <row r="723" ht="20.2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row>
    <row r="724" ht="20.2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row>
    <row r="725" ht="20.2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row>
    <row r="726" ht="20.2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row>
    <row r="727" ht="20.2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row>
    <row r="728" ht="20.2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row>
    <row r="729" ht="20.2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row>
    <row r="730" ht="20.2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row>
    <row r="731" ht="20.2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row>
    <row r="732" ht="20.2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row>
    <row r="733" ht="20.2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row>
    <row r="734" ht="20.2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row>
    <row r="735" ht="20.2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row>
    <row r="736" ht="20.2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row>
    <row r="737" ht="20.2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row>
    <row r="738" ht="20.2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row>
    <row r="739" ht="20.2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row>
    <row r="740" ht="20.2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row>
    <row r="741" ht="20.2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row>
    <row r="742" ht="20.2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row>
    <row r="743" ht="20.2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row>
    <row r="744" ht="20.2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row>
    <row r="745" ht="20.2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row>
    <row r="746" ht="20.2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row>
    <row r="747" ht="20.2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row>
    <row r="748" ht="20.2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row>
    <row r="749" ht="20.2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row>
    <row r="750" ht="20.2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row>
    <row r="751" ht="20.2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row>
    <row r="752" ht="20.2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row>
    <row r="753" ht="20.2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row>
    <row r="754" ht="20.2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row>
    <row r="755" ht="20.2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row>
    <row r="756" ht="20.2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row>
    <row r="757" ht="20.2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row>
    <row r="758" ht="20.2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row>
    <row r="759" ht="20.2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row>
    <row r="760" ht="20.2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row>
    <row r="761" ht="20.2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row>
    <row r="762" ht="20.2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row>
    <row r="763" ht="20.2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row>
    <row r="764" ht="20.2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row>
    <row r="765" ht="20.2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row>
    <row r="766" ht="20.2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row>
    <row r="767" ht="20.2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row>
    <row r="768" ht="20.2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row>
    <row r="769" ht="20.2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row>
    <row r="770" ht="20.2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row>
    <row r="771" ht="20.2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row>
    <row r="772" ht="20.2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row>
    <row r="773" ht="20.2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row>
    <row r="774" ht="20.2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row>
    <row r="775" ht="20.2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row>
    <row r="776" ht="20.2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row>
    <row r="777" ht="20.2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row>
    <row r="778" ht="20.2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row>
    <row r="779" ht="20.2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row>
    <row r="780" ht="20.2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row>
    <row r="781" ht="20.2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row>
    <row r="782" ht="20.2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row>
    <row r="783" ht="20.2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row>
    <row r="784" ht="20.2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row>
    <row r="785" ht="20.2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row>
    <row r="786" ht="20.2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row>
    <row r="787" ht="20.2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row>
    <row r="788" ht="20.2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row>
    <row r="789" ht="20.2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row>
    <row r="790" ht="20.2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row>
    <row r="791" ht="20.2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row>
    <row r="792" ht="20.2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row>
    <row r="793" ht="20.2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row>
    <row r="794" ht="20.2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row>
    <row r="795" ht="20.2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row>
    <row r="796" ht="20.2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row>
    <row r="797" ht="20.2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row>
    <row r="798" ht="20.2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row>
    <row r="799" ht="20.2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row>
    <row r="800" ht="20.2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row>
    <row r="801" ht="20.2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row>
    <row r="802" ht="20.2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row>
    <row r="803" ht="20.2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row>
    <row r="804" ht="20.2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row>
    <row r="805" ht="20.2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row>
    <row r="806" ht="20.2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row>
    <row r="807" ht="20.2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row>
    <row r="808" ht="20.2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row>
    <row r="809" ht="20.2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row>
    <row r="810" ht="20.2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row>
    <row r="811" ht="20.2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row>
    <row r="812" ht="20.2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row>
    <row r="813" ht="20.2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row>
    <row r="814" ht="20.2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row>
    <row r="815" ht="20.2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row>
    <row r="816" ht="20.2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row>
    <row r="817" ht="20.2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row>
    <row r="818" ht="20.2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row>
    <row r="819" ht="20.2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row>
    <row r="820" ht="20.2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row>
    <row r="821" ht="20.2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row>
    <row r="822" ht="20.2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row>
    <row r="823" ht="20.2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row>
    <row r="824" ht="20.2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row>
    <row r="825" ht="20.2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row>
    <row r="826" ht="20.2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row>
    <row r="827" ht="20.2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row>
    <row r="828" ht="20.2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row>
    <row r="829" ht="20.2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row>
    <row r="830" ht="20.2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row>
    <row r="831" ht="20.2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row>
    <row r="832" ht="20.2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row>
    <row r="833" ht="20.2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row>
    <row r="834" ht="20.2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row>
    <row r="835" ht="20.2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row>
    <row r="836" ht="20.2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row>
    <row r="837" ht="20.2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row>
    <row r="838" ht="20.2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row>
    <row r="839" ht="20.2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row>
    <row r="840" ht="20.2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row>
    <row r="841" ht="20.2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row>
    <row r="842" ht="20.2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row>
    <row r="843" ht="20.2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row>
    <row r="844" ht="20.2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row>
    <row r="845" ht="20.2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row>
    <row r="846" ht="20.2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row>
    <row r="847" ht="20.2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row>
    <row r="848" ht="20.2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row>
    <row r="849" ht="20.2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row>
    <row r="850" ht="20.2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row>
    <row r="851" ht="20.2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row>
    <row r="852" ht="20.2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row>
    <row r="853" ht="20.2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row>
    <row r="854" ht="20.2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row>
    <row r="855" ht="20.2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row>
    <row r="856" ht="20.2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row>
    <row r="857" ht="20.2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row>
    <row r="858" ht="20.2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row>
    <row r="859" ht="20.2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row>
    <row r="860" ht="20.2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row>
    <row r="861" ht="20.2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row>
    <row r="862" ht="20.2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row>
    <row r="863" ht="20.2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row>
    <row r="864" ht="20.2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row>
    <row r="865" ht="20.2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row>
    <row r="866" ht="20.2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row>
    <row r="867" ht="20.2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row>
    <row r="868" ht="20.2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row>
    <row r="869" ht="20.2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row>
    <row r="870" ht="20.2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row>
    <row r="871" ht="20.2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row>
    <row r="872" ht="20.2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row>
    <row r="873" ht="20.2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row>
    <row r="874" ht="20.2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row>
    <row r="875" ht="20.2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row>
    <row r="876" ht="20.2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row>
    <row r="877" ht="20.2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row>
    <row r="878" ht="20.2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row>
    <row r="879" ht="20.2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row>
    <row r="880" ht="20.2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row>
    <row r="881" ht="20.2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row>
    <row r="882" ht="20.2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row>
    <row r="883" ht="20.2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row>
    <row r="884" ht="20.2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row>
    <row r="885" ht="20.2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row>
    <row r="886" ht="20.2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row>
    <row r="887" ht="20.2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row>
    <row r="888" ht="20.2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row>
    <row r="889" ht="20.2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row>
    <row r="890" ht="20.2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row>
    <row r="891" ht="20.2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row>
    <row r="892" ht="20.2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row>
    <row r="893" ht="20.2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row>
    <row r="894" ht="20.2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row>
    <row r="895" ht="20.2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row>
    <row r="896" ht="20.2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row>
    <row r="897" ht="20.2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row>
    <row r="898" ht="20.2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row>
    <row r="899" ht="20.2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row>
    <row r="900" ht="20.2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row>
    <row r="901" ht="20.2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row>
    <row r="902" ht="20.2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row>
    <row r="903" ht="20.2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row>
    <row r="904" ht="20.2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row>
    <row r="905" ht="20.2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row>
    <row r="906" ht="20.2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row>
    <row r="907" ht="20.2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row>
    <row r="908" ht="20.2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row>
    <row r="909" ht="20.2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row>
    <row r="910" ht="20.2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row>
    <row r="911" ht="20.2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row>
    <row r="912" ht="20.2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row>
    <row r="913" ht="20.2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row>
    <row r="914" ht="20.2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row>
    <row r="915" ht="20.2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row>
    <row r="916" ht="20.2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row>
    <row r="917" ht="20.2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row>
    <row r="918" ht="20.2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row>
    <row r="919" ht="20.2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row>
    <row r="920" ht="20.2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row>
    <row r="921" ht="20.2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row>
    <row r="922" ht="20.2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row>
    <row r="923" ht="20.2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row>
    <row r="924" ht="20.2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row>
    <row r="925" ht="20.2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row>
    <row r="926" ht="20.2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row>
    <row r="927" ht="20.2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row>
    <row r="928" ht="20.2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row>
    <row r="929" ht="20.2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row>
    <row r="930" ht="20.2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row>
    <row r="931" ht="20.2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row>
    <row r="932" ht="20.2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row>
    <row r="933" ht="20.2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row>
    <row r="934" ht="20.2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row>
    <row r="935" ht="20.2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row>
    <row r="936" ht="20.2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row>
    <row r="937" ht="20.2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row>
    <row r="938" ht="20.2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row>
    <row r="939" ht="20.2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row>
    <row r="940" ht="20.2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row>
    <row r="941" ht="20.2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row>
    <row r="942" ht="20.2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row>
    <row r="943" ht="20.2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row>
    <row r="944" ht="20.2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row>
    <row r="945" ht="20.2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row>
    <row r="946" ht="20.2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row>
    <row r="947" ht="20.2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row>
    <row r="948" ht="20.2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row>
    <row r="949" ht="20.2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row>
    <row r="950" ht="20.2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row>
    <row r="951" ht="20.2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row>
    <row r="952" ht="20.2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row>
    <row r="953" ht="20.2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row>
    <row r="954" ht="20.2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row>
    <row r="955" ht="20.2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row>
    <row r="956" ht="20.2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row>
    <row r="957" ht="20.2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row>
    <row r="958" ht="20.2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row>
    <row r="959" ht="20.2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row>
    <row r="960" ht="20.2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row>
    <row r="961" ht="20.2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row>
    <row r="962" ht="20.2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row>
    <row r="963" ht="20.2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row>
    <row r="964" ht="20.2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row>
    <row r="965" ht="20.2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row>
    <row r="966" ht="20.2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row>
    <row r="967" ht="20.2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row>
    <row r="968" ht="20.2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row>
    <row r="969" ht="20.2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row>
    <row r="970" ht="20.2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row>
    <row r="971" ht="20.2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row>
    <row r="972" ht="20.2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row>
    <row r="973" ht="20.2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row>
    <row r="974" ht="20.2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row>
    <row r="975" ht="20.2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row>
  </sheetData>
  <conditionalFormatting sqref="C327">
    <cfRule type="notContainsBlanks" dxfId="0" priority="1">
      <formula>LEN(TRIM(C327))&gt;0</formula>
    </cfRule>
  </conditionalFormatting>
  <dataValidations>
    <dataValidation type="list" allowBlank="1" showErrorMessage="1" sqref="F2:F274 F278:F281 F290 F300:F303 F305:F308 F310:F320 F323:F324 F326:F327 F330:F357 F368:F371 F387:F391 F393:F411 F426:F429 F431:F435 F438:F479 F481:F483 F485:F509 F511:F975">
      <formula1>"Saved,Applied,Interview,Offer,Accepted,Rejected,Archived,Done"</formula1>
    </dataValidation>
  </dataValidations>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C34"/>
    <hyperlink r:id="rId34" ref="E34"/>
    <hyperlink r:id="rId35" ref="E35"/>
    <hyperlink r:id="rId36" ref="E36"/>
    <hyperlink r:id="rId37" ref="E37"/>
    <hyperlink r:id="rId38" ref="E38"/>
    <hyperlink r:id="rId39" ref="E39"/>
    <hyperlink r:id="rId40" ref="E40"/>
    <hyperlink r:id="rId41" ref="E41"/>
    <hyperlink r:id="rId42" ref="E42"/>
    <hyperlink r:id="rId43" ref="E43"/>
    <hyperlink r:id="rId44" ref="E44"/>
    <hyperlink r:id="rId45" ref="E45"/>
    <hyperlink r:id="rId46" ref="E46"/>
    <hyperlink r:id="rId47" ref="E47"/>
    <hyperlink r:id="rId48" ref="E48"/>
    <hyperlink r:id="rId49" ref="E49"/>
    <hyperlink r:id="rId50" ref="E50"/>
    <hyperlink r:id="rId51" ref="E51"/>
    <hyperlink r:id="rId52" ref="E52"/>
    <hyperlink r:id="rId53" ref="E53"/>
    <hyperlink r:id="rId54" ref="E54"/>
    <hyperlink r:id="rId55" ref="E55"/>
    <hyperlink r:id="rId56" ref="E56"/>
    <hyperlink r:id="rId57" ref="E57"/>
    <hyperlink r:id="rId58" ref="E58"/>
    <hyperlink r:id="rId59" ref="E59"/>
    <hyperlink r:id="rId60" ref="E60"/>
    <hyperlink r:id="rId61" ref="E61"/>
    <hyperlink r:id="rId62" ref="E62"/>
    <hyperlink r:id="rId63" ref="E63"/>
    <hyperlink r:id="rId64" ref="E64"/>
    <hyperlink r:id="rId65" ref="E65"/>
    <hyperlink r:id="rId66" ref="E66"/>
    <hyperlink r:id="rId67" ref="E67"/>
    <hyperlink r:id="rId68" location="/jobDescription/904556" ref="E68"/>
    <hyperlink r:id="rId69" ref="E70"/>
    <hyperlink r:id="rId70" ref="E71"/>
    <hyperlink r:id="rId71" ref="E72"/>
    <hyperlink r:id="rId72" ref="E73"/>
    <hyperlink r:id="rId73" ref="E74"/>
    <hyperlink r:id="rId74" ref="E75"/>
    <hyperlink r:id="rId75" ref="E76"/>
    <hyperlink r:id="rId76" ref="E77"/>
    <hyperlink r:id="rId77" ref="E78"/>
    <hyperlink r:id="rId78" ref="E79"/>
    <hyperlink r:id="rId79" ref="E80"/>
    <hyperlink r:id="rId80" ref="E81"/>
    <hyperlink r:id="rId81" ref="E82"/>
    <hyperlink r:id="rId82" ref="E83"/>
    <hyperlink r:id="rId83" ref="E84"/>
    <hyperlink r:id="rId84" ref="E85"/>
    <hyperlink r:id="rId85" ref="E86"/>
    <hyperlink r:id="rId86" ref="E87"/>
    <hyperlink r:id="rId87" ref="E88"/>
    <hyperlink r:id="rId88" ref="E89"/>
    <hyperlink r:id="rId89" ref="E90"/>
    <hyperlink r:id="rId90" ref="E91"/>
    <hyperlink r:id="rId91" ref="E92"/>
    <hyperlink r:id="rId92" ref="E93"/>
    <hyperlink r:id="rId93" ref="E94"/>
    <hyperlink r:id="rId94" ref="E95"/>
    <hyperlink r:id="rId95" ref="E96"/>
    <hyperlink r:id="rId96" ref="E97"/>
    <hyperlink r:id="rId97" ref="E98"/>
    <hyperlink r:id="rId98" ref="E99"/>
    <hyperlink r:id="rId99" ref="E100"/>
    <hyperlink r:id="rId100" ref="E101"/>
    <hyperlink r:id="rId101" ref="C102"/>
    <hyperlink r:id="rId102" ref="E102"/>
    <hyperlink r:id="rId103" ref="E103"/>
    <hyperlink r:id="rId104" ref="E104"/>
    <hyperlink r:id="rId105" ref="E105"/>
    <hyperlink r:id="rId106" ref="E106"/>
    <hyperlink r:id="rId107" ref="E107"/>
    <hyperlink r:id="rId108" ref="E108"/>
    <hyperlink r:id="rId109" ref="E109"/>
    <hyperlink r:id="rId110" ref="E110"/>
    <hyperlink r:id="rId111" ref="E111"/>
    <hyperlink r:id="rId112" ref="E112"/>
    <hyperlink r:id="rId113" ref="E113"/>
    <hyperlink r:id="rId114" ref="E114"/>
    <hyperlink r:id="rId115" ref="E115"/>
    <hyperlink r:id="rId116" ref="E116"/>
    <hyperlink r:id="rId117" ref="E117"/>
    <hyperlink r:id="rId118" ref="E118"/>
    <hyperlink r:id="rId119" ref="E119"/>
    <hyperlink r:id="rId120" ref="E120"/>
    <hyperlink r:id="rId121" ref="E121"/>
    <hyperlink r:id="rId122" ref="E122"/>
    <hyperlink r:id="rId123" ref="E123"/>
    <hyperlink r:id="rId124" ref="E124"/>
    <hyperlink r:id="rId125" ref="E125"/>
    <hyperlink r:id="rId126" ref="E126"/>
    <hyperlink r:id="rId127" ref="E127"/>
    <hyperlink r:id="rId128" ref="E128"/>
    <hyperlink r:id="rId129" ref="E129"/>
    <hyperlink r:id="rId130" ref="E130"/>
    <hyperlink r:id="rId131" ref="E131"/>
    <hyperlink r:id="rId132" ref="E132"/>
    <hyperlink r:id="rId133" ref="E133"/>
    <hyperlink r:id="rId134" ref="E134"/>
    <hyperlink r:id="rId135" ref="E135"/>
    <hyperlink r:id="rId136" ref="E136"/>
    <hyperlink r:id="rId137" ref="E137"/>
    <hyperlink r:id="rId138" ref="E138"/>
    <hyperlink r:id="rId139" ref="E139"/>
    <hyperlink r:id="rId140" ref="E140"/>
    <hyperlink r:id="rId141" ref="E141"/>
    <hyperlink r:id="rId142" ref="E142"/>
    <hyperlink r:id="rId143" ref="E143"/>
    <hyperlink r:id="rId144" ref="E144"/>
    <hyperlink r:id="rId145" ref="E145"/>
    <hyperlink r:id="rId146" ref="E146"/>
    <hyperlink r:id="rId147" ref="E147"/>
    <hyperlink r:id="rId148" ref="E148"/>
    <hyperlink r:id="rId149" ref="E149"/>
    <hyperlink r:id="rId150" ref="E150"/>
    <hyperlink r:id="rId151" ref="E151"/>
    <hyperlink r:id="rId152" ref="E152"/>
    <hyperlink r:id="rId153" ref="E153"/>
    <hyperlink r:id="rId154" ref="E154"/>
    <hyperlink r:id="rId155" ref="E155"/>
    <hyperlink r:id="rId156" ref="E156"/>
    <hyperlink r:id="rId157" ref="E157"/>
    <hyperlink r:id="rId158" ref="E158"/>
    <hyperlink r:id="rId159" ref="E159"/>
    <hyperlink r:id="rId160" ref="E160"/>
    <hyperlink r:id="rId161" ref="E161"/>
    <hyperlink r:id="rId162" ref="E162"/>
    <hyperlink r:id="rId163" ref="E163"/>
    <hyperlink r:id="rId164" ref="E164"/>
    <hyperlink r:id="rId165" ref="E165"/>
    <hyperlink r:id="rId166" ref="E166"/>
    <hyperlink r:id="rId167" ref="E167"/>
    <hyperlink r:id="rId168" ref="E168"/>
    <hyperlink r:id="rId169" ref="E169"/>
    <hyperlink r:id="rId170" ref="E170"/>
    <hyperlink r:id="rId171" ref="E171"/>
    <hyperlink r:id="rId172" ref="E172"/>
    <hyperlink r:id="rId173" ref="E173"/>
    <hyperlink r:id="rId174" ref="E174"/>
    <hyperlink r:id="rId175" ref="E175"/>
    <hyperlink r:id="rId176" ref="E176"/>
    <hyperlink r:id="rId177" ref="E177"/>
    <hyperlink r:id="rId178" ref="E178"/>
    <hyperlink r:id="rId179" ref="E179"/>
    <hyperlink r:id="rId180" ref="E180"/>
    <hyperlink r:id="rId181" ref="E181"/>
    <hyperlink r:id="rId182" ref="E182"/>
    <hyperlink r:id="rId183" ref="E183"/>
    <hyperlink r:id="rId184" ref="E184"/>
    <hyperlink r:id="rId185" ref="E185"/>
    <hyperlink r:id="rId186" ref="E186"/>
    <hyperlink r:id="rId187" ref="E187"/>
    <hyperlink r:id="rId188" ref="E188"/>
    <hyperlink r:id="rId189" ref="E189"/>
    <hyperlink r:id="rId190" ref="E190"/>
    <hyperlink r:id="rId191" ref="E191"/>
    <hyperlink r:id="rId192" ref="E192"/>
    <hyperlink r:id="rId193" ref="E193"/>
    <hyperlink r:id="rId194" ref="E194"/>
    <hyperlink r:id="rId195" ref="E195"/>
    <hyperlink r:id="rId196" ref="E196"/>
    <hyperlink r:id="rId197" ref="E197"/>
    <hyperlink r:id="rId198" ref="E198"/>
    <hyperlink r:id="rId199" ref="E199"/>
    <hyperlink r:id="rId200" ref="E200"/>
    <hyperlink r:id="rId201" ref="E201"/>
    <hyperlink r:id="rId202" ref="E202"/>
    <hyperlink r:id="rId203" ref="E203"/>
    <hyperlink r:id="rId204" ref="E204"/>
    <hyperlink r:id="rId205" ref="E205"/>
    <hyperlink r:id="rId206" ref="E206"/>
    <hyperlink r:id="rId207" ref="E207"/>
    <hyperlink r:id="rId208" ref="E208"/>
    <hyperlink r:id="rId209" ref="E209"/>
    <hyperlink r:id="rId210" ref="E210"/>
    <hyperlink r:id="rId211" ref="E211"/>
    <hyperlink r:id="rId212" ref="C215"/>
    <hyperlink r:id="rId213" ref="E248"/>
    <hyperlink r:id="rId214" ref="E265"/>
    <hyperlink r:id="rId215" ref="E274"/>
    <hyperlink r:id="rId216" ref="E278"/>
    <hyperlink r:id="rId217" ref="E279"/>
    <hyperlink r:id="rId218" ref="E280"/>
    <hyperlink r:id="rId219" ref="E281"/>
    <hyperlink r:id="rId220" ref="E290"/>
    <hyperlink r:id="rId221" ref="B298"/>
    <hyperlink r:id="rId222" ref="E303"/>
    <hyperlink r:id="rId223" ref="E308"/>
    <hyperlink r:id="rId224" ref="E326"/>
    <hyperlink r:id="rId225" ref="E327"/>
    <hyperlink r:id="rId226" ref="C370"/>
    <hyperlink r:id="rId227" ref="C371"/>
    <hyperlink r:id="rId228" ref="C413"/>
    <hyperlink r:id="rId229" ref="C414"/>
    <hyperlink r:id="rId230" ref="D507"/>
    <hyperlink r:id="rId231" ref="D509"/>
  </hyperlinks>
  <drawing r:id="rId23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13.63"/>
    <col customWidth="1" min="3" max="3" width="14.0"/>
    <col customWidth="1" min="4" max="4" width="11.13"/>
    <col customWidth="1" min="5" max="5" width="11.75"/>
    <col customWidth="1" min="6" max="6" width="21.38"/>
    <col customWidth="1" min="7" max="7" width="16.88"/>
    <col customWidth="1" min="8" max="8" width="101.13"/>
  </cols>
  <sheetData>
    <row r="1">
      <c r="A1" s="41" t="s">
        <v>1</v>
      </c>
      <c r="B1" s="41" t="s">
        <v>2</v>
      </c>
      <c r="C1" s="41" t="s">
        <v>2166</v>
      </c>
      <c r="D1" s="41" t="s">
        <v>2167</v>
      </c>
      <c r="E1" s="41" t="s">
        <v>2168</v>
      </c>
      <c r="F1" s="42" t="s">
        <v>7</v>
      </c>
      <c r="G1" s="41" t="s">
        <v>12</v>
      </c>
      <c r="H1" s="43"/>
      <c r="I1" s="44"/>
      <c r="J1" s="44"/>
      <c r="K1" s="44"/>
      <c r="L1" s="44"/>
      <c r="M1" s="44"/>
      <c r="N1" s="44"/>
      <c r="O1" s="44"/>
      <c r="P1" s="44"/>
      <c r="Q1" s="44"/>
      <c r="R1" s="44"/>
      <c r="S1" s="44"/>
      <c r="T1" s="44"/>
      <c r="U1" s="44"/>
      <c r="V1" s="44"/>
      <c r="W1" s="44"/>
      <c r="X1" s="44"/>
      <c r="Y1" s="44"/>
      <c r="Z1" s="44"/>
    </row>
    <row r="2">
      <c r="A2" s="1">
        <v>1.0</v>
      </c>
      <c r="B2" s="1" t="s">
        <v>2169</v>
      </c>
      <c r="C2" s="1" t="s">
        <v>2170</v>
      </c>
      <c r="D2" s="45">
        <v>46075.0</v>
      </c>
      <c r="E2" s="2"/>
      <c r="F2" s="7"/>
      <c r="G2" s="46" t="s">
        <v>2171</v>
      </c>
      <c r="H2" s="7"/>
      <c r="I2" s="2"/>
      <c r="J2" s="2"/>
      <c r="K2" s="2"/>
      <c r="L2" s="2"/>
      <c r="M2" s="2"/>
      <c r="N2" s="2"/>
      <c r="O2" s="2"/>
      <c r="P2" s="2"/>
      <c r="Q2" s="2"/>
      <c r="R2" s="2"/>
      <c r="S2" s="2"/>
      <c r="T2" s="2"/>
      <c r="U2" s="2"/>
      <c r="V2" s="2"/>
      <c r="W2" s="2"/>
      <c r="X2" s="2"/>
      <c r="Y2" s="2"/>
      <c r="Z2" s="2"/>
    </row>
    <row r="3">
      <c r="A3" s="1">
        <v>2.0</v>
      </c>
      <c r="B3" s="1" t="s">
        <v>2172</v>
      </c>
      <c r="C3" s="1" t="s">
        <v>1074</v>
      </c>
      <c r="D3" s="45">
        <v>46075.0</v>
      </c>
      <c r="E3" s="2"/>
      <c r="F3" s="3" t="s">
        <v>2173</v>
      </c>
      <c r="G3" s="47" t="s">
        <v>2174</v>
      </c>
      <c r="H3" s="3" t="s">
        <v>2175</v>
      </c>
      <c r="I3" s="2"/>
      <c r="J3" s="2"/>
      <c r="K3" s="2"/>
      <c r="L3" s="2"/>
      <c r="M3" s="2"/>
      <c r="N3" s="2"/>
      <c r="O3" s="2"/>
      <c r="P3" s="2"/>
      <c r="Q3" s="2"/>
      <c r="R3" s="2"/>
      <c r="S3" s="2"/>
      <c r="T3" s="2"/>
      <c r="U3" s="2"/>
      <c r="V3" s="2"/>
      <c r="W3" s="2"/>
      <c r="X3" s="2"/>
      <c r="Y3" s="2"/>
      <c r="Z3" s="2"/>
    </row>
    <row r="4">
      <c r="A4" s="2"/>
      <c r="B4" s="2"/>
      <c r="C4" s="2"/>
      <c r="D4" s="2"/>
      <c r="E4" s="2"/>
      <c r="F4" s="7"/>
      <c r="G4" s="2"/>
      <c r="H4" s="7"/>
      <c r="I4" s="2"/>
      <c r="J4" s="2"/>
      <c r="K4" s="2"/>
      <c r="L4" s="2"/>
      <c r="M4" s="2"/>
      <c r="N4" s="2"/>
      <c r="O4" s="2"/>
      <c r="P4" s="2"/>
      <c r="Q4" s="2"/>
      <c r="R4" s="2"/>
      <c r="S4" s="2"/>
      <c r="T4" s="2"/>
      <c r="U4" s="2"/>
      <c r="V4" s="2"/>
      <c r="W4" s="2"/>
      <c r="X4" s="2"/>
      <c r="Y4" s="2"/>
      <c r="Z4" s="2"/>
    </row>
    <row r="5">
      <c r="A5" s="2"/>
      <c r="B5" s="2"/>
      <c r="C5" s="2"/>
      <c r="D5" s="2"/>
      <c r="E5" s="2"/>
      <c r="F5" s="7"/>
      <c r="G5" s="2"/>
      <c r="H5" s="7"/>
      <c r="I5" s="2"/>
      <c r="J5" s="2"/>
      <c r="K5" s="2"/>
      <c r="L5" s="2"/>
      <c r="M5" s="2"/>
      <c r="N5" s="2"/>
      <c r="O5" s="2"/>
      <c r="P5" s="2"/>
      <c r="Q5" s="2"/>
      <c r="R5" s="2"/>
      <c r="S5" s="2"/>
      <c r="T5" s="2"/>
      <c r="U5" s="2"/>
      <c r="V5" s="2"/>
      <c r="W5" s="2"/>
      <c r="X5" s="2"/>
      <c r="Y5" s="2"/>
      <c r="Z5" s="2"/>
    </row>
    <row r="6">
      <c r="A6" s="2"/>
      <c r="B6" s="2"/>
      <c r="C6" s="2"/>
      <c r="D6" s="2"/>
      <c r="E6" s="2"/>
      <c r="F6" s="7"/>
      <c r="G6" s="2"/>
      <c r="H6" s="7"/>
      <c r="I6" s="2"/>
      <c r="J6" s="2"/>
      <c r="K6" s="2"/>
      <c r="L6" s="2"/>
      <c r="M6" s="2"/>
      <c r="N6" s="2"/>
      <c r="O6" s="2"/>
      <c r="P6" s="2"/>
      <c r="Q6" s="2"/>
      <c r="R6" s="2"/>
      <c r="S6" s="2"/>
      <c r="T6" s="2"/>
      <c r="U6" s="2"/>
      <c r="V6" s="2"/>
      <c r="W6" s="2"/>
      <c r="X6" s="2"/>
      <c r="Y6" s="2"/>
      <c r="Z6" s="2"/>
    </row>
    <row r="7">
      <c r="A7" s="2"/>
      <c r="B7" s="2"/>
      <c r="C7" s="2"/>
      <c r="D7" s="2"/>
      <c r="E7" s="2"/>
      <c r="F7" s="7"/>
      <c r="G7" s="2"/>
      <c r="H7" s="7"/>
      <c r="I7" s="2"/>
      <c r="J7" s="2"/>
      <c r="K7" s="2"/>
      <c r="L7" s="2"/>
      <c r="M7" s="2"/>
      <c r="N7" s="2"/>
      <c r="O7" s="2"/>
      <c r="P7" s="2"/>
      <c r="Q7" s="2"/>
      <c r="R7" s="2"/>
      <c r="S7" s="2"/>
      <c r="T7" s="2"/>
      <c r="U7" s="2"/>
      <c r="V7" s="2"/>
      <c r="W7" s="2"/>
      <c r="X7" s="2"/>
      <c r="Y7" s="2"/>
      <c r="Z7" s="2"/>
    </row>
    <row r="8">
      <c r="A8" s="2"/>
      <c r="B8" s="2"/>
      <c r="C8" s="2"/>
      <c r="D8" s="2"/>
      <c r="E8" s="2"/>
      <c r="F8" s="7"/>
      <c r="G8" s="2"/>
      <c r="H8" s="7"/>
      <c r="I8" s="2"/>
      <c r="J8" s="2"/>
      <c r="K8" s="2"/>
      <c r="L8" s="2"/>
      <c r="M8" s="2"/>
      <c r="N8" s="2"/>
      <c r="O8" s="2"/>
      <c r="P8" s="2"/>
      <c r="Q8" s="2"/>
      <c r="R8" s="2"/>
      <c r="S8" s="2"/>
      <c r="T8" s="2"/>
      <c r="U8" s="2"/>
      <c r="V8" s="2"/>
      <c r="W8" s="2"/>
      <c r="X8" s="2"/>
      <c r="Y8" s="2"/>
      <c r="Z8" s="2"/>
    </row>
    <row r="9">
      <c r="A9" s="2"/>
      <c r="B9" s="2"/>
      <c r="C9" s="2"/>
      <c r="D9" s="2"/>
      <c r="E9" s="2"/>
      <c r="F9" s="7"/>
      <c r="G9" s="2"/>
      <c r="H9" s="7"/>
      <c r="I9" s="2"/>
      <c r="J9" s="2"/>
      <c r="K9" s="2"/>
      <c r="L9" s="2"/>
      <c r="M9" s="2"/>
      <c r="N9" s="2"/>
      <c r="O9" s="2"/>
      <c r="P9" s="2"/>
      <c r="Q9" s="2"/>
      <c r="R9" s="2"/>
      <c r="S9" s="2"/>
      <c r="T9" s="2"/>
      <c r="U9" s="2"/>
      <c r="V9" s="2"/>
      <c r="W9" s="2"/>
      <c r="X9" s="2"/>
      <c r="Y9" s="2"/>
      <c r="Z9" s="2"/>
    </row>
    <row r="10">
      <c r="A10" s="2"/>
      <c r="B10" s="2"/>
      <c r="C10" s="2"/>
      <c r="D10" s="2"/>
      <c r="E10" s="2"/>
      <c r="F10" s="7"/>
      <c r="G10" s="2"/>
      <c r="H10" s="7"/>
      <c r="I10" s="2"/>
      <c r="J10" s="2"/>
      <c r="K10" s="2"/>
      <c r="L10" s="2"/>
      <c r="M10" s="2"/>
      <c r="N10" s="2"/>
      <c r="O10" s="2"/>
      <c r="P10" s="2"/>
      <c r="Q10" s="2"/>
      <c r="R10" s="2"/>
      <c r="S10" s="2"/>
      <c r="T10" s="2"/>
      <c r="U10" s="2"/>
      <c r="V10" s="2"/>
      <c r="W10" s="2"/>
      <c r="X10" s="2"/>
      <c r="Y10" s="2"/>
      <c r="Z10" s="2"/>
    </row>
    <row r="11">
      <c r="A11" s="2"/>
      <c r="B11" s="2"/>
      <c r="C11" s="2"/>
      <c r="D11" s="2"/>
      <c r="E11" s="2"/>
      <c r="F11" s="7"/>
      <c r="G11" s="2"/>
      <c r="H11" s="7"/>
      <c r="I11" s="2"/>
      <c r="J11" s="2"/>
      <c r="K11" s="2"/>
      <c r="L11" s="2"/>
      <c r="M11" s="2"/>
      <c r="N11" s="2"/>
      <c r="O11" s="2"/>
      <c r="P11" s="2"/>
      <c r="Q11" s="2"/>
      <c r="R11" s="2"/>
      <c r="S11" s="2"/>
      <c r="T11" s="2"/>
      <c r="U11" s="2"/>
      <c r="V11" s="2"/>
      <c r="W11" s="2"/>
      <c r="X11" s="2"/>
      <c r="Y11" s="2"/>
      <c r="Z11" s="2"/>
    </row>
    <row r="12">
      <c r="A12" s="2"/>
      <c r="B12" s="2"/>
      <c r="C12" s="2"/>
      <c r="D12" s="2"/>
      <c r="E12" s="2"/>
      <c r="F12" s="7"/>
      <c r="G12" s="2"/>
      <c r="H12" s="7"/>
      <c r="I12" s="2"/>
      <c r="J12" s="2"/>
      <c r="K12" s="2"/>
      <c r="L12" s="2"/>
      <c r="M12" s="2"/>
      <c r="N12" s="2"/>
      <c r="O12" s="2"/>
      <c r="P12" s="2"/>
      <c r="Q12" s="2"/>
      <c r="R12" s="2"/>
      <c r="S12" s="2"/>
      <c r="T12" s="2"/>
      <c r="U12" s="2"/>
      <c r="V12" s="2"/>
      <c r="W12" s="2"/>
      <c r="X12" s="2"/>
      <c r="Y12" s="2"/>
      <c r="Z12" s="2"/>
    </row>
    <row r="13">
      <c r="A13" s="2"/>
      <c r="B13" s="2"/>
      <c r="C13" s="2"/>
      <c r="D13" s="2"/>
      <c r="E13" s="2"/>
      <c r="F13" s="7"/>
      <c r="G13" s="2"/>
      <c r="H13" s="7"/>
      <c r="I13" s="2"/>
      <c r="J13" s="2"/>
      <c r="K13" s="2"/>
      <c r="L13" s="2"/>
      <c r="M13" s="2"/>
      <c r="N13" s="2"/>
      <c r="O13" s="2"/>
      <c r="P13" s="2"/>
      <c r="Q13" s="2"/>
      <c r="R13" s="2"/>
      <c r="S13" s="2"/>
      <c r="T13" s="2"/>
      <c r="U13" s="2"/>
      <c r="V13" s="2"/>
      <c r="W13" s="2"/>
      <c r="X13" s="2"/>
      <c r="Y13" s="2"/>
      <c r="Z13" s="2"/>
    </row>
    <row r="14">
      <c r="A14" s="2"/>
      <c r="B14" s="2"/>
      <c r="C14" s="2"/>
      <c r="D14" s="2"/>
      <c r="E14" s="2"/>
      <c r="F14" s="7"/>
      <c r="G14" s="2"/>
      <c r="H14" s="7"/>
      <c r="I14" s="2"/>
      <c r="J14" s="2"/>
      <c r="K14" s="2"/>
      <c r="L14" s="2"/>
      <c r="M14" s="2"/>
      <c r="N14" s="2"/>
      <c r="O14" s="2"/>
      <c r="P14" s="2"/>
      <c r="Q14" s="2"/>
      <c r="R14" s="2"/>
      <c r="S14" s="2"/>
      <c r="T14" s="2"/>
      <c r="U14" s="2"/>
      <c r="V14" s="2"/>
      <c r="W14" s="2"/>
      <c r="X14" s="2"/>
      <c r="Y14" s="2"/>
      <c r="Z14" s="2"/>
    </row>
    <row r="15">
      <c r="A15" s="2"/>
      <c r="B15" s="2"/>
      <c r="C15" s="2"/>
      <c r="D15" s="2"/>
      <c r="E15" s="2"/>
      <c r="F15" s="7"/>
      <c r="G15" s="2"/>
      <c r="H15" s="7"/>
      <c r="I15" s="2"/>
      <c r="J15" s="2"/>
      <c r="K15" s="2"/>
      <c r="L15" s="2"/>
      <c r="M15" s="2"/>
      <c r="N15" s="2"/>
      <c r="O15" s="2"/>
      <c r="P15" s="2"/>
      <c r="Q15" s="2"/>
      <c r="R15" s="2"/>
      <c r="S15" s="2"/>
      <c r="T15" s="2"/>
      <c r="U15" s="2"/>
      <c r="V15" s="2"/>
      <c r="W15" s="2"/>
      <c r="X15" s="2"/>
      <c r="Y15" s="2"/>
      <c r="Z15" s="2"/>
    </row>
    <row r="16">
      <c r="A16" s="2"/>
      <c r="B16" s="2"/>
      <c r="C16" s="2"/>
      <c r="D16" s="2"/>
      <c r="E16" s="2"/>
      <c r="F16" s="7"/>
      <c r="G16" s="2"/>
      <c r="H16" s="7"/>
      <c r="I16" s="2"/>
      <c r="J16" s="2"/>
      <c r="K16" s="2"/>
      <c r="L16" s="2"/>
      <c r="M16" s="2"/>
      <c r="N16" s="2"/>
      <c r="O16" s="2"/>
      <c r="P16" s="2"/>
      <c r="Q16" s="2"/>
      <c r="R16" s="2"/>
      <c r="S16" s="2"/>
      <c r="T16" s="2"/>
      <c r="U16" s="2"/>
      <c r="V16" s="2"/>
      <c r="W16" s="2"/>
      <c r="X16" s="2"/>
      <c r="Y16" s="2"/>
      <c r="Z16" s="2"/>
    </row>
    <row r="17">
      <c r="A17" s="2"/>
      <c r="B17" s="2"/>
      <c r="C17" s="2"/>
      <c r="D17" s="2"/>
      <c r="E17" s="2"/>
      <c r="F17" s="7"/>
      <c r="G17" s="2"/>
      <c r="H17" s="7"/>
      <c r="I17" s="2"/>
      <c r="J17" s="2"/>
      <c r="K17" s="2"/>
      <c r="L17" s="2"/>
      <c r="M17" s="2"/>
      <c r="N17" s="2"/>
      <c r="O17" s="2"/>
      <c r="P17" s="2"/>
      <c r="Q17" s="2"/>
      <c r="R17" s="2"/>
      <c r="S17" s="2"/>
      <c r="T17" s="2"/>
      <c r="U17" s="2"/>
      <c r="V17" s="2"/>
      <c r="W17" s="2"/>
      <c r="X17" s="2"/>
      <c r="Y17" s="2"/>
      <c r="Z17" s="2"/>
    </row>
    <row r="18">
      <c r="A18" s="2"/>
      <c r="B18" s="2"/>
      <c r="C18" s="2"/>
      <c r="D18" s="2"/>
      <c r="E18" s="2"/>
      <c r="F18" s="7"/>
      <c r="G18" s="2"/>
      <c r="H18" s="7"/>
      <c r="I18" s="2"/>
      <c r="J18" s="2"/>
      <c r="K18" s="2"/>
      <c r="L18" s="2"/>
      <c r="M18" s="2"/>
      <c r="N18" s="2"/>
      <c r="O18" s="2"/>
      <c r="P18" s="2"/>
      <c r="Q18" s="2"/>
      <c r="R18" s="2"/>
      <c r="S18" s="2"/>
      <c r="T18" s="2"/>
      <c r="U18" s="2"/>
      <c r="V18" s="2"/>
      <c r="W18" s="2"/>
      <c r="X18" s="2"/>
      <c r="Y18" s="2"/>
      <c r="Z18" s="2"/>
    </row>
    <row r="19">
      <c r="A19" s="2"/>
      <c r="B19" s="2"/>
      <c r="C19" s="2"/>
      <c r="D19" s="2"/>
      <c r="E19" s="2"/>
      <c r="F19" s="7"/>
      <c r="G19" s="2"/>
      <c r="H19" s="7"/>
      <c r="I19" s="2"/>
      <c r="J19" s="2"/>
      <c r="K19" s="2"/>
      <c r="L19" s="2"/>
      <c r="M19" s="2"/>
      <c r="N19" s="2"/>
      <c r="O19" s="2"/>
      <c r="P19" s="2"/>
      <c r="Q19" s="2"/>
      <c r="R19" s="2"/>
      <c r="S19" s="2"/>
      <c r="T19" s="2"/>
      <c r="U19" s="2"/>
      <c r="V19" s="2"/>
      <c r="W19" s="2"/>
      <c r="X19" s="2"/>
      <c r="Y19" s="2"/>
      <c r="Z19" s="2"/>
    </row>
    <row r="20">
      <c r="A20" s="2"/>
      <c r="B20" s="2"/>
      <c r="C20" s="2"/>
      <c r="D20" s="2"/>
      <c r="E20" s="2"/>
      <c r="F20" s="7"/>
      <c r="G20" s="2"/>
      <c r="H20" s="7"/>
      <c r="I20" s="2"/>
      <c r="J20" s="2"/>
      <c r="K20" s="2"/>
      <c r="L20" s="2"/>
      <c r="M20" s="2"/>
      <c r="N20" s="2"/>
      <c r="O20" s="2"/>
      <c r="P20" s="2"/>
      <c r="Q20" s="2"/>
      <c r="R20" s="2"/>
      <c r="S20" s="2"/>
      <c r="T20" s="2"/>
      <c r="U20" s="2"/>
      <c r="V20" s="2"/>
      <c r="W20" s="2"/>
      <c r="X20" s="2"/>
      <c r="Y20" s="2"/>
      <c r="Z20" s="2"/>
    </row>
    <row r="21">
      <c r="A21" s="2"/>
      <c r="B21" s="2"/>
      <c r="C21" s="2"/>
      <c r="D21" s="2"/>
      <c r="E21" s="2"/>
      <c r="F21" s="7"/>
      <c r="G21" s="2"/>
      <c r="H21" s="7"/>
      <c r="I21" s="2"/>
      <c r="J21" s="2"/>
      <c r="K21" s="2"/>
      <c r="L21" s="2"/>
      <c r="M21" s="2"/>
      <c r="N21" s="2"/>
      <c r="O21" s="2"/>
      <c r="P21" s="2"/>
      <c r="Q21" s="2"/>
      <c r="R21" s="2"/>
      <c r="S21" s="2"/>
      <c r="T21" s="2"/>
      <c r="U21" s="2"/>
      <c r="V21" s="2"/>
      <c r="W21" s="2"/>
      <c r="X21" s="2"/>
      <c r="Y21" s="2"/>
      <c r="Z21" s="2"/>
    </row>
    <row r="22">
      <c r="A22" s="2"/>
      <c r="B22" s="2"/>
      <c r="C22" s="2"/>
      <c r="D22" s="2"/>
      <c r="E22" s="2"/>
      <c r="F22" s="7"/>
      <c r="G22" s="2"/>
      <c r="H22" s="7"/>
      <c r="I22" s="2"/>
      <c r="J22" s="2"/>
      <c r="K22" s="2"/>
      <c r="L22" s="2"/>
      <c r="M22" s="2"/>
      <c r="N22" s="2"/>
      <c r="O22" s="2"/>
      <c r="P22" s="2"/>
      <c r="Q22" s="2"/>
      <c r="R22" s="2"/>
      <c r="S22" s="2"/>
      <c r="T22" s="2"/>
      <c r="U22" s="2"/>
      <c r="V22" s="2"/>
      <c r="W22" s="2"/>
      <c r="X22" s="2"/>
      <c r="Y22" s="2"/>
      <c r="Z22" s="2"/>
    </row>
    <row r="23">
      <c r="A23" s="2"/>
      <c r="B23" s="2"/>
      <c r="C23" s="2"/>
      <c r="D23" s="2"/>
      <c r="E23" s="2"/>
      <c r="F23" s="7"/>
      <c r="G23" s="2"/>
      <c r="H23" s="7"/>
      <c r="I23" s="2"/>
      <c r="J23" s="2"/>
      <c r="K23" s="2"/>
      <c r="L23" s="2"/>
      <c r="M23" s="2"/>
      <c r="N23" s="2"/>
      <c r="O23" s="2"/>
      <c r="P23" s="2"/>
      <c r="Q23" s="2"/>
      <c r="R23" s="2"/>
      <c r="S23" s="2"/>
      <c r="T23" s="2"/>
      <c r="U23" s="2"/>
      <c r="V23" s="2"/>
      <c r="W23" s="2"/>
      <c r="X23" s="2"/>
      <c r="Y23" s="2"/>
      <c r="Z23" s="2"/>
    </row>
    <row r="24">
      <c r="A24" s="2"/>
      <c r="B24" s="2"/>
      <c r="C24" s="2"/>
      <c r="D24" s="2"/>
      <c r="E24" s="2"/>
      <c r="F24" s="7"/>
      <c r="G24" s="2"/>
      <c r="H24" s="7"/>
      <c r="I24" s="2"/>
      <c r="J24" s="2"/>
      <c r="K24" s="2"/>
      <c r="L24" s="2"/>
      <c r="M24" s="2"/>
      <c r="N24" s="2"/>
      <c r="O24" s="2"/>
      <c r="P24" s="2"/>
      <c r="Q24" s="2"/>
      <c r="R24" s="2"/>
      <c r="S24" s="2"/>
      <c r="T24" s="2"/>
      <c r="U24" s="2"/>
      <c r="V24" s="2"/>
      <c r="W24" s="2"/>
      <c r="X24" s="2"/>
      <c r="Y24" s="2"/>
      <c r="Z24" s="2"/>
    </row>
    <row r="25">
      <c r="A25" s="2"/>
      <c r="B25" s="2"/>
      <c r="C25" s="2"/>
      <c r="D25" s="2"/>
      <c r="E25" s="2"/>
      <c r="F25" s="7"/>
      <c r="G25" s="2"/>
      <c r="H25" s="7"/>
      <c r="I25" s="2"/>
      <c r="J25" s="2"/>
      <c r="K25" s="2"/>
      <c r="L25" s="2"/>
      <c r="M25" s="2"/>
      <c r="N25" s="2"/>
      <c r="O25" s="2"/>
      <c r="P25" s="2"/>
      <c r="Q25" s="2"/>
      <c r="R25" s="2"/>
      <c r="S25" s="2"/>
      <c r="T25" s="2"/>
      <c r="U25" s="2"/>
      <c r="V25" s="2"/>
      <c r="W25" s="2"/>
      <c r="X25" s="2"/>
      <c r="Y25" s="2"/>
      <c r="Z25" s="2"/>
    </row>
    <row r="26">
      <c r="A26" s="2"/>
      <c r="B26" s="2"/>
      <c r="C26" s="2"/>
      <c r="D26" s="2"/>
      <c r="E26" s="2"/>
      <c r="F26" s="7"/>
      <c r="G26" s="2"/>
      <c r="H26" s="7"/>
      <c r="I26" s="2"/>
      <c r="J26" s="2"/>
      <c r="K26" s="2"/>
      <c r="L26" s="2"/>
      <c r="M26" s="2"/>
      <c r="N26" s="2"/>
      <c r="O26" s="2"/>
      <c r="P26" s="2"/>
      <c r="Q26" s="2"/>
      <c r="R26" s="2"/>
      <c r="S26" s="2"/>
      <c r="T26" s="2"/>
      <c r="U26" s="2"/>
      <c r="V26" s="2"/>
      <c r="W26" s="2"/>
      <c r="X26" s="2"/>
      <c r="Y26" s="2"/>
      <c r="Z26" s="2"/>
    </row>
    <row r="27">
      <c r="A27" s="2"/>
      <c r="B27" s="2"/>
      <c r="C27" s="2"/>
      <c r="D27" s="2"/>
      <c r="E27" s="2"/>
      <c r="F27" s="7"/>
      <c r="G27" s="2"/>
      <c r="H27" s="7"/>
      <c r="I27" s="2"/>
      <c r="J27" s="2"/>
      <c r="K27" s="2"/>
      <c r="L27" s="2"/>
      <c r="M27" s="2"/>
      <c r="N27" s="2"/>
      <c r="O27" s="2"/>
      <c r="P27" s="2"/>
      <c r="Q27" s="2"/>
      <c r="R27" s="2"/>
      <c r="S27" s="2"/>
      <c r="T27" s="2"/>
      <c r="U27" s="2"/>
      <c r="V27" s="2"/>
      <c r="W27" s="2"/>
      <c r="X27" s="2"/>
      <c r="Y27" s="2"/>
      <c r="Z27" s="2"/>
    </row>
    <row r="28">
      <c r="A28" s="2"/>
      <c r="B28" s="2"/>
      <c r="C28" s="2"/>
      <c r="D28" s="2"/>
      <c r="E28" s="2"/>
      <c r="F28" s="7"/>
      <c r="G28" s="2"/>
      <c r="H28" s="7"/>
      <c r="I28" s="2"/>
      <c r="J28" s="2"/>
      <c r="K28" s="2"/>
      <c r="L28" s="2"/>
      <c r="M28" s="2"/>
      <c r="N28" s="2"/>
      <c r="O28" s="2"/>
      <c r="P28" s="2"/>
      <c r="Q28" s="2"/>
      <c r="R28" s="2"/>
      <c r="S28" s="2"/>
      <c r="T28" s="2"/>
      <c r="U28" s="2"/>
      <c r="V28" s="2"/>
      <c r="W28" s="2"/>
      <c r="X28" s="2"/>
      <c r="Y28" s="2"/>
      <c r="Z28" s="2"/>
    </row>
    <row r="29">
      <c r="A29" s="2"/>
      <c r="B29" s="2"/>
      <c r="C29" s="2"/>
      <c r="D29" s="2"/>
      <c r="E29" s="2"/>
      <c r="F29" s="7"/>
      <c r="G29" s="2"/>
      <c r="H29" s="7"/>
      <c r="I29" s="2"/>
      <c r="J29" s="2"/>
      <c r="K29" s="2"/>
      <c r="L29" s="2"/>
      <c r="M29" s="2"/>
      <c r="N29" s="2"/>
      <c r="O29" s="2"/>
      <c r="P29" s="2"/>
      <c r="Q29" s="2"/>
      <c r="R29" s="2"/>
      <c r="S29" s="2"/>
      <c r="T29" s="2"/>
      <c r="U29" s="2"/>
      <c r="V29" s="2"/>
      <c r="W29" s="2"/>
      <c r="X29" s="2"/>
      <c r="Y29" s="2"/>
      <c r="Z29" s="2"/>
    </row>
    <row r="30">
      <c r="A30" s="2"/>
      <c r="B30" s="2"/>
      <c r="C30" s="2"/>
      <c r="D30" s="2"/>
      <c r="E30" s="2"/>
      <c r="F30" s="7"/>
      <c r="G30" s="2"/>
      <c r="H30" s="7"/>
      <c r="I30" s="2"/>
      <c r="J30" s="2"/>
      <c r="K30" s="2"/>
      <c r="L30" s="2"/>
      <c r="M30" s="2"/>
      <c r="N30" s="2"/>
      <c r="O30" s="2"/>
      <c r="P30" s="2"/>
      <c r="Q30" s="2"/>
      <c r="R30" s="2"/>
      <c r="S30" s="2"/>
      <c r="T30" s="2"/>
      <c r="U30" s="2"/>
      <c r="V30" s="2"/>
      <c r="W30" s="2"/>
      <c r="X30" s="2"/>
      <c r="Y30" s="2"/>
      <c r="Z30" s="2"/>
    </row>
    <row r="31">
      <c r="A31" s="2"/>
      <c r="B31" s="2"/>
      <c r="C31" s="2"/>
      <c r="D31" s="2"/>
      <c r="E31" s="2"/>
      <c r="F31" s="7"/>
      <c r="G31" s="2"/>
      <c r="H31" s="7"/>
      <c r="I31" s="2"/>
      <c r="J31" s="2"/>
      <c r="K31" s="2"/>
      <c r="L31" s="2"/>
      <c r="M31" s="2"/>
      <c r="N31" s="2"/>
      <c r="O31" s="2"/>
      <c r="P31" s="2"/>
      <c r="Q31" s="2"/>
      <c r="R31" s="2"/>
      <c r="S31" s="2"/>
      <c r="T31" s="2"/>
      <c r="U31" s="2"/>
      <c r="V31" s="2"/>
      <c r="W31" s="2"/>
      <c r="X31" s="2"/>
      <c r="Y31" s="2"/>
      <c r="Z31" s="2"/>
    </row>
    <row r="32">
      <c r="A32" s="2"/>
      <c r="B32" s="2"/>
      <c r="C32" s="2"/>
      <c r="D32" s="2"/>
      <c r="E32" s="2"/>
      <c r="F32" s="7"/>
      <c r="G32" s="2"/>
      <c r="H32" s="7"/>
      <c r="I32" s="2"/>
      <c r="J32" s="2"/>
      <c r="K32" s="2"/>
      <c r="L32" s="2"/>
      <c r="M32" s="2"/>
      <c r="N32" s="2"/>
      <c r="O32" s="2"/>
      <c r="P32" s="2"/>
      <c r="Q32" s="2"/>
      <c r="R32" s="2"/>
      <c r="S32" s="2"/>
      <c r="T32" s="2"/>
      <c r="U32" s="2"/>
      <c r="V32" s="2"/>
      <c r="W32" s="2"/>
      <c r="X32" s="2"/>
      <c r="Y32" s="2"/>
      <c r="Z32" s="2"/>
    </row>
    <row r="33">
      <c r="A33" s="2"/>
      <c r="B33" s="2"/>
      <c r="C33" s="2"/>
      <c r="D33" s="2"/>
      <c r="E33" s="2"/>
      <c r="F33" s="7"/>
      <c r="G33" s="2"/>
      <c r="H33" s="7"/>
      <c r="I33" s="2"/>
      <c r="J33" s="2"/>
      <c r="K33" s="2"/>
      <c r="L33" s="2"/>
      <c r="M33" s="2"/>
      <c r="N33" s="2"/>
      <c r="O33" s="2"/>
      <c r="P33" s="2"/>
      <c r="Q33" s="2"/>
      <c r="R33" s="2"/>
      <c r="S33" s="2"/>
      <c r="T33" s="2"/>
      <c r="U33" s="2"/>
      <c r="V33" s="2"/>
      <c r="W33" s="2"/>
      <c r="X33" s="2"/>
      <c r="Y33" s="2"/>
      <c r="Z33" s="2"/>
    </row>
    <row r="34">
      <c r="A34" s="2"/>
      <c r="B34" s="2"/>
      <c r="C34" s="2"/>
      <c r="D34" s="2"/>
      <c r="E34" s="2"/>
      <c r="F34" s="7"/>
      <c r="G34" s="2"/>
      <c r="H34" s="7"/>
      <c r="I34" s="2"/>
      <c r="J34" s="2"/>
      <c r="K34" s="2"/>
      <c r="L34" s="2"/>
      <c r="M34" s="2"/>
      <c r="N34" s="2"/>
      <c r="O34" s="2"/>
      <c r="P34" s="2"/>
      <c r="Q34" s="2"/>
      <c r="R34" s="2"/>
      <c r="S34" s="2"/>
      <c r="T34" s="2"/>
      <c r="U34" s="2"/>
      <c r="V34" s="2"/>
      <c r="W34" s="2"/>
      <c r="X34" s="2"/>
      <c r="Y34" s="2"/>
      <c r="Z34" s="2"/>
    </row>
    <row r="35">
      <c r="A35" s="2"/>
      <c r="B35" s="2"/>
      <c r="C35" s="2"/>
      <c r="D35" s="2"/>
      <c r="E35" s="2"/>
      <c r="F35" s="7"/>
      <c r="G35" s="2"/>
      <c r="H35" s="7"/>
      <c r="I35" s="2"/>
      <c r="J35" s="2"/>
      <c r="K35" s="2"/>
      <c r="L35" s="2"/>
      <c r="M35" s="2"/>
      <c r="N35" s="2"/>
      <c r="O35" s="2"/>
      <c r="P35" s="2"/>
      <c r="Q35" s="2"/>
      <c r="R35" s="2"/>
      <c r="S35" s="2"/>
      <c r="T35" s="2"/>
      <c r="U35" s="2"/>
      <c r="V35" s="2"/>
      <c r="W35" s="2"/>
      <c r="X35" s="2"/>
      <c r="Y35" s="2"/>
      <c r="Z35" s="2"/>
    </row>
    <row r="36">
      <c r="A36" s="2"/>
      <c r="B36" s="2"/>
      <c r="C36" s="2"/>
      <c r="D36" s="2"/>
      <c r="E36" s="2"/>
      <c r="F36" s="7"/>
      <c r="G36" s="2"/>
      <c r="H36" s="7"/>
      <c r="I36" s="2"/>
      <c r="J36" s="2"/>
      <c r="K36" s="2"/>
      <c r="L36" s="2"/>
      <c r="M36" s="2"/>
      <c r="N36" s="2"/>
      <c r="O36" s="2"/>
      <c r="P36" s="2"/>
      <c r="Q36" s="2"/>
      <c r="R36" s="2"/>
      <c r="S36" s="2"/>
      <c r="T36" s="2"/>
      <c r="U36" s="2"/>
      <c r="V36" s="2"/>
      <c r="W36" s="2"/>
      <c r="X36" s="2"/>
      <c r="Y36" s="2"/>
      <c r="Z36" s="2"/>
    </row>
    <row r="37">
      <c r="A37" s="2"/>
      <c r="B37" s="2"/>
      <c r="C37" s="2"/>
      <c r="D37" s="2"/>
      <c r="E37" s="2"/>
      <c r="F37" s="7"/>
      <c r="G37" s="2"/>
      <c r="H37" s="7"/>
      <c r="I37" s="2"/>
      <c r="J37" s="2"/>
      <c r="K37" s="2"/>
      <c r="L37" s="2"/>
      <c r="M37" s="2"/>
      <c r="N37" s="2"/>
      <c r="O37" s="2"/>
      <c r="P37" s="2"/>
      <c r="Q37" s="2"/>
      <c r="R37" s="2"/>
      <c r="S37" s="2"/>
      <c r="T37" s="2"/>
      <c r="U37" s="2"/>
      <c r="V37" s="2"/>
      <c r="W37" s="2"/>
      <c r="X37" s="2"/>
      <c r="Y37" s="2"/>
      <c r="Z37" s="2"/>
    </row>
    <row r="38">
      <c r="A38" s="2"/>
      <c r="B38" s="2"/>
      <c r="C38" s="2"/>
      <c r="D38" s="2"/>
      <c r="E38" s="2"/>
      <c r="F38" s="7"/>
      <c r="G38" s="2"/>
      <c r="H38" s="7"/>
      <c r="I38" s="2"/>
      <c r="J38" s="2"/>
      <c r="K38" s="2"/>
      <c r="L38" s="2"/>
      <c r="M38" s="2"/>
      <c r="N38" s="2"/>
      <c r="O38" s="2"/>
      <c r="P38" s="2"/>
      <c r="Q38" s="2"/>
      <c r="R38" s="2"/>
      <c r="S38" s="2"/>
      <c r="T38" s="2"/>
      <c r="U38" s="2"/>
      <c r="V38" s="2"/>
      <c r="W38" s="2"/>
      <c r="X38" s="2"/>
      <c r="Y38" s="2"/>
      <c r="Z38" s="2"/>
    </row>
    <row r="39">
      <c r="A39" s="2"/>
      <c r="B39" s="2"/>
      <c r="C39" s="2"/>
      <c r="D39" s="2"/>
      <c r="E39" s="2"/>
      <c r="F39" s="7"/>
      <c r="G39" s="2"/>
      <c r="H39" s="7"/>
      <c r="I39" s="2"/>
      <c r="J39" s="2"/>
      <c r="K39" s="2"/>
      <c r="L39" s="2"/>
      <c r="M39" s="2"/>
      <c r="N39" s="2"/>
      <c r="O39" s="2"/>
      <c r="P39" s="2"/>
      <c r="Q39" s="2"/>
      <c r="R39" s="2"/>
      <c r="S39" s="2"/>
      <c r="T39" s="2"/>
      <c r="U39" s="2"/>
      <c r="V39" s="2"/>
      <c r="W39" s="2"/>
      <c r="X39" s="2"/>
      <c r="Y39" s="2"/>
      <c r="Z39" s="2"/>
    </row>
    <row r="40">
      <c r="A40" s="2"/>
      <c r="B40" s="2"/>
      <c r="C40" s="2"/>
      <c r="D40" s="2"/>
      <c r="E40" s="2"/>
      <c r="F40" s="7"/>
      <c r="G40" s="2"/>
      <c r="H40" s="7"/>
      <c r="I40" s="2"/>
      <c r="J40" s="2"/>
      <c r="K40" s="2"/>
      <c r="L40" s="2"/>
      <c r="M40" s="2"/>
      <c r="N40" s="2"/>
      <c r="O40" s="2"/>
      <c r="P40" s="2"/>
      <c r="Q40" s="2"/>
      <c r="R40" s="2"/>
      <c r="S40" s="2"/>
      <c r="T40" s="2"/>
      <c r="U40" s="2"/>
      <c r="V40" s="2"/>
      <c r="W40" s="2"/>
      <c r="X40" s="2"/>
      <c r="Y40" s="2"/>
      <c r="Z40" s="2"/>
    </row>
    <row r="41">
      <c r="A41" s="2"/>
      <c r="B41" s="2"/>
      <c r="C41" s="2"/>
      <c r="D41" s="2"/>
      <c r="E41" s="2"/>
      <c r="F41" s="7"/>
      <c r="G41" s="2"/>
      <c r="H41" s="7"/>
      <c r="I41" s="2"/>
      <c r="J41" s="2"/>
      <c r="K41" s="2"/>
      <c r="L41" s="2"/>
      <c r="M41" s="2"/>
      <c r="N41" s="2"/>
      <c r="O41" s="2"/>
      <c r="P41" s="2"/>
      <c r="Q41" s="2"/>
      <c r="R41" s="2"/>
      <c r="S41" s="2"/>
      <c r="T41" s="2"/>
      <c r="U41" s="2"/>
      <c r="V41" s="2"/>
      <c r="W41" s="2"/>
      <c r="X41" s="2"/>
      <c r="Y41" s="2"/>
      <c r="Z41" s="2"/>
    </row>
    <row r="42">
      <c r="A42" s="2"/>
      <c r="B42" s="2"/>
      <c r="C42" s="2"/>
      <c r="D42" s="2"/>
      <c r="E42" s="2"/>
      <c r="F42" s="7"/>
      <c r="G42" s="2"/>
      <c r="H42" s="7"/>
      <c r="I42" s="2"/>
      <c r="J42" s="2"/>
      <c r="K42" s="2"/>
      <c r="L42" s="2"/>
      <c r="M42" s="2"/>
      <c r="N42" s="2"/>
      <c r="O42" s="2"/>
      <c r="P42" s="2"/>
      <c r="Q42" s="2"/>
      <c r="R42" s="2"/>
      <c r="S42" s="2"/>
      <c r="T42" s="2"/>
      <c r="U42" s="2"/>
      <c r="V42" s="2"/>
      <c r="W42" s="2"/>
      <c r="X42" s="2"/>
      <c r="Y42" s="2"/>
      <c r="Z42" s="2"/>
    </row>
    <row r="43">
      <c r="A43" s="2"/>
      <c r="B43" s="2"/>
      <c r="C43" s="2"/>
      <c r="D43" s="2"/>
      <c r="E43" s="2"/>
      <c r="F43" s="7"/>
      <c r="G43" s="2"/>
      <c r="H43" s="7"/>
      <c r="I43" s="2"/>
      <c r="J43" s="2"/>
      <c r="K43" s="2"/>
      <c r="L43" s="2"/>
      <c r="M43" s="2"/>
      <c r="N43" s="2"/>
      <c r="O43" s="2"/>
      <c r="P43" s="2"/>
      <c r="Q43" s="2"/>
      <c r="R43" s="2"/>
      <c r="S43" s="2"/>
      <c r="T43" s="2"/>
      <c r="U43" s="2"/>
      <c r="V43" s="2"/>
      <c r="W43" s="2"/>
      <c r="X43" s="2"/>
      <c r="Y43" s="2"/>
      <c r="Z43" s="2"/>
    </row>
    <row r="44">
      <c r="A44" s="2"/>
      <c r="B44" s="2"/>
      <c r="C44" s="2"/>
      <c r="D44" s="2"/>
      <c r="E44" s="2"/>
      <c r="F44" s="7"/>
      <c r="G44" s="2"/>
      <c r="H44" s="7"/>
      <c r="I44" s="2"/>
      <c r="J44" s="2"/>
      <c r="K44" s="2"/>
      <c r="L44" s="2"/>
      <c r="M44" s="2"/>
      <c r="N44" s="2"/>
      <c r="O44" s="2"/>
      <c r="P44" s="2"/>
      <c r="Q44" s="2"/>
      <c r="R44" s="2"/>
      <c r="S44" s="2"/>
      <c r="T44" s="2"/>
      <c r="U44" s="2"/>
      <c r="V44" s="2"/>
      <c r="W44" s="2"/>
      <c r="X44" s="2"/>
      <c r="Y44" s="2"/>
      <c r="Z44" s="2"/>
    </row>
    <row r="45">
      <c r="A45" s="2"/>
      <c r="B45" s="2"/>
      <c r="C45" s="2"/>
      <c r="D45" s="2"/>
      <c r="E45" s="2"/>
      <c r="F45" s="7"/>
      <c r="G45" s="2"/>
      <c r="H45" s="7"/>
      <c r="I45" s="2"/>
      <c r="J45" s="2"/>
      <c r="K45" s="2"/>
      <c r="L45" s="2"/>
      <c r="M45" s="2"/>
      <c r="N45" s="2"/>
      <c r="O45" s="2"/>
      <c r="P45" s="2"/>
      <c r="Q45" s="2"/>
      <c r="R45" s="2"/>
      <c r="S45" s="2"/>
      <c r="T45" s="2"/>
      <c r="U45" s="2"/>
      <c r="V45" s="2"/>
      <c r="W45" s="2"/>
      <c r="X45" s="2"/>
      <c r="Y45" s="2"/>
      <c r="Z45" s="2"/>
    </row>
    <row r="46">
      <c r="A46" s="2"/>
      <c r="B46" s="2"/>
      <c r="C46" s="2"/>
      <c r="D46" s="2"/>
      <c r="E46" s="2"/>
      <c r="F46" s="7"/>
      <c r="G46" s="2"/>
      <c r="H46" s="7"/>
      <c r="I46" s="2"/>
      <c r="J46" s="2"/>
      <c r="K46" s="2"/>
      <c r="L46" s="2"/>
      <c r="M46" s="2"/>
      <c r="N46" s="2"/>
      <c r="O46" s="2"/>
      <c r="P46" s="2"/>
      <c r="Q46" s="2"/>
      <c r="R46" s="2"/>
      <c r="S46" s="2"/>
      <c r="T46" s="2"/>
      <c r="U46" s="2"/>
      <c r="V46" s="2"/>
      <c r="W46" s="2"/>
      <c r="X46" s="2"/>
      <c r="Y46" s="2"/>
      <c r="Z46" s="2"/>
    </row>
    <row r="47">
      <c r="A47" s="2"/>
      <c r="B47" s="2"/>
      <c r="C47" s="2"/>
      <c r="D47" s="2"/>
      <c r="E47" s="2"/>
      <c r="F47" s="7"/>
      <c r="G47" s="2"/>
      <c r="H47" s="7"/>
      <c r="I47" s="2"/>
      <c r="J47" s="2"/>
      <c r="K47" s="2"/>
      <c r="L47" s="2"/>
      <c r="M47" s="2"/>
      <c r="N47" s="2"/>
      <c r="O47" s="2"/>
      <c r="P47" s="2"/>
      <c r="Q47" s="2"/>
      <c r="R47" s="2"/>
      <c r="S47" s="2"/>
      <c r="T47" s="2"/>
      <c r="U47" s="2"/>
      <c r="V47" s="2"/>
      <c r="W47" s="2"/>
      <c r="X47" s="2"/>
      <c r="Y47" s="2"/>
      <c r="Z47" s="2"/>
    </row>
    <row r="48">
      <c r="A48" s="2"/>
      <c r="B48" s="2"/>
      <c r="C48" s="2"/>
      <c r="D48" s="2"/>
      <c r="E48" s="2"/>
      <c r="F48" s="7"/>
      <c r="G48" s="2"/>
      <c r="H48" s="7"/>
      <c r="I48" s="2"/>
      <c r="J48" s="2"/>
      <c r="K48" s="2"/>
      <c r="L48" s="2"/>
      <c r="M48" s="2"/>
      <c r="N48" s="2"/>
      <c r="O48" s="2"/>
      <c r="P48" s="2"/>
      <c r="Q48" s="2"/>
      <c r="R48" s="2"/>
      <c r="S48" s="2"/>
      <c r="T48" s="2"/>
      <c r="U48" s="2"/>
      <c r="V48" s="2"/>
      <c r="W48" s="2"/>
      <c r="X48" s="2"/>
      <c r="Y48" s="2"/>
      <c r="Z48" s="2"/>
    </row>
    <row r="49">
      <c r="A49" s="2"/>
      <c r="B49" s="2"/>
      <c r="C49" s="2"/>
      <c r="D49" s="2"/>
      <c r="E49" s="2"/>
      <c r="F49" s="7"/>
      <c r="G49" s="2"/>
      <c r="H49" s="7"/>
      <c r="I49" s="2"/>
      <c r="J49" s="2"/>
      <c r="K49" s="2"/>
      <c r="L49" s="2"/>
      <c r="M49" s="2"/>
      <c r="N49" s="2"/>
      <c r="O49" s="2"/>
      <c r="P49" s="2"/>
      <c r="Q49" s="2"/>
      <c r="R49" s="2"/>
      <c r="S49" s="2"/>
      <c r="T49" s="2"/>
      <c r="U49" s="2"/>
      <c r="V49" s="2"/>
      <c r="W49" s="2"/>
      <c r="X49" s="2"/>
      <c r="Y49" s="2"/>
      <c r="Z49" s="2"/>
    </row>
    <row r="50">
      <c r="A50" s="2"/>
      <c r="B50" s="2"/>
      <c r="C50" s="2"/>
      <c r="D50" s="2"/>
      <c r="E50" s="2"/>
      <c r="F50" s="7"/>
      <c r="G50" s="2"/>
      <c r="H50" s="7"/>
      <c r="I50" s="2"/>
      <c r="J50" s="2"/>
      <c r="K50" s="2"/>
      <c r="L50" s="2"/>
      <c r="M50" s="2"/>
      <c r="N50" s="2"/>
      <c r="O50" s="2"/>
      <c r="P50" s="2"/>
      <c r="Q50" s="2"/>
      <c r="R50" s="2"/>
      <c r="S50" s="2"/>
      <c r="T50" s="2"/>
      <c r="U50" s="2"/>
      <c r="V50" s="2"/>
      <c r="W50" s="2"/>
      <c r="X50" s="2"/>
      <c r="Y50" s="2"/>
      <c r="Z50" s="2"/>
    </row>
    <row r="51">
      <c r="A51" s="2"/>
      <c r="B51" s="2"/>
      <c r="C51" s="2"/>
      <c r="D51" s="2"/>
      <c r="E51" s="2"/>
      <c r="F51" s="7"/>
      <c r="G51" s="2"/>
      <c r="H51" s="7"/>
      <c r="I51" s="2"/>
      <c r="J51" s="2"/>
      <c r="K51" s="2"/>
      <c r="L51" s="2"/>
      <c r="M51" s="2"/>
      <c r="N51" s="2"/>
      <c r="O51" s="2"/>
      <c r="P51" s="2"/>
      <c r="Q51" s="2"/>
      <c r="R51" s="2"/>
      <c r="S51" s="2"/>
      <c r="T51" s="2"/>
      <c r="U51" s="2"/>
      <c r="V51" s="2"/>
      <c r="W51" s="2"/>
      <c r="X51" s="2"/>
      <c r="Y51" s="2"/>
      <c r="Z51" s="2"/>
    </row>
    <row r="52">
      <c r="A52" s="2"/>
      <c r="B52" s="2"/>
      <c r="C52" s="2"/>
      <c r="D52" s="2"/>
      <c r="E52" s="2"/>
      <c r="F52" s="7"/>
      <c r="G52" s="2"/>
      <c r="H52" s="7"/>
      <c r="I52" s="2"/>
      <c r="J52" s="2"/>
      <c r="K52" s="2"/>
      <c r="L52" s="2"/>
      <c r="M52" s="2"/>
      <c r="N52" s="2"/>
      <c r="O52" s="2"/>
      <c r="P52" s="2"/>
      <c r="Q52" s="2"/>
      <c r="R52" s="2"/>
      <c r="S52" s="2"/>
      <c r="T52" s="2"/>
      <c r="U52" s="2"/>
      <c r="V52" s="2"/>
      <c r="W52" s="2"/>
      <c r="X52" s="2"/>
      <c r="Y52" s="2"/>
      <c r="Z52" s="2"/>
    </row>
    <row r="53">
      <c r="A53" s="2"/>
      <c r="B53" s="2"/>
      <c r="C53" s="2"/>
      <c r="D53" s="2"/>
      <c r="E53" s="2"/>
      <c r="F53" s="7"/>
      <c r="G53" s="2"/>
      <c r="H53" s="7"/>
      <c r="I53" s="2"/>
      <c r="J53" s="2"/>
      <c r="K53" s="2"/>
      <c r="L53" s="2"/>
      <c r="M53" s="2"/>
      <c r="N53" s="2"/>
      <c r="O53" s="2"/>
      <c r="P53" s="2"/>
      <c r="Q53" s="2"/>
      <c r="R53" s="2"/>
      <c r="S53" s="2"/>
      <c r="T53" s="2"/>
      <c r="U53" s="2"/>
      <c r="V53" s="2"/>
      <c r="W53" s="2"/>
      <c r="X53" s="2"/>
      <c r="Y53" s="2"/>
      <c r="Z53" s="2"/>
    </row>
    <row r="54">
      <c r="A54" s="2"/>
      <c r="B54" s="2"/>
      <c r="C54" s="2"/>
      <c r="D54" s="2"/>
      <c r="E54" s="2"/>
      <c r="F54" s="7"/>
      <c r="G54" s="2"/>
      <c r="H54" s="7"/>
      <c r="I54" s="2"/>
      <c r="J54" s="2"/>
      <c r="K54" s="2"/>
      <c r="L54" s="2"/>
      <c r="M54" s="2"/>
      <c r="N54" s="2"/>
      <c r="O54" s="2"/>
      <c r="P54" s="2"/>
      <c r="Q54" s="2"/>
      <c r="R54" s="2"/>
      <c r="S54" s="2"/>
      <c r="T54" s="2"/>
      <c r="U54" s="2"/>
      <c r="V54" s="2"/>
      <c r="W54" s="2"/>
      <c r="X54" s="2"/>
      <c r="Y54" s="2"/>
      <c r="Z54" s="2"/>
    </row>
    <row r="55">
      <c r="A55" s="2"/>
      <c r="B55" s="2"/>
      <c r="C55" s="2"/>
      <c r="D55" s="2"/>
      <c r="E55" s="2"/>
      <c r="F55" s="7"/>
      <c r="G55" s="2"/>
      <c r="H55" s="7"/>
      <c r="I55" s="2"/>
      <c r="J55" s="2"/>
      <c r="K55" s="2"/>
      <c r="L55" s="2"/>
      <c r="M55" s="2"/>
      <c r="N55" s="2"/>
      <c r="O55" s="2"/>
      <c r="P55" s="2"/>
      <c r="Q55" s="2"/>
      <c r="R55" s="2"/>
      <c r="S55" s="2"/>
      <c r="T55" s="2"/>
      <c r="U55" s="2"/>
      <c r="V55" s="2"/>
      <c r="W55" s="2"/>
      <c r="X55" s="2"/>
      <c r="Y55" s="2"/>
      <c r="Z55" s="2"/>
    </row>
    <row r="56">
      <c r="A56" s="2"/>
      <c r="B56" s="2"/>
      <c r="C56" s="2"/>
      <c r="D56" s="2"/>
      <c r="E56" s="2"/>
      <c r="F56" s="7"/>
      <c r="G56" s="2"/>
      <c r="H56" s="7"/>
      <c r="I56" s="2"/>
      <c r="J56" s="2"/>
      <c r="K56" s="2"/>
      <c r="L56" s="2"/>
      <c r="M56" s="2"/>
      <c r="N56" s="2"/>
      <c r="O56" s="2"/>
      <c r="P56" s="2"/>
      <c r="Q56" s="2"/>
      <c r="R56" s="2"/>
      <c r="S56" s="2"/>
      <c r="T56" s="2"/>
      <c r="U56" s="2"/>
      <c r="V56" s="2"/>
      <c r="W56" s="2"/>
      <c r="X56" s="2"/>
      <c r="Y56" s="2"/>
      <c r="Z56" s="2"/>
    </row>
    <row r="57">
      <c r="A57" s="2"/>
      <c r="B57" s="2"/>
      <c r="C57" s="2"/>
      <c r="D57" s="2"/>
      <c r="E57" s="2"/>
      <c r="F57" s="7"/>
      <c r="G57" s="2"/>
      <c r="H57" s="7"/>
      <c r="I57" s="2"/>
      <c r="J57" s="2"/>
      <c r="K57" s="2"/>
      <c r="L57" s="2"/>
      <c r="M57" s="2"/>
      <c r="N57" s="2"/>
      <c r="O57" s="2"/>
      <c r="P57" s="2"/>
      <c r="Q57" s="2"/>
      <c r="R57" s="2"/>
      <c r="S57" s="2"/>
      <c r="T57" s="2"/>
      <c r="U57" s="2"/>
      <c r="V57" s="2"/>
      <c r="W57" s="2"/>
      <c r="X57" s="2"/>
      <c r="Y57" s="2"/>
      <c r="Z57" s="2"/>
    </row>
    <row r="58">
      <c r="A58" s="2"/>
      <c r="B58" s="2"/>
      <c r="C58" s="2"/>
      <c r="D58" s="2"/>
      <c r="E58" s="2"/>
      <c r="F58" s="7"/>
      <c r="G58" s="2"/>
      <c r="H58" s="7"/>
      <c r="I58" s="2"/>
      <c r="J58" s="2"/>
      <c r="K58" s="2"/>
      <c r="L58" s="2"/>
      <c r="M58" s="2"/>
      <c r="N58" s="2"/>
      <c r="O58" s="2"/>
      <c r="P58" s="2"/>
      <c r="Q58" s="2"/>
      <c r="R58" s="2"/>
      <c r="S58" s="2"/>
      <c r="T58" s="2"/>
      <c r="U58" s="2"/>
      <c r="V58" s="2"/>
      <c r="W58" s="2"/>
      <c r="X58" s="2"/>
      <c r="Y58" s="2"/>
      <c r="Z58" s="2"/>
    </row>
    <row r="59">
      <c r="A59" s="2"/>
      <c r="B59" s="2"/>
      <c r="C59" s="2"/>
      <c r="D59" s="2"/>
      <c r="E59" s="2"/>
      <c r="F59" s="7"/>
      <c r="G59" s="2"/>
      <c r="H59" s="7"/>
      <c r="I59" s="2"/>
      <c r="J59" s="2"/>
      <c r="K59" s="2"/>
      <c r="L59" s="2"/>
      <c r="M59" s="2"/>
      <c r="N59" s="2"/>
      <c r="O59" s="2"/>
      <c r="P59" s="2"/>
      <c r="Q59" s="2"/>
      <c r="R59" s="2"/>
      <c r="S59" s="2"/>
      <c r="T59" s="2"/>
      <c r="U59" s="2"/>
      <c r="V59" s="2"/>
      <c r="W59" s="2"/>
      <c r="X59" s="2"/>
      <c r="Y59" s="2"/>
      <c r="Z59" s="2"/>
    </row>
    <row r="60">
      <c r="A60" s="2"/>
      <c r="B60" s="2"/>
      <c r="C60" s="2"/>
      <c r="D60" s="2"/>
      <c r="E60" s="2"/>
      <c r="F60" s="7"/>
      <c r="G60" s="2"/>
      <c r="H60" s="7"/>
      <c r="I60" s="2"/>
      <c r="J60" s="2"/>
      <c r="K60" s="2"/>
      <c r="L60" s="2"/>
      <c r="M60" s="2"/>
      <c r="N60" s="2"/>
      <c r="O60" s="2"/>
      <c r="P60" s="2"/>
      <c r="Q60" s="2"/>
      <c r="R60" s="2"/>
      <c r="S60" s="2"/>
      <c r="T60" s="2"/>
      <c r="U60" s="2"/>
      <c r="V60" s="2"/>
      <c r="W60" s="2"/>
      <c r="X60" s="2"/>
      <c r="Y60" s="2"/>
      <c r="Z60" s="2"/>
    </row>
    <row r="61">
      <c r="A61" s="2"/>
      <c r="B61" s="2"/>
      <c r="C61" s="2"/>
      <c r="D61" s="2"/>
      <c r="E61" s="2"/>
      <c r="F61" s="7"/>
      <c r="G61" s="2"/>
      <c r="H61" s="7"/>
      <c r="I61" s="2"/>
      <c r="J61" s="2"/>
      <c r="K61" s="2"/>
      <c r="L61" s="2"/>
      <c r="M61" s="2"/>
      <c r="N61" s="2"/>
      <c r="O61" s="2"/>
      <c r="P61" s="2"/>
      <c r="Q61" s="2"/>
      <c r="R61" s="2"/>
      <c r="S61" s="2"/>
      <c r="T61" s="2"/>
      <c r="U61" s="2"/>
      <c r="V61" s="2"/>
      <c r="W61" s="2"/>
      <c r="X61" s="2"/>
      <c r="Y61" s="2"/>
      <c r="Z61" s="2"/>
    </row>
    <row r="62">
      <c r="A62" s="2"/>
      <c r="B62" s="2"/>
      <c r="C62" s="2"/>
      <c r="D62" s="2"/>
      <c r="E62" s="2"/>
      <c r="F62" s="7"/>
      <c r="G62" s="2"/>
      <c r="H62" s="7"/>
      <c r="I62" s="2"/>
      <c r="J62" s="2"/>
      <c r="K62" s="2"/>
      <c r="L62" s="2"/>
      <c r="M62" s="2"/>
      <c r="N62" s="2"/>
      <c r="O62" s="2"/>
      <c r="P62" s="2"/>
      <c r="Q62" s="2"/>
      <c r="R62" s="2"/>
      <c r="S62" s="2"/>
      <c r="T62" s="2"/>
      <c r="U62" s="2"/>
      <c r="V62" s="2"/>
      <c r="W62" s="2"/>
      <c r="X62" s="2"/>
      <c r="Y62" s="2"/>
      <c r="Z62" s="2"/>
    </row>
    <row r="63">
      <c r="A63" s="2"/>
      <c r="B63" s="2"/>
      <c r="C63" s="2"/>
      <c r="D63" s="2"/>
      <c r="E63" s="2"/>
      <c r="F63" s="7"/>
      <c r="G63" s="2"/>
      <c r="H63" s="7"/>
      <c r="I63" s="2"/>
      <c r="J63" s="2"/>
      <c r="K63" s="2"/>
      <c r="L63" s="2"/>
      <c r="M63" s="2"/>
      <c r="N63" s="2"/>
      <c r="O63" s="2"/>
      <c r="P63" s="2"/>
      <c r="Q63" s="2"/>
      <c r="R63" s="2"/>
      <c r="S63" s="2"/>
      <c r="T63" s="2"/>
      <c r="U63" s="2"/>
      <c r="V63" s="2"/>
      <c r="W63" s="2"/>
      <c r="X63" s="2"/>
      <c r="Y63" s="2"/>
      <c r="Z63" s="2"/>
    </row>
    <row r="64">
      <c r="A64" s="2"/>
      <c r="B64" s="2"/>
      <c r="C64" s="2"/>
      <c r="D64" s="2"/>
      <c r="E64" s="2"/>
      <c r="F64" s="7"/>
      <c r="G64" s="2"/>
      <c r="H64" s="7"/>
      <c r="I64" s="2"/>
      <c r="J64" s="2"/>
      <c r="K64" s="2"/>
      <c r="L64" s="2"/>
      <c r="M64" s="2"/>
      <c r="N64" s="2"/>
      <c r="O64" s="2"/>
      <c r="P64" s="2"/>
      <c r="Q64" s="2"/>
      <c r="R64" s="2"/>
      <c r="S64" s="2"/>
      <c r="T64" s="2"/>
      <c r="U64" s="2"/>
      <c r="V64" s="2"/>
      <c r="W64" s="2"/>
      <c r="X64" s="2"/>
      <c r="Y64" s="2"/>
      <c r="Z64" s="2"/>
    </row>
    <row r="65">
      <c r="A65" s="2"/>
      <c r="B65" s="2"/>
      <c r="C65" s="2"/>
      <c r="D65" s="2"/>
      <c r="E65" s="2"/>
      <c r="F65" s="7"/>
      <c r="G65" s="2"/>
      <c r="H65" s="7"/>
      <c r="I65" s="2"/>
      <c r="J65" s="2"/>
      <c r="K65" s="2"/>
      <c r="L65" s="2"/>
      <c r="M65" s="2"/>
      <c r="N65" s="2"/>
      <c r="O65" s="2"/>
      <c r="P65" s="2"/>
      <c r="Q65" s="2"/>
      <c r="R65" s="2"/>
      <c r="S65" s="2"/>
      <c r="T65" s="2"/>
      <c r="U65" s="2"/>
      <c r="V65" s="2"/>
      <c r="W65" s="2"/>
      <c r="X65" s="2"/>
      <c r="Y65" s="2"/>
      <c r="Z65" s="2"/>
    </row>
    <row r="66">
      <c r="A66" s="2"/>
      <c r="B66" s="2"/>
      <c r="C66" s="2"/>
      <c r="D66" s="2"/>
      <c r="E66" s="2"/>
      <c r="F66" s="7"/>
      <c r="G66" s="2"/>
      <c r="H66" s="7"/>
      <c r="I66" s="2"/>
      <c r="J66" s="2"/>
      <c r="K66" s="2"/>
      <c r="L66" s="2"/>
      <c r="M66" s="2"/>
      <c r="N66" s="2"/>
      <c r="O66" s="2"/>
      <c r="P66" s="2"/>
      <c r="Q66" s="2"/>
      <c r="R66" s="2"/>
      <c r="S66" s="2"/>
      <c r="T66" s="2"/>
      <c r="U66" s="2"/>
      <c r="V66" s="2"/>
      <c r="W66" s="2"/>
      <c r="X66" s="2"/>
      <c r="Y66" s="2"/>
      <c r="Z66" s="2"/>
    </row>
    <row r="67">
      <c r="A67" s="2"/>
      <c r="B67" s="2"/>
      <c r="C67" s="2"/>
      <c r="D67" s="2"/>
      <c r="E67" s="2"/>
      <c r="F67" s="7"/>
      <c r="G67" s="2"/>
      <c r="H67" s="7"/>
      <c r="I67" s="2"/>
      <c r="J67" s="2"/>
      <c r="K67" s="2"/>
      <c r="L67" s="2"/>
      <c r="M67" s="2"/>
      <c r="N67" s="2"/>
      <c r="O67" s="2"/>
      <c r="P67" s="2"/>
      <c r="Q67" s="2"/>
      <c r="R67" s="2"/>
      <c r="S67" s="2"/>
      <c r="T67" s="2"/>
      <c r="U67" s="2"/>
      <c r="V67" s="2"/>
      <c r="W67" s="2"/>
      <c r="X67" s="2"/>
      <c r="Y67" s="2"/>
      <c r="Z67" s="2"/>
    </row>
    <row r="68">
      <c r="A68" s="2"/>
      <c r="B68" s="2"/>
      <c r="C68" s="2"/>
      <c r="D68" s="2"/>
      <c r="E68" s="2"/>
      <c r="F68" s="7"/>
      <c r="G68" s="2"/>
      <c r="H68" s="7"/>
      <c r="I68" s="2"/>
      <c r="J68" s="2"/>
      <c r="K68" s="2"/>
      <c r="L68" s="2"/>
      <c r="M68" s="2"/>
      <c r="N68" s="2"/>
      <c r="O68" s="2"/>
      <c r="P68" s="2"/>
      <c r="Q68" s="2"/>
      <c r="R68" s="2"/>
      <c r="S68" s="2"/>
      <c r="T68" s="2"/>
      <c r="U68" s="2"/>
      <c r="V68" s="2"/>
      <c r="W68" s="2"/>
      <c r="X68" s="2"/>
      <c r="Y68" s="2"/>
      <c r="Z68" s="2"/>
    </row>
    <row r="69">
      <c r="A69" s="2"/>
      <c r="B69" s="2"/>
      <c r="C69" s="2"/>
      <c r="D69" s="2"/>
      <c r="E69" s="2"/>
      <c r="F69" s="7"/>
      <c r="G69" s="2"/>
      <c r="H69" s="7"/>
      <c r="I69" s="2"/>
      <c r="J69" s="2"/>
      <c r="K69" s="2"/>
      <c r="L69" s="2"/>
      <c r="M69" s="2"/>
      <c r="N69" s="2"/>
      <c r="O69" s="2"/>
      <c r="P69" s="2"/>
      <c r="Q69" s="2"/>
      <c r="R69" s="2"/>
      <c r="S69" s="2"/>
      <c r="T69" s="2"/>
      <c r="U69" s="2"/>
      <c r="V69" s="2"/>
      <c r="W69" s="2"/>
      <c r="X69" s="2"/>
      <c r="Y69" s="2"/>
      <c r="Z69" s="2"/>
    </row>
    <row r="70">
      <c r="A70" s="2"/>
      <c r="B70" s="2"/>
      <c r="C70" s="2"/>
      <c r="D70" s="2"/>
      <c r="E70" s="2"/>
      <c r="F70" s="7"/>
      <c r="G70" s="2"/>
      <c r="H70" s="7"/>
      <c r="I70" s="2"/>
      <c r="J70" s="2"/>
      <c r="K70" s="2"/>
      <c r="L70" s="2"/>
      <c r="M70" s="2"/>
      <c r="N70" s="2"/>
      <c r="O70" s="2"/>
      <c r="P70" s="2"/>
      <c r="Q70" s="2"/>
      <c r="R70" s="2"/>
      <c r="S70" s="2"/>
      <c r="T70" s="2"/>
      <c r="U70" s="2"/>
      <c r="V70" s="2"/>
      <c r="W70" s="2"/>
      <c r="X70" s="2"/>
      <c r="Y70" s="2"/>
      <c r="Z70" s="2"/>
    </row>
    <row r="71">
      <c r="A71" s="2"/>
      <c r="B71" s="2"/>
      <c r="C71" s="2"/>
      <c r="D71" s="2"/>
      <c r="E71" s="2"/>
      <c r="F71" s="7"/>
      <c r="G71" s="2"/>
      <c r="H71" s="7"/>
      <c r="I71" s="2"/>
      <c r="J71" s="2"/>
      <c r="K71" s="2"/>
      <c r="L71" s="2"/>
      <c r="M71" s="2"/>
      <c r="N71" s="2"/>
      <c r="O71" s="2"/>
      <c r="P71" s="2"/>
      <c r="Q71" s="2"/>
      <c r="R71" s="2"/>
      <c r="S71" s="2"/>
      <c r="T71" s="2"/>
      <c r="U71" s="2"/>
      <c r="V71" s="2"/>
      <c r="W71" s="2"/>
      <c r="X71" s="2"/>
      <c r="Y71" s="2"/>
      <c r="Z71" s="2"/>
    </row>
    <row r="72">
      <c r="A72" s="2"/>
      <c r="B72" s="2"/>
      <c r="C72" s="2"/>
      <c r="D72" s="2"/>
      <c r="E72" s="2"/>
      <c r="F72" s="7"/>
      <c r="G72" s="2"/>
      <c r="H72" s="7"/>
      <c r="I72" s="2"/>
      <c r="J72" s="2"/>
      <c r="K72" s="2"/>
      <c r="L72" s="2"/>
      <c r="M72" s="2"/>
      <c r="N72" s="2"/>
      <c r="O72" s="2"/>
      <c r="P72" s="2"/>
      <c r="Q72" s="2"/>
      <c r="R72" s="2"/>
      <c r="S72" s="2"/>
      <c r="T72" s="2"/>
      <c r="U72" s="2"/>
      <c r="V72" s="2"/>
      <c r="W72" s="2"/>
      <c r="X72" s="2"/>
      <c r="Y72" s="2"/>
      <c r="Z72" s="2"/>
    </row>
    <row r="73">
      <c r="A73" s="2"/>
      <c r="B73" s="2"/>
      <c r="C73" s="2"/>
      <c r="D73" s="2"/>
      <c r="E73" s="2"/>
      <c r="F73" s="7"/>
      <c r="G73" s="2"/>
      <c r="H73" s="7"/>
      <c r="I73" s="2"/>
      <c r="J73" s="2"/>
      <c r="K73" s="2"/>
      <c r="L73" s="2"/>
      <c r="M73" s="2"/>
      <c r="N73" s="2"/>
      <c r="O73" s="2"/>
      <c r="P73" s="2"/>
      <c r="Q73" s="2"/>
      <c r="R73" s="2"/>
      <c r="S73" s="2"/>
      <c r="T73" s="2"/>
      <c r="U73" s="2"/>
      <c r="V73" s="2"/>
      <c r="W73" s="2"/>
      <c r="X73" s="2"/>
      <c r="Y73" s="2"/>
      <c r="Z73" s="2"/>
    </row>
    <row r="74">
      <c r="A74" s="2"/>
      <c r="B74" s="2"/>
      <c r="C74" s="2"/>
      <c r="D74" s="2"/>
      <c r="E74" s="2"/>
      <c r="F74" s="7"/>
      <c r="G74" s="2"/>
      <c r="H74" s="7"/>
      <c r="I74" s="2"/>
      <c r="J74" s="2"/>
      <c r="K74" s="2"/>
      <c r="L74" s="2"/>
      <c r="M74" s="2"/>
      <c r="N74" s="2"/>
      <c r="O74" s="2"/>
      <c r="P74" s="2"/>
      <c r="Q74" s="2"/>
      <c r="R74" s="2"/>
      <c r="S74" s="2"/>
      <c r="T74" s="2"/>
      <c r="U74" s="2"/>
      <c r="V74" s="2"/>
      <c r="W74" s="2"/>
      <c r="X74" s="2"/>
      <c r="Y74" s="2"/>
      <c r="Z74" s="2"/>
    </row>
    <row r="75">
      <c r="A75" s="2"/>
      <c r="B75" s="2"/>
      <c r="C75" s="2"/>
      <c r="D75" s="2"/>
      <c r="E75" s="2"/>
      <c r="F75" s="7"/>
      <c r="G75" s="2"/>
      <c r="H75" s="7"/>
      <c r="I75" s="2"/>
      <c r="J75" s="2"/>
      <c r="K75" s="2"/>
      <c r="L75" s="2"/>
      <c r="M75" s="2"/>
      <c r="N75" s="2"/>
      <c r="O75" s="2"/>
      <c r="P75" s="2"/>
      <c r="Q75" s="2"/>
      <c r="R75" s="2"/>
      <c r="S75" s="2"/>
      <c r="T75" s="2"/>
      <c r="U75" s="2"/>
      <c r="V75" s="2"/>
      <c r="W75" s="2"/>
      <c r="X75" s="2"/>
      <c r="Y75" s="2"/>
      <c r="Z75" s="2"/>
    </row>
    <row r="76">
      <c r="A76" s="2"/>
      <c r="B76" s="2"/>
      <c r="C76" s="2"/>
      <c r="D76" s="2"/>
      <c r="E76" s="2"/>
      <c r="F76" s="7"/>
      <c r="G76" s="2"/>
      <c r="H76" s="7"/>
      <c r="I76" s="2"/>
      <c r="J76" s="2"/>
      <c r="K76" s="2"/>
      <c r="L76" s="2"/>
      <c r="M76" s="2"/>
      <c r="N76" s="2"/>
      <c r="O76" s="2"/>
      <c r="P76" s="2"/>
      <c r="Q76" s="2"/>
      <c r="R76" s="2"/>
      <c r="S76" s="2"/>
      <c r="T76" s="2"/>
      <c r="U76" s="2"/>
      <c r="V76" s="2"/>
      <c r="W76" s="2"/>
      <c r="X76" s="2"/>
      <c r="Y76" s="2"/>
      <c r="Z76" s="2"/>
    </row>
    <row r="77">
      <c r="A77" s="2"/>
      <c r="B77" s="2"/>
      <c r="C77" s="2"/>
      <c r="D77" s="2"/>
      <c r="E77" s="2"/>
      <c r="F77" s="7"/>
      <c r="G77" s="2"/>
      <c r="H77" s="7"/>
      <c r="I77" s="2"/>
      <c r="J77" s="2"/>
      <c r="K77" s="2"/>
      <c r="L77" s="2"/>
      <c r="M77" s="2"/>
      <c r="N77" s="2"/>
      <c r="O77" s="2"/>
      <c r="P77" s="2"/>
      <c r="Q77" s="2"/>
      <c r="R77" s="2"/>
      <c r="S77" s="2"/>
      <c r="T77" s="2"/>
      <c r="U77" s="2"/>
      <c r="V77" s="2"/>
      <c r="W77" s="2"/>
      <c r="X77" s="2"/>
      <c r="Y77" s="2"/>
      <c r="Z77" s="2"/>
    </row>
    <row r="78">
      <c r="A78" s="2"/>
      <c r="B78" s="2"/>
      <c r="C78" s="2"/>
      <c r="D78" s="2"/>
      <c r="E78" s="2"/>
      <c r="F78" s="7"/>
      <c r="G78" s="2"/>
      <c r="H78" s="7"/>
      <c r="I78" s="2"/>
      <c r="J78" s="2"/>
      <c r="K78" s="2"/>
      <c r="L78" s="2"/>
      <c r="M78" s="2"/>
      <c r="N78" s="2"/>
      <c r="O78" s="2"/>
      <c r="P78" s="2"/>
      <c r="Q78" s="2"/>
      <c r="R78" s="2"/>
      <c r="S78" s="2"/>
      <c r="T78" s="2"/>
      <c r="U78" s="2"/>
      <c r="V78" s="2"/>
      <c r="W78" s="2"/>
      <c r="X78" s="2"/>
      <c r="Y78" s="2"/>
      <c r="Z78" s="2"/>
    </row>
    <row r="79">
      <c r="A79" s="2"/>
      <c r="B79" s="2"/>
      <c r="C79" s="2"/>
      <c r="D79" s="2"/>
      <c r="E79" s="2"/>
      <c r="F79" s="7"/>
      <c r="G79" s="2"/>
      <c r="H79" s="7"/>
      <c r="I79" s="2"/>
      <c r="J79" s="2"/>
      <c r="K79" s="2"/>
      <c r="L79" s="2"/>
      <c r="M79" s="2"/>
      <c r="N79" s="2"/>
      <c r="O79" s="2"/>
      <c r="P79" s="2"/>
      <c r="Q79" s="2"/>
      <c r="R79" s="2"/>
      <c r="S79" s="2"/>
      <c r="T79" s="2"/>
      <c r="U79" s="2"/>
      <c r="V79" s="2"/>
      <c r="W79" s="2"/>
      <c r="X79" s="2"/>
      <c r="Y79" s="2"/>
      <c r="Z79" s="2"/>
    </row>
    <row r="80">
      <c r="A80" s="2"/>
      <c r="B80" s="2"/>
      <c r="C80" s="2"/>
      <c r="D80" s="2"/>
      <c r="E80" s="2"/>
      <c r="F80" s="7"/>
      <c r="G80" s="2"/>
      <c r="H80" s="7"/>
      <c r="I80" s="2"/>
      <c r="J80" s="2"/>
      <c r="K80" s="2"/>
      <c r="L80" s="2"/>
      <c r="M80" s="2"/>
      <c r="N80" s="2"/>
      <c r="O80" s="2"/>
      <c r="P80" s="2"/>
      <c r="Q80" s="2"/>
      <c r="R80" s="2"/>
      <c r="S80" s="2"/>
      <c r="T80" s="2"/>
      <c r="U80" s="2"/>
      <c r="V80" s="2"/>
      <c r="W80" s="2"/>
      <c r="X80" s="2"/>
      <c r="Y80" s="2"/>
      <c r="Z80" s="2"/>
    </row>
    <row r="81">
      <c r="A81" s="2"/>
      <c r="B81" s="2"/>
      <c r="C81" s="2"/>
      <c r="D81" s="2"/>
      <c r="E81" s="2"/>
      <c r="F81" s="7"/>
      <c r="G81" s="2"/>
      <c r="H81" s="7"/>
      <c r="I81" s="2"/>
      <c r="J81" s="2"/>
      <c r="K81" s="2"/>
      <c r="L81" s="2"/>
      <c r="M81" s="2"/>
      <c r="N81" s="2"/>
      <c r="O81" s="2"/>
      <c r="P81" s="2"/>
      <c r="Q81" s="2"/>
      <c r="R81" s="2"/>
      <c r="S81" s="2"/>
      <c r="T81" s="2"/>
      <c r="U81" s="2"/>
      <c r="V81" s="2"/>
      <c r="W81" s="2"/>
      <c r="X81" s="2"/>
      <c r="Y81" s="2"/>
      <c r="Z81" s="2"/>
    </row>
    <row r="82">
      <c r="A82" s="2"/>
      <c r="B82" s="2"/>
      <c r="C82" s="2"/>
      <c r="D82" s="2"/>
      <c r="E82" s="2"/>
      <c r="F82" s="7"/>
      <c r="G82" s="2"/>
      <c r="H82" s="7"/>
      <c r="I82" s="2"/>
      <c r="J82" s="2"/>
      <c r="K82" s="2"/>
      <c r="L82" s="2"/>
      <c r="M82" s="2"/>
      <c r="N82" s="2"/>
      <c r="O82" s="2"/>
      <c r="P82" s="2"/>
      <c r="Q82" s="2"/>
      <c r="R82" s="2"/>
      <c r="S82" s="2"/>
      <c r="T82" s="2"/>
      <c r="U82" s="2"/>
      <c r="V82" s="2"/>
      <c r="W82" s="2"/>
      <c r="X82" s="2"/>
      <c r="Y82" s="2"/>
      <c r="Z82" s="2"/>
    </row>
    <row r="83">
      <c r="A83" s="2"/>
      <c r="B83" s="2"/>
      <c r="C83" s="2"/>
      <c r="D83" s="2"/>
      <c r="E83" s="2"/>
      <c r="F83" s="7"/>
      <c r="G83" s="2"/>
      <c r="H83" s="7"/>
      <c r="I83" s="2"/>
      <c r="J83" s="2"/>
      <c r="K83" s="2"/>
      <c r="L83" s="2"/>
      <c r="M83" s="2"/>
      <c r="N83" s="2"/>
      <c r="O83" s="2"/>
      <c r="P83" s="2"/>
      <c r="Q83" s="2"/>
      <c r="R83" s="2"/>
      <c r="S83" s="2"/>
      <c r="T83" s="2"/>
      <c r="U83" s="2"/>
      <c r="V83" s="2"/>
      <c r="W83" s="2"/>
      <c r="X83" s="2"/>
      <c r="Y83" s="2"/>
      <c r="Z83" s="2"/>
    </row>
    <row r="84">
      <c r="A84" s="2"/>
      <c r="B84" s="2"/>
      <c r="C84" s="2"/>
      <c r="D84" s="2"/>
      <c r="E84" s="2"/>
      <c r="F84" s="7"/>
      <c r="G84" s="2"/>
      <c r="H84" s="7"/>
      <c r="I84" s="2"/>
      <c r="J84" s="2"/>
      <c r="K84" s="2"/>
      <c r="L84" s="2"/>
      <c r="M84" s="2"/>
      <c r="N84" s="2"/>
      <c r="O84" s="2"/>
      <c r="P84" s="2"/>
      <c r="Q84" s="2"/>
      <c r="R84" s="2"/>
      <c r="S84" s="2"/>
      <c r="T84" s="2"/>
      <c r="U84" s="2"/>
      <c r="V84" s="2"/>
      <c r="W84" s="2"/>
      <c r="X84" s="2"/>
      <c r="Y84" s="2"/>
      <c r="Z84" s="2"/>
    </row>
    <row r="85">
      <c r="A85" s="2"/>
      <c r="B85" s="2"/>
      <c r="C85" s="2"/>
      <c r="D85" s="2"/>
      <c r="E85" s="2"/>
      <c r="F85" s="7"/>
      <c r="G85" s="2"/>
      <c r="H85" s="7"/>
      <c r="I85" s="2"/>
      <c r="J85" s="2"/>
      <c r="K85" s="2"/>
      <c r="L85" s="2"/>
      <c r="M85" s="2"/>
      <c r="N85" s="2"/>
      <c r="O85" s="2"/>
      <c r="P85" s="2"/>
      <c r="Q85" s="2"/>
      <c r="R85" s="2"/>
      <c r="S85" s="2"/>
      <c r="T85" s="2"/>
      <c r="U85" s="2"/>
      <c r="V85" s="2"/>
      <c r="W85" s="2"/>
      <c r="X85" s="2"/>
      <c r="Y85" s="2"/>
      <c r="Z85" s="2"/>
    </row>
    <row r="86">
      <c r="A86" s="2"/>
      <c r="B86" s="2"/>
      <c r="C86" s="2"/>
      <c r="D86" s="2"/>
      <c r="E86" s="2"/>
      <c r="F86" s="7"/>
      <c r="G86" s="2"/>
      <c r="H86" s="7"/>
      <c r="I86" s="2"/>
      <c r="J86" s="2"/>
      <c r="K86" s="2"/>
      <c r="L86" s="2"/>
      <c r="M86" s="2"/>
      <c r="N86" s="2"/>
      <c r="O86" s="2"/>
      <c r="P86" s="2"/>
      <c r="Q86" s="2"/>
      <c r="R86" s="2"/>
      <c r="S86" s="2"/>
      <c r="T86" s="2"/>
      <c r="U86" s="2"/>
      <c r="V86" s="2"/>
      <c r="W86" s="2"/>
      <c r="X86" s="2"/>
      <c r="Y86" s="2"/>
      <c r="Z86" s="2"/>
    </row>
    <row r="87">
      <c r="A87" s="2"/>
      <c r="B87" s="2"/>
      <c r="C87" s="2"/>
      <c r="D87" s="2"/>
      <c r="E87" s="2"/>
      <c r="F87" s="7"/>
      <c r="G87" s="2"/>
      <c r="H87" s="7"/>
      <c r="I87" s="2"/>
      <c r="J87" s="2"/>
      <c r="K87" s="2"/>
      <c r="L87" s="2"/>
      <c r="M87" s="2"/>
      <c r="N87" s="2"/>
      <c r="O87" s="2"/>
      <c r="P87" s="2"/>
      <c r="Q87" s="2"/>
      <c r="R87" s="2"/>
      <c r="S87" s="2"/>
      <c r="T87" s="2"/>
      <c r="U87" s="2"/>
      <c r="V87" s="2"/>
      <c r="W87" s="2"/>
      <c r="X87" s="2"/>
      <c r="Y87" s="2"/>
      <c r="Z87" s="2"/>
    </row>
    <row r="88">
      <c r="A88" s="2"/>
      <c r="B88" s="2"/>
      <c r="C88" s="2"/>
      <c r="D88" s="2"/>
      <c r="E88" s="2"/>
      <c r="F88" s="7"/>
      <c r="G88" s="2"/>
      <c r="H88" s="7"/>
      <c r="I88" s="2"/>
      <c r="J88" s="2"/>
      <c r="K88" s="2"/>
      <c r="L88" s="2"/>
      <c r="M88" s="2"/>
      <c r="N88" s="2"/>
      <c r="O88" s="2"/>
      <c r="P88" s="2"/>
      <c r="Q88" s="2"/>
      <c r="R88" s="2"/>
      <c r="S88" s="2"/>
      <c r="T88" s="2"/>
      <c r="U88" s="2"/>
      <c r="V88" s="2"/>
      <c r="W88" s="2"/>
      <c r="X88" s="2"/>
      <c r="Y88" s="2"/>
      <c r="Z88" s="2"/>
    </row>
    <row r="89">
      <c r="A89" s="2"/>
      <c r="B89" s="2"/>
      <c r="C89" s="2"/>
      <c r="D89" s="2"/>
      <c r="E89" s="2"/>
      <c r="F89" s="7"/>
      <c r="G89" s="2"/>
      <c r="H89" s="7"/>
      <c r="I89" s="2"/>
      <c r="J89" s="2"/>
      <c r="K89" s="2"/>
      <c r="L89" s="2"/>
      <c r="M89" s="2"/>
      <c r="N89" s="2"/>
      <c r="O89" s="2"/>
      <c r="P89" s="2"/>
      <c r="Q89" s="2"/>
      <c r="R89" s="2"/>
      <c r="S89" s="2"/>
      <c r="T89" s="2"/>
      <c r="U89" s="2"/>
      <c r="V89" s="2"/>
      <c r="W89" s="2"/>
      <c r="X89" s="2"/>
      <c r="Y89" s="2"/>
      <c r="Z89" s="2"/>
    </row>
    <row r="90">
      <c r="A90" s="2"/>
      <c r="B90" s="2"/>
      <c r="C90" s="2"/>
      <c r="D90" s="2"/>
      <c r="E90" s="2"/>
      <c r="F90" s="7"/>
      <c r="G90" s="2"/>
      <c r="H90" s="7"/>
      <c r="I90" s="2"/>
      <c r="J90" s="2"/>
      <c r="K90" s="2"/>
      <c r="L90" s="2"/>
      <c r="M90" s="2"/>
      <c r="N90" s="2"/>
      <c r="O90" s="2"/>
      <c r="P90" s="2"/>
      <c r="Q90" s="2"/>
      <c r="R90" s="2"/>
      <c r="S90" s="2"/>
      <c r="T90" s="2"/>
      <c r="U90" s="2"/>
      <c r="V90" s="2"/>
      <c r="W90" s="2"/>
      <c r="X90" s="2"/>
      <c r="Y90" s="2"/>
      <c r="Z90" s="2"/>
    </row>
    <row r="91">
      <c r="A91" s="2"/>
      <c r="B91" s="2"/>
      <c r="C91" s="2"/>
      <c r="D91" s="2"/>
      <c r="E91" s="2"/>
      <c r="F91" s="7"/>
      <c r="G91" s="2"/>
      <c r="H91" s="7"/>
      <c r="I91" s="2"/>
      <c r="J91" s="2"/>
      <c r="K91" s="2"/>
      <c r="L91" s="2"/>
      <c r="M91" s="2"/>
      <c r="N91" s="2"/>
      <c r="O91" s="2"/>
      <c r="P91" s="2"/>
      <c r="Q91" s="2"/>
      <c r="R91" s="2"/>
      <c r="S91" s="2"/>
      <c r="T91" s="2"/>
      <c r="U91" s="2"/>
      <c r="V91" s="2"/>
      <c r="W91" s="2"/>
      <c r="X91" s="2"/>
      <c r="Y91" s="2"/>
      <c r="Z91" s="2"/>
    </row>
    <row r="92">
      <c r="A92" s="2"/>
      <c r="B92" s="2"/>
      <c r="C92" s="2"/>
      <c r="D92" s="2"/>
      <c r="E92" s="2"/>
      <c r="F92" s="7"/>
      <c r="G92" s="2"/>
      <c r="H92" s="7"/>
      <c r="I92" s="2"/>
      <c r="J92" s="2"/>
      <c r="K92" s="2"/>
      <c r="L92" s="2"/>
      <c r="M92" s="2"/>
      <c r="N92" s="2"/>
      <c r="O92" s="2"/>
      <c r="P92" s="2"/>
      <c r="Q92" s="2"/>
      <c r="R92" s="2"/>
      <c r="S92" s="2"/>
      <c r="T92" s="2"/>
      <c r="U92" s="2"/>
      <c r="V92" s="2"/>
      <c r="W92" s="2"/>
      <c r="X92" s="2"/>
      <c r="Y92" s="2"/>
      <c r="Z92" s="2"/>
    </row>
    <row r="93">
      <c r="A93" s="2"/>
      <c r="B93" s="2"/>
      <c r="C93" s="2"/>
      <c r="D93" s="2"/>
      <c r="E93" s="2"/>
      <c r="F93" s="7"/>
      <c r="G93" s="2"/>
      <c r="H93" s="7"/>
      <c r="I93" s="2"/>
      <c r="J93" s="2"/>
      <c r="K93" s="2"/>
      <c r="L93" s="2"/>
      <c r="M93" s="2"/>
      <c r="N93" s="2"/>
      <c r="O93" s="2"/>
      <c r="P93" s="2"/>
      <c r="Q93" s="2"/>
      <c r="R93" s="2"/>
      <c r="S93" s="2"/>
      <c r="T93" s="2"/>
      <c r="U93" s="2"/>
      <c r="V93" s="2"/>
      <c r="W93" s="2"/>
      <c r="X93" s="2"/>
      <c r="Y93" s="2"/>
      <c r="Z93" s="2"/>
    </row>
    <row r="94">
      <c r="A94" s="2"/>
      <c r="B94" s="2"/>
      <c r="C94" s="2"/>
      <c r="D94" s="2"/>
      <c r="E94" s="2"/>
      <c r="F94" s="7"/>
      <c r="G94" s="2"/>
      <c r="H94" s="7"/>
      <c r="I94" s="2"/>
      <c r="J94" s="2"/>
      <c r="K94" s="2"/>
      <c r="L94" s="2"/>
      <c r="M94" s="2"/>
      <c r="N94" s="2"/>
      <c r="O94" s="2"/>
      <c r="P94" s="2"/>
      <c r="Q94" s="2"/>
      <c r="R94" s="2"/>
      <c r="S94" s="2"/>
      <c r="T94" s="2"/>
      <c r="U94" s="2"/>
      <c r="V94" s="2"/>
      <c r="W94" s="2"/>
      <c r="X94" s="2"/>
      <c r="Y94" s="2"/>
      <c r="Z94" s="2"/>
    </row>
    <row r="95">
      <c r="A95" s="2"/>
      <c r="B95" s="2"/>
      <c r="C95" s="2"/>
      <c r="D95" s="2"/>
      <c r="E95" s="2"/>
      <c r="F95" s="7"/>
      <c r="G95" s="2"/>
      <c r="H95" s="7"/>
      <c r="I95" s="2"/>
      <c r="J95" s="2"/>
      <c r="K95" s="2"/>
      <c r="L95" s="2"/>
      <c r="M95" s="2"/>
      <c r="N95" s="2"/>
      <c r="O95" s="2"/>
      <c r="P95" s="2"/>
      <c r="Q95" s="2"/>
      <c r="R95" s="2"/>
      <c r="S95" s="2"/>
      <c r="T95" s="2"/>
      <c r="U95" s="2"/>
      <c r="V95" s="2"/>
      <c r="W95" s="2"/>
      <c r="X95" s="2"/>
      <c r="Y95" s="2"/>
      <c r="Z95" s="2"/>
    </row>
    <row r="96">
      <c r="A96" s="2"/>
      <c r="B96" s="2"/>
      <c r="C96" s="2"/>
      <c r="D96" s="2"/>
      <c r="E96" s="2"/>
      <c r="F96" s="7"/>
      <c r="G96" s="2"/>
      <c r="H96" s="7"/>
      <c r="I96" s="2"/>
      <c r="J96" s="2"/>
      <c r="K96" s="2"/>
      <c r="L96" s="2"/>
      <c r="M96" s="2"/>
      <c r="N96" s="2"/>
      <c r="O96" s="2"/>
      <c r="P96" s="2"/>
      <c r="Q96" s="2"/>
      <c r="R96" s="2"/>
      <c r="S96" s="2"/>
      <c r="T96" s="2"/>
      <c r="U96" s="2"/>
      <c r="V96" s="2"/>
      <c r="W96" s="2"/>
      <c r="X96" s="2"/>
      <c r="Y96" s="2"/>
      <c r="Z96" s="2"/>
    </row>
    <row r="97">
      <c r="A97" s="2"/>
      <c r="B97" s="2"/>
      <c r="C97" s="2"/>
      <c r="D97" s="2"/>
      <c r="E97" s="2"/>
      <c r="F97" s="7"/>
      <c r="G97" s="2"/>
      <c r="H97" s="7"/>
      <c r="I97" s="2"/>
      <c r="J97" s="2"/>
      <c r="K97" s="2"/>
      <c r="L97" s="2"/>
      <c r="M97" s="2"/>
      <c r="N97" s="2"/>
      <c r="O97" s="2"/>
      <c r="P97" s="2"/>
      <c r="Q97" s="2"/>
      <c r="R97" s="2"/>
      <c r="S97" s="2"/>
      <c r="T97" s="2"/>
      <c r="U97" s="2"/>
      <c r="V97" s="2"/>
      <c r="W97" s="2"/>
      <c r="X97" s="2"/>
      <c r="Y97" s="2"/>
      <c r="Z97" s="2"/>
    </row>
    <row r="98">
      <c r="A98" s="2"/>
      <c r="B98" s="2"/>
      <c r="C98" s="2"/>
      <c r="D98" s="2"/>
      <c r="E98" s="2"/>
      <c r="F98" s="7"/>
      <c r="G98" s="2"/>
      <c r="H98" s="7"/>
      <c r="I98" s="2"/>
      <c r="J98" s="2"/>
      <c r="K98" s="2"/>
      <c r="L98" s="2"/>
      <c r="M98" s="2"/>
      <c r="N98" s="2"/>
      <c r="O98" s="2"/>
      <c r="P98" s="2"/>
      <c r="Q98" s="2"/>
      <c r="R98" s="2"/>
      <c r="S98" s="2"/>
      <c r="T98" s="2"/>
      <c r="U98" s="2"/>
      <c r="V98" s="2"/>
      <c r="W98" s="2"/>
      <c r="X98" s="2"/>
      <c r="Y98" s="2"/>
      <c r="Z98" s="2"/>
    </row>
    <row r="99">
      <c r="A99" s="2"/>
      <c r="B99" s="2"/>
      <c r="C99" s="2"/>
      <c r="D99" s="2"/>
      <c r="E99" s="2"/>
      <c r="F99" s="7"/>
      <c r="G99" s="2"/>
      <c r="H99" s="7"/>
      <c r="I99" s="2"/>
      <c r="J99" s="2"/>
      <c r="K99" s="2"/>
      <c r="L99" s="2"/>
      <c r="M99" s="2"/>
      <c r="N99" s="2"/>
      <c r="O99" s="2"/>
      <c r="P99" s="2"/>
      <c r="Q99" s="2"/>
      <c r="R99" s="2"/>
      <c r="S99" s="2"/>
      <c r="T99" s="2"/>
      <c r="U99" s="2"/>
      <c r="V99" s="2"/>
      <c r="W99" s="2"/>
      <c r="X99" s="2"/>
      <c r="Y99" s="2"/>
      <c r="Z99" s="2"/>
    </row>
    <row r="100">
      <c r="A100" s="2"/>
      <c r="B100" s="2"/>
      <c r="C100" s="2"/>
      <c r="D100" s="2"/>
      <c r="E100" s="2"/>
      <c r="F100" s="7"/>
      <c r="G100" s="2"/>
      <c r="H100" s="7"/>
      <c r="I100" s="2"/>
      <c r="J100" s="2"/>
      <c r="K100" s="2"/>
      <c r="L100" s="2"/>
      <c r="M100" s="2"/>
      <c r="N100" s="2"/>
      <c r="O100" s="2"/>
      <c r="P100" s="2"/>
      <c r="Q100" s="2"/>
      <c r="R100" s="2"/>
      <c r="S100" s="2"/>
      <c r="T100" s="2"/>
      <c r="U100" s="2"/>
      <c r="V100" s="2"/>
      <c r="W100" s="2"/>
      <c r="X100" s="2"/>
      <c r="Y100" s="2"/>
      <c r="Z100" s="2"/>
    </row>
    <row r="101">
      <c r="A101" s="2"/>
      <c r="B101" s="2"/>
      <c r="C101" s="2"/>
      <c r="D101" s="2"/>
      <c r="E101" s="2"/>
      <c r="F101" s="7"/>
      <c r="G101" s="2"/>
      <c r="H101" s="7"/>
      <c r="I101" s="2"/>
      <c r="J101" s="2"/>
      <c r="K101" s="2"/>
      <c r="L101" s="2"/>
      <c r="M101" s="2"/>
      <c r="N101" s="2"/>
      <c r="O101" s="2"/>
      <c r="P101" s="2"/>
      <c r="Q101" s="2"/>
      <c r="R101" s="2"/>
      <c r="S101" s="2"/>
      <c r="T101" s="2"/>
      <c r="U101" s="2"/>
      <c r="V101" s="2"/>
      <c r="W101" s="2"/>
      <c r="X101" s="2"/>
      <c r="Y101" s="2"/>
      <c r="Z101" s="2"/>
    </row>
    <row r="102">
      <c r="A102" s="2"/>
      <c r="B102" s="2"/>
      <c r="C102" s="2"/>
      <c r="D102" s="2"/>
      <c r="E102" s="2"/>
      <c r="F102" s="7"/>
      <c r="G102" s="2"/>
      <c r="H102" s="7"/>
      <c r="I102" s="2"/>
      <c r="J102" s="2"/>
      <c r="K102" s="2"/>
      <c r="L102" s="2"/>
      <c r="M102" s="2"/>
      <c r="N102" s="2"/>
      <c r="O102" s="2"/>
      <c r="P102" s="2"/>
      <c r="Q102" s="2"/>
      <c r="R102" s="2"/>
      <c r="S102" s="2"/>
      <c r="T102" s="2"/>
      <c r="U102" s="2"/>
      <c r="V102" s="2"/>
      <c r="W102" s="2"/>
      <c r="X102" s="2"/>
      <c r="Y102" s="2"/>
      <c r="Z102" s="2"/>
    </row>
    <row r="103">
      <c r="A103" s="2"/>
      <c r="B103" s="2"/>
      <c r="C103" s="2"/>
      <c r="D103" s="2"/>
      <c r="E103" s="2"/>
      <c r="F103" s="7"/>
      <c r="G103" s="2"/>
      <c r="H103" s="7"/>
      <c r="I103" s="2"/>
      <c r="J103" s="2"/>
      <c r="K103" s="2"/>
      <c r="L103" s="2"/>
      <c r="M103" s="2"/>
      <c r="N103" s="2"/>
      <c r="O103" s="2"/>
      <c r="P103" s="2"/>
      <c r="Q103" s="2"/>
      <c r="R103" s="2"/>
      <c r="S103" s="2"/>
      <c r="T103" s="2"/>
      <c r="U103" s="2"/>
      <c r="V103" s="2"/>
      <c r="W103" s="2"/>
      <c r="X103" s="2"/>
      <c r="Y103" s="2"/>
      <c r="Z103" s="2"/>
    </row>
    <row r="104">
      <c r="A104" s="2"/>
      <c r="B104" s="2"/>
      <c r="C104" s="2"/>
      <c r="D104" s="2"/>
      <c r="E104" s="2"/>
      <c r="F104" s="7"/>
      <c r="G104" s="2"/>
      <c r="H104" s="7"/>
      <c r="I104" s="2"/>
      <c r="J104" s="2"/>
      <c r="K104" s="2"/>
      <c r="L104" s="2"/>
      <c r="M104" s="2"/>
      <c r="N104" s="2"/>
      <c r="O104" s="2"/>
      <c r="P104" s="2"/>
      <c r="Q104" s="2"/>
      <c r="R104" s="2"/>
      <c r="S104" s="2"/>
      <c r="T104" s="2"/>
      <c r="U104" s="2"/>
      <c r="V104" s="2"/>
      <c r="W104" s="2"/>
      <c r="X104" s="2"/>
      <c r="Y104" s="2"/>
      <c r="Z104" s="2"/>
    </row>
    <row r="105">
      <c r="A105" s="2"/>
      <c r="B105" s="2"/>
      <c r="C105" s="2"/>
      <c r="D105" s="2"/>
      <c r="E105" s="2"/>
      <c r="F105" s="7"/>
      <c r="G105" s="2"/>
      <c r="H105" s="7"/>
      <c r="I105" s="2"/>
      <c r="J105" s="2"/>
      <c r="K105" s="2"/>
      <c r="L105" s="2"/>
      <c r="M105" s="2"/>
      <c r="N105" s="2"/>
      <c r="O105" s="2"/>
      <c r="P105" s="2"/>
      <c r="Q105" s="2"/>
      <c r="R105" s="2"/>
      <c r="S105" s="2"/>
      <c r="T105" s="2"/>
      <c r="U105" s="2"/>
      <c r="V105" s="2"/>
      <c r="W105" s="2"/>
      <c r="X105" s="2"/>
      <c r="Y105" s="2"/>
      <c r="Z105" s="2"/>
    </row>
    <row r="106">
      <c r="A106" s="2"/>
      <c r="B106" s="2"/>
      <c r="C106" s="2"/>
      <c r="D106" s="2"/>
      <c r="E106" s="2"/>
      <c r="F106" s="7"/>
      <c r="G106" s="2"/>
      <c r="H106" s="7"/>
      <c r="I106" s="2"/>
      <c r="J106" s="2"/>
      <c r="K106" s="2"/>
      <c r="L106" s="2"/>
      <c r="M106" s="2"/>
      <c r="N106" s="2"/>
      <c r="O106" s="2"/>
      <c r="P106" s="2"/>
      <c r="Q106" s="2"/>
      <c r="R106" s="2"/>
      <c r="S106" s="2"/>
      <c r="T106" s="2"/>
      <c r="U106" s="2"/>
      <c r="V106" s="2"/>
      <c r="W106" s="2"/>
      <c r="X106" s="2"/>
      <c r="Y106" s="2"/>
      <c r="Z106" s="2"/>
    </row>
    <row r="107">
      <c r="A107" s="2"/>
      <c r="B107" s="2"/>
      <c r="C107" s="2"/>
      <c r="D107" s="2"/>
      <c r="E107" s="2"/>
      <c r="F107" s="7"/>
      <c r="G107" s="2"/>
      <c r="H107" s="7"/>
      <c r="I107" s="2"/>
      <c r="J107" s="2"/>
      <c r="K107" s="2"/>
      <c r="L107" s="2"/>
      <c r="M107" s="2"/>
      <c r="N107" s="2"/>
      <c r="O107" s="2"/>
      <c r="P107" s="2"/>
      <c r="Q107" s="2"/>
      <c r="R107" s="2"/>
      <c r="S107" s="2"/>
      <c r="T107" s="2"/>
      <c r="U107" s="2"/>
      <c r="V107" s="2"/>
      <c r="W107" s="2"/>
      <c r="X107" s="2"/>
      <c r="Y107" s="2"/>
      <c r="Z107" s="2"/>
    </row>
    <row r="108">
      <c r="A108" s="2"/>
      <c r="B108" s="2"/>
      <c r="C108" s="2"/>
      <c r="D108" s="2"/>
      <c r="E108" s="2"/>
      <c r="F108" s="7"/>
      <c r="G108" s="2"/>
      <c r="H108" s="7"/>
      <c r="I108" s="2"/>
      <c r="J108" s="2"/>
      <c r="K108" s="2"/>
      <c r="L108" s="2"/>
      <c r="M108" s="2"/>
      <c r="N108" s="2"/>
      <c r="O108" s="2"/>
      <c r="P108" s="2"/>
      <c r="Q108" s="2"/>
      <c r="R108" s="2"/>
      <c r="S108" s="2"/>
      <c r="T108" s="2"/>
      <c r="U108" s="2"/>
      <c r="V108" s="2"/>
      <c r="W108" s="2"/>
      <c r="X108" s="2"/>
      <c r="Y108" s="2"/>
      <c r="Z108" s="2"/>
    </row>
    <row r="109">
      <c r="A109" s="2"/>
      <c r="B109" s="2"/>
      <c r="C109" s="2"/>
      <c r="D109" s="2"/>
      <c r="E109" s="2"/>
      <c r="F109" s="7"/>
      <c r="G109" s="2"/>
      <c r="H109" s="7"/>
      <c r="I109" s="2"/>
      <c r="J109" s="2"/>
      <c r="K109" s="2"/>
      <c r="L109" s="2"/>
      <c r="M109" s="2"/>
      <c r="N109" s="2"/>
      <c r="O109" s="2"/>
      <c r="P109" s="2"/>
      <c r="Q109" s="2"/>
      <c r="R109" s="2"/>
      <c r="S109" s="2"/>
      <c r="T109" s="2"/>
      <c r="U109" s="2"/>
      <c r="V109" s="2"/>
      <c r="W109" s="2"/>
      <c r="X109" s="2"/>
      <c r="Y109" s="2"/>
      <c r="Z109" s="2"/>
    </row>
    <row r="110">
      <c r="A110" s="2"/>
      <c r="B110" s="2"/>
      <c r="C110" s="2"/>
      <c r="D110" s="2"/>
      <c r="E110" s="2"/>
      <c r="F110" s="7"/>
      <c r="G110" s="2"/>
      <c r="H110" s="7"/>
      <c r="I110" s="2"/>
      <c r="J110" s="2"/>
      <c r="K110" s="2"/>
      <c r="L110" s="2"/>
      <c r="M110" s="2"/>
      <c r="N110" s="2"/>
      <c r="O110" s="2"/>
      <c r="P110" s="2"/>
      <c r="Q110" s="2"/>
      <c r="R110" s="2"/>
      <c r="S110" s="2"/>
      <c r="T110" s="2"/>
      <c r="U110" s="2"/>
      <c r="V110" s="2"/>
      <c r="W110" s="2"/>
      <c r="X110" s="2"/>
      <c r="Y110" s="2"/>
      <c r="Z110" s="2"/>
    </row>
    <row r="111">
      <c r="A111" s="2"/>
      <c r="B111" s="2"/>
      <c r="C111" s="2"/>
      <c r="D111" s="2"/>
      <c r="E111" s="2"/>
      <c r="F111" s="7"/>
      <c r="G111" s="2"/>
      <c r="H111" s="7"/>
      <c r="I111" s="2"/>
      <c r="J111" s="2"/>
      <c r="K111" s="2"/>
      <c r="L111" s="2"/>
      <c r="M111" s="2"/>
      <c r="N111" s="2"/>
      <c r="O111" s="2"/>
      <c r="P111" s="2"/>
      <c r="Q111" s="2"/>
      <c r="R111" s="2"/>
      <c r="S111" s="2"/>
      <c r="T111" s="2"/>
      <c r="U111" s="2"/>
      <c r="V111" s="2"/>
      <c r="W111" s="2"/>
      <c r="X111" s="2"/>
      <c r="Y111" s="2"/>
      <c r="Z111" s="2"/>
    </row>
    <row r="112">
      <c r="A112" s="2"/>
      <c r="B112" s="2"/>
      <c r="C112" s="2"/>
      <c r="D112" s="2"/>
      <c r="E112" s="2"/>
      <c r="F112" s="7"/>
      <c r="G112" s="2"/>
      <c r="H112" s="7"/>
      <c r="I112" s="2"/>
      <c r="J112" s="2"/>
      <c r="K112" s="2"/>
      <c r="L112" s="2"/>
      <c r="M112" s="2"/>
      <c r="N112" s="2"/>
      <c r="O112" s="2"/>
      <c r="P112" s="2"/>
      <c r="Q112" s="2"/>
      <c r="R112" s="2"/>
      <c r="S112" s="2"/>
      <c r="T112" s="2"/>
      <c r="U112" s="2"/>
      <c r="V112" s="2"/>
      <c r="W112" s="2"/>
      <c r="X112" s="2"/>
      <c r="Y112" s="2"/>
      <c r="Z112" s="2"/>
    </row>
    <row r="113">
      <c r="A113" s="2"/>
      <c r="B113" s="2"/>
      <c r="C113" s="2"/>
      <c r="D113" s="2"/>
      <c r="E113" s="2"/>
      <c r="F113" s="7"/>
      <c r="G113" s="2"/>
      <c r="H113" s="7"/>
      <c r="I113" s="2"/>
      <c r="J113" s="2"/>
      <c r="K113" s="2"/>
      <c r="L113" s="2"/>
      <c r="M113" s="2"/>
      <c r="N113" s="2"/>
      <c r="O113" s="2"/>
      <c r="P113" s="2"/>
      <c r="Q113" s="2"/>
      <c r="R113" s="2"/>
      <c r="S113" s="2"/>
      <c r="T113" s="2"/>
      <c r="U113" s="2"/>
      <c r="V113" s="2"/>
      <c r="W113" s="2"/>
      <c r="X113" s="2"/>
      <c r="Y113" s="2"/>
      <c r="Z113" s="2"/>
    </row>
    <row r="114">
      <c r="A114" s="2"/>
      <c r="B114" s="2"/>
      <c r="C114" s="2"/>
      <c r="D114" s="2"/>
      <c r="E114" s="2"/>
      <c r="F114" s="7"/>
      <c r="G114" s="2"/>
      <c r="H114" s="7"/>
      <c r="I114" s="2"/>
      <c r="J114" s="2"/>
      <c r="K114" s="2"/>
      <c r="L114" s="2"/>
      <c r="M114" s="2"/>
      <c r="N114" s="2"/>
      <c r="O114" s="2"/>
      <c r="P114" s="2"/>
      <c r="Q114" s="2"/>
      <c r="R114" s="2"/>
      <c r="S114" s="2"/>
      <c r="T114" s="2"/>
      <c r="U114" s="2"/>
      <c r="V114" s="2"/>
      <c r="W114" s="2"/>
      <c r="X114" s="2"/>
      <c r="Y114" s="2"/>
      <c r="Z114" s="2"/>
    </row>
    <row r="115">
      <c r="A115" s="2"/>
      <c r="B115" s="2"/>
      <c r="C115" s="2"/>
      <c r="D115" s="2"/>
      <c r="E115" s="2"/>
      <c r="F115" s="7"/>
      <c r="G115" s="2"/>
      <c r="H115" s="7"/>
      <c r="I115" s="2"/>
      <c r="J115" s="2"/>
      <c r="K115" s="2"/>
      <c r="L115" s="2"/>
      <c r="M115" s="2"/>
      <c r="N115" s="2"/>
      <c r="O115" s="2"/>
      <c r="P115" s="2"/>
      <c r="Q115" s="2"/>
      <c r="R115" s="2"/>
      <c r="S115" s="2"/>
      <c r="T115" s="2"/>
      <c r="U115" s="2"/>
      <c r="V115" s="2"/>
      <c r="W115" s="2"/>
      <c r="X115" s="2"/>
      <c r="Y115" s="2"/>
      <c r="Z115" s="2"/>
    </row>
    <row r="116">
      <c r="A116" s="2"/>
      <c r="B116" s="2"/>
      <c r="C116" s="2"/>
      <c r="D116" s="2"/>
      <c r="E116" s="2"/>
      <c r="F116" s="7"/>
      <c r="G116" s="2"/>
      <c r="H116" s="7"/>
      <c r="I116" s="2"/>
      <c r="J116" s="2"/>
      <c r="K116" s="2"/>
      <c r="L116" s="2"/>
      <c r="M116" s="2"/>
      <c r="N116" s="2"/>
      <c r="O116" s="2"/>
      <c r="P116" s="2"/>
      <c r="Q116" s="2"/>
      <c r="R116" s="2"/>
      <c r="S116" s="2"/>
      <c r="T116" s="2"/>
      <c r="U116" s="2"/>
      <c r="V116" s="2"/>
      <c r="W116" s="2"/>
      <c r="X116" s="2"/>
      <c r="Y116" s="2"/>
      <c r="Z116" s="2"/>
    </row>
    <row r="117">
      <c r="A117" s="2"/>
      <c r="B117" s="2"/>
      <c r="C117" s="2"/>
      <c r="D117" s="2"/>
      <c r="E117" s="2"/>
      <c r="F117" s="7"/>
      <c r="G117" s="2"/>
      <c r="H117" s="7"/>
      <c r="I117" s="2"/>
      <c r="J117" s="2"/>
      <c r="K117" s="2"/>
      <c r="L117" s="2"/>
      <c r="M117" s="2"/>
      <c r="N117" s="2"/>
      <c r="O117" s="2"/>
      <c r="P117" s="2"/>
      <c r="Q117" s="2"/>
      <c r="R117" s="2"/>
      <c r="S117" s="2"/>
      <c r="T117" s="2"/>
      <c r="U117" s="2"/>
      <c r="V117" s="2"/>
      <c r="W117" s="2"/>
      <c r="X117" s="2"/>
      <c r="Y117" s="2"/>
      <c r="Z117" s="2"/>
    </row>
    <row r="118">
      <c r="A118" s="2"/>
      <c r="B118" s="2"/>
      <c r="C118" s="2"/>
      <c r="D118" s="2"/>
      <c r="E118" s="2"/>
      <c r="F118" s="7"/>
      <c r="G118" s="2"/>
      <c r="H118" s="7"/>
      <c r="I118" s="2"/>
      <c r="J118" s="2"/>
      <c r="K118" s="2"/>
      <c r="L118" s="2"/>
      <c r="M118" s="2"/>
      <c r="N118" s="2"/>
      <c r="O118" s="2"/>
      <c r="P118" s="2"/>
      <c r="Q118" s="2"/>
      <c r="R118" s="2"/>
      <c r="S118" s="2"/>
      <c r="T118" s="2"/>
      <c r="U118" s="2"/>
      <c r="V118" s="2"/>
      <c r="W118" s="2"/>
      <c r="X118" s="2"/>
      <c r="Y118" s="2"/>
      <c r="Z118" s="2"/>
    </row>
    <row r="119">
      <c r="A119" s="2"/>
      <c r="B119" s="2"/>
      <c r="C119" s="2"/>
      <c r="D119" s="2"/>
      <c r="E119" s="2"/>
      <c r="F119" s="7"/>
      <c r="G119" s="2"/>
      <c r="H119" s="7"/>
      <c r="I119" s="2"/>
      <c r="J119" s="2"/>
      <c r="K119" s="2"/>
      <c r="L119" s="2"/>
      <c r="M119" s="2"/>
      <c r="N119" s="2"/>
      <c r="O119" s="2"/>
      <c r="P119" s="2"/>
      <c r="Q119" s="2"/>
      <c r="R119" s="2"/>
      <c r="S119" s="2"/>
      <c r="T119" s="2"/>
      <c r="U119" s="2"/>
      <c r="V119" s="2"/>
      <c r="W119" s="2"/>
      <c r="X119" s="2"/>
      <c r="Y119" s="2"/>
      <c r="Z119" s="2"/>
    </row>
    <row r="120">
      <c r="A120" s="2"/>
      <c r="B120" s="2"/>
      <c r="C120" s="2"/>
      <c r="D120" s="2"/>
      <c r="E120" s="2"/>
      <c r="F120" s="7"/>
      <c r="G120" s="2"/>
      <c r="H120" s="7"/>
      <c r="I120" s="2"/>
      <c r="J120" s="2"/>
      <c r="K120" s="2"/>
      <c r="L120" s="2"/>
      <c r="M120" s="2"/>
      <c r="N120" s="2"/>
      <c r="O120" s="2"/>
      <c r="P120" s="2"/>
      <c r="Q120" s="2"/>
      <c r="R120" s="2"/>
      <c r="S120" s="2"/>
      <c r="T120" s="2"/>
      <c r="U120" s="2"/>
      <c r="V120" s="2"/>
      <c r="W120" s="2"/>
      <c r="X120" s="2"/>
      <c r="Y120" s="2"/>
      <c r="Z120" s="2"/>
    </row>
    <row r="121">
      <c r="A121" s="2"/>
      <c r="B121" s="2"/>
      <c r="C121" s="2"/>
      <c r="D121" s="2"/>
      <c r="E121" s="2"/>
      <c r="F121" s="7"/>
      <c r="G121" s="2"/>
      <c r="H121" s="7"/>
      <c r="I121" s="2"/>
      <c r="J121" s="2"/>
      <c r="K121" s="2"/>
      <c r="L121" s="2"/>
      <c r="M121" s="2"/>
      <c r="N121" s="2"/>
      <c r="O121" s="2"/>
      <c r="P121" s="2"/>
      <c r="Q121" s="2"/>
      <c r="R121" s="2"/>
      <c r="S121" s="2"/>
      <c r="T121" s="2"/>
      <c r="U121" s="2"/>
      <c r="V121" s="2"/>
      <c r="W121" s="2"/>
      <c r="X121" s="2"/>
      <c r="Y121" s="2"/>
      <c r="Z121" s="2"/>
    </row>
    <row r="122">
      <c r="A122" s="2"/>
      <c r="B122" s="2"/>
      <c r="C122" s="2"/>
      <c r="D122" s="2"/>
      <c r="E122" s="2"/>
      <c r="F122" s="7"/>
      <c r="G122" s="2"/>
      <c r="H122" s="7"/>
      <c r="I122" s="2"/>
      <c r="J122" s="2"/>
      <c r="K122" s="2"/>
      <c r="L122" s="2"/>
      <c r="M122" s="2"/>
      <c r="N122" s="2"/>
      <c r="O122" s="2"/>
      <c r="P122" s="2"/>
      <c r="Q122" s="2"/>
      <c r="R122" s="2"/>
      <c r="S122" s="2"/>
      <c r="T122" s="2"/>
      <c r="U122" s="2"/>
      <c r="V122" s="2"/>
      <c r="W122" s="2"/>
      <c r="X122" s="2"/>
      <c r="Y122" s="2"/>
      <c r="Z122" s="2"/>
    </row>
    <row r="123">
      <c r="A123" s="2"/>
      <c r="B123" s="2"/>
      <c r="C123" s="2"/>
      <c r="D123" s="2"/>
      <c r="E123" s="2"/>
      <c r="F123" s="7"/>
      <c r="G123" s="2"/>
      <c r="H123" s="7"/>
      <c r="I123" s="2"/>
      <c r="J123" s="2"/>
      <c r="K123" s="2"/>
      <c r="L123" s="2"/>
      <c r="M123" s="2"/>
      <c r="N123" s="2"/>
      <c r="O123" s="2"/>
      <c r="P123" s="2"/>
      <c r="Q123" s="2"/>
      <c r="R123" s="2"/>
      <c r="S123" s="2"/>
      <c r="T123" s="2"/>
      <c r="U123" s="2"/>
      <c r="V123" s="2"/>
      <c r="W123" s="2"/>
      <c r="X123" s="2"/>
      <c r="Y123" s="2"/>
      <c r="Z123" s="2"/>
    </row>
    <row r="124">
      <c r="A124" s="2"/>
      <c r="B124" s="2"/>
      <c r="C124" s="2"/>
      <c r="D124" s="2"/>
      <c r="E124" s="2"/>
      <c r="F124" s="7"/>
      <c r="G124" s="2"/>
      <c r="H124" s="7"/>
      <c r="I124" s="2"/>
      <c r="J124" s="2"/>
      <c r="K124" s="2"/>
      <c r="L124" s="2"/>
      <c r="M124" s="2"/>
      <c r="N124" s="2"/>
      <c r="O124" s="2"/>
      <c r="P124" s="2"/>
      <c r="Q124" s="2"/>
      <c r="R124" s="2"/>
      <c r="S124" s="2"/>
      <c r="T124" s="2"/>
      <c r="U124" s="2"/>
      <c r="V124" s="2"/>
      <c r="W124" s="2"/>
      <c r="X124" s="2"/>
      <c r="Y124" s="2"/>
      <c r="Z124" s="2"/>
    </row>
    <row r="125">
      <c r="A125" s="2"/>
      <c r="B125" s="2"/>
      <c r="C125" s="2"/>
      <c r="D125" s="2"/>
      <c r="E125" s="2"/>
      <c r="F125" s="7"/>
      <c r="G125" s="2"/>
      <c r="H125" s="7"/>
      <c r="I125" s="2"/>
      <c r="J125" s="2"/>
      <c r="K125" s="2"/>
      <c r="L125" s="2"/>
      <c r="M125" s="2"/>
      <c r="N125" s="2"/>
      <c r="O125" s="2"/>
      <c r="P125" s="2"/>
      <c r="Q125" s="2"/>
      <c r="R125" s="2"/>
      <c r="S125" s="2"/>
      <c r="T125" s="2"/>
      <c r="U125" s="2"/>
      <c r="V125" s="2"/>
      <c r="W125" s="2"/>
      <c r="X125" s="2"/>
      <c r="Y125" s="2"/>
      <c r="Z125" s="2"/>
    </row>
    <row r="126">
      <c r="A126" s="2"/>
      <c r="B126" s="2"/>
      <c r="C126" s="2"/>
      <c r="D126" s="2"/>
      <c r="E126" s="2"/>
      <c r="F126" s="7"/>
      <c r="G126" s="2"/>
      <c r="H126" s="7"/>
      <c r="I126" s="2"/>
      <c r="J126" s="2"/>
      <c r="K126" s="2"/>
      <c r="L126" s="2"/>
      <c r="M126" s="2"/>
      <c r="N126" s="2"/>
      <c r="O126" s="2"/>
      <c r="P126" s="2"/>
      <c r="Q126" s="2"/>
      <c r="R126" s="2"/>
      <c r="S126" s="2"/>
      <c r="T126" s="2"/>
      <c r="U126" s="2"/>
      <c r="V126" s="2"/>
      <c r="W126" s="2"/>
      <c r="X126" s="2"/>
      <c r="Y126" s="2"/>
      <c r="Z126" s="2"/>
    </row>
    <row r="127">
      <c r="A127" s="2"/>
      <c r="B127" s="2"/>
      <c r="C127" s="2"/>
      <c r="D127" s="2"/>
      <c r="E127" s="2"/>
      <c r="F127" s="7"/>
      <c r="G127" s="2"/>
      <c r="H127" s="7"/>
      <c r="I127" s="2"/>
      <c r="J127" s="2"/>
      <c r="K127" s="2"/>
      <c r="L127" s="2"/>
      <c r="M127" s="2"/>
      <c r="N127" s="2"/>
      <c r="O127" s="2"/>
      <c r="P127" s="2"/>
      <c r="Q127" s="2"/>
      <c r="R127" s="2"/>
      <c r="S127" s="2"/>
      <c r="T127" s="2"/>
      <c r="U127" s="2"/>
      <c r="V127" s="2"/>
      <c r="W127" s="2"/>
      <c r="X127" s="2"/>
      <c r="Y127" s="2"/>
      <c r="Z127" s="2"/>
    </row>
    <row r="128">
      <c r="A128" s="2"/>
      <c r="B128" s="2"/>
      <c r="C128" s="2"/>
      <c r="D128" s="2"/>
      <c r="E128" s="2"/>
      <c r="F128" s="7"/>
      <c r="G128" s="2"/>
      <c r="H128" s="7"/>
      <c r="I128" s="2"/>
      <c r="J128" s="2"/>
      <c r="K128" s="2"/>
      <c r="L128" s="2"/>
      <c r="M128" s="2"/>
      <c r="N128" s="2"/>
      <c r="O128" s="2"/>
      <c r="P128" s="2"/>
      <c r="Q128" s="2"/>
      <c r="R128" s="2"/>
      <c r="S128" s="2"/>
      <c r="T128" s="2"/>
      <c r="U128" s="2"/>
      <c r="V128" s="2"/>
      <c r="W128" s="2"/>
      <c r="X128" s="2"/>
      <c r="Y128" s="2"/>
      <c r="Z128" s="2"/>
    </row>
    <row r="129">
      <c r="A129" s="2"/>
      <c r="B129" s="2"/>
      <c r="C129" s="2"/>
      <c r="D129" s="2"/>
      <c r="E129" s="2"/>
      <c r="F129" s="7"/>
      <c r="G129" s="2"/>
      <c r="H129" s="7"/>
      <c r="I129" s="2"/>
      <c r="J129" s="2"/>
      <c r="K129" s="2"/>
      <c r="L129" s="2"/>
      <c r="M129" s="2"/>
      <c r="N129" s="2"/>
      <c r="O129" s="2"/>
      <c r="P129" s="2"/>
      <c r="Q129" s="2"/>
      <c r="R129" s="2"/>
      <c r="S129" s="2"/>
      <c r="T129" s="2"/>
      <c r="U129" s="2"/>
      <c r="V129" s="2"/>
      <c r="W129" s="2"/>
      <c r="X129" s="2"/>
      <c r="Y129" s="2"/>
      <c r="Z129" s="2"/>
    </row>
    <row r="130">
      <c r="A130" s="2"/>
      <c r="B130" s="2"/>
      <c r="C130" s="2"/>
      <c r="D130" s="2"/>
      <c r="E130" s="2"/>
      <c r="F130" s="7"/>
      <c r="G130" s="2"/>
      <c r="H130" s="7"/>
      <c r="I130" s="2"/>
      <c r="J130" s="2"/>
      <c r="K130" s="2"/>
      <c r="L130" s="2"/>
      <c r="M130" s="2"/>
      <c r="N130" s="2"/>
      <c r="O130" s="2"/>
      <c r="P130" s="2"/>
      <c r="Q130" s="2"/>
      <c r="R130" s="2"/>
      <c r="S130" s="2"/>
      <c r="T130" s="2"/>
      <c r="U130" s="2"/>
      <c r="V130" s="2"/>
      <c r="W130" s="2"/>
      <c r="X130" s="2"/>
      <c r="Y130" s="2"/>
      <c r="Z130" s="2"/>
    </row>
    <row r="131">
      <c r="A131" s="2"/>
      <c r="B131" s="2"/>
      <c r="C131" s="2"/>
      <c r="D131" s="2"/>
      <c r="E131" s="2"/>
      <c r="F131" s="7"/>
      <c r="G131" s="2"/>
      <c r="H131" s="7"/>
      <c r="I131" s="2"/>
      <c r="J131" s="2"/>
      <c r="K131" s="2"/>
      <c r="L131" s="2"/>
      <c r="M131" s="2"/>
      <c r="N131" s="2"/>
      <c r="O131" s="2"/>
      <c r="P131" s="2"/>
      <c r="Q131" s="2"/>
      <c r="R131" s="2"/>
      <c r="S131" s="2"/>
      <c r="T131" s="2"/>
      <c r="U131" s="2"/>
      <c r="V131" s="2"/>
      <c r="W131" s="2"/>
      <c r="X131" s="2"/>
      <c r="Y131" s="2"/>
      <c r="Z131" s="2"/>
    </row>
    <row r="132">
      <c r="A132" s="2"/>
      <c r="B132" s="2"/>
      <c r="C132" s="2"/>
      <c r="D132" s="2"/>
      <c r="E132" s="2"/>
      <c r="F132" s="7"/>
      <c r="G132" s="2"/>
      <c r="H132" s="7"/>
      <c r="I132" s="2"/>
      <c r="J132" s="2"/>
      <c r="K132" s="2"/>
      <c r="L132" s="2"/>
      <c r="M132" s="2"/>
      <c r="N132" s="2"/>
      <c r="O132" s="2"/>
      <c r="P132" s="2"/>
      <c r="Q132" s="2"/>
      <c r="R132" s="2"/>
      <c r="S132" s="2"/>
      <c r="T132" s="2"/>
      <c r="U132" s="2"/>
      <c r="V132" s="2"/>
      <c r="W132" s="2"/>
      <c r="X132" s="2"/>
      <c r="Y132" s="2"/>
      <c r="Z132" s="2"/>
    </row>
    <row r="133">
      <c r="A133" s="2"/>
      <c r="B133" s="2"/>
      <c r="C133" s="2"/>
      <c r="D133" s="2"/>
      <c r="E133" s="2"/>
      <c r="F133" s="7"/>
      <c r="G133" s="2"/>
      <c r="H133" s="7"/>
      <c r="I133" s="2"/>
      <c r="J133" s="2"/>
      <c r="K133" s="2"/>
      <c r="L133" s="2"/>
      <c r="M133" s="2"/>
      <c r="N133" s="2"/>
      <c r="O133" s="2"/>
      <c r="P133" s="2"/>
      <c r="Q133" s="2"/>
      <c r="R133" s="2"/>
      <c r="S133" s="2"/>
      <c r="T133" s="2"/>
      <c r="U133" s="2"/>
      <c r="V133" s="2"/>
      <c r="W133" s="2"/>
      <c r="X133" s="2"/>
      <c r="Y133" s="2"/>
      <c r="Z133" s="2"/>
    </row>
    <row r="134">
      <c r="A134" s="2"/>
      <c r="B134" s="2"/>
      <c r="C134" s="2"/>
      <c r="D134" s="2"/>
      <c r="E134" s="2"/>
      <c r="F134" s="7"/>
      <c r="G134" s="2"/>
      <c r="H134" s="7"/>
      <c r="I134" s="2"/>
      <c r="J134" s="2"/>
      <c r="K134" s="2"/>
      <c r="L134" s="2"/>
      <c r="M134" s="2"/>
      <c r="N134" s="2"/>
      <c r="O134" s="2"/>
      <c r="P134" s="2"/>
      <c r="Q134" s="2"/>
      <c r="R134" s="2"/>
      <c r="S134" s="2"/>
      <c r="T134" s="2"/>
      <c r="U134" s="2"/>
      <c r="V134" s="2"/>
      <c r="W134" s="2"/>
      <c r="X134" s="2"/>
      <c r="Y134" s="2"/>
      <c r="Z134" s="2"/>
    </row>
    <row r="135">
      <c r="A135" s="2"/>
      <c r="B135" s="2"/>
      <c r="C135" s="2"/>
      <c r="D135" s="2"/>
      <c r="E135" s="2"/>
      <c r="F135" s="7"/>
      <c r="G135" s="2"/>
      <c r="H135" s="7"/>
      <c r="I135" s="2"/>
      <c r="J135" s="2"/>
      <c r="K135" s="2"/>
      <c r="L135" s="2"/>
      <c r="M135" s="2"/>
      <c r="N135" s="2"/>
      <c r="O135" s="2"/>
      <c r="P135" s="2"/>
      <c r="Q135" s="2"/>
      <c r="R135" s="2"/>
      <c r="S135" s="2"/>
      <c r="T135" s="2"/>
      <c r="U135" s="2"/>
      <c r="V135" s="2"/>
      <c r="W135" s="2"/>
      <c r="X135" s="2"/>
      <c r="Y135" s="2"/>
      <c r="Z135" s="2"/>
    </row>
    <row r="136">
      <c r="A136" s="2"/>
      <c r="B136" s="2"/>
      <c r="C136" s="2"/>
      <c r="D136" s="2"/>
      <c r="E136" s="2"/>
      <c r="F136" s="7"/>
      <c r="G136" s="2"/>
      <c r="H136" s="7"/>
      <c r="I136" s="2"/>
      <c r="J136" s="2"/>
      <c r="K136" s="2"/>
      <c r="L136" s="2"/>
      <c r="M136" s="2"/>
      <c r="N136" s="2"/>
      <c r="O136" s="2"/>
      <c r="P136" s="2"/>
      <c r="Q136" s="2"/>
      <c r="R136" s="2"/>
      <c r="S136" s="2"/>
      <c r="T136" s="2"/>
      <c r="U136" s="2"/>
      <c r="V136" s="2"/>
      <c r="W136" s="2"/>
      <c r="X136" s="2"/>
      <c r="Y136" s="2"/>
      <c r="Z136" s="2"/>
    </row>
    <row r="137">
      <c r="A137" s="2"/>
      <c r="B137" s="2"/>
      <c r="C137" s="2"/>
      <c r="D137" s="2"/>
      <c r="E137" s="2"/>
      <c r="F137" s="7"/>
      <c r="G137" s="2"/>
      <c r="H137" s="7"/>
      <c r="I137" s="2"/>
      <c r="J137" s="2"/>
      <c r="K137" s="2"/>
      <c r="L137" s="2"/>
      <c r="M137" s="2"/>
      <c r="N137" s="2"/>
      <c r="O137" s="2"/>
      <c r="P137" s="2"/>
      <c r="Q137" s="2"/>
      <c r="R137" s="2"/>
      <c r="S137" s="2"/>
      <c r="T137" s="2"/>
      <c r="U137" s="2"/>
      <c r="V137" s="2"/>
      <c r="W137" s="2"/>
      <c r="X137" s="2"/>
      <c r="Y137" s="2"/>
      <c r="Z137" s="2"/>
    </row>
    <row r="138">
      <c r="A138" s="2"/>
      <c r="B138" s="2"/>
      <c r="C138" s="2"/>
      <c r="D138" s="2"/>
      <c r="E138" s="2"/>
      <c r="F138" s="7"/>
      <c r="G138" s="2"/>
      <c r="H138" s="7"/>
      <c r="I138" s="2"/>
      <c r="J138" s="2"/>
      <c r="K138" s="2"/>
      <c r="L138" s="2"/>
      <c r="M138" s="2"/>
      <c r="N138" s="2"/>
      <c r="O138" s="2"/>
      <c r="P138" s="2"/>
      <c r="Q138" s="2"/>
      <c r="R138" s="2"/>
      <c r="S138" s="2"/>
      <c r="T138" s="2"/>
      <c r="U138" s="2"/>
      <c r="V138" s="2"/>
      <c r="W138" s="2"/>
      <c r="X138" s="2"/>
      <c r="Y138" s="2"/>
      <c r="Z138" s="2"/>
    </row>
    <row r="139">
      <c r="A139" s="2"/>
      <c r="B139" s="2"/>
      <c r="C139" s="2"/>
      <c r="D139" s="2"/>
      <c r="E139" s="2"/>
      <c r="F139" s="7"/>
      <c r="G139" s="2"/>
      <c r="H139" s="7"/>
      <c r="I139" s="2"/>
      <c r="J139" s="2"/>
      <c r="K139" s="2"/>
      <c r="L139" s="2"/>
      <c r="M139" s="2"/>
      <c r="N139" s="2"/>
      <c r="O139" s="2"/>
      <c r="P139" s="2"/>
      <c r="Q139" s="2"/>
      <c r="R139" s="2"/>
      <c r="S139" s="2"/>
      <c r="T139" s="2"/>
      <c r="U139" s="2"/>
      <c r="V139" s="2"/>
      <c r="W139" s="2"/>
      <c r="X139" s="2"/>
      <c r="Y139" s="2"/>
      <c r="Z139" s="2"/>
    </row>
    <row r="140">
      <c r="A140" s="2"/>
      <c r="B140" s="2"/>
      <c r="C140" s="2"/>
      <c r="D140" s="2"/>
      <c r="E140" s="2"/>
      <c r="F140" s="7"/>
      <c r="G140" s="2"/>
      <c r="H140" s="7"/>
      <c r="I140" s="2"/>
      <c r="J140" s="2"/>
      <c r="K140" s="2"/>
      <c r="L140" s="2"/>
      <c r="M140" s="2"/>
      <c r="N140" s="2"/>
      <c r="O140" s="2"/>
      <c r="P140" s="2"/>
      <c r="Q140" s="2"/>
      <c r="R140" s="2"/>
      <c r="S140" s="2"/>
      <c r="T140" s="2"/>
      <c r="U140" s="2"/>
      <c r="V140" s="2"/>
      <c r="W140" s="2"/>
      <c r="X140" s="2"/>
      <c r="Y140" s="2"/>
      <c r="Z140" s="2"/>
    </row>
    <row r="141">
      <c r="A141" s="2"/>
      <c r="B141" s="2"/>
      <c r="C141" s="2"/>
      <c r="D141" s="2"/>
      <c r="E141" s="2"/>
      <c r="F141" s="7"/>
      <c r="G141" s="2"/>
      <c r="H141" s="7"/>
      <c r="I141" s="2"/>
      <c r="J141" s="2"/>
      <c r="K141" s="2"/>
      <c r="L141" s="2"/>
      <c r="M141" s="2"/>
      <c r="N141" s="2"/>
      <c r="O141" s="2"/>
      <c r="P141" s="2"/>
      <c r="Q141" s="2"/>
      <c r="R141" s="2"/>
      <c r="S141" s="2"/>
      <c r="T141" s="2"/>
      <c r="U141" s="2"/>
      <c r="V141" s="2"/>
      <c r="W141" s="2"/>
      <c r="X141" s="2"/>
      <c r="Y141" s="2"/>
      <c r="Z141" s="2"/>
    </row>
    <row r="142">
      <c r="A142" s="2"/>
      <c r="B142" s="2"/>
      <c r="C142" s="2"/>
      <c r="D142" s="2"/>
      <c r="E142" s="2"/>
      <c r="F142" s="7"/>
      <c r="G142" s="2"/>
      <c r="H142" s="7"/>
      <c r="I142" s="2"/>
      <c r="J142" s="2"/>
      <c r="K142" s="2"/>
      <c r="L142" s="2"/>
      <c r="M142" s="2"/>
      <c r="N142" s="2"/>
      <c r="O142" s="2"/>
      <c r="P142" s="2"/>
      <c r="Q142" s="2"/>
      <c r="R142" s="2"/>
      <c r="S142" s="2"/>
      <c r="T142" s="2"/>
      <c r="U142" s="2"/>
      <c r="V142" s="2"/>
      <c r="W142" s="2"/>
      <c r="X142" s="2"/>
      <c r="Y142" s="2"/>
      <c r="Z142" s="2"/>
    </row>
    <row r="143">
      <c r="A143" s="2"/>
      <c r="B143" s="2"/>
      <c r="C143" s="2"/>
      <c r="D143" s="2"/>
      <c r="E143" s="2"/>
      <c r="F143" s="7"/>
      <c r="G143" s="2"/>
      <c r="H143" s="7"/>
      <c r="I143" s="2"/>
      <c r="J143" s="2"/>
      <c r="K143" s="2"/>
      <c r="L143" s="2"/>
      <c r="M143" s="2"/>
      <c r="N143" s="2"/>
      <c r="O143" s="2"/>
      <c r="P143" s="2"/>
      <c r="Q143" s="2"/>
      <c r="R143" s="2"/>
      <c r="S143" s="2"/>
      <c r="T143" s="2"/>
      <c r="U143" s="2"/>
      <c r="V143" s="2"/>
      <c r="W143" s="2"/>
      <c r="X143" s="2"/>
      <c r="Y143" s="2"/>
      <c r="Z143" s="2"/>
    </row>
    <row r="144">
      <c r="A144" s="2"/>
      <c r="B144" s="2"/>
      <c r="C144" s="2"/>
      <c r="D144" s="2"/>
      <c r="E144" s="2"/>
      <c r="F144" s="7"/>
      <c r="G144" s="2"/>
      <c r="H144" s="7"/>
      <c r="I144" s="2"/>
      <c r="J144" s="2"/>
      <c r="K144" s="2"/>
      <c r="L144" s="2"/>
      <c r="M144" s="2"/>
      <c r="N144" s="2"/>
      <c r="O144" s="2"/>
      <c r="P144" s="2"/>
      <c r="Q144" s="2"/>
      <c r="R144" s="2"/>
      <c r="S144" s="2"/>
      <c r="T144" s="2"/>
      <c r="U144" s="2"/>
      <c r="V144" s="2"/>
      <c r="W144" s="2"/>
      <c r="X144" s="2"/>
      <c r="Y144" s="2"/>
      <c r="Z144" s="2"/>
    </row>
    <row r="145">
      <c r="A145" s="2"/>
      <c r="B145" s="2"/>
      <c r="C145" s="2"/>
      <c r="D145" s="2"/>
      <c r="E145" s="2"/>
      <c r="F145" s="7"/>
      <c r="G145" s="2"/>
      <c r="H145" s="7"/>
      <c r="I145" s="2"/>
      <c r="J145" s="2"/>
      <c r="K145" s="2"/>
      <c r="L145" s="2"/>
      <c r="M145" s="2"/>
      <c r="N145" s="2"/>
      <c r="O145" s="2"/>
      <c r="P145" s="2"/>
      <c r="Q145" s="2"/>
      <c r="R145" s="2"/>
      <c r="S145" s="2"/>
      <c r="T145" s="2"/>
      <c r="U145" s="2"/>
      <c r="V145" s="2"/>
      <c r="W145" s="2"/>
      <c r="X145" s="2"/>
      <c r="Y145" s="2"/>
      <c r="Z145" s="2"/>
    </row>
    <row r="146">
      <c r="A146" s="2"/>
      <c r="B146" s="2"/>
      <c r="C146" s="2"/>
      <c r="D146" s="2"/>
      <c r="E146" s="2"/>
      <c r="F146" s="7"/>
      <c r="G146" s="2"/>
      <c r="H146" s="7"/>
      <c r="I146" s="2"/>
      <c r="J146" s="2"/>
      <c r="K146" s="2"/>
      <c r="L146" s="2"/>
      <c r="M146" s="2"/>
      <c r="N146" s="2"/>
      <c r="O146" s="2"/>
      <c r="P146" s="2"/>
      <c r="Q146" s="2"/>
      <c r="R146" s="2"/>
      <c r="S146" s="2"/>
      <c r="T146" s="2"/>
      <c r="U146" s="2"/>
      <c r="V146" s="2"/>
      <c r="W146" s="2"/>
      <c r="X146" s="2"/>
      <c r="Y146" s="2"/>
      <c r="Z146" s="2"/>
    </row>
    <row r="147">
      <c r="A147" s="2"/>
      <c r="B147" s="2"/>
      <c r="C147" s="2"/>
      <c r="D147" s="2"/>
      <c r="E147" s="2"/>
      <c r="F147" s="7"/>
      <c r="G147" s="2"/>
      <c r="H147" s="7"/>
      <c r="I147" s="2"/>
      <c r="J147" s="2"/>
      <c r="K147" s="2"/>
      <c r="L147" s="2"/>
      <c r="M147" s="2"/>
      <c r="N147" s="2"/>
      <c r="O147" s="2"/>
      <c r="P147" s="2"/>
      <c r="Q147" s="2"/>
      <c r="R147" s="2"/>
      <c r="S147" s="2"/>
      <c r="T147" s="2"/>
      <c r="U147" s="2"/>
      <c r="V147" s="2"/>
      <c r="W147" s="2"/>
      <c r="X147" s="2"/>
      <c r="Y147" s="2"/>
      <c r="Z147" s="2"/>
    </row>
    <row r="148">
      <c r="A148" s="2"/>
      <c r="B148" s="2"/>
      <c r="C148" s="2"/>
      <c r="D148" s="2"/>
      <c r="E148" s="2"/>
      <c r="F148" s="7"/>
      <c r="G148" s="2"/>
      <c r="H148" s="7"/>
      <c r="I148" s="2"/>
      <c r="J148" s="2"/>
      <c r="K148" s="2"/>
      <c r="L148" s="2"/>
      <c r="M148" s="2"/>
      <c r="N148" s="2"/>
      <c r="O148" s="2"/>
      <c r="P148" s="2"/>
      <c r="Q148" s="2"/>
      <c r="R148" s="2"/>
      <c r="S148" s="2"/>
      <c r="T148" s="2"/>
      <c r="U148" s="2"/>
      <c r="V148" s="2"/>
      <c r="W148" s="2"/>
      <c r="X148" s="2"/>
      <c r="Y148" s="2"/>
      <c r="Z148" s="2"/>
    </row>
    <row r="149">
      <c r="A149" s="2"/>
      <c r="B149" s="2"/>
      <c r="C149" s="2"/>
      <c r="D149" s="2"/>
      <c r="E149" s="2"/>
      <c r="F149" s="7"/>
      <c r="G149" s="2"/>
      <c r="H149" s="7"/>
      <c r="I149" s="2"/>
      <c r="J149" s="2"/>
      <c r="K149" s="2"/>
      <c r="L149" s="2"/>
      <c r="M149" s="2"/>
      <c r="N149" s="2"/>
      <c r="O149" s="2"/>
      <c r="P149" s="2"/>
      <c r="Q149" s="2"/>
      <c r="R149" s="2"/>
      <c r="S149" s="2"/>
      <c r="T149" s="2"/>
      <c r="U149" s="2"/>
      <c r="V149" s="2"/>
      <c r="W149" s="2"/>
      <c r="X149" s="2"/>
      <c r="Y149" s="2"/>
      <c r="Z149" s="2"/>
    </row>
    <row r="150">
      <c r="A150" s="2"/>
      <c r="B150" s="2"/>
      <c r="C150" s="2"/>
      <c r="D150" s="2"/>
      <c r="E150" s="2"/>
      <c r="F150" s="7"/>
      <c r="G150" s="2"/>
      <c r="H150" s="7"/>
      <c r="I150" s="2"/>
      <c r="J150" s="2"/>
      <c r="K150" s="2"/>
      <c r="L150" s="2"/>
      <c r="M150" s="2"/>
      <c r="N150" s="2"/>
      <c r="O150" s="2"/>
      <c r="P150" s="2"/>
      <c r="Q150" s="2"/>
      <c r="R150" s="2"/>
      <c r="S150" s="2"/>
      <c r="T150" s="2"/>
      <c r="U150" s="2"/>
      <c r="V150" s="2"/>
      <c r="W150" s="2"/>
      <c r="X150" s="2"/>
      <c r="Y150" s="2"/>
      <c r="Z150" s="2"/>
    </row>
    <row r="151">
      <c r="A151" s="2"/>
      <c r="B151" s="2"/>
      <c r="C151" s="2"/>
      <c r="D151" s="2"/>
      <c r="E151" s="2"/>
      <c r="F151" s="7"/>
      <c r="G151" s="2"/>
      <c r="H151" s="7"/>
      <c r="I151" s="2"/>
      <c r="J151" s="2"/>
      <c r="K151" s="2"/>
      <c r="L151" s="2"/>
      <c r="M151" s="2"/>
      <c r="N151" s="2"/>
      <c r="O151" s="2"/>
      <c r="P151" s="2"/>
      <c r="Q151" s="2"/>
      <c r="R151" s="2"/>
      <c r="S151" s="2"/>
      <c r="T151" s="2"/>
      <c r="U151" s="2"/>
      <c r="V151" s="2"/>
      <c r="W151" s="2"/>
      <c r="X151" s="2"/>
      <c r="Y151" s="2"/>
      <c r="Z151" s="2"/>
    </row>
    <row r="152">
      <c r="A152" s="2"/>
      <c r="B152" s="2"/>
      <c r="C152" s="2"/>
      <c r="D152" s="2"/>
      <c r="E152" s="2"/>
      <c r="F152" s="7"/>
      <c r="G152" s="2"/>
      <c r="H152" s="7"/>
      <c r="I152" s="2"/>
      <c r="J152" s="2"/>
      <c r="K152" s="2"/>
      <c r="L152" s="2"/>
      <c r="M152" s="2"/>
      <c r="N152" s="2"/>
      <c r="O152" s="2"/>
      <c r="P152" s="2"/>
      <c r="Q152" s="2"/>
      <c r="R152" s="2"/>
      <c r="S152" s="2"/>
      <c r="T152" s="2"/>
      <c r="U152" s="2"/>
      <c r="V152" s="2"/>
      <c r="W152" s="2"/>
      <c r="X152" s="2"/>
      <c r="Y152" s="2"/>
      <c r="Z152" s="2"/>
    </row>
    <row r="153">
      <c r="A153" s="2"/>
      <c r="B153" s="2"/>
      <c r="C153" s="2"/>
      <c r="D153" s="2"/>
      <c r="E153" s="2"/>
      <c r="F153" s="7"/>
      <c r="G153" s="2"/>
      <c r="H153" s="7"/>
      <c r="I153" s="2"/>
      <c r="J153" s="2"/>
      <c r="K153" s="2"/>
      <c r="L153" s="2"/>
      <c r="M153" s="2"/>
      <c r="N153" s="2"/>
      <c r="O153" s="2"/>
      <c r="P153" s="2"/>
      <c r="Q153" s="2"/>
      <c r="R153" s="2"/>
      <c r="S153" s="2"/>
      <c r="T153" s="2"/>
      <c r="U153" s="2"/>
      <c r="V153" s="2"/>
      <c r="W153" s="2"/>
      <c r="X153" s="2"/>
      <c r="Y153" s="2"/>
      <c r="Z153" s="2"/>
    </row>
    <row r="154">
      <c r="A154" s="2"/>
      <c r="B154" s="2"/>
      <c r="C154" s="2"/>
      <c r="D154" s="2"/>
      <c r="E154" s="2"/>
      <c r="F154" s="7"/>
      <c r="G154" s="2"/>
      <c r="H154" s="7"/>
      <c r="I154" s="2"/>
      <c r="J154" s="2"/>
      <c r="K154" s="2"/>
      <c r="L154" s="2"/>
      <c r="M154" s="2"/>
      <c r="N154" s="2"/>
      <c r="O154" s="2"/>
      <c r="P154" s="2"/>
      <c r="Q154" s="2"/>
      <c r="R154" s="2"/>
      <c r="S154" s="2"/>
      <c r="T154" s="2"/>
      <c r="U154" s="2"/>
      <c r="V154" s="2"/>
      <c r="W154" s="2"/>
      <c r="X154" s="2"/>
      <c r="Y154" s="2"/>
      <c r="Z154" s="2"/>
    </row>
    <row r="155">
      <c r="A155" s="2"/>
      <c r="B155" s="2"/>
      <c r="C155" s="2"/>
      <c r="D155" s="2"/>
      <c r="E155" s="2"/>
      <c r="F155" s="7"/>
      <c r="G155" s="2"/>
      <c r="H155" s="7"/>
      <c r="I155" s="2"/>
      <c r="J155" s="2"/>
      <c r="K155" s="2"/>
      <c r="L155" s="2"/>
      <c r="M155" s="2"/>
      <c r="N155" s="2"/>
      <c r="O155" s="2"/>
      <c r="P155" s="2"/>
      <c r="Q155" s="2"/>
      <c r="R155" s="2"/>
      <c r="S155" s="2"/>
      <c r="T155" s="2"/>
      <c r="U155" s="2"/>
      <c r="V155" s="2"/>
      <c r="W155" s="2"/>
      <c r="X155" s="2"/>
      <c r="Y155" s="2"/>
      <c r="Z155" s="2"/>
    </row>
    <row r="156">
      <c r="A156" s="2"/>
      <c r="B156" s="2"/>
      <c r="C156" s="2"/>
      <c r="D156" s="2"/>
      <c r="E156" s="2"/>
      <c r="F156" s="7"/>
      <c r="G156" s="2"/>
      <c r="H156" s="7"/>
      <c r="I156" s="2"/>
      <c r="J156" s="2"/>
      <c r="K156" s="2"/>
      <c r="L156" s="2"/>
      <c r="M156" s="2"/>
      <c r="N156" s="2"/>
      <c r="O156" s="2"/>
      <c r="P156" s="2"/>
      <c r="Q156" s="2"/>
      <c r="R156" s="2"/>
      <c r="S156" s="2"/>
      <c r="T156" s="2"/>
      <c r="U156" s="2"/>
      <c r="V156" s="2"/>
      <c r="W156" s="2"/>
      <c r="X156" s="2"/>
      <c r="Y156" s="2"/>
      <c r="Z156" s="2"/>
    </row>
    <row r="157">
      <c r="A157" s="2"/>
      <c r="B157" s="2"/>
      <c r="C157" s="2"/>
      <c r="D157" s="2"/>
      <c r="E157" s="2"/>
      <c r="F157" s="7"/>
      <c r="G157" s="2"/>
      <c r="H157" s="7"/>
      <c r="I157" s="2"/>
      <c r="J157" s="2"/>
      <c r="K157" s="2"/>
      <c r="L157" s="2"/>
      <c r="M157" s="2"/>
      <c r="N157" s="2"/>
      <c r="O157" s="2"/>
      <c r="P157" s="2"/>
      <c r="Q157" s="2"/>
      <c r="R157" s="2"/>
      <c r="S157" s="2"/>
      <c r="T157" s="2"/>
      <c r="U157" s="2"/>
      <c r="V157" s="2"/>
      <c r="W157" s="2"/>
      <c r="X157" s="2"/>
      <c r="Y157" s="2"/>
      <c r="Z157" s="2"/>
    </row>
    <row r="158">
      <c r="A158" s="2"/>
      <c r="B158" s="2"/>
      <c r="C158" s="2"/>
      <c r="D158" s="2"/>
      <c r="E158" s="2"/>
      <c r="F158" s="7"/>
      <c r="G158" s="2"/>
      <c r="H158" s="7"/>
      <c r="I158" s="2"/>
      <c r="J158" s="2"/>
      <c r="K158" s="2"/>
      <c r="L158" s="2"/>
      <c r="M158" s="2"/>
      <c r="N158" s="2"/>
      <c r="O158" s="2"/>
      <c r="P158" s="2"/>
      <c r="Q158" s="2"/>
      <c r="R158" s="2"/>
      <c r="S158" s="2"/>
      <c r="T158" s="2"/>
      <c r="U158" s="2"/>
      <c r="V158" s="2"/>
      <c r="W158" s="2"/>
      <c r="X158" s="2"/>
      <c r="Y158" s="2"/>
      <c r="Z158" s="2"/>
    </row>
    <row r="159">
      <c r="A159" s="2"/>
      <c r="B159" s="2"/>
      <c r="C159" s="2"/>
      <c r="D159" s="2"/>
      <c r="E159" s="2"/>
      <c r="F159" s="7"/>
      <c r="G159" s="2"/>
      <c r="H159" s="7"/>
      <c r="I159" s="2"/>
      <c r="J159" s="2"/>
      <c r="K159" s="2"/>
      <c r="L159" s="2"/>
      <c r="M159" s="2"/>
      <c r="N159" s="2"/>
      <c r="O159" s="2"/>
      <c r="P159" s="2"/>
      <c r="Q159" s="2"/>
      <c r="R159" s="2"/>
      <c r="S159" s="2"/>
      <c r="T159" s="2"/>
      <c r="U159" s="2"/>
      <c r="V159" s="2"/>
      <c r="W159" s="2"/>
      <c r="X159" s="2"/>
      <c r="Y159" s="2"/>
      <c r="Z159" s="2"/>
    </row>
    <row r="160">
      <c r="A160" s="2"/>
      <c r="B160" s="2"/>
      <c r="C160" s="2"/>
      <c r="D160" s="2"/>
      <c r="E160" s="2"/>
      <c r="F160" s="7"/>
      <c r="G160" s="2"/>
      <c r="H160" s="7"/>
      <c r="I160" s="2"/>
      <c r="J160" s="2"/>
      <c r="K160" s="2"/>
      <c r="L160" s="2"/>
      <c r="M160" s="2"/>
      <c r="N160" s="2"/>
      <c r="O160" s="2"/>
      <c r="P160" s="2"/>
      <c r="Q160" s="2"/>
      <c r="R160" s="2"/>
      <c r="S160" s="2"/>
      <c r="T160" s="2"/>
      <c r="U160" s="2"/>
      <c r="V160" s="2"/>
      <c r="W160" s="2"/>
      <c r="X160" s="2"/>
      <c r="Y160" s="2"/>
      <c r="Z160" s="2"/>
    </row>
    <row r="161">
      <c r="A161" s="2"/>
      <c r="B161" s="2"/>
      <c r="C161" s="2"/>
      <c r="D161" s="2"/>
      <c r="E161" s="2"/>
      <c r="F161" s="7"/>
      <c r="G161" s="2"/>
      <c r="H161" s="7"/>
      <c r="I161" s="2"/>
      <c r="J161" s="2"/>
      <c r="K161" s="2"/>
      <c r="L161" s="2"/>
      <c r="M161" s="2"/>
      <c r="N161" s="2"/>
      <c r="O161" s="2"/>
      <c r="P161" s="2"/>
      <c r="Q161" s="2"/>
      <c r="R161" s="2"/>
      <c r="S161" s="2"/>
      <c r="T161" s="2"/>
      <c r="U161" s="2"/>
      <c r="V161" s="2"/>
      <c r="W161" s="2"/>
      <c r="X161" s="2"/>
      <c r="Y161" s="2"/>
      <c r="Z161" s="2"/>
    </row>
    <row r="162">
      <c r="A162" s="2"/>
      <c r="B162" s="2"/>
      <c r="C162" s="2"/>
      <c r="D162" s="2"/>
      <c r="E162" s="2"/>
      <c r="F162" s="7"/>
      <c r="G162" s="2"/>
      <c r="H162" s="7"/>
      <c r="I162" s="2"/>
      <c r="J162" s="2"/>
      <c r="K162" s="2"/>
      <c r="L162" s="2"/>
      <c r="M162" s="2"/>
      <c r="N162" s="2"/>
      <c r="O162" s="2"/>
      <c r="P162" s="2"/>
      <c r="Q162" s="2"/>
      <c r="R162" s="2"/>
      <c r="S162" s="2"/>
      <c r="T162" s="2"/>
      <c r="U162" s="2"/>
      <c r="V162" s="2"/>
      <c r="W162" s="2"/>
      <c r="X162" s="2"/>
      <c r="Y162" s="2"/>
      <c r="Z162" s="2"/>
    </row>
    <row r="163">
      <c r="A163" s="2"/>
      <c r="B163" s="2"/>
      <c r="C163" s="2"/>
      <c r="D163" s="2"/>
      <c r="E163" s="2"/>
      <c r="F163" s="7"/>
      <c r="G163" s="2"/>
      <c r="H163" s="7"/>
      <c r="I163" s="2"/>
      <c r="J163" s="2"/>
      <c r="K163" s="2"/>
      <c r="L163" s="2"/>
      <c r="M163" s="2"/>
      <c r="N163" s="2"/>
      <c r="O163" s="2"/>
      <c r="P163" s="2"/>
      <c r="Q163" s="2"/>
      <c r="R163" s="2"/>
      <c r="S163" s="2"/>
      <c r="T163" s="2"/>
      <c r="U163" s="2"/>
      <c r="V163" s="2"/>
      <c r="W163" s="2"/>
      <c r="X163" s="2"/>
      <c r="Y163" s="2"/>
      <c r="Z163" s="2"/>
    </row>
    <row r="164">
      <c r="A164" s="2"/>
      <c r="B164" s="2"/>
      <c r="C164" s="2"/>
      <c r="D164" s="2"/>
      <c r="E164" s="2"/>
      <c r="F164" s="7"/>
      <c r="G164" s="2"/>
      <c r="H164" s="7"/>
      <c r="I164" s="2"/>
      <c r="J164" s="2"/>
      <c r="K164" s="2"/>
      <c r="L164" s="2"/>
      <c r="M164" s="2"/>
      <c r="N164" s="2"/>
      <c r="O164" s="2"/>
      <c r="P164" s="2"/>
      <c r="Q164" s="2"/>
      <c r="R164" s="2"/>
      <c r="S164" s="2"/>
      <c r="T164" s="2"/>
      <c r="U164" s="2"/>
      <c r="V164" s="2"/>
      <c r="W164" s="2"/>
      <c r="X164" s="2"/>
      <c r="Y164" s="2"/>
      <c r="Z164" s="2"/>
    </row>
    <row r="165">
      <c r="A165" s="2"/>
      <c r="B165" s="2"/>
      <c r="C165" s="2"/>
      <c r="D165" s="2"/>
      <c r="E165" s="2"/>
      <c r="F165" s="7"/>
      <c r="G165" s="2"/>
      <c r="H165" s="7"/>
      <c r="I165" s="2"/>
      <c r="J165" s="2"/>
      <c r="K165" s="2"/>
      <c r="L165" s="2"/>
      <c r="M165" s="2"/>
      <c r="N165" s="2"/>
      <c r="O165" s="2"/>
      <c r="P165" s="2"/>
      <c r="Q165" s="2"/>
      <c r="R165" s="2"/>
      <c r="S165" s="2"/>
      <c r="T165" s="2"/>
      <c r="U165" s="2"/>
      <c r="V165" s="2"/>
      <c r="W165" s="2"/>
      <c r="X165" s="2"/>
      <c r="Y165" s="2"/>
      <c r="Z165" s="2"/>
    </row>
    <row r="166">
      <c r="A166" s="2"/>
      <c r="B166" s="2"/>
      <c r="C166" s="2"/>
      <c r="D166" s="2"/>
      <c r="E166" s="2"/>
      <c r="F166" s="7"/>
      <c r="G166" s="2"/>
      <c r="H166" s="7"/>
      <c r="I166" s="2"/>
      <c r="J166" s="2"/>
      <c r="K166" s="2"/>
      <c r="L166" s="2"/>
      <c r="M166" s="2"/>
      <c r="N166" s="2"/>
      <c r="O166" s="2"/>
      <c r="P166" s="2"/>
      <c r="Q166" s="2"/>
      <c r="R166" s="2"/>
      <c r="S166" s="2"/>
      <c r="T166" s="2"/>
      <c r="U166" s="2"/>
      <c r="V166" s="2"/>
      <c r="W166" s="2"/>
      <c r="X166" s="2"/>
      <c r="Y166" s="2"/>
      <c r="Z166" s="2"/>
    </row>
    <row r="167">
      <c r="A167" s="2"/>
      <c r="B167" s="2"/>
      <c r="C167" s="2"/>
      <c r="D167" s="2"/>
      <c r="E167" s="2"/>
      <c r="F167" s="7"/>
      <c r="G167" s="2"/>
      <c r="H167" s="7"/>
      <c r="I167" s="2"/>
      <c r="J167" s="2"/>
      <c r="K167" s="2"/>
      <c r="L167" s="2"/>
      <c r="M167" s="2"/>
      <c r="N167" s="2"/>
      <c r="O167" s="2"/>
      <c r="P167" s="2"/>
      <c r="Q167" s="2"/>
      <c r="R167" s="2"/>
      <c r="S167" s="2"/>
      <c r="T167" s="2"/>
      <c r="U167" s="2"/>
      <c r="V167" s="2"/>
      <c r="W167" s="2"/>
      <c r="X167" s="2"/>
      <c r="Y167" s="2"/>
      <c r="Z167" s="2"/>
    </row>
    <row r="168">
      <c r="A168" s="2"/>
      <c r="B168" s="2"/>
      <c r="C168" s="2"/>
      <c r="D168" s="2"/>
      <c r="E168" s="2"/>
      <c r="F168" s="7"/>
      <c r="G168" s="2"/>
      <c r="H168" s="7"/>
      <c r="I168" s="2"/>
      <c r="J168" s="2"/>
      <c r="K168" s="2"/>
      <c r="L168" s="2"/>
      <c r="M168" s="2"/>
      <c r="N168" s="2"/>
      <c r="O168" s="2"/>
      <c r="P168" s="2"/>
      <c r="Q168" s="2"/>
      <c r="R168" s="2"/>
      <c r="S168" s="2"/>
      <c r="T168" s="2"/>
      <c r="U168" s="2"/>
      <c r="V168" s="2"/>
      <c r="W168" s="2"/>
      <c r="X168" s="2"/>
      <c r="Y168" s="2"/>
      <c r="Z168" s="2"/>
    </row>
    <row r="169">
      <c r="A169" s="2"/>
      <c r="B169" s="2"/>
      <c r="C169" s="2"/>
      <c r="D169" s="2"/>
      <c r="E169" s="2"/>
      <c r="F169" s="7"/>
      <c r="G169" s="2"/>
      <c r="H169" s="7"/>
      <c r="I169" s="2"/>
      <c r="J169" s="2"/>
      <c r="K169" s="2"/>
      <c r="L169" s="2"/>
      <c r="M169" s="2"/>
      <c r="N169" s="2"/>
      <c r="O169" s="2"/>
      <c r="P169" s="2"/>
      <c r="Q169" s="2"/>
      <c r="R169" s="2"/>
      <c r="S169" s="2"/>
      <c r="T169" s="2"/>
      <c r="U169" s="2"/>
      <c r="V169" s="2"/>
      <c r="W169" s="2"/>
      <c r="X169" s="2"/>
      <c r="Y169" s="2"/>
      <c r="Z169" s="2"/>
    </row>
    <row r="170">
      <c r="A170" s="2"/>
      <c r="B170" s="2"/>
      <c r="C170" s="2"/>
      <c r="D170" s="2"/>
      <c r="E170" s="2"/>
      <c r="F170" s="7"/>
      <c r="G170" s="2"/>
      <c r="H170" s="7"/>
      <c r="I170" s="2"/>
      <c r="J170" s="2"/>
      <c r="K170" s="2"/>
      <c r="L170" s="2"/>
      <c r="M170" s="2"/>
      <c r="N170" s="2"/>
      <c r="O170" s="2"/>
      <c r="P170" s="2"/>
      <c r="Q170" s="2"/>
      <c r="R170" s="2"/>
      <c r="S170" s="2"/>
      <c r="T170" s="2"/>
      <c r="U170" s="2"/>
      <c r="V170" s="2"/>
      <c r="W170" s="2"/>
      <c r="X170" s="2"/>
      <c r="Y170" s="2"/>
      <c r="Z170" s="2"/>
    </row>
    <row r="171">
      <c r="A171" s="2"/>
      <c r="B171" s="2"/>
      <c r="C171" s="2"/>
      <c r="D171" s="2"/>
      <c r="E171" s="2"/>
      <c r="F171" s="7"/>
      <c r="G171" s="2"/>
      <c r="H171" s="7"/>
      <c r="I171" s="2"/>
      <c r="J171" s="2"/>
      <c r="K171" s="2"/>
      <c r="L171" s="2"/>
      <c r="M171" s="2"/>
      <c r="N171" s="2"/>
      <c r="O171" s="2"/>
      <c r="P171" s="2"/>
      <c r="Q171" s="2"/>
      <c r="R171" s="2"/>
      <c r="S171" s="2"/>
      <c r="T171" s="2"/>
      <c r="U171" s="2"/>
      <c r="V171" s="2"/>
      <c r="W171" s="2"/>
      <c r="X171" s="2"/>
      <c r="Y171" s="2"/>
      <c r="Z171" s="2"/>
    </row>
    <row r="172">
      <c r="A172" s="2"/>
      <c r="B172" s="2"/>
      <c r="C172" s="2"/>
      <c r="D172" s="2"/>
      <c r="E172" s="2"/>
      <c r="F172" s="7"/>
      <c r="G172" s="2"/>
      <c r="H172" s="7"/>
      <c r="I172" s="2"/>
      <c r="J172" s="2"/>
      <c r="K172" s="2"/>
      <c r="L172" s="2"/>
      <c r="M172" s="2"/>
      <c r="N172" s="2"/>
      <c r="O172" s="2"/>
      <c r="P172" s="2"/>
      <c r="Q172" s="2"/>
      <c r="R172" s="2"/>
      <c r="S172" s="2"/>
      <c r="T172" s="2"/>
      <c r="U172" s="2"/>
      <c r="V172" s="2"/>
      <c r="W172" s="2"/>
      <c r="X172" s="2"/>
      <c r="Y172" s="2"/>
      <c r="Z172" s="2"/>
    </row>
    <row r="173">
      <c r="A173" s="2"/>
      <c r="B173" s="2"/>
      <c r="C173" s="2"/>
      <c r="D173" s="2"/>
      <c r="E173" s="2"/>
      <c r="F173" s="7"/>
      <c r="G173" s="2"/>
      <c r="H173" s="7"/>
      <c r="I173" s="2"/>
      <c r="J173" s="2"/>
      <c r="K173" s="2"/>
      <c r="L173" s="2"/>
      <c r="M173" s="2"/>
      <c r="N173" s="2"/>
      <c r="O173" s="2"/>
      <c r="P173" s="2"/>
      <c r="Q173" s="2"/>
      <c r="R173" s="2"/>
      <c r="S173" s="2"/>
      <c r="T173" s="2"/>
      <c r="U173" s="2"/>
      <c r="V173" s="2"/>
      <c r="W173" s="2"/>
      <c r="X173" s="2"/>
      <c r="Y173" s="2"/>
      <c r="Z173" s="2"/>
    </row>
    <row r="174">
      <c r="A174" s="2"/>
      <c r="B174" s="2"/>
      <c r="C174" s="2"/>
      <c r="D174" s="2"/>
      <c r="E174" s="2"/>
      <c r="F174" s="7"/>
      <c r="G174" s="2"/>
      <c r="H174" s="7"/>
      <c r="I174" s="2"/>
      <c r="J174" s="2"/>
      <c r="K174" s="2"/>
      <c r="L174" s="2"/>
      <c r="M174" s="2"/>
      <c r="N174" s="2"/>
      <c r="O174" s="2"/>
      <c r="P174" s="2"/>
      <c r="Q174" s="2"/>
      <c r="R174" s="2"/>
      <c r="S174" s="2"/>
      <c r="T174" s="2"/>
      <c r="U174" s="2"/>
      <c r="V174" s="2"/>
      <c r="W174" s="2"/>
      <c r="X174" s="2"/>
      <c r="Y174" s="2"/>
      <c r="Z174" s="2"/>
    </row>
    <row r="175">
      <c r="A175" s="2"/>
      <c r="B175" s="2"/>
      <c r="C175" s="2"/>
      <c r="D175" s="2"/>
      <c r="E175" s="2"/>
      <c r="F175" s="7"/>
      <c r="G175" s="2"/>
      <c r="H175" s="7"/>
      <c r="I175" s="2"/>
      <c r="J175" s="2"/>
      <c r="K175" s="2"/>
      <c r="L175" s="2"/>
      <c r="M175" s="2"/>
      <c r="N175" s="2"/>
      <c r="O175" s="2"/>
      <c r="P175" s="2"/>
      <c r="Q175" s="2"/>
      <c r="R175" s="2"/>
      <c r="S175" s="2"/>
      <c r="T175" s="2"/>
      <c r="U175" s="2"/>
      <c r="V175" s="2"/>
      <c r="W175" s="2"/>
      <c r="X175" s="2"/>
      <c r="Y175" s="2"/>
      <c r="Z175" s="2"/>
    </row>
    <row r="176">
      <c r="A176" s="2"/>
      <c r="B176" s="2"/>
      <c r="C176" s="2"/>
      <c r="D176" s="2"/>
      <c r="E176" s="2"/>
      <c r="F176" s="7"/>
      <c r="G176" s="2"/>
      <c r="H176" s="7"/>
      <c r="I176" s="2"/>
      <c r="J176" s="2"/>
      <c r="K176" s="2"/>
      <c r="L176" s="2"/>
      <c r="M176" s="2"/>
      <c r="N176" s="2"/>
      <c r="O176" s="2"/>
      <c r="P176" s="2"/>
      <c r="Q176" s="2"/>
      <c r="R176" s="2"/>
      <c r="S176" s="2"/>
      <c r="T176" s="2"/>
      <c r="U176" s="2"/>
      <c r="V176" s="2"/>
      <c r="W176" s="2"/>
      <c r="X176" s="2"/>
      <c r="Y176" s="2"/>
      <c r="Z176" s="2"/>
    </row>
    <row r="177">
      <c r="A177" s="2"/>
      <c r="B177" s="2"/>
      <c r="C177" s="2"/>
      <c r="D177" s="2"/>
      <c r="E177" s="2"/>
      <c r="F177" s="7"/>
      <c r="G177" s="2"/>
      <c r="H177" s="7"/>
      <c r="I177" s="2"/>
      <c r="J177" s="2"/>
      <c r="K177" s="2"/>
      <c r="L177" s="2"/>
      <c r="M177" s="2"/>
      <c r="N177" s="2"/>
      <c r="O177" s="2"/>
      <c r="P177" s="2"/>
      <c r="Q177" s="2"/>
      <c r="R177" s="2"/>
      <c r="S177" s="2"/>
      <c r="T177" s="2"/>
      <c r="U177" s="2"/>
      <c r="V177" s="2"/>
      <c r="W177" s="2"/>
      <c r="X177" s="2"/>
      <c r="Y177" s="2"/>
      <c r="Z177" s="2"/>
    </row>
    <row r="178">
      <c r="A178" s="2"/>
      <c r="B178" s="2"/>
      <c r="C178" s="2"/>
      <c r="D178" s="2"/>
      <c r="E178" s="2"/>
      <c r="F178" s="7"/>
      <c r="G178" s="2"/>
      <c r="H178" s="7"/>
      <c r="I178" s="2"/>
      <c r="J178" s="2"/>
      <c r="K178" s="2"/>
      <c r="L178" s="2"/>
      <c r="M178" s="2"/>
      <c r="N178" s="2"/>
      <c r="O178" s="2"/>
      <c r="P178" s="2"/>
      <c r="Q178" s="2"/>
      <c r="R178" s="2"/>
      <c r="S178" s="2"/>
      <c r="T178" s="2"/>
      <c r="U178" s="2"/>
      <c r="V178" s="2"/>
      <c r="W178" s="2"/>
      <c r="X178" s="2"/>
      <c r="Y178" s="2"/>
      <c r="Z178" s="2"/>
    </row>
    <row r="179">
      <c r="A179" s="2"/>
      <c r="B179" s="2"/>
      <c r="C179" s="2"/>
      <c r="D179" s="2"/>
      <c r="E179" s="2"/>
      <c r="F179" s="7"/>
      <c r="G179" s="2"/>
      <c r="H179" s="7"/>
      <c r="I179" s="2"/>
      <c r="J179" s="2"/>
      <c r="K179" s="2"/>
      <c r="L179" s="2"/>
      <c r="M179" s="2"/>
      <c r="N179" s="2"/>
      <c r="O179" s="2"/>
      <c r="P179" s="2"/>
      <c r="Q179" s="2"/>
      <c r="R179" s="2"/>
      <c r="S179" s="2"/>
      <c r="T179" s="2"/>
      <c r="U179" s="2"/>
      <c r="V179" s="2"/>
      <c r="W179" s="2"/>
      <c r="X179" s="2"/>
      <c r="Y179" s="2"/>
      <c r="Z179" s="2"/>
    </row>
    <row r="180">
      <c r="A180" s="2"/>
      <c r="B180" s="2"/>
      <c r="C180" s="2"/>
      <c r="D180" s="2"/>
      <c r="E180" s="2"/>
      <c r="F180" s="7"/>
      <c r="G180" s="2"/>
      <c r="H180" s="7"/>
      <c r="I180" s="2"/>
      <c r="J180" s="2"/>
      <c r="K180" s="2"/>
      <c r="L180" s="2"/>
      <c r="M180" s="2"/>
      <c r="N180" s="2"/>
      <c r="O180" s="2"/>
      <c r="P180" s="2"/>
      <c r="Q180" s="2"/>
      <c r="R180" s="2"/>
      <c r="S180" s="2"/>
      <c r="T180" s="2"/>
      <c r="U180" s="2"/>
      <c r="V180" s="2"/>
      <c r="W180" s="2"/>
      <c r="X180" s="2"/>
      <c r="Y180" s="2"/>
      <c r="Z180" s="2"/>
    </row>
    <row r="181">
      <c r="A181" s="2"/>
      <c r="B181" s="2"/>
      <c r="C181" s="2"/>
      <c r="D181" s="2"/>
      <c r="E181" s="2"/>
      <c r="F181" s="7"/>
      <c r="G181" s="2"/>
      <c r="H181" s="7"/>
      <c r="I181" s="2"/>
      <c r="J181" s="2"/>
      <c r="K181" s="2"/>
      <c r="L181" s="2"/>
      <c r="M181" s="2"/>
      <c r="N181" s="2"/>
      <c r="O181" s="2"/>
      <c r="P181" s="2"/>
      <c r="Q181" s="2"/>
      <c r="R181" s="2"/>
      <c r="S181" s="2"/>
      <c r="T181" s="2"/>
      <c r="U181" s="2"/>
      <c r="V181" s="2"/>
      <c r="W181" s="2"/>
      <c r="X181" s="2"/>
      <c r="Y181" s="2"/>
      <c r="Z181" s="2"/>
    </row>
    <row r="182">
      <c r="A182" s="2"/>
      <c r="B182" s="2"/>
      <c r="C182" s="2"/>
      <c r="D182" s="2"/>
      <c r="E182" s="2"/>
      <c r="F182" s="7"/>
      <c r="G182" s="2"/>
      <c r="H182" s="7"/>
      <c r="I182" s="2"/>
      <c r="J182" s="2"/>
      <c r="K182" s="2"/>
      <c r="L182" s="2"/>
      <c r="M182" s="2"/>
      <c r="N182" s="2"/>
      <c r="O182" s="2"/>
      <c r="P182" s="2"/>
      <c r="Q182" s="2"/>
      <c r="R182" s="2"/>
      <c r="S182" s="2"/>
      <c r="T182" s="2"/>
      <c r="U182" s="2"/>
      <c r="V182" s="2"/>
      <c r="W182" s="2"/>
      <c r="X182" s="2"/>
      <c r="Y182" s="2"/>
      <c r="Z182" s="2"/>
    </row>
    <row r="183">
      <c r="A183" s="2"/>
      <c r="B183" s="2"/>
      <c r="C183" s="2"/>
      <c r="D183" s="2"/>
      <c r="E183" s="2"/>
      <c r="F183" s="7"/>
      <c r="G183" s="2"/>
      <c r="H183" s="7"/>
      <c r="I183" s="2"/>
      <c r="J183" s="2"/>
      <c r="K183" s="2"/>
      <c r="L183" s="2"/>
      <c r="M183" s="2"/>
      <c r="N183" s="2"/>
      <c r="O183" s="2"/>
      <c r="P183" s="2"/>
      <c r="Q183" s="2"/>
      <c r="R183" s="2"/>
      <c r="S183" s="2"/>
      <c r="T183" s="2"/>
      <c r="U183" s="2"/>
      <c r="V183" s="2"/>
      <c r="W183" s="2"/>
      <c r="X183" s="2"/>
      <c r="Y183" s="2"/>
      <c r="Z183" s="2"/>
    </row>
    <row r="184">
      <c r="A184" s="2"/>
      <c r="B184" s="2"/>
      <c r="C184" s="2"/>
      <c r="D184" s="2"/>
      <c r="E184" s="2"/>
      <c r="F184" s="7"/>
      <c r="G184" s="2"/>
      <c r="H184" s="7"/>
      <c r="I184" s="2"/>
      <c r="J184" s="2"/>
      <c r="K184" s="2"/>
      <c r="L184" s="2"/>
      <c r="M184" s="2"/>
      <c r="N184" s="2"/>
      <c r="O184" s="2"/>
      <c r="P184" s="2"/>
      <c r="Q184" s="2"/>
      <c r="R184" s="2"/>
      <c r="S184" s="2"/>
      <c r="T184" s="2"/>
      <c r="U184" s="2"/>
      <c r="V184" s="2"/>
      <c r="W184" s="2"/>
      <c r="X184" s="2"/>
      <c r="Y184" s="2"/>
      <c r="Z184" s="2"/>
    </row>
    <row r="185">
      <c r="A185" s="2"/>
      <c r="B185" s="2"/>
      <c r="C185" s="2"/>
      <c r="D185" s="2"/>
      <c r="E185" s="2"/>
      <c r="F185" s="7"/>
      <c r="G185" s="2"/>
      <c r="H185" s="7"/>
      <c r="I185" s="2"/>
      <c r="J185" s="2"/>
      <c r="K185" s="2"/>
      <c r="L185" s="2"/>
      <c r="M185" s="2"/>
      <c r="N185" s="2"/>
      <c r="O185" s="2"/>
      <c r="P185" s="2"/>
      <c r="Q185" s="2"/>
      <c r="R185" s="2"/>
      <c r="S185" s="2"/>
      <c r="T185" s="2"/>
      <c r="U185" s="2"/>
      <c r="V185" s="2"/>
      <c r="W185" s="2"/>
      <c r="X185" s="2"/>
      <c r="Y185" s="2"/>
      <c r="Z185" s="2"/>
    </row>
    <row r="186">
      <c r="A186" s="2"/>
      <c r="B186" s="2"/>
      <c r="C186" s="2"/>
      <c r="D186" s="2"/>
      <c r="E186" s="2"/>
      <c r="F186" s="7"/>
      <c r="G186" s="2"/>
      <c r="H186" s="7"/>
      <c r="I186" s="2"/>
      <c r="J186" s="2"/>
      <c r="K186" s="2"/>
      <c r="L186" s="2"/>
      <c r="M186" s="2"/>
      <c r="N186" s="2"/>
      <c r="O186" s="2"/>
      <c r="P186" s="2"/>
      <c r="Q186" s="2"/>
      <c r="R186" s="2"/>
      <c r="S186" s="2"/>
      <c r="T186" s="2"/>
      <c r="U186" s="2"/>
      <c r="V186" s="2"/>
      <c r="W186" s="2"/>
      <c r="X186" s="2"/>
      <c r="Y186" s="2"/>
      <c r="Z186" s="2"/>
    </row>
    <row r="187">
      <c r="A187" s="2"/>
      <c r="B187" s="2"/>
      <c r="C187" s="2"/>
      <c r="D187" s="2"/>
      <c r="E187" s="2"/>
      <c r="F187" s="7"/>
      <c r="G187" s="2"/>
      <c r="H187" s="7"/>
      <c r="I187" s="2"/>
      <c r="J187" s="2"/>
      <c r="K187" s="2"/>
      <c r="L187" s="2"/>
      <c r="M187" s="2"/>
      <c r="N187" s="2"/>
      <c r="O187" s="2"/>
      <c r="P187" s="2"/>
      <c r="Q187" s="2"/>
      <c r="R187" s="2"/>
      <c r="S187" s="2"/>
      <c r="T187" s="2"/>
      <c r="U187" s="2"/>
      <c r="V187" s="2"/>
      <c r="W187" s="2"/>
      <c r="X187" s="2"/>
      <c r="Y187" s="2"/>
      <c r="Z187" s="2"/>
    </row>
    <row r="188">
      <c r="A188" s="2"/>
      <c r="B188" s="2"/>
      <c r="C188" s="2"/>
      <c r="D188" s="2"/>
      <c r="E188" s="2"/>
      <c r="F188" s="7"/>
      <c r="G188" s="2"/>
      <c r="H188" s="7"/>
      <c r="I188" s="2"/>
      <c r="J188" s="2"/>
      <c r="K188" s="2"/>
      <c r="L188" s="2"/>
      <c r="M188" s="2"/>
      <c r="N188" s="2"/>
      <c r="O188" s="2"/>
      <c r="P188" s="2"/>
      <c r="Q188" s="2"/>
      <c r="R188" s="2"/>
      <c r="S188" s="2"/>
      <c r="T188" s="2"/>
      <c r="U188" s="2"/>
      <c r="V188" s="2"/>
      <c r="W188" s="2"/>
      <c r="X188" s="2"/>
      <c r="Y188" s="2"/>
      <c r="Z188" s="2"/>
    </row>
    <row r="189">
      <c r="A189" s="2"/>
      <c r="B189" s="2"/>
      <c r="C189" s="2"/>
      <c r="D189" s="2"/>
      <c r="E189" s="2"/>
      <c r="F189" s="7"/>
      <c r="G189" s="2"/>
      <c r="H189" s="7"/>
      <c r="I189" s="2"/>
      <c r="J189" s="2"/>
      <c r="K189" s="2"/>
      <c r="L189" s="2"/>
      <c r="M189" s="2"/>
      <c r="N189" s="2"/>
      <c r="O189" s="2"/>
      <c r="P189" s="2"/>
      <c r="Q189" s="2"/>
      <c r="R189" s="2"/>
      <c r="S189" s="2"/>
      <c r="T189" s="2"/>
      <c r="U189" s="2"/>
      <c r="V189" s="2"/>
      <c r="W189" s="2"/>
      <c r="X189" s="2"/>
      <c r="Y189" s="2"/>
      <c r="Z189" s="2"/>
    </row>
    <row r="190">
      <c r="A190" s="2"/>
      <c r="B190" s="2"/>
      <c r="C190" s="2"/>
      <c r="D190" s="2"/>
      <c r="E190" s="2"/>
      <c r="F190" s="7"/>
      <c r="G190" s="2"/>
      <c r="H190" s="7"/>
      <c r="I190" s="2"/>
      <c r="J190" s="2"/>
      <c r="K190" s="2"/>
      <c r="L190" s="2"/>
      <c r="M190" s="2"/>
      <c r="N190" s="2"/>
      <c r="O190" s="2"/>
      <c r="P190" s="2"/>
      <c r="Q190" s="2"/>
      <c r="R190" s="2"/>
      <c r="S190" s="2"/>
      <c r="T190" s="2"/>
      <c r="U190" s="2"/>
      <c r="V190" s="2"/>
      <c r="W190" s="2"/>
      <c r="X190" s="2"/>
      <c r="Y190" s="2"/>
      <c r="Z190" s="2"/>
    </row>
    <row r="191">
      <c r="A191" s="2"/>
      <c r="B191" s="2"/>
      <c r="C191" s="2"/>
      <c r="D191" s="2"/>
      <c r="E191" s="2"/>
      <c r="F191" s="7"/>
      <c r="G191" s="2"/>
      <c r="H191" s="7"/>
      <c r="I191" s="2"/>
      <c r="J191" s="2"/>
      <c r="K191" s="2"/>
      <c r="L191" s="2"/>
      <c r="M191" s="2"/>
      <c r="N191" s="2"/>
      <c r="O191" s="2"/>
      <c r="P191" s="2"/>
      <c r="Q191" s="2"/>
      <c r="R191" s="2"/>
      <c r="S191" s="2"/>
      <c r="T191" s="2"/>
      <c r="U191" s="2"/>
      <c r="V191" s="2"/>
      <c r="W191" s="2"/>
      <c r="X191" s="2"/>
      <c r="Y191" s="2"/>
      <c r="Z191" s="2"/>
    </row>
    <row r="192">
      <c r="A192" s="2"/>
      <c r="B192" s="2"/>
      <c r="C192" s="2"/>
      <c r="D192" s="2"/>
      <c r="E192" s="2"/>
      <c r="F192" s="7"/>
      <c r="G192" s="2"/>
      <c r="H192" s="7"/>
      <c r="I192" s="2"/>
      <c r="J192" s="2"/>
      <c r="K192" s="2"/>
      <c r="L192" s="2"/>
      <c r="M192" s="2"/>
      <c r="N192" s="2"/>
      <c r="O192" s="2"/>
      <c r="P192" s="2"/>
      <c r="Q192" s="2"/>
      <c r="R192" s="2"/>
      <c r="S192" s="2"/>
      <c r="T192" s="2"/>
      <c r="U192" s="2"/>
      <c r="V192" s="2"/>
      <c r="W192" s="2"/>
      <c r="X192" s="2"/>
      <c r="Y192" s="2"/>
      <c r="Z192" s="2"/>
    </row>
    <row r="193">
      <c r="A193" s="2"/>
      <c r="B193" s="2"/>
      <c r="C193" s="2"/>
      <c r="D193" s="2"/>
      <c r="E193" s="2"/>
      <c r="F193" s="7"/>
      <c r="G193" s="2"/>
      <c r="H193" s="7"/>
      <c r="I193" s="2"/>
      <c r="J193" s="2"/>
      <c r="K193" s="2"/>
      <c r="L193" s="2"/>
      <c r="M193" s="2"/>
      <c r="N193" s="2"/>
      <c r="O193" s="2"/>
      <c r="P193" s="2"/>
      <c r="Q193" s="2"/>
      <c r="R193" s="2"/>
      <c r="S193" s="2"/>
      <c r="T193" s="2"/>
      <c r="U193" s="2"/>
      <c r="V193" s="2"/>
      <c r="W193" s="2"/>
      <c r="X193" s="2"/>
      <c r="Y193" s="2"/>
      <c r="Z193" s="2"/>
    </row>
    <row r="194">
      <c r="A194" s="2"/>
      <c r="B194" s="2"/>
      <c r="C194" s="2"/>
      <c r="D194" s="2"/>
      <c r="E194" s="2"/>
      <c r="F194" s="7"/>
      <c r="G194" s="2"/>
      <c r="H194" s="7"/>
      <c r="I194" s="2"/>
      <c r="J194" s="2"/>
      <c r="K194" s="2"/>
      <c r="L194" s="2"/>
      <c r="M194" s="2"/>
      <c r="N194" s="2"/>
      <c r="O194" s="2"/>
      <c r="P194" s="2"/>
      <c r="Q194" s="2"/>
      <c r="R194" s="2"/>
      <c r="S194" s="2"/>
      <c r="T194" s="2"/>
      <c r="U194" s="2"/>
      <c r="V194" s="2"/>
      <c r="W194" s="2"/>
      <c r="X194" s="2"/>
      <c r="Y194" s="2"/>
      <c r="Z194" s="2"/>
    </row>
    <row r="195">
      <c r="A195" s="2"/>
      <c r="B195" s="2"/>
      <c r="C195" s="2"/>
      <c r="D195" s="2"/>
      <c r="E195" s="2"/>
      <c r="F195" s="7"/>
      <c r="G195" s="2"/>
      <c r="H195" s="7"/>
      <c r="I195" s="2"/>
      <c r="J195" s="2"/>
      <c r="K195" s="2"/>
      <c r="L195" s="2"/>
      <c r="M195" s="2"/>
      <c r="N195" s="2"/>
      <c r="O195" s="2"/>
      <c r="P195" s="2"/>
      <c r="Q195" s="2"/>
      <c r="R195" s="2"/>
      <c r="S195" s="2"/>
      <c r="T195" s="2"/>
      <c r="U195" s="2"/>
      <c r="V195" s="2"/>
      <c r="W195" s="2"/>
      <c r="X195" s="2"/>
      <c r="Y195" s="2"/>
      <c r="Z195" s="2"/>
    </row>
    <row r="196">
      <c r="A196" s="2"/>
      <c r="B196" s="2"/>
      <c r="C196" s="2"/>
      <c r="D196" s="2"/>
      <c r="E196" s="2"/>
      <c r="F196" s="7"/>
      <c r="G196" s="2"/>
      <c r="H196" s="7"/>
      <c r="I196" s="2"/>
      <c r="J196" s="2"/>
      <c r="K196" s="2"/>
      <c r="L196" s="2"/>
      <c r="M196" s="2"/>
      <c r="N196" s="2"/>
      <c r="O196" s="2"/>
      <c r="P196" s="2"/>
      <c r="Q196" s="2"/>
      <c r="R196" s="2"/>
      <c r="S196" s="2"/>
      <c r="T196" s="2"/>
      <c r="U196" s="2"/>
      <c r="V196" s="2"/>
      <c r="W196" s="2"/>
      <c r="X196" s="2"/>
      <c r="Y196" s="2"/>
      <c r="Z196" s="2"/>
    </row>
    <row r="197">
      <c r="A197" s="2"/>
      <c r="B197" s="2"/>
      <c r="C197" s="2"/>
      <c r="D197" s="2"/>
      <c r="E197" s="2"/>
      <c r="F197" s="7"/>
      <c r="G197" s="2"/>
      <c r="H197" s="7"/>
      <c r="I197" s="2"/>
      <c r="J197" s="2"/>
      <c r="K197" s="2"/>
      <c r="L197" s="2"/>
      <c r="M197" s="2"/>
      <c r="N197" s="2"/>
      <c r="O197" s="2"/>
      <c r="P197" s="2"/>
      <c r="Q197" s="2"/>
      <c r="R197" s="2"/>
      <c r="S197" s="2"/>
      <c r="T197" s="2"/>
      <c r="U197" s="2"/>
      <c r="V197" s="2"/>
      <c r="W197" s="2"/>
      <c r="X197" s="2"/>
      <c r="Y197" s="2"/>
      <c r="Z197" s="2"/>
    </row>
    <row r="198">
      <c r="A198" s="2"/>
      <c r="B198" s="2"/>
      <c r="C198" s="2"/>
      <c r="D198" s="2"/>
      <c r="E198" s="2"/>
      <c r="F198" s="7"/>
      <c r="G198" s="2"/>
      <c r="H198" s="7"/>
      <c r="I198" s="2"/>
      <c r="J198" s="2"/>
      <c r="K198" s="2"/>
      <c r="L198" s="2"/>
      <c r="M198" s="2"/>
      <c r="N198" s="2"/>
      <c r="O198" s="2"/>
      <c r="P198" s="2"/>
      <c r="Q198" s="2"/>
      <c r="R198" s="2"/>
      <c r="S198" s="2"/>
      <c r="T198" s="2"/>
      <c r="U198" s="2"/>
      <c r="V198" s="2"/>
      <c r="W198" s="2"/>
      <c r="X198" s="2"/>
      <c r="Y198" s="2"/>
      <c r="Z198" s="2"/>
    </row>
    <row r="199">
      <c r="A199" s="2"/>
      <c r="B199" s="2"/>
      <c r="C199" s="2"/>
      <c r="D199" s="2"/>
      <c r="E199" s="2"/>
      <c r="F199" s="7"/>
      <c r="G199" s="2"/>
      <c r="H199" s="7"/>
      <c r="I199" s="2"/>
      <c r="J199" s="2"/>
      <c r="K199" s="2"/>
      <c r="L199" s="2"/>
      <c r="M199" s="2"/>
      <c r="N199" s="2"/>
      <c r="O199" s="2"/>
      <c r="P199" s="2"/>
      <c r="Q199" s="2"/>
      <c r="R199" s="2"/>
      <c r="S199" s="2"/>
      <c r="T199" s="2"/>
      <c r="U199" s="2"/>
      <c r="V199" s="2"/>
      <c r="W199" s="2"/>
      <c r="X199" s="2"/>
      <c r="Y199" s="2"/>
      <c r="Z199" s="2"/>
    </row>
    <row r="200">
      <c r="A200" s="2"/>
      <c r="B200" s="2"/>
      <c r="C200" s="2"/>
      <c r="D200" s="2"/>
      <c r="E200" s="2"/>
      <c r="F200" s="7"/>
      <c r="G200" s="2"/>
      <c r="H200" s="7"/>
      <c r="I200" s="2"/>
      <c r="J200" s="2"/>
      <c r="K200" s="2"/>
      <c r="L200" s="2"/>
      <c r="M200" s="2"/>
      <c r="N200" s="2"/>
      <c r="O200" s="2"/>
      <c r="P200" s="2"/>
      <c r="Q200" s="2"/>
      <c r="R200" s="2"/>
      <c r="S200" s="2"/>
      <c r="T200" s="2"/>
      <c r="U200" s="2"/>
      <c r="V200" s="2"/>
      <c r="W200" s="2"/>
      <c r="X200" s="2"/>
      <c r="Y200" s="2"/>
      <c r="Z200" s="2"/>
    </row>
    <row r="201">
      <c r="A201" s="2"/>
      <c r="B201" s="2"/>
      <c r="C201" s="2"/>
      <c r="D201" s="2"/>
      <c r="E201" s="2"/>
      <c r="F201" s="7"/>
      <c r="G201" s="2"/>
      <c r="H201" s="7"/>
      <c r="I201" s="2"/>
      <c r="J201" s="2"/>
      <c r="K201" s="2"/>
      <c r="L201" s="2"/>
      <c r="M201" s="2"/>
      <c r="N201" s="2"/>
      <c r="O201" s="2"/>
      <c r="P201" s="2"/>
      <c r="Q201" s="2"/>
      <c r="R201" s="2"/>
      <c r="S201" s="2"/>
      <c r="T201" s="2"/>
      <c r="U201" s="2"/>
      <c r="V201" s="2"/>
      <c r="W201" s="2"/>
      <c r="X201" s="2"/>
      <c r="Y201" s="2"/>
      <c r="Z201" s="2"/>
    </row>
    <row r="202">
      <c r="A202" s="2"/>
      <c r="B202" s="2"/>
      <c r="C202" s="2"/>
      <c r="D202" s="2"/>
      <c r="E202" s="2"/>
      <c r="F202" s="7"/>
      <c r="G202" s="2"/>
      <c r="H202" s="7"/>
      <c r="I202" s="2"/>
      <c r="J202" s="2"/>
      <c r="K202" s="2"/>
      <c r="L202" s="2"/>
      <c r="M202" s="2"/>
      <c r="N202" s="2"/>
      <c r="O202" s="2"/>
      <c r="P202" s="2"/>
      <c r="Q202" s="2"/>
      <c r="R202" s="2"/>
      <c r="S202" s="2"/>
      <c r="T202" s="2"/>
      <c r="U202" s="2"/>
      <c r="V202" s="2"/>
      <c r="W202" s="2"/>
      <c r="X202" s="2"/>
      <c r="Y202" s="2"/>
      <c r="Z202" s="2"/>
    </row>
    <row r="203">
      <c r="A203" s="2"/>
      <c r="B203" s="2"/>
      <c r="C203" s="2"/>
      <c r="D203" s="2"/>
      <c r="E203" s="2"/>
      <c r="F203" s="7"/>
      <c r="G203" s="2"/>
      <c r="H203" s="7"/>
      <c r="I203" s="2"/>
      <c r="J203" s="2"/>
      <c r="K203" s="2"/>
      <c r="L203" s="2"/>
      <c r="M203" s="2"/>
      <c r="N203" s="2"/>
      <c r="O203" s="2"/>
      <c r="P203" s="2"/>
      <c r="Q203" s="2"/>
      <c r="R203" s="2"/>
      <c r="S203" s="2"/>
      <c r="T203" s="2"/>
      <c r="U203" s="2"/>
      <c r="V203" s="2"/>
      <c r="W203" s="2"/>
      <c r="X203" s="2"/>
      <c r="Y203" s="2"/>
      <c r="Z203" s="2"/>
    </row>
    <row r="204">
      <c r="A204" s="2"/>
      <c r="B204" s="2"/>
      <c r="C204" s="2"/>
      <c r="D204" s="2"/>
      <c r="E204" s="2"/>
      <c r="F204" s="7"/>
      <c r="G204" s="2"/>
      <c r="H204" s="7"/>
      <c r="I204" s="2"/>
      <c r="J204" s="2"/>
      <c r="K204" s="2"/>
      <c r="L204" s="2"/>
      <c r="M204" s="2"/>
      <c r="N204" s="2"/>
      <c r="O204" s="2"/>
      <c r="P204" s="2"/>
      <c r="Q204" s="2"/>
      <c r="R204" s="2"/>
      <c r="S204" s="2"/>
      <c r="T204" s="2"/>
      <c r="U204" s="2"/>
      <c r="V204" s="2"/>
      <c r="W204" s="2"/>
      <c r="X204" s="2"/>
      <c r="Y204" s="2"/>
      <c r="Z204" s="2"/>
    </row>
    <row r="205">
      <c r="A205" s="2"/>
      <c r="B205" s="2"/>
      <c r="C205" s="2"/>
      <c r="D205" s="2"/>
      <c r="E205" s="2"/>
      <c r="F205" s="7"/>
      <c r="G205" s="2"/>
      <c r="H205" s="7"/>
      <c r="I205" s="2"/>
      <c r="J205" s="2"/>
      <c r="K205" s="2"/>
      <c r="L205" s="2"/>
      <c r="M205" s="2"/>
      <c r="N205" s="2"/>
      <c r="O205" s="2"/>
      <c r="P205" s="2"/>
      <c r="Q205" s="2"/>
      <c r="R205" s="2"/>
      <c r="S205" s="2"/>
      <c r="T205" s="2"/>
      <c r="U205" s="2"/>
      <c r="V205" s="2"/>
      <c r="W205" s="2"/>
      <c r="X205" s="2"/>
      <c r="Y205" s="2"/>
      <c r="Z205" s="2"/>
    </row>
    <row r="206">
      <c r="A206" s="2"/>
      <c r="B206" s="2"/>
      <c r="C206" s="2"/>
      <c r="D206" s="2"/>
      <c r="E206" s="2"/>
      <c r="F206" s="7"/>
      <c r="G206" s="2"/>
      <c r="H206" s="7"/>
      <c r="I206" s="2"/>
      <c r="J206" s="2"/>
      <c r="K206" s="2"/>
      <c r="L206" s="2"/>
      <c r="M206" s="2"/>
      <c r="N206" s="2"/>
      <c r="O206" s="2"/>
      <c r="P206" s="2"/>
      <c r="Q206" s="2"/>
      <c r="R206" s="2"/>
      <c r="S206" s="2"/>
      <c r="T206" s="2"/>
      <c r="U206" s="2"/>
      <c r="V206" s="2"/>
      <c r="W206" s="2"/>
      <c r="X206" s="2"/>
      <c r="Y206" s="2"/>
      <c r="Z206" s="2"/>
    </row>
    <row r="207">
      <c r="A207" s="2"/>
      <c r="B207" s="2"/>
      <c r="C207" s="2"/>
      <c r="D207" s="2"/>
      <c r="E207" s="2"/>
      <c r="F207" s="7"/>
      <c r="G207" s="2"/>
      <c r="H207" s="7"/>
      <c r="I207" s="2"/>
      <c r="J207" s="2"/>
      <c r="K207" s="2"/>
      <c r="L207" s="2"/>
      <c r="M207" s="2"/>
      <c r="N207" s="2"/>
      <c r="O207" s="2"/>
      <c r="P207" s="2"/>
      <c r="Q207" s="2"/>
      <c r="R207" s="2"/>
      <c r="S207" s="2"/>
      <c r="T207" s="2"/>
      <c r="U207" s="2"/>
      <c r="V207" s="2"/>
      <c r="W207" s="2"/>
      <c r="X207" s="2"/>
      <c r="Y207" s="2"/>
      <c r="Z207" s="2"/>
    </row>
    <row r="208">
      <c r="A208" s="2"/>
      <c r="B208" s="2"/>
      <c r="C208" s="2"/>
      <c r="D208" s="2"/>
      <c r="E208" s="2"/>
      <c r="F208" s="7"/>
      <c r="G208" s="2"/>
      <c r="H208" s="7"/>
      <c r="I208" s="2"/>
      <c r="J208" s="2"/>
      <c r="K208" s="2"/>
      <c r="L208" s="2"/>
      <c r="M208" s="2"/>
      <c r="N208" s="2"/>
      <c r="O208" s="2"/>
      <c r="P208" s="2"/>
      <c r="Q208" s="2"/>
      <c r="R208" s="2"/>
      <c r="S208" s="2"/>
      <c r="T208" s="2"/>
      <c r="U208" s="2"/>
      <c r="V208" s="2"/>
      <c r="W208" s="2"/>
      <c r="X208" s="2"/>
      <c r="Y208" s="2"/>
      <c r="Z208" s="2"/>
    </row>
    <row r="209">
      <c r="A209" s="2"/>
      <c r="B209" s="2"/>
      <c r="C209" s="2"/>
      <c r="D209" s="2"/>
      <c r="E209" s="2"/>
      <c r="F209" s="7"/>
      <c r="G209" s="2"/>
      <c r="H209" s="7"/>
      <c r="I209" s="2"/>
      <c r="J209" s="2"/>
      <c r="K209" s="2"/>
      <c r="L209" s="2"/>
      <c r="M209" s="2"/>
      <c r="N209" s="2"/>
      <c r="O209" s="2"/>
      <c r="P209" s="2"/>
      <c r="Q209" s="2"/>
      <c r="R209" s="2"/>
      <c r="S209" s="2"/>
      <c r="T209" s="2"/>
      <c r="U209" s="2"/>
      <c r="V209" s="2"/>
      <c r="W209" s="2"/>
      <c r="X209" s="2"/>
      <c r="Y209" s="2"/>
      <c r="Z209" s="2"/>
    </row>
    <row r="210">
      <c r="A210" s="2"/>
      <c r="B210" s="2"/>
      <c r="C210" s="2"/>
      <c r="D210" s="2"/>
      <c r="E210" s="2"/>
      <c r="F210" s="7"/>
      <c r="G210" s="2"/>
      <c r="H210" s="7"/>
      <c r="I210" s="2"/>
      <c r="J210" s="2"/>
      <c r="K210" s="2"/>
      <c r="L210" s="2"/>
      <c r="M210" s="2"/>
      <c r="N210" s="2"/>
      <c r="O210" s="2"/>
      <c r="P210" s="2"/>
      <c r="Q210" s="2"/>
      <c r="R210" s="2"/>
      <c r="S210" s="2"/>
      <c r="T210" s="2"/>
      <c r="U210" s="2"/>
      <c r="V210" s="2"/>
      <c r="W210" s="2"/>
      <c r="X210" s="2"/>
      <c r="Y210" s="2"/>
      <c r="Z210" s="2"/>
    </row>
    <row r="211">
      <c r="A211" s="2"/>
      <c r="B211" s="2"/>
      <c r="C211" s="2"/>
      <c r="D211" s="2"/>
      <c r="E211" s="2"/>
      <c r="F211" s="7"/>
      <c r="G211" s="2"/>
      <c r="H211" s="7"/>
      <c r="I211" s="2"/>
      <c r="J211" s="2"/>
      <c r="K211" s="2"/>
      <c r="L211" s="2"/>
      <c r="M211" s="2"/>
      <c r="N211" s="2"/>
      <c r="O211" s="2"/>
      <c r="P211" s="2"/>
      <c r="Q211" s="2"/>
      <c r="R211" s="2"/>
      <c r="S211" s="2"/>
      <c r="T211" s="2"/>
      <c r="U211" s="2"/>
      <c r="V211" s="2"/>
      <c r="W211" s="2"/>
      <c r="X211" s="2"/>
      <c r="Y211" s="2"/>
      <c r="Z211" s="2"/>
    </row>
    <row r="212">
      <c r="A212" s="2"/>
      <c r="B212" s="2"/>
      <c r="C212" s="2"/>
      <c r="D212" s="2"/>
      <c r="E212" s="2"/>
      <c r="F212" s="7"/>
      <c r="G212" s="2"/>
      <c r="H212" s="7"/>
      <c r="I212" s="2"/>
      <c r="J212" s="2"/>
      <c r="K212" s="2"/>
      <c r="L212" s="2"/>
      <c r="M212" s="2"/>
      <c r="N212" s="2"/>
      <c r="O212" s="2"/>
      <c r="P212" s="2"/>
      <c r="Q212" s="2"/>
      <c r="R212" s="2"/>
      <c r="S212" s="2"/>
      <c r="T212" s="2"/>
      <c r="U212" s="2"/>
      <c r="V212" s="2"/>
      <c r="W212" s="2"/>
      <c r="X212" s="2"/>
      <c r="Y212" s="2"/>
      <c r="Z212" s="2"/>
    </row>
    <row r="213">
      <c r="A213" s="2"/>
      <c r="B213" s="2"/>
      <c r="C213" s="2"/>
      <c r="D213" s="2"/>
      <c r="E213" s="2"/>
      <c r="F213" s="7"/>
      <c r="G213" s="2"/>
      <c r="H213" s="7"/>
      <c r="I213" s="2"/>
      <c r="J213" s="2"/>
      <c r="K213" s="2"/>
      <c r="L213" s="2"/>
      <c r="M213" s="2"/>
      <c r="N213" s="2"/>
      <c r="O213" s="2"/>
      <c r="P213" s="2"/>
      <c r="Q213" s="2"/>
      <c r="R213" s="2"/>
      <c r="S213" s="2"/>
      <c r="T213" s="2"/>
      <c r="U213" s="2"/>
      <c r="V213" s="2"/>
      <c r="W213" s="2"/>
      <c r="X213" s="2"/>
      <c r="Y213" s="2"/>
      <c r="Z213" s="2"/>
    </row>
    <row r="214">
      <c r="A214" s="2"/>
      <c r="B214" s="2"/>
      <c r="C214" s="2"/>
      <c r="D214" s="2"/>
      <c r="E214" s="2"/>
      <c r="F214" s="7"/>
      <c r="G214" s="2"/>
      <c r="H214" s="7"/>
      <c r="I214" s="2"/>
      <c r="J214" s="2"/>
      <c r="K214" s="2"/>
      <c r="L214" s="2"/>
      <c r="M214" s="2"/>
      <c r="N214" s="2"/>
      <c r="O214" s="2"/>
      <c r="P214" s="2"/>
      <c r="Q214" s="2"/>
      <c r="R214" s="2"/>
      <c r="S214" s="2"/>
      <c r="T214" s="2"/>
      <c r="U214" s="2"/>
      <c r="V214" s="2"/>
      <c r="W214" s="2"/>
      <c r="X214" s="2"/>
      <c r="Y214" s="2"/>
      <c r="Z214" s="2"/>
    </row>
    <row r="215">
      <c r="A215" s="2"/>
      <c r="B215" s="2"/>
      <c r="C215" s="2"/>
      <c r="D215" s="2"/>
      <c r="E215" s="2"/>
      <c r="F215" s="7"/>
      <c r="G215" s="2"/>
      <c r="H215" s="7"/>
      <c r="I215" s="2"/>
      <c r="J215" s="2"/>
      <c r="K215" s="2"/>
      <c r="L215" s="2"/>
      <c r="M215" s="2"/>
      <c r="N215" s="2"/>
      <c r="O215" s="2"/>
      <c r="P215" s="2"/>
      <c r="Q215" s="2"/>
      <c r="R215" s="2"/>
      <c r="S215" s="2"/>
      <c r="T215" s="2"/>
      <c r="U215" s="2"/>
      <c r="V215" s="2"/>
      <c r="W215" s="2"/>
      <c r="X215" s="2"/>
      <c r="Y215" s="2"/>
      <c r="Z215" s="2"/>
    </row>
    <row r="216">
      <c r="A216" s="2"/>
      <c r="B216" s="2"/>
      <c r="C216" s="2"/>
      <c r="D216" s="2"/>
      <c r="E216" s="2"/>
      <c r="F216" s="7"/>
      <c r="G216" s="2"/>
      <c r="H216" s="7"/>
      <c r="I216" s="2"/>
      <c r="J216" s="2"/>
      <c r="K216" s="2"/>
      <c r="L216" s="2"/>
      <c r="M216" s="2"/>
      <c r="N216" s="2"/>
      <c r="O216" s="2"/>
      <c r="P216" s="2"/>
      <c r="Q216" s="2"/>
      <c r="R216" s="2"/>
      <c r="S216" s="2"/>
      <c r="T216" s="2"/>
      <c r="U216" s="2"/>
      <c r="V216" s="2"/>
      <c r="W216" s="2"/>
      <c r="X216" s="2"/>
      <c r="Y216" s="2"/>
      <c r="Z216" s="2"/>
    </row>
    <row r="217">
      <c r="A217" s="2"/>
      <c r="B217" s="2"/>
      <c r="C217" s="2"/>
      <c r="D217" s="2"/>
      <c r="E217" s="2"/>
      <c r="F217" s="7"/>
      <c r="G217" s="2"/>
      <c r="H217" s="7"/>
      <c r="I217" s="2"/>
      <c r="J217" s="2"/>
      <c r="K217" s="2"/>
      <c r="L217" s="2"/>
      <c r="M217" s="2"/>
      <c r="N217" s="2"/>
      <c r="O217" s="2"/>
      <c r="P217" s="2"/>
      <c r="Q217" s="2"/>
      <c r="R217" s="2"/>
      <c r="S217" s="2"/>
      <c r="T217" s="2"/>
      <c r="U217" s="2"/>
      <c r="V217" s="2"/>
      <c r="W217" s="2"/>
      <c r="X217" s="2"/>
      <c r="Y217" s="2"/>
      <c r="Z217" s="2"/>
    </row>
    <row r="218">
      <c r="A218" s="2"/>
      <c r="B218" s="2"/>
      <c r="C218" s="2"/>
      <c r="D218" s="2"/>
      <c r="E218" s="2"/>
      <c r="F218" s="7"/>
      <c r="G218" s="2"/>
      <c r="H218" s="7"/>
      <c r="I218" s="2"/>
      <c r="J218" s="2"/>
      <c r="K218" s="2"/>
      <c r="L218" s="2"/>
      <c r="M218" s="2"/>
      <c r="N218" s="2"/>
      <c r="O218" s="2"/>
      <c r="P218" s="2"/>
      <c r="Q218" s="2"/>
      <c r="R218" s="2"/>
      <c r="S218" s="2"/>
      <c r="T218" s="2"/>
      <c r="U218" s="2"/>
      <c r="V218" s="2"/>
      <c r="W218" s="2"/>
      <c r="X218" s="2"/>
      <c r="Y218" s="2"/>
      <c r="Z218" s="2"/>
    </row>
    <row r="219">
      <c r="A219" s="2"/>
      <c r="B219" s="2"/>
      <c r="C219" s="2"/>
      <c r="D219" s="2"/>
      <c r="E219" s="2"/>
      <c r="F219" s="7"/>
      <c r="G219" s="2"/>
      <c r="H219" s="7"/>
      <c r="I219" s="2"/>
      <c r="J219" s="2"/>
      <c r="K219" s="2"/>
      <c r="L219" s="2"/>
      <c r="M219" s="2"/>
      <c r="N219" s="2"/>
      <c r="O219" s="2"/>
      <c r="P219" s="2"/>
      <c r="Q219" s="2"/>
      <c r="R219" s="2"/>
      <c r="S219" s="2"/>
      <c r="T219" s="2"/>
      <c r="U219" s="2"/>
      <c r="V219" s="2"/>
      <c r="W219" s="2"/>
      <c r="X219" s="2"/>
      <c r="Y219" s="2"/>
      <c r="Z219" s="2"/>
    </row>
    <row r="220">
      <c r="A220" s="2"/>
      <c r="B220" s="2"/>
      <c r="C220" s="2"/>
      <c r="D220" s="2"/>
      <c r="E220" s="2"/>
      <c r="F220" s="7"/>
      <c r="G220" s="2"/>
      <c r="H220" s="7"/>
      <c r="I220" s="2"/>
      <c r="J220" s="2"/>
      <c r="K220" s="2"/>
      <c r="L220" s="2"/>
      <c r="M220" s="2"/>
      <c r="N220" s="2"/>
      <c r="O220" s="2"/>
      <c r="P220" s="2"/>
      <c r="Q220" s="2"/>
      <c r="R220" s="2"/>
      <c r="S220" s="2"/>
      <c r="T220" s="2"/>
      <c r="U220" s="2"/>
      <c r="V220" s="2"/>
      <c r="W220" s="2"/>
      <c r="X220" s="2"/>
      <c r="Y220" s="2"/>
      <c r="Z220" s="2"/>
    </row>
    <row r="221">
      <c r="A221" s="2"/>
      <c r="B221" s="2"/>
      <c r="C221" s="2"/>
      <c r="D221" s="2"/>
      <c r="E221" s="2"/>
      <c r="F221" s="7"/>
      <c r="G221" s="2"/>
      <c r="H221" s="7"/>
      <c r="I221" s="2"/>
      <c r="J221" s="2"/>
      <c r="K221" s="2"/>
      <c r="L221" s="2"/>
      <c r="M221" s="2"/>
      <c r="N221" s="2"/>
      <c r="O221" s="2"/>
      <c r="P221" s="2"/>
      <c r="Q221" s="2"/>
      <c r="R221" s="2"/>
      <c r="S221" s="2"/>
      <c r="T221" s="2"/>
      <c r="U221" s="2"/>
      <c r="V221" s="2"/>
      <c r="W221" s="2"/>
      <c r="X221" s="2"/>
      <c r="Y221" s="2"/>
      <c r="Z221" s="2"/>
    </row>
    <row r="222">
      <c r="A222" s="2"/>
      <c r="B222" s="2"/>
      <c r="C222" s="2"/>
      <c r="D222" s="2"/>
      <c r="E222" s="2"/>
      <c r="F222" s="7"/>
      <c r="G222" s="2"/>
      <c r="H222" s="7"/>
      <c r="I222" s="2"/>
      <c r="J222" s="2"/>
      <c r="K222" s="2"/>
      <c r="L222" s="2"/>
      <c r="M222" s="2"/>
      <c r="N222" s="2"/>
      <c r="O222" s="2"/>
      <c r="P222" s="2"/>
      <c r="Q222" s="2"/>
      <c r="R222" s="2"/>
      <c r="S222" s="2"/>
      <c r="T222" s="2"/>
      <c r="U222" s="2"/>
      <c r="V222" s="2"/>
      <c r="W222" s="2"/>
      <c r="X222" s="2"/>
      <c r="Y222" s="2"/>
      <c r="Z222" s="2"/>
    </row>
    <row r="223">
      <c r="A223" s="2"/>
      <c r="B223" s="2"/>
      <c r="C223" s="2"/>
      <c r="D223" s="2"/>
      <c r="E223" s="2"/>
      <c r="F223" s="7"/>
      <c r="G223" s="2"/>
      <c r="H223" s="7"/>
      <c r="I223" s="2"/>
      <c r="J223" s="2"/>
      <c r="K223" s="2"/>
      <c r="L223" s="2"/>
      <c r="M223" s="2"/>
      <c r="N223" s="2"/>
      <c r="O223" s="2"/>
      <c r="P223" s="2"/>
      <c r="Q223" s="2"/>
      <c r="R223" s="2"/>
      <c r="S223" s="2"/>
      <c r="T223" s="2"/>
      <c r="U223" s="2"/>
      <c r="V223" s="2"/>
      <c r="W223" s="2"/>
      <c r="X223" s="2"/>
      <c r="Y223" s="2"/>
      <c r="Z223" s="2"/>
    </row>
    <row r="224">
      <c r="A224" s="2"/>
      <c r="B224" s="2"/>
      <c r="C224" s="2"/>
      <c r="D224" s="2"/>
      <c r="E224" s="2"/>
      <c r="F224" s="7"/>
      <c r="G224" s="2"/>
      <c r="H224" s="7"/>
      <c r="I224" s="2"/>
      <c r="J224" s="2"/>
      <c r="K224" s="2"/>
      <c r="L224" s="2"/>
      <c r="M224" s="2"/>
      <c r="N224" s="2"/>
      <c r="O224" s="2"/>
      <c r="P224" s="2"/>
      <c r="Q224" s="2"/>
      <c r="R224" s="2"/>
      <c r="S224" s="2"/>
      <c r="T224" s="2"/>
      <c r="U224" s="2"/>
      <c r="V224" s="2"/>
      <c r="W224" s="2"/>
      <c r="X224" s="2"/>
      <c r="Y224" s="2"/>
      <c r="Z224" s="2"/>
    </row>
    <row r="225">
      <c r="A225" s="2"/>
      <c r="B225" s="2"/>
      <c r="C225" s="2"/>
      <c r="D225" s="2"/>
      <c r="E225" s="2"/>
      <c r="F225" s="7"/>
      <c r="G225" s="2"/>
      <c r="H225" s="7"/>
      <c r="I225" s="2"/>
      <c r="J225" s="2"/>
      <c r="K225" s="2"/>
      <c r="L225" s="2"/>
      <c r="M225" s="2"/>
      <c r="N225" s="2"/>
      <c r="O225" s="2"/>
      <c r="P225" s="2"/>
      <c r="Q225" s="2"/>
      <c r="R225" s="2"/>
      <c r="S225" s="2"/>
      <c r="T225" s="2"/>
      <c r="U225" s="2"/>
      <c r="V225" s="2"/>
      <c r="W225" s="2"/>
      <c r="X225" s="2"/>
      <c r="Y225" s="2"/>
      <c r="Z225" s="2"/>
    </row>
    <row r="226">
      <c r="A226" s="2"/>
      <c r="B226" s="2"/>
      <c r="C226" s="2"/>
      <c r="D226" s="2"/>
      <c r="E226" s="2"/>
      <c r="F226" s="7"/>
      <c r="G226" s="2"/>
      <c r="H226" s="7"/>
      <c r="I226" s="2"/>
      <c r="J226" s="2"/>
      <c r="K226" s="2"/>
      <c r="L226" s="2"/>
      <c r="M226" s="2"/>
      <c r="N226" s="2"/>
      <c r="O226" s="2"/>
      <c r="P226" s="2"/>
      <c r="Q226" s="2"/>
      <c r="R226" s="2"/>
      <c r="S226" s="2"/>
      <c r="T226" s="2"/>
      <c r="U226" s="2"/>
      <c r="V226" s="2"/>
      <c r="W226" s="2"/>
      <c r="X226" s="2"/>
      <c r="Y226" s="2"/>
      <c r="Z226" s="2"/>
    </row>
    <row r="227">
      <c r="A227" s="2"/>
      <c r="B227" s="2"/>
      <c r="C227" s="2"/>
      <c r="D227" s="2"/>
      <c r="E227" s="2"/>
      <c r="F227" s="7"/>
      <c r="G227" s="2"/>
      <c r="H227" s="7"/>
      <c r="I227" s="2"/>
      <c r="J227" s="2"/>
      <c r="K227" s="2"/>
      <c r="L227" s="2"/>
      <c r="M227" s="2"/>
      <c r="N227" s="2"/>
      <c r="O227" s="2"/>
      <c r="P227" s="2"/>
      <c r="Q227" s="2"/>
      <c r="R227" s="2"/>
      <c r="S227" s="2"/>
      <c r="T227" s="2"/>
      <c r="U227" s="2"/>
      <c r="V227" s="2"/>
      <c r="W227" s="2"/>
      <c r="X227" s="2"/>
      <c r="Y227" s="2"/>
      <c r="Z227" s="2"/>
    </row>
    <row r="228">
      <c r="A228" s="2"/>
      <c r="B228" s="2"/>
      <c r="C228" s="2"/>
      <c r="D228" s="2"/>
      <c r="E228" s="2"/>
      <c r="F228" s="7"/>
      <c r="G228" s="2"/>
      <c r="H228" s="7"/>
      <c r="I228" s="2"/>
      <c r="J228" s="2"/>
      <c r="K228" s="2"/>
      <c r="L228" s="2"/>
      <c r="M228" s="2"/>
      <c r="N228" s="2"/>
      <c r="O228" s="2"/>
      <c r="P228" s="2"/>
      <c r="Q228" s="2"/>
      <c r="R228" s="2"/>
      <c r="S228" s="2"/>
      <c r="T228" s="2"/>
      <c r="U228" s="2"/>
      <c r="V228" s="2"/>
      <c r="W228" s="2"/>
      <c r="X228" s="2"/>
      <c r="Y228" s="2"/>
      <c r="Z228" s="2"/>
    </row>
    <row r="229">
      <c r="A229" s="2"/>
      <c r="B229" s="2"/>
      <c r="C229" s="2"/>
      <c r="D229" s="2"/>
      <c r="E229" s="2"/>
      <c r="F229" s="7"/>
      <c r="G229" s="2"/>
      <c r="H229" s="7"/>
      <c r="I229" s="2"/>
      <c r="J229" s="2"/>
      <c r="K229" s="2"/>
      <c r="L229" s="2"/>
      <c r="M229" s="2"/>
      <c r="N229" s="2"/>
      <c r="O229" s="2"/>
      <c r="P229" s="2"/>
      <c r="Q229" s="2"/>
      <c r="R229" s="2"/>
      <c r="S229" s="2"/>
      <c r="T229" s="2"/>
      <c r="U229" s="2"/>
      <c r="V229" s="2"/>
      <c r="W229" s="2"/>
      <c r="X229" s="2"/>
      <c r="Y229" s="2"/>
      <c r="Z229" s="2"/>
    </row>
    <row r="230">
      <c r="A230" s="2"/>
      <c r="B230" s="2"/>
      <c r="C230" s="2"/>
      <c r="D230" s="2"/>
      <c r="E230" s="2"/>
      <c r="F230" s="7"/>
      <c r="G230" s="2"/>
      <c r="H230" s="7"/>
      <c r="I230" s="2"/>
      <c r="J230" s="2"/>
      <c r="K230" s="2"/>
      <c r="L230" s="2"/>
      <c r="M230" s="2"/>
      <c r="N230" s="2"/>
      <c r="O230" s="2"/>
      <c r="P230" s="2"/>
      <c r="Q230" s="2"/>
      <c r="R230" s="2"/>
      <c r="S230" s="2"/>
      <c r="T230" s="2"/>
      <c r="U230" s="2"/>
      <c r="V230" s="2"/>
      <c r="W230" s="2"/>
      <c r="X230" s="2"/>
      <c r="Y230" s="2"/>
      <c r="Z230" s="2"/>
    </row>
    <row r="231">
      <c r="A231" s="2"/>
      <c r="B231" s="2"/>
      <c r="C231" s="2"/>
      <c r="D231" s="2"/>
      <c r="E231" s="2"/>
      <c r="F231" s="7"/>
      <c r="G231" s="2"/>
      <c r="H231" s="7"/>
      <c r="I231" s="2"/>
      <c r="J231" s="2"/>
      <c r="K231" s="2"/>
      <c r="L231" s="2"/>
      <c r="M231" s="2"/>
      <c r="N231" s="2"/>
      <c r="O231" s="2"/>
      <c r="P231" s="2"/>
      <c r="Q231" s="2"/>
      <c r="R231" s="2"/>
      <c r="S231" s="2"/>
      <c r="T231" s="2"/>
      <c r="U231" s="2"/>
      <c r="V231" s="2"/>
      <c r="W231" s="2"/>
      <c r="X231" s="2"/>
      <c r="Y231" s="2"/>
      <c r="Z231" s="2"/>
    </row>
    <row r="232">
      <c r="A232" s="2"/>
      <c r="B232" s="2"/>
      <c r="C232" s="2"/>
      <c r="D232" s="2"/>
      <c r="E232" s="2"/>
      <c r="F232" s="7"/>
      <c r="G232" s="2"/>
      <c r="H232" s="7"/>
      <c r="I232" s="2"/>
      <c r="J232" s="2"/>
      <c r="K232" s="2"/>
      <c r="L232" s="2"/>
      <c r="M232" s="2"/>
      <c r="N232" s="2"/>
      <c r="O232" s="2"/>
      <c r="P232" s="2"/>
      <c r="Q232" s="2"/>
      <c r="R232" s="2"/>
      <c r="S232" s="2"/>
      <c r="T232" s="2"/>
      <c r="U232" s="2"/>
      <c r="V232" s="2"/>
      <c r="W232" s="2"/>
      <c r="X232" s="2"/>
      <c r="Y232" s="2"/>
      <c r="Z232" s="2"/>
    </row>
    <row r="233">
      <c r="A233" s="2"/>
      <c r="B233" s="2"/>
      <c r="C233" s="2"/>
      <c r="D233" s="2"/>
      <c r="E233" s="2"/>
      <c r="F233" s="7"/>
      <c r="G233" s="2"/>
      <c r="H233" s="7"/>
      <c r="I233" s="2"/>
      <c r="J233" s="2"/>
      <c r="K233" s="2"/>
      <c r="L233" s="2"/>
      <c r="M233" s="2"/>
      <c r="N233" s="2"/>
      <c r="O233" s="2"/>
      <c r="P233" s="2"/>
      <c r="Q233" s="2"/>
      <c r="R233" s="2"/>
      <c r="S233" s="2"/>
      <c r="T233" s="2"/>
      <c r="U233" s="2"/>
      <c r="V233" s="2"/>
      <c r="W233" s="2"/>
      <c r="X233" s="2"/>
      <c r="Y233" s="2"/>
      <c r="Z233" s="2"/>
    </row>
    <row r="234">
      <c r="A234" s="2"/>
      <c r="B234" s="2"/>
      <c r="C234" s="2"/>
      <c r="D234" s="2"/>
      <c r="E234" s="2"/>
      <c r="F234" s="7"/>
      <c r="G234" s="2"/>
      <c r="H234" s="7"/>
      <c r="I234" s="2"/>
      <c r="J234" s="2"/>
      <c r="K234" s="2"/>
      <c r="L234" s="2"/>
      <c r="M234" s="2"/>
      <c r="N234" s="2"/>
      <c r="O234" s="2"/>
      <c r="P234" s="2"/>
      <c r="Q234" s="2"/>
      <c r="R234" s="2"/>
      <c r="S234" s="2"/>
      <c r="T234" s="2"/>
      <c r="U234" s="2"/>
      <c r="V234" s="2"/>
      <c r="W234" s="2"/>
      <c r="X234" s="2"/>
      <c r="Y234" s="2"/>
      <c r="Z234" s="2"/>
    </row>
    <row r="235">
      <c r="A235" s="2"/>
      <c r="B235" s="2"/>
      <c r="C235" s="2"/>
      <c r="D235" s="2"/>
      <c r="E235" s="2"/>
      <c r="F235" s="7"/>
      <c r="G235" s="2"/>
      <c r="H235" s="7"/>
      <c r="I235" s="2"/>
      <c r="J235" s="2"/>
      <c r="K235" s="2"/>
      <c r="L235" s="2"/>
      <c r="M235" s="2"/>
      <c r="N235" s="2"/>
      <c r="O235" s="2"/>
      <c r="P235" s="2"/>
      <c r="Q235" s="2"/>
      <c r="R235" s="2"/>
      <c r="S235" s="2"/>
      <c r="T235" s="2"/>
      <c r="U235" s="2"/>
      <c r="V235" s="2"/>
      <c r="W235" s="2"/>
      <c r="X235" s="2"/>
      <c r="Y235" s="2"/>
      <c r="Z235" s="2"/>
    </row>
    <row r="236">
      <c r="A236" s="2"/>
      <c r="B236" s="2"/>
      <c r="C236" s="2"/>
      <c r="D236" s="2"/>
      <c r="E236" s="2"/>
      <c r="F236" s="7"/>
      <c r="G236" s="2"/>
      <c r="H236" s="7"/>
      <c r="I236" s="2"/>
      <c r="J236" s="2"/>
      <c r="K236" s="2"/>
      <c r="L236" s="2"/>
      <c r="M236" s="2"/>
      <c r="N236" s="2"/>
      <c r="O236" s="2"/>
      <c r="P236" s="2"/>
      <c r="Q236" s="2"/>
      <c r="R236" s="2"/>
      <c r="S236" s="2"/>
      <c r="T236" s="2"/>
      <c r="U236" s="2"/>
      <c r="V236" s="2"/>
      <c r="W236" s="2"/>
      <c r="X236" s="2"/>
      <c r="Y236" s="2"/>
      <c r="Z236" s="2"/>
    </row>
    <row r="237">
      <c r="A237" s="2"/>
      <c r="B237" s="2"/>
      <c r="C237" s="2"/>
      <c r="D237" s="2"/>
      <c r="E237" s="2"/>
      <c r="F237" s="7"/>
      <c r="G237" s="2"/>
      <c r="H237" s="7"/>
      <c r="I237" s="2"/>
      <c r="J237" s="2"/>
      <c r="K237" s="2"/>
      <c r="L237" s="2"/>
      <c r="M237" s="2"/>
      <c r="N237" s="2"/>
      <c r="O237" s="2"/>
      <c r="P237" s="2"/>
      <c r="Q237" s="2"/>
      <c r="R237" s="2"/>
      <c r="S237" s="2"/>
      <c r="T237" s="2"/>
      <c r="U237" s="2"/>
      <c r="V237" s="2"/>
      <c r="W237" s="2"/>
      <c r="X237" s="2"/>
      <c r="Y237" s="2"/>
      <c r="Z237" s="2"/>
    </row>
    <row r="238">
      <c r="A238" s="2"/>
      <c r="B238" s="2"/>
      <c r="C238" s="2"/>
      <c r="D238" s="2"/>
      <c r="E238" s="2"/>
      <c r="F238" s="7"/>
      <c r="G238" s="2"/>
      <c r="H238" s="7"/>
      <c r="I238" s="2"/>
      <c r="J238" s="2"/>
      <c r="K238" s="2"/>
      <c r="L238" s="2"/>
      <c r="M238" s="2"/>
      <c r="N238" s="2"/>
      <c r="O238" s="2"/>
      <c r="P238" s="2"/>
      <c r="Q238" s="2"/>
      <c r="R238" s="2"/>
      <c r="S238" s="2"/>
      <c r="T238" s="2"/>
      <c r="U238" s="2"/>
      <c r="V238" s="2"/>
      <c r="W238" s="2"/>
      <c r="X238" s="2"/>
      <c r="Y238" s="2"/>
      <c r="Z238" s="2"/>
    </row>
    <row r="239">
      <c r="A239" s="2"/>
      <c r="B239" s="2"/>
      <c r="C239" s="2"/>
      <c r="D239" s="2"/>
      <c r="E239" s="2"/>
      <c r="F239" s="7"/>
      <c r="G239" s="2"/>
      <c r="H239" s="7"/>
      <c r="I239" s="2"/>
      <c r="J239" s="2"/>
      <c r="K239" s="2"/>
      <c r="L239" s="2"/>
      <c r="M239" s="2"/>
      <c r="N239" s="2"/>
      <c r="O239" s="2"/>
      <c r="P239" s="2"/>
      <c r="Q239" s="2"/>
      <c r="R239" s="2"/>
      <c r="S239" s="2"/>
      <c r="T239" s="2"/>
      <c r="U239" s="2"/>
      <c r="V239" s="2"/>
      <c r="W239" s="2"/>
      <c r="X239" s="2"/>
      <c r="Y239" s="2"/>
      <c r="Z239" s="2"/>
    </row>
    <row r="240">
      <c r="A240" s="2"/>
      <c r="B240" s="2"/>
      <c r="C240" s="2"/>
      <c r="D240" s="2"/>
      <c r="E240" s="2"/>
      <c r="F240" s="7"/>
      <c r="G240" s="2"/>
      <c r="H240" s="7"/>
      <c r="I240" s="2"/>
      <c r="J240" s="2"/>
      <c r="K240" s="2"/>
      <c r="L240" s="2"/>
      <c r="M240" s="2"/>
      <c r="N240" s="2"/>
      <c r="O240" s="2"/>
      <c r="P240" s="2"/>
      <c r="Q240" s="2"/>
      <c r="R240" s="2"/>
      <c r="S240" s="2"/>
      <c r="T240" s="2"/>
      <c r="U240" s="2"/>
      <c r="V240" s="2"/>
      <c r="W240" s="2"/>
      <c r="X240" s="2"/>
      <c r="Y240" s="2"/>
      <c r="Z240" s="2"/>
    </row>
    <row r="241">
      <c r="A241" s="2"/>
      <c r="B241" s="2"/>
      <c r="C241" s="2"/>
      <c r="D241" s="2"/>
      <c r="E241" s="2"/>
      <c r="F241" s="7"/>
      <c r="G241" s="2"/>
      <c r="H241" s="7"/>
      <c r="I241" s="2"/>
      <c r="J241" s="2"/>
      <c r="K241" s="2"/>
      <c r="L241" s="2"/>
      <c r="M241" s="2"/>
      <c r="N241" s="2"/>
      <c r="O241" s="2"/>
      <c r="P241" s="2"/>
      <c r="Q241" s="2"/>
      <c r="R241" s="2"/>
      <c r="S241" s="2"/>
      <c r="T241" s="2"/>
      <c r="U241" s="2"/>
      <c r="V241" s="2"/>
      <c r="W241" s="2"/>
      <c r="X241" s="2"/>
      <c r="Y241" s="2"/>
      <c r="Z241" s="2"/>
    </row>
    <row r="242">
      <c r="A242" s="2"/>
      <c r="B242" s="2"/>
      <c r="C242" s="2"/>
      <c r="D242" s="2"/>
      <c r="E242" s="2"/>
      <c r="F242" s="7"/>
      <c r="G242" s="2"/>
      <c r="H242" s="7"/>
      <c r="I242" s="2"/>
      <c r="J242" s="2"/>
      <c r="K242" s="2"/>
      <c r="L242" s="2"/>
      <c r="M242" s="2"/>
      <c r="N242" s="2"/>
      <c r="O242" s="2"/>
      <c r="P242" s="2"/>
      <c r="Q242" s="2"/>
      <c r="R242" s="2"/>
      <c r="S242" s="2"/>
      <c r="T242" s="2"/>
      <c r="U242" s="2"/>
      <c r="V242" s="2"/>
      <c r="W242" s="2"/>
      <c r="X242" s="2"/>
      <c r="Y242" s="2"/>
      <c r="Z242" s="2"/>
    </row>
    <row r="243">
      <c r="A243" s="2"/>
      <c r="B243" s="2"/>
      <c r="C243" s="2"/>
      <c r="D243" s="2"/>
      <c r="E243" s="2"/>
      <c r="F243" s="7"/>
      <c r="G243" s="2"/>
      <c r="H243" s="7"/>
      <c r="I243" s="2"/>
      <c r="J243" s="2"/>
      <c r="K243" s="2"/>
      <c r="L243" s="2"/>
      <c r="M243" s="2"/>
      <c r="N243" s="2"/>
      <c r="O243" s="2"/>
      <c r="P243" s="2"/>
      <c r="Q243" s="2"/>
      <c r="R243" s="2"/>
      <c r="S243" s="2"/>
      <c r="T243" s="2"/>
      <c r="U243" s="2"/>
      <c r="V243" s="2"/>
      <c r="W243" s="2"/>
      <c r="X243" s="2"/>
      <c r="Y243" s="2"/>
      <c r="Z243" s="2"/>
    </row>
    <row r="244">
      <c r="A244" s="2"/>
      <c r="B244" s="2"/>
      <c r="C244" s="2"/>
      <c r="D244" s="2"/>
      <c r="E244" s="2"/>
      <c r="F244" s="7"/>
      <c r="G244" s="2"/>
      <c r="H244" s="7"/>
      <c r="I244" s="2"/>
      <c r="J244" s="2"/>
      <c r="K244" s="2"/>
      <c r="L244" s="2"/>
      <c r="M244" s="2"/>
      <c r="N244" s="2"/>
      <c r="O244" s="2"/>
      <c r="P244" s="2"/>
      <c r="Q244" s="2"/>
      <c r="R244" s="2"/>
      <c r="S244" s="2"/>
      <c r="T244" s="2"/>
      <c r="U244" s="2"/>
      <c r="V244" s="2"/>
      <c r="W244" s="2"/>
      <c r="X244" s="2"/>
      <c r="Y244" s="2"/>
      <c r="Z244" s="2"/>
    </row>
    <row r="245">
      <c r="A245" s="2"/>
      <c r="B245" s="2"/>
      <c r="C245" s="2"/>
      <c r="D245" s="2"/>
      <c r="E245" s="2"/>
      <c r="F245" s="7"/>
      <c r="G245" s="2"/>
      <c r="H245" s="7"/>
      <c r="I245" s="2"/>
      <c r="J245" s="2"/>
      <c r="K245" s="2"/>
      <c r="L245" s="2"/>
      <c r="M245" s="2"/>
      <c r="N245" s="2"/>
      <c r="O245" s="2"/>
      <c r="P245" s="2"/>
      <c r="Q245" s="2"/>
      <c r="R245" s="2"/>
      <c r="S245" s="2"/>
      <c r="T245" s="2"/>
      <c r="U245" s="2"/>
      <c r="V245" s="2"/>
      <c r="W245" s="2"/>
      <c r="X245" s="2"/>
      <c r="Y245" s="2"/>
      <c r="Z245" s="2"/>
    </row>
    <row r="246">
      <c r="A246" s="2"/>
      <c r="B246" s="2"/>
      <c r="C246" s="2"/>
      <c r="D246" s="2"/>
      <c r="E246" s="2"/>
      <c r="F246" s="7"/>
      <c r="G246" s="2"/>
      <c r="H246" s="7"/>
      <c r="I246" s="2"/>
      <c r="J246" s="2"/>
      <c r="K246" s="2"/>
      <c r="L246" s="2"/>
      <c r="M246" s="2"/>
      <c r="N246" s="2"/>
      <c r="O246" s="2"/>
      <c r="P246" s="2"/>
      <c r="Q246" s="2"/>
      <c r="R246" s="2"/>
      <c r="S246" s="2"/>
      <c r="T246" s="2"/>
      <c r="U246" s="2"/>
      <c r="V246" s="2"/>
      <c r="W246" s="2"/>
      <c r="X246" s="2"/>
      <c r="Y246" s="2"/>
      <c r="Z246" s="2"/>
    </row>
    <row r="247">
      <c r="A247" s="2"/>
      <c r="B247" s="2"/>
      <c r="C247" s="2"/>
      <c r="D247" s="2"/>
      <c r="E247" s="2"/>
      <c r="F247" s="7"/>
      <c r="G247" s="2"/>
      <c r="H247" s="7"/>
      <c r="I247" s="2"/>
      <c r="J247" s="2"/>
      <c r="K247" s="2"/>
      <c r="L247" s="2"/>
      <c r="M247" s="2"/>
      <c r="N247" s="2"/>
      <c r="O247" s="2"/>
      <c r="P247" s="2"/>
      <c r="Q247" s="2"/>
      <c r="R247" s="2"/>
      <c r="S247" s="2"/>
      <c r="T247" s="2"/>
      <c r="U247" s="2"/>
      <c r="V247" s="2"/>
      <c r="W247" s="2"/>
      <c r="X247" s="2"/>
      <c r="Y247" s="2"/>
      <c r="Z247" s="2"/>
    </row>
    <row r="248">
      <c r="A248" s="2"/>
      <c r="B248" s="2"/>
      <c r="C248" s="2"/>
      <c r="D248" s="2"/>
      <c r="E248" s="2"/>
      <c r="F248" s="7"/>
      <c r="G248" s="2"/>
      <c r="H248" s="7"/>
      <c r="I248" s="2"/>
      <c r="J248" s="2"/>
      <c r="K248" s="2"/>
      <c r="L248" s="2"/>
      <c r="M248" s="2"/>
      <c r="N248" s="2"/>
      <c r="O248" s="2"/>
      <c r="P248" s="2"/>
      <c r="Q248" s="2"/>
      <c r="R248" s="2"/>
      <c r="S248" s="2"/>
      <c r="T248" s="2"/>
      <c r="U248" s="2"/>
      <c r="V248" s="2"/>
      <c r="W248" s="2"/>
      <c r="X248" s="2"/>
      <c r="Y248" s="2"/>
      <c r="Z248" s="2"/>
    </row>
    <row r="249">
      <c r="A249" s="2"/>
      <c r="B249" s="2"/>
      <c r="C249" s="2"/>
      <c r="D249" s="2"/>
      <c r="E249" s="2"/>
      <c r="F249" s="7"/>
      <c r="G249" s="2"/>
      <c r="H249" s="7"/>
      <c r="I249" s="2"/>
      <c r="J249" s="2"/>
      <c r="K249" s="2"/>
      <c r="L249" s="2"/>
      <c r="M249" s="2"/>
      <c r="N249" s="2"/>
      <c r="O249" s="2"/>
      <c r="P249" s="2"/>
      <c r="Q249" s="2"/>
      <c r="R249" s="2"/>
      <c r="S249" s="2"/>
      <c r="T249" s="2"/>
      <c r="U249" s="2"/>
      <c r="V249" s="2"/>
      <c r="W249" s="2"/>
      <c r="X249" s="2"/>
      <c r="Y249" s="2"/>
      <c r="Z249" s="2"/>
    </row>
    <row r="250">
      <c r="A250" s="2"/>
      <c r="B250" s="2"/>
      <c r="C250" s="2"/>
      <c r="D250" s="2"/>
      <c r="E250" s="2"/>
      <c r="F250" s="7"/>
      <c r="G250" s="2"/>
      <c r="H250" s="7"/>
      <c r="I250" s="2"/>
      <c r="J250" s="2"/>
      <c r="K250" s="2"/>
      <c r="L250" s="2"/>
      <c r="M250" s="2"/>
      <c r="N250" s="2"/>
      <c r="O250" s="2"/>
      <c r="P250" s="2"/>
      <c r="Q250" s="2"/>
      <c r="R250" s="2"/>
      <c r="S250" s="2"/>
      <c r="T250" s="2"/>
      <c r="U250" s="2"/>
      <c r="V250" s="2"/>
      <c r="W250" s="2"/>
      <c r="X250" s="2"/>
      <c r="Y250" s="2"/>
      <c r="Z250" s="2"/>
    </row>
    <row r="251">
      <c r="A251" s="2"/>
      <c r="B251" s="2"/>
      <c r="C251" s="2"/>
      <c r="D251" s="2"/>
      <c r="E251" s="2"/>
      <c r="F251" s="7"/>
      <c r="G251" s="2"/>
      <c r="H251" s="7"/>
      <c r="I251" s="2"/>
      <c r="J251" s="2"/>
      <c r="K251" s="2"/>
      <c r="L251" s="2"/>
      <c r="M251" s="2"/>
      <c r="N251" s="2"/>
      <c r="O251" s="2"/>
      <c r="P251" s="2"/>
      <c r="Q251" s="2"/>
      <c r="R251" s="2"/>
      <c r="S251" s="2"/>
      <c r="T251" s="2"/>
      <c r="U251" s="2"/>
      <c r="V251" s="2"/>
      <c r="W251" s="2"/>
      <c r="X251" s="2"/>
      <c r="Y251" s="2"/>
      <c r="Z251" s="2"/>
    </row>
    <row r="252">
      <c r="A252" s="2"/>
      <c r="B252" s="2"/>
      <c r="C252" s="2"/>
      <c r="D252" s="2"/>
      <c r="E252" s="2"/>
      <c r="F252" s="7"/>
      <c r="G252" s="2"/>
      <c r="H252" s="7"/>
      <c r="I252" s="2"/>
      <c r="J252" s="2"/>
      <c r="K252" s="2"/>
      <c r="L252" s="2"/>
      <c r="M252" s="2"/>
      <c r="N252" s="2"/>
      <c r="O252" s="2"/>
      <c r="P252" s="2"/>
      <c r="Q252" s="2"/>
      <c r="R252" s="2"/>
      <c r="S252" s="2"/>
      <c r="T252" s="2"/>
      <c r="U252" s="2"/>
      <c r="V252" s="2"/>
      <c r="W252" s="2"/>
      <c r="X252" s="2"/>
      <c r="Y252" s="2"/>
      <c r="Z252" s="2"/>
    </row>
    <row r="253">
      <c r="A253" s="2"/>
      <c r="B253" s="2"/>
      <c r="C253" s="2"/>
      <c r="D253" s="2"/>
      <c r="E253" s="2"/>
      <c r="F253" s="7"/>
      <c r="G253" s="2"/>
      <c r="H253" s="7"/>
      <c r="I253" s="2"/>
      <c r="J253" s="2"/>
      <c r="K253" s="2"/>
      <c r="L253" s="2"/>
      <c r="M253" s="2"/>
      <c r="N253" s="2"/>
      <c r="O253" s="2"/>
      <c r="P253" s="2"/>
      <c r="Q253" s="2"/>
      <c r="R253" s="2"/>
      <c r="S253" s="2"/>
      <c r="T253" s="2"/>
      <c r="U253" s="2"/>
      <c r="V253" s="2"/>
      <c r="W253" s="2"/>
      <c r="X253" s="2"/>
      <c r="Y253" s="2"/>
      <c r="Z253" s="2"/>
    </row>
    <row r="254">
      <c r="A254" s="2"/>
      <c r="B254" s="2"/>
      <c r="C254" s="2"/>
      <c r="D254" s="2"/>
      <c r="E254" s="2"/>
      <c r="F254" s="7"/>
      <c r="G254" s="2"/>
      <c r="H254" s="7"/>
      <c r="I254" s="2"/>
      <c r="J254" s="2"/>
      <c r="K254" s="2"/>
      <c r="L254" s="2"/>
      <c r="M254" s="2"/>
      <c r="N254" s="2"/>
      <c r="O254" s="2"/>
      <c r="P254" s="2"/>
      <c r="Q254" s="2"/>
      <c r="R254" s="2"/>
      <c r="S254" s="2"/>
      <c r="T254" s="2"/>
      <c r="U254" s="2"/>
      <c r="V254" s="2"/>
      <c r="W254" s="2"/>
      <c r="X254" s="2"/>
      <c r="Y254" s="2"/>
      <c r="Z254" s="2"/>
    </row>
    <row r="255">
      <c r="A255" s="2"/>
      <c r="B255" s="2"/>
      <c r="C255" s="2"/>
      <c r="D255" s="2"/>
      <c r="E255" s="2"/>
      <c r="F255" s="7"/>
      <c r="G255" s="2"/>
      <c r="H255" s="7"/>
      <c r="I255" s="2"/>
      <c r="J255" s="2"/>
      <c r="K255" s="2"/>
      <c r="L255" s="2"/>
      <c r="M255" s="2"/>
      <c r="N255" s="2"/>
      <c r="O255" s="2"/>
      <c r="P255" s="2"/>
      <c r="Q255" s="2"/>
      <c r="R255" s="2"/>
      <c r="S255" s="2"/>
      <c r="T255" s="2"/>
      <c r="U255" s="2"/>
      <c r="V255" s="2"/>
      <c r="W255" s="2"/>
      <c r="X255" s="2"/>
      <c r="Y255" s="2"/>
      <c r="Z255" s="2"/>
    </row>
    <row r="256">
      <c r="A256" s="2"/>
      <c r="B256" s="2"/>
      <c r="C256" s="2"/>
      <c r="D256" s="2"/>
      <c r="E256" s="2"/>
      <c r="F256" s="7"/>
      <c r="G256" s="2"/>
      <c r="H256" s="7"/>
      <c r="I256" s="2"/>
      <c r="J256" s="2"/>
      <c r="K256" s="2"/>
      <c r="L256" s="2"/>
      <c r="M256" s="2"/>
      <c r="N256" s="2"/>
      <c r="O256" s="2"/>
      <c r="P256" s="2"/>
      <c r="Q256" s="2"/>
      <c r="R256" s="2"/>
      <c r="S256" s="2"/>
      <c r="T256" s="2"/>
      <c r="U256" s="2"/>
      <c r="V256" s="2"/>
      <c r="W256" s="2"/>
      <c r="X256" s="2"/>
      <c r="Y256" s="2"/>
      <c r="Z256" s="2"/>
    </row>
    <row r="257">
      <c r="A257" s="2"/>
      <c r="B257" s="2"/>
      <c r="C257" s="2"/>
      <c r="D257" s="2"/>
      <c r="E257" s="2"/>
      <c r="F257" s="7"/>
      <c r="G257" s="2"/>
      <c r="H257" s="7"/>
      <c r="I257" s="2"/>
      <c r="J257" s="2"/>
      <c r="K257" s="2"/>
      <c r="L257" s="2"/>
      <c r="M257" s="2"/>
      <c r="N257" s="2"/>
      <c r="O257" s="2"/>
      <c r="P257" s="2"/>
      <c r="Q257" s="2"/>
      <c r="R257" s="2"/>
      <c r="S257" s="2"/>
      <c r="T257" s="2"/>
      <c r="U257" s="2"/>
      <c r="V257" s="2"/>
      <c r="W257" s="2"/>
      <c r="X257" s="2"/>
      <c r="Y257" s="2"/>
      <c r="Z257" s="2"/>
    </row>
    <row r="258">
      <c r="A258" s="2"/>
      <c r="B258" s="2"/>
      <c r="C258" s="2"/>
      <c r="D258" s="2"/>
      <c r="E258" s="2"/>
      <c r="F258" s="7"/>
      <c r="G258" s="2"/>
      <c r="H258" s="7"/>
      <c r="I258" s="2"/>
      <c r="J258" s="2"/>
      <c r="K258" s="2"/>
      <c r="L258" s="2"/>
      <c r="M258" s="2"/>
      <c r="N258" s="2"/>
      <c r="O258" s="2"/>
      <c r="P258" s="2"/>
      <c r="Q258" s="2"/>
      <c r="R258" s="2"/>
      <c r="S258" s="2"/>
      <c r="T258" s="2"/>
      <c r="U258" s="2"/>
      <c r="V258" s="2"/>
      <c r="W258" s="2"/>
      <c r="X258" s="2"/>
      <c r="Y258" s="2"/>
      <c r="Z258" s="2"/>
    </row>
    <row r="259">
      <c r="A259" s="2"/>
      <c r="B259" s="2"/>
      <c r="C259" s="2"/>
      <c r="D259" s="2"/>
      <c r="E259" s="2"/>
      <c r="F259" s="7"/>
      <c r="G259" s="2"/>
      <c r="H259" s="7"/>
      <c r="I259" s="2"/>
      <c r="J259" s="2"/>
      <c r="K259" s="2"/>
      <c r="L259" s="2"/>
      <c r="M259" s="2"/>
      <c r="N259" s="2"/>
      <c r="O259" s="2"/>
      <c r="P259" s="2"/>
      <c r="Q259" s="2"/>
      <c r="R259" s="2"/>
      <c r="S259" s="2"/>
      <c r="T259" s="2"/>
      <c r="U259" s="2"/>
      <c r="V259" s="2"/>
      <c r="W259" s="2"/>
      <c r="X259" s="2"/>
      <c r="Y259" s="2"/>
      <c r="Z259" s="2"/>
    </row>
    <row r="260">
      <c r="A260" s="2"/>
      <c r="B260" s="2"/>
      <c r="C260" s="2"/>
      <c r="D260" s="2"/>
      <c r="E260" s="2"/>
      <c r="F260" s="7"/>
      <c r="G260" s="2"/>
      <c r="H260" s="7"/>
      <c r="I260" s="2"/>
      <c r="J260" s="2"/>
      <c r="K260" s="2"/>
      <c r="L260" s="2"/>
      <c r="M260" s="2"/>
      <c r="N260" s="2"/>
      <c r="O260" s="2"/>
      <c r="P260" s="2"/>
      <c r="Q260" s="2"/>
      <c r="R260" s="2"/>
      <c r="S260" s="2"/>
      <c r="T260" s="2"/>
      <c r="U260" s="2"/>
      <c r="V260" s="2"/>
      <c r="W260" s="2"/>
      <c r="X260" s="2"/>
      <c r="Y260" s="2"/>
      <c r="Z260" s="2"/>
    </row>
    <row r="261">
      <c r="A261" s="2"/>
      <c r="B261" s="2"/>
      <c r="C261" s="2"/>
      <c r="D261" s="2"/>
      <c r="E261" s="2"/>
      <c r="F261" s="7"/>
      <c r="G261" s="2"/>
      <c r="H261" s="7"/>
      <c r="I261" s="2"/>
      <c r="J261" s="2"/>
      <c r="K261" s="2"/>
      <c r="L261" s="2"/>
      <c r="M261" s="2"/>
      <c r="N261" s="2"/>
      <c r="O261" s="2"/>
      <c r="P261" s="2"/>
      <c r="Q261" s="2"/>
      <c r="R261" s="2"/>
      <c r="S261" s="2"/>
      <c r="T261" s="2"/>
      <c r="U261" s="2"/>
      <c r="V261" s="2"/>
      <c r="W261" s="2"/>
      <c r="X261" s="2"/>
      <c r="Y261" s="2"/>
      <c r="Z261" s="2"/>
    </row>
    <row r="262">
      <c r="A262" s="2"/>
      <c r="B262" s="2"/>
      <c r="C262" s="2"/>
      <c r="D262" s="2"/>
      <c r="E262" s="2"/>
      <c r="F262" s="7"/>
      <c r="G262" s="2"/>
      <c r="H262" s="7"/>
      <c r="I262" s="2"/>
      <c r="J262" s="2"/>
      <c r="K262" s="2"/>
      <c r="L262" s="2"/>
      <c r="M262" s="2"/>
      <c r="N262" s="2"/>
      <c r="O262" s="2"/>
      <c r="P262" s="2"/>
      <c r="Q262" s="2"/>
      <c r="R262" s="2"/>
      <c r="S262" s="2"/>
      <c r="T262" s="2"/>
      <c r="U262" s="2"/>
      <c r="V262" s="2"/>
      <c r="W262" s="2"/>
      <c r="X262" s="2"/>
      <c r="Y262" s="2"/>
      <c r="Z262" s="2"/>
    </row>
    <row r="263">
      <c r="A263" s="2"/>
      <c r="B263" s="2"/>
      <c r="C263" s="2"/>
      <c r="D263" s="2"/>
      <c r="E263" s="2"/>
      <c r="F263" s="7"/>
      <c r="G263" s="2"/>
      <c r="H263" s="7"/>
      <c r="I263" s="2"/>
      <c r="J263" s="2"/>
      <c r="K263" s="2"/>
      <c r="L263" s="2"/>
      <c r="M263" s="2"/>
      <c r="N263" s="2"/>
      <c r="O263" s="2"/>
      <c r="P263" s="2"/>
      <c r="Q263" s="2"/>
      <c r="R263" s="2"/>
      <c r="S263" s="2"/>
      <c r="T263" s="2"/>
      <c r="U263" s="2"/>
      <c r="V263" s="2"/>
      <c r="W263" s="2"/>
      <c r="X263" s="2"/>
      <c r="Y263" s="2"/>
      <c r="Z263" s="2"/>
    </row>
    <row r="264">
      <c r="A264" s="2"/>
      <c r="B264" s="2"/>
      <c r="C264" s="2"/>
      <c r="D264" s="2"/>
      <c r="E264" s="2"/>
      <c r="F264" s="7"/>
      <c r="G264" s="2"/>
      <c r="H264" s="7"/>
      <c r="I264" s="2"/>
      <c r="J264" s="2"/>
      <c r="K264" s="2"/>
      <c r="L264" s="2"/>
      <c r="M264" s="2"/>
      <c r="N264" s="2"/>
      <c r="O264" s="2"/>
      <c r="P264" s="2"/>
      <c r="Q264" s="2"/>
      <c r="R264" s="2"/>
      <c r="S264" s="2"/>
      <c r="T264" s="2"/>
      <c r="U264" s="2"/>
      <c r="V264" s="2"/>
      <c r="W264" s="2"/>
      <c r="X264" s="2"/>
      <c r="Y264" s="2"/>
      <c r="Z264" s="2"/>
    </row>
    <row r="265">
      <c r="A265" s="2"/>
      <c r="B265" s="2"/>
      <c r="C265" s="2"/>
      <c r="D265" s="2"/>
      <c r="E265" s="2"/>
      <c r="F265" s="7"/>
      <c r="G265" s="2"/>
      <c r="H265" s="7"/>
      <c r="I265" s="2"/>
      <c r="J265" s="2"/>
      <c r="K265" s="2"/>
      <c r="L265" s="2"/>
      <c r="M265" s="2"/>
      <c r="N265" s="2"/>
      <c r="O265" s="2"/>
      <c r="P265" s="2"/>
      <c r="Q265" s="2"/>
      <c r="R265" s="2"/>
      <c r="S265" s="2"/>
      <c r="T265" s="2"/>
      <c r="U265" s="2"/>
      <c r="V265" s="2"/>
      <c r="W265" s="2"/>
      <c r="X265" s="2"/>
      <c r="Y265" s="2"/>
      <c r="Z265" s="2"/>
    </row>
    <row r="266">
      <c r="A266" s="2"/>
      <c r="B266" s="2"/>
      <c r="C266" s="2"/>
      <c r="D266" s="2"/>
      <c r="E266" s="2"/>
      <c r="F266" s="7"/>
      <c r="G266" s="2"/>
      <c r="H266" s="7"/>
      <c r="I266" s="2"/>
      <c r="J266" s="2"/>
      <c r="K266" s="2"/>
      <c r="L266" s="2"/>
      <c r="M266" s="2"/>
      <c r="N266" s="2"/>
      <c r="O266" s="2"/>
      <c r="P266" s="2"/>
      <c r="Q266" s="2"/>
      <c r="R266" s="2"/>
      <c r="S266" s="2"/>
      <c r="T266" s="2"/>
      <c r="U266" s="2"/>
      <c r="V266" s="2"/>
      <c r="W266" s="2"/>
      <c r="X266" s="2"/>
      <c r="Y266" s="2"/>
      <c r="Z266" s="2"/>
    </row>
    <row r="267">
      <c r="A267" s="2"/>
      <c r="B267" s="2"/>
      <c r="C267" s="2"/>
      <c r="D267" s="2"/>
      <c r="E267" s="2"/>
      <c r="F267" s="7"/>
      <c r="G267" s="2"/>
      <c r="H267" s="7"/>
      <c r="I267" s="2"/>
      <c r="J267" s="2"/>
      <c r="K267" s="2"/>
      <c r="L267" s="2"/>
      <c r="M267" s="2"/>
      <c r="N267" s="2"/>
      <c r="O267" s="2"/>
      <c r="P267" s="2"/>
      <c r="Q267" s="2"/>
      <c r="R267" s="2"/>
      <c r="S267" s="2"/>
      <c r="T267" s="2"/>
      <c r="U267" s="2"/>
      <c r="V267" s="2"/>
      <c r="W267" s="2"/>
      <c r="X267" s="2"/>
      <c r="Y267" s="2"/>
      <c r="Z267" s="2"/>
    </row>
    <row r="268">
      <c r="A268" s="2"/>
      <c r="B268" s="2"/>
      <c r="C268" s="2"/>
      <c r="D268" s="2"/>
      <c r="E268" s="2"/>
      <c r="F268" s="7"/>
      <c r="G268" s="2"/>
      <c r="H268" s="7"/>
      <c r="I268" s="2"/>
      <c r="J268" s="2"/>
      <c r="K268" s="2"/>
      <c r="L268" s="2"/>
      <c r="M268" s="2"/>
      <c r="N268" s="2"/>
      <c r="O268" s="2"/>
      <c r="P268" s="2"/>
      <c r="Q268" s="2"/>
      <c r="R268" s="2"/>
      <c r="S268" s="2"/>
      <c r="T268" s="2"/>
      <c r="U268" s="2"/>
      <c r="V268" s="2"/>
      <c r="W268" s="2"/>
      <c r="X268" s="2"/>
      <c r="Y268" s="2"/>
      <c r="Z268" s="2"/>
    </row>
    <row r="269">
      <c r="A269" s="2"/>
      <c r="B269" s="2"/>
      <c r="C269" s="2"/>
      <c r="D269" s="2"/>
      <c r="E269" s="2"/>
      <c r="F269" s="7"/>
      <c r="G269" s="2"/>
      <c r="H269" s="7"/>
      <c r="I269" s="2"/>
      <c r="J269" s="2"/>
      <c r="K269" s="2"/>
      <c r="L269" s="2"/>
      <c r="M269" s="2"/>
      <c r="N269" s="2"/>
      <c r="O269" s="2"/>
      <c r="P269" s="2"/>
      <c r="Q269" s="2"/>
      <c r="R269" s="2"/>
      <c r="S269" s="2"/>
      <c r="T269" s="2"/>
      <c r="U269" s="2"/>
      <c r="V269" s="2"/>
      <c r="W269" s="2"/>
      <c r="X269" s="2"/>
      <c r="Y269" s="2"/>
      <c r="Z269" s="2"/>
    </row>
    <row r="270">
      <c r="A270" s="2"/>
      <c r="B270" s="2"/>
      <c r="C270" s="2"/>
      <c r="D270" s="2"/>
      <c r="E270" s="2"/>
      <c r="F270" s="7"/>
      <c r="G270" s="2"/>
      <c r="H270" s="7"/>
      <c r="I270" s="2"/>
      <c r="J270" s="2"/>
      <c r="K270" s="2"/>
      <c r="L270" s="2"/>
      <c r="M270" s="2"/>
      <c r="N270" s="2"/>
      <c r="O270" s="2"/>
      <c r="P270" s="2"/>
      <c r="Q270" s="2"/>
      <c r="R270" s="2"/>
      <c r="S270" s="2"/>
      <c r="T270" s="2"/>
      <c r="U270" s="2"/>
      <c r="V270" s="2"/>
      <c r="W270" s="2"/>
      <c r="X270" s="2"/>
      <c r="Y270" s="2"/>
      <c r="Z270" s="2"/>
    </row>
    <row r="271">
      <c r="A271" s="2"/>
      <c r="B271" s="2"/>
      <c r="C271" s="2"/>
      <c r="D271" s="2"/>
      <c r="E271" s="2"/>
      <c r="F271" s="7"/>
      <c r="G271" s="2"/>
      <c r="H271" s="7"/>
      <c r="I271" s="2"/>
      <c r="J271" s="2"/>
      <c r="K271" s="2"/>
      <c r="L271" s="2"/>
      <c r="M271" s="2"/>
      <c r="N271" s="2"/>
      <c r="O271" s="2"/>
      <c r="P271" s="2"/>
      <c r="Q271" s="2"/>
      <c r="R271" s="2"/>
      <c r="S271" s="2"/>
      <c r="T271" s="2"/>
      <c r="U271" s="2"/>
      <c r="V271" s="2"/>
      <c r="W271" s="2"/>
      <c r="X271" s="2"/>
      <c r="Y271" s="2"/>
      <c r="Z271" s="2"/>
    </row>
    <row r="272">
      <c r="A272" s="2"/>
      <c r="B272" s="2"/>
      <c r="C272" s="2"/>
      <c r="D272" s="2"/>
      <c r="E272" s="2"/>
      <c r="F272" s="7"/>
      <c r="G272" s="2"/>
      <c r="H272" s="7"/>
      <c r="I272" s="2"/>
      <c r="J272" s="2"/>
      <c r="K272" s="2"/>
      <c r="L272" s="2"/>
      <c r="M272" s="2"/>
      <c r="N272" s="2"/>
      <c r="O272" s="2"/>
      <c r="P272" s="2"/>
      <c r="Q272" s="2"/>
      <c r="R272" s="2"/>
      <c r="S272" s="2"/>
      <c r="T272" s="2"/>
      <c r="U272" s="2"/>
      <c r="V272" s="2"/>
      <c r="W272" s="2"/>
      <c r="X272" s="2"/>
      <c r="Y272" s="2"/>
      <c r="Z272" s="2"/>
    </row>
    <row r="273">
      <c r="A273" s="2"/>
      <c r="B273" s="2"/>
      <c r="C273" s="2"/>
      <c r="D273" s="2"/>
      <c r="E273" s="2"/>
      <c r="F273" s="7"/>
      <c r="G273" s="2"/>
      <c r="H273" s="7"/>
      <c r="I273" s="2"/>
      <c r="J273" s="2"/>
      <c r="K273" s="2"/>
      <c r="L273" s="2"/>
      <c r="M273" s="2"/>
      <c r="N273" s="2"/>
      <c r="O273" s="2"/>
      <c r="P273" s="2"/>
      <c r="Q273" s="2"/>
      <c r="R273" s="2"/>
      <c r="S273" s="2"/>
      <c r="T273" s="2"/>
      <c r="U273" s="2"/>
      <c r="V273" s="2"/>
      <c r="W273" s="2"/>
      <c r="X273" s="2"/>
      <c r="Y273" s="2"/>
      <c r="Z273" s="2"/>
    </row>
    <row r="274">
      <c r="A274" s="2"/>
      <c r="B274" s="2"/>
      <c r="C274" s="2"/>
      <c r="D274" s="2"/>
      <c r="E274" s="2"/>
      <c r="F274" s="7"/>
      <c r="G274" s="2"/>
      <c r="H274" s="7"/>
      <c r="I274" s="2"/>
      <c r="J274" s="2"/>
      <c r="K274" s="2"/>
      <c r="L274" s="2"/>
      <c r="M274" s="2"/>
      <c r="N274" s="2"/>
      <c r="O274" s="2"/>
      <c r="P274" s="2"/>
      <c r="Q274" s="2"/>
      <c r="R274" s="2"/>
      <c r="S274" s="2"/>
      <c r="T274" s="2"/>
      <c r="U274" s="2"/>
      <c r="V274" s="2"/>
      <c r="W274" s="2"/>
      <c r="X274" s="2"/>
      <c r="Y274" s="2"/>
      <c r="Z274" s="2"/>
    </row>
    <row r="275">
      <c r="A275" s="2"/>
      <c r="B275" s="2"/>
      <c r="C275" s="2"/>
      <c r="D275" s="2"/>
      <c r="E275" s="2"/>
      <c r="F275" s="7"/>
      <c r="G275" s="2"/>
      <c r="H275" s="7"/>
      <c r="I275" s="2"/>
      <c r="J275" s="2"/>
      <c r="K275" s="2"/>
      <c r="L275" s="2"/>
      <c r="M275" s="2"/>
      <c r="N275" s="2"/>
      <c r="O275" s="2"/>
      <c r="P275" s="2"/>
      <c r="Q275" s="2"/>
      <c r="R275" s="2"/>
      <c r="S275" s="2"/>
      <c r="T275" s="2"/>
      <c r="U275" s="2"/>
      <c r="V275" s="2"/>
      <c r="W275" s="2"/>
      <c r="X275" s="2"/>
      <c r="Y275" s="2"/>
      <c r="Z275" s="2"/>
    </row>
    <row r="276">
      <c r="A276" s="2"/>
      <c r="B276" s="2"/>
      <c r="C276" s="2"/>
      <c r="D276" s="2"/>
      <c r="E276" s="2"/>
      <c r="F276" s="7"/>
      <c r="G276" s="2"/>
      <c r="H276" s="7"/>
      <c r="I276" s="2"/>
      <c r="J276" s="2"/>
      <c r="K276" s="2"/>
      <c r="L276" s="2"/>
      <c r="M276" s="2"/>
      <c r="N276" s="2"/>
      <c r="O276" s="2"/>
      <c r="P276" s="2"/>
      <c r="Q276" s="2"/>
      <c r="R276" s="2"/>
      <c r="S276" s="2"/>
      <c r="T276" s="2"/>
      <c r="U276" s="2"/>
      <c r="V276" s="2"/>
      <c r="W276" s="2"/>
      <c r="X276" s="2"/>
      <c r="Y276" s="2"/>
      <c r="Z276" s="2"/>
    </row>
    <row r="277">
      <c r="A277" s="2"/>
      <c r="B277" s="2"/>
      <c r="C277" s="2"/>
      <c r="D277" s="2"/>
      <c r="E277" s="2"/>
      <c r="F277" s="7"/>
      <c r="G277" s="2"/>
      <c r="H277" s="7"/>
      <c r="I277" s="2"/>
      <c r="J277" s="2"/>
      <c r="K277" s="2"/>
      <c r="L277" s="2"/>
      <c r="M277" s="2"/>
      <c r="N277" s="2"/>
      <c r="O277" s="2"/>
      <c r="P277" s="2"/>
      <c r="Q277" s="2"/>
      <c r="R277" s="2"/>
      <c r="S277" s="2"/>
      <c r="T277" s="2"/>
      <c r="U277" s="2"/>
      <c r="V277" s="2"/>
      <c r="W277" s="2"/>
      <c r="X277" s="2"/>
      <c r="Y277" s="2"/>
      <c r="Z277" s="2"/>
    </row>
    <row r="278">
      <c r="A278" s="2"/>
      <c r="B278" s="2"/>
      <c r="C278" s="2"/>
      <c r="D278" s="2"/>
      <c r="E278" s="2"/>
      <c r="F278" s="7"/>
      <c r="G278" s="2"/>
      <c r="H278" s="7"/>
      <c r="I278" s="2"/>
      <c r="J278" s="2"/>
      <c r="K278" s="2"/>
      <c r="L278" s="2"/>
      <c r="M278" s="2"/>
      <c r="N278" s="2"/>
      <c r="O278" s="2"/>
      <c r="P278" s="2"/>
      <c r="Q278" s="2"/>
      <c r="R278" s="2"/>
      <c r="S278" s="2"/>
      <c r="T278" s="2"/>
      <c r="U278" s="2"/>
      <c r="V278" s="2"/>
      <c r="W278" s="2"/>
      <c r="X278" s="2"/>
      <c r="Y278" s="2"/>
      <c r="Z278" s="2"/>
    </row>
    <row r="279">
      <c r="A279" s="2"/>
      <c r="B279" s="2"/>
      <c r="C279" s="2"/>
      <c r="D279" s="2"/>
      <c r="E279" s="2"/>
      <c r="F279" s="7"/>
      <c r="G279" s="2"/>
      <c r="H279" s="7"/>
      <c r="I279" s="2"/>
      <c r="J279" s="2"/>
      <c r="K279" s="2"/>
      <c r="L279" s="2"/>
      <c r="M279" s="2"/>
      <c r="N279" s="2"/>
      <c r="O279" s="2"/>
      <c r="P279" s="2"/>
      <c r="Q279" s="2"/>
      <c r="R279" s="2"/>
      <c r="S279" s="2"/>
      <c r="T279" s="2"/>
      <c r="U279" s="2"/>
      <c r="V279" s="2"/>
      <c r="W279" s="2"/>
      <c r="X279" s="2"/>
      <c r="Y279" s="2"/>
      <c r="Z279" s="2"/>
    </row>
    <row r="280">
      <c r="A280" s="2"/>
      <c r="B280" s="2"/>
      <c r="C280" s="2"/>
      <c r="D280" s="2"/>
      <c r="E280" s="2"/>
      <c r="F280" s="7"/>
      <c r="G280" s="2"/>
      <c r="H280" s="7"/>
      <c r="I280" s="2"/>
      <c r="J280" s="2"/>
      <c r="K280" s="2"/>
      <c r="L280" s="2"/>
      <c r="M280" s="2"/>
      <c r="N280" s="2"/>
      <c r="O280" s="2"/>
      <c r="P280" s="2"/>
      <c r="Q280" s="2"/>
      <c r="R280" s="2"/>
      <c r="S280" s="2"/>
      <c r="T280" s="2"/>
      <c r="U280" s="2"/>
      <c r="V280" s="2"/>
      <c r="W280" s="2"/>
      <c r="X280" s="2"/>
      <c r="Y280" s="2"/>
      <c r="Z280" s="2"/>
    </row>
    <row r="281">
      <c r="A281" s="2"/>
      <c r="B281" s="2"/>
      <c r="C281" s="2"/>
      <c r="D281" s="2"/>
      <c r="E281" s="2"/>
      <c r="F281" s="7"/>
      <c r="G281" s="2"/>
      <c r="H281" s="7"/>
      <c r="I281" s="2"/>
      <c r="J281" s="2"/>
      <c r="K281" s="2"/>
      <c r="L281" s="2"/>
      <c r="M281" s="2"/>
      <c r="N281" s="2"/>
      <c r="O281" s="2"/>
      <c r="P281" s="2"/>
      <c r="Q281" s="2"/>
      <c r="R281" s="2"/>
      <c r="S281" s="2"/>
      <c r="T281" s="2"/>
      <c r="U281" s="2"/>
      <c r="V281" s="2"/>
      <c r="W281" s="2"/>
      <c r="X281" s="2"/>
      <c r="Y281" s="2"/>
      <c r="Z281" s="2"/>
    </row>
    <row r="282">
      <c r="A282" s="2"/>
      <c r="B282" s="2"/>
      <c r="C282" s="2"/>
      <c r="D282" s="2"/>
      <c r="E282" s="2"/>
      <c r="F282" s="7"/>
      <c r="G282" s="2"/>
      <c r="H282" s="7"/>
      <c r="I282" s="2"/>
      <c r="J282" s="2"/>
      <c r="K282" s="2"/>
      <c r="L282" s="2"/>
      <c r="M282" s="2"/>
      <c r="N282" s="2"/>
      <c r="O282" s="2"/>
      <c r="P282" s="2"/>
      <c r="Q282" s="2"/>
      <c r="R282" s="2"/>
      <c r="S282" s="2"/>
      <c r="T282" s="2"/>
      <c r="U282" s="2"/>
      <c r="V282" s="2"/>
      <c r="W282" s="2"/>
      <c r="X282" s="2"/>
      <c r="Y282" s="2"/>
      <c r="Z282" s="2"/>
    </row>
    <row r="283">
      <c r="A283" s="2"/>
      <c r="B283" s="2"/>
      <c r="C283" s="2"/>
      <c r="D283" s="2"/>
      <c r="E283" s="2"/>
      <c r="F283" s="7"/>
      <c r="G283" s="2"/>
      <c r="H283" s="7"/>
      <c r="I283" s="2"/>
      <c r="J283" s="2"/>
      <c r="K283" s="2"/>
      <c r="L283" s="2"/>
      <c r="M283" s="2"/>
      <c r="N283" s="2"/>
      <c r="O283" s="2"/>
      <c r="P283" s="2"/>
      <c r="Q283" s="2"/>
      <c r="R283" s="2"/>
      <c r="S283" s="2"/>
      <c r="T283" s="2"/>
      <c r="U283" s="2"/>
      <c r="V283" s="2"/>
      <c r="W283" s="2"/>
      <c r="X283" s="2"/>
      <c r="Y283" s="2"/>
      <c r="Z283" s="2"/>
    </row>
    <row r="284">
      <c r="A284" s="2"/>
      <c r="B284" s="2"/>
      <c r="C284" s="2"/>
      <c r="D284" s="2"/>
      <c r="E284" s="2"/>
      <c r="F284" s="7"/>
      <c r="G284" s="2"/>
      <c r="H284" s="7"/>
      <c r="I284" s="2"/>
      <c r="J284" s="2"/>
      <c r="K284" s="2"/>
      <c r="L284" s="2"/>
      <c r="M284" s="2"/>
      <c r="N284" s="2"/>
      <c r="O284" s="2"/>
      <c r="P284" s="2"/>
      <c r="Q284" s="2"/>
      <c r="R284" s="2"/>
      <c r="S284" s="2"/>
      <c r="T284" s="2"/>
      <c r="U284" s="2"/>
      <c r="V284" s="2"/>
      <c r="W284" s="2"/>
      <c r="X284" s="2"/>
      <c r="Y284" s="2"/>
      <c r="Z284" s="2"/>
    </row>
    <row r="285">
      <c r="A285" s="2"/>
      <c r="B285" s="2"/>
      <c r="C285" s="2"/>
      <c r="D285" s="2"/>
      <c r="E285" s="2"/>
      <c r="F285" s="7"/>
      <c r="G285" s="2"/>
      <c r="H285" s="7"/>
      <c r="I285" s="2"/>
      <c r="J285" s="2"/>
      <c r="K285" s="2"/>
      <c r="L285" s="2"/>
      <c r="M285" s="2"/>
      <c r="N285" s="2"/>
      <c r="O285" s="2"/>
      <c r="P285" s="2"/>
      <c r="Q285" s="2"/>
      <c r="R285" s="2"/>
      <c r="S285" s="2"/>
      <c r="T285" s="2"/>
      <c r="U285" s="2"/>
      <c r="V285" s="2"/>
      <c r="W285" s="2"/>
      <c r="X285" s="2"/>
      <c r="Y285" s="2"/>
      <c r="Z285" s="2"/>
    </row>
    <row r="286">
      <c r="A286" s="2"/>
      <c r="B286" s="2"/>
      <c r="C286" s="2"/>
      <c r="D286" s="2"/>
      <c r="E286" s="2"/>
      <c r="F286" s="7"/>
      <c r="G286" s="2"/>
      <c r="H286" s="7"/>
      <c r="I286" s="2"/>
      <c r="J286" s="2"/>
      <c r="K286" s="2"/>
      <c r="L286" s="2"/>
      <c r="M286" s="2"/>
      <c r="N286" s="2"/>
      <c r="O286" s="2"/>
      <c r="P286" s="2"/>
      <c r="Q286" s="2"/>
      <c r="R286" s="2"/>
      <c r="S286" s="2"/>
      <c r="T286" s="2"/>
      <c r="U286" s="2"/>
      <c r="V286" s="2"/>
      <c r="W286" s="2"/>
      <c r="X286" s="2"/>
      <c r="Y286" s="2"/>
      <c r="Z286" s="2"/>
    </row>
    <row r="287">
      <c r="A287" s="2"/>
      <c r="B287" s="2"/>
      <c r="C287" s="2"/>
      <c r="D287" s="2"/>
      <c r="E287" s="2"/>
      <c r="F287" s="7"/>
      <c r="G287" s="2"/>
      <c r="H287" s="7"/>
      <c r="I287" s="2"/>
      <c r="J287" s="2"/>
      <c r="K287" s="2"/>
      <c r="L287" s="2"/>
      <c r="M287" s="2"/>
      <c r="N287" s="2"/>
      <c r="O287" s="2"/>
      <c r="P287" s="2"/>
      <c r="Q287" s="2"/>
      <c r="R287" s="2"/>
      <c r="S287" s="2"/>
      <c r="T287" s="2"/>
      <c r="U287" s="2"/>
      <c r="V287" s="2"/>
      <c r="W287" s="2"/>
      <c r="X287" s="2"/>
      <c r="Y287" s="2"/>
      <c r="Z287" s="2"/>
    </row>
    <row r="288">
      <c r="A288" s="2"/>
      <c r="B288" s="2"/>
      <c r="C288" s="2"/>
      <c r="D288" s="2"/>
      <c r="E288" s="2"/>
      <c r="F288" s="7"/>
      <c r="G288" s="2"/>
      <c r="H288" s="7"/>
      <c r="I288" s="2"/>
      <c r="J288" s="2"/>
      <c r="K288" s="2"/>
      <c r="L288" s="2"/>
      <c r="M288" s="2"/>
      <c r="N288" s="2"/>
      <c r="O288" s="2"/>
      <c r="P288" s="2"/>
      <c r="Q288" s="2"/>
      <c r="R288" s="2"/>
      <c r="S288" s="2"/>
      <c r="T288" s="2"/>
      <c r="U288" s="2"/>
      <c r="V288" s="2"/>
      <c r="W288" s="2"/>
      <c r="X288" s="2"/>
      <c r="Y288" s="2"/>
      <c r="Z288" s="2"/>
    </row>
    <row r="289">
      <c r="A289" s="2"/>
      <c r="B289" s="2"/>
      <c r="C289" s="2"/>
      <c r="D289" s="2"/>
      <c r="E289" s="2"/>
      <c r="F289" s="7"/>
      <c r="G289" s="2"/>
      <c r="H289" s="7"/>
      <c r="I289" s="2"/>
      <c r="J289" s="2"/>
      <c r="K289" s="2"/>
      <c r="L289" s="2"/>
      <c r="M289" s="2"/>
      <c r="N289" s="2"/>
      <c r="O289" s="2"/>
      <c r="P289" s="2"/>
      <c r="Q289" s="2"/>
      <c r="R289" s="2"/>
      <c r="S289" s="2"/>
      <c r="T289" s="2"/>
      <c r="U289" s="2"/>
      <c r="V289" s="2"/>
      <c r="W289" s="2"/>
      <c r="X289" s="2"/>
      <c r="Y289" s="2"/>
      <c r="Z289" s="2"/>
    </row>
    <row r="290">
      <c r="A290" s="2"/>
      <c r="B290" s="2"/>
      <c r="C290" s="2"/>
      <c r="D290" s="2"/>
      <c r="E290" s="2"/>
      <c r="F290" s="7"/>
      <c r="G290" s="2"/>
      <c r="H290" s="7"/>
      <c r="I290" s="2"/>
      <c r="J290" s="2"/>
      <c r="K290" s="2"/>
      <c r="L290" s="2"/>
      <c r="M290" s="2"/>
      <c r="N290" s="2"/>
      <c r="O290" s="2"/>
      <c r="P290" s="2"/>
      <c r="Q290" s="2"/>
      <c r="R290" s="2"/>
      <c r="S290" s="2"/>
      <c r="T290" s="2"/>
      <c r="U290" s="2"/>
      <c r="V290" s="2"/>
      <c r="W290" s="2"/>
      <c r="X290" s="2"/>
      <c r="Y290" s="2"/>
      <c r="Z290" s="2"/>
    </row>
    <row r="291">
      <c r="A291" s="2"/>
      <c r="B291" s="2"/>
      <c r="C291" s="2"/>
      <c r="D291" s="2"/>
      <c r="E291" s="2"/>
      <c r="F291" s="7"/>
      <c r="G291" s="2"/>
      <c r="H291" s="7"/>
      <c r="I291" s="2"/>
      <c r="J291" s="2"/>
      <c r="K291" s="2"/>
      <c r="L291" s="2"/>
      <c r="M291" s="2"/>
      <c r="N291" s="2"/>
      <c r="O291" s="2"/>
      <c r="P291" s="2"/>
      <c r="Q291" s="2"/>
      <c r="R291" s="2"/>
      <c r="S291" s="2"/>
      <c r="T291" s="2"/>
      <c r="U291" s="2"/>
      <c r="V291" s="2"/>
      <c r="W291" s="2"/>
      <c r="X291" s="2"/>
      <c r="Y291" s="2"/>
      <c r="Z291" s="2"/>
    </row>
    <row r="292">
      <c r="A292" s="2"/>
      <c r="B292" s="2"/>
      <c r="C292" s="2"/>
      <c r="D292" s="2"/>
      <c r="E292" s="2"/>
      <c r="F292" s="7"/>
      <c r="G292" s="2"/>
      <c r="H292" s="7"/>
      <c r="I292" s="2"/>
      <c r="J292" s="2"/>
      <c r="K292" s="2"/>
      <c r="L292" s="2"/>
      <c r="M292" s="2"/>
      <c r="N292" s="2"/>
      <c r="O292" s="2"/>
      <c r="P292" s="2"/>
      <c r="Q292" s="2"/>
      <c r="R292" s="2"/>
      <c r="S292" s="2"/>
      <c r="T292" s="2"/>
      <c r="U292" s="2"/>
      <c r="V292" s="2"/>
      <c r="W292" s="2"/>
      <c r="X292" s="2"/>
      <c r="Y292" s="2"/>
      <c r="Z292" s="2"/>
    </row>
    <row r="293">
      <c r="A293" s="2"/>
      <c r="B293" s="2"/>
      <c r="C293" s="2"/>
      <c r="D293" s="2"/>
      <c r="E293" s="2"/>
      <c r="F293" s="7"/>
      <c r="G293" s="2"/>
      <c r="H293" s="7"/>
      <c r="I293" s="2"/>
      <c r="J293" s="2"/>
      <c r="K293" s="2"/>
      <c r="L293" s="2"/>
      <c r="M293" s="2"/>
      <c r="N293" s="2"/>
      <c r="O293" s="2"/>
      <c r="P293" s="2"/>
      <c r="Q293" s="2"/>
      <c r="R293" s="2"/>
      <c r="S293" s="2"/>
      <c r="T293" s="2"/>
      <c r="U293" s="2"/>
      <c r="V293" s="2"/>
      <c r="W293" s="2"/>
      <c r="X293" s="2"/>
      <c r="Y293" s="2"/>
      <c r="Z293" s="2"/>
    </row>
    <row r="294">
      <c r="A294" s="2"/>
      <c r="B294" s="2"/>
      <c r="C294" s="2"/>
      <c r="D294" s="2"/>
      <c r="E294" s="2"/>
      <c r="F294" s="7"/>
      <c r="G294" s="2"/>
      <c r="H294" s="7"/>
      <c r="I294" s="2"/>
      <c r="J294" s="2"/>
      <c r="K294" s="2"/>
      <c r="L294" s="2"/>
      <c r="M294" s="2"/>
      <c r="N294" s="2"/>
      <c r="O294" s="2"/>
      <c r="P294" s="2"/>
      <c r="Q294" s="2"/>
      <c r="R294" s="2"/>
      <c r="S294" s="2"/>
      <c r="T294" s="2"/>
      <c r="U294" s="2"/>
      <c r="V294" s="2"/>
      <c r="W294" s="2"/>
      <c r="X294" s="2"/>
      <c r="Y294" s="2"/>
      <c r="Z294" s="2"/>
    </row>
    <row r="295">
      <c r="A295" s="2"/>
      <c r="B295" s="2"/>
      <c r="C295" s="2"/>
      <c r="D295" s="2"/>
      <c r="E295" s="2"/>
      <c r="F295" s="7"/>
      <c r="G295" s="2"/>
      <c r="H295" s="7"/>
      <c r="I295" s="2"/>
      <c r="J295" s="2"/>
      <c r="K295" s="2"/>
      <c r="L295" s="2"/>
      <c r="M295" s="2"/>
      <c r="N295" s="2"/>
      <c r="O295" s="2"/>
      <c r="P295" s="2"/>
      <c r="Q295" s="2"/>
      <c r="R295" s="2"/>
      <c r="S295" s="2"/>
      <c r="T295" s="2"/>
      <c r="U295" s="2"/>
      <c r="V295" s="2"/>
      <c r="W295" s="2"/>
      <c r="X295" s="2"/>
      <c r="Y295" s="2"/>
      <c r="Z295" s="2"/>
    </row>
    <row r="296">
      <c r="A296" s="2"/>
      <c r="B296" s="2"/>
      <c r="C296" s="2"/>
      <c r="D296" s="2"/>
      <c r="E296" s="2"/>
      <c r="F296" s="7"/>
      <c r="G296" s="2"/>
      <c r="H296" s="7"/>
      <c r="I296" s="2"/>
      <c r="J296" s="2"/>
      <c r="K296" s="2"/>
      <c r="L296" s="2"/>
      <c r="M296" s="2"/>
      <c r="N296" s="2"/>
      <c r="O296" s="2"/>
      <c r="P296" s="2"/>
      <c r="Q296" s="2"/>
      <c r="R296" s="2"/>
      <c r="S296" s="2"/>
      <c r="T296" s="2"/>
      <c r="U296" s="2"/>
      <c r="V296" s="2"/>
      <c r="W296" s="2"/>
      <c r="X296" s="2"/>
      <c r="Y296" s="2"/>
      <c r="Z296" s="2"/>
    </row>
    <row r="297">
      <c r="A297" s="2"/>
      <c r="B297" s="2"/>
      <c r="C297" s="2"/>
      <c r="D297" s="2"/>
      <c r="E297" s="2"/>
      <c r="F297" s="7"/>
      <c r="G297" s="2"/>
      <c r="H297" s="7"/>
      <c r="I297" s="2"/>
      <c r="J297" s="2"/>
      <c r="K297" s="2"/>
      <c r="L297" s="2"/>
      <c r="M297" s="2"/>
      <c r="N297" s="2"/>
      <c r="O297" s="2"/>
      <c r="P297" s="2"/>
      <c r="Q297" s="2"/>
      <c r="R297" s="2"/>
      <c r="S297" s="2"/>
      <c r="T297" s="2"/>
      <c r="U297" s="2"/>
      <c r="V297" s="2"/>
      <c r="W297" s="2"/>
      <c r="X297" s="2"/>
      <c r="Y297" s="2"/>
      <c r="Z297" s="2"/>
    </row>
    <row r="298">
      <c r="A298" s="2"/>
      <c r="B298" s="2"/>
      <c r="C298" s="2"/>
      <c r="D298" s="2"/>
      <c r="E298" s="2"/>
      <c r="F298" s="7"/>
      <c r="G298" s="2"/>
      <c r="H298" s="7"/>
      <c r="I298" s="2"/>
      <c r="J298" s="2"/>
      <c r="K298" s="2"/>
      <c r="L298" s="2"/>
      <c r="M298" s="2"/>
      <c r="N298" s="2"/>
      <c r="O298" s="2"/>
      <c r="P298" s="2"/>
      <c r="Q298" s="2"/>
      <c r="R298" s="2"/>
      <c r="S298" s="2"/>
      <c r="T298" s="2"/>
      <c r="U298" s="2"/>
      <c r="V298" s="2"/>
      <c r="W298" s="2"/>
      <c r="X298" s="2"/>
      <c r="Y298" s="2"/>
      <c r="Z298" s="2"/>
    </row>
    <row r="299">
      <c r="A299" s="2"/>
      <c r="B299" s="2"/>
      <c r="C299" s="2"/>
      <c r="D299" s="2"/>
      <c r="E299" s="2"/>
      <c r="F299" s="7"/>
      <c r="G299" s="2"/>
      <c r="H299" s="7"/>
      <c r="I299" s="2"/>
      <c r="J299" s="2"/>
      <c r="K299" s="2"/>
      <c r="L299" s="2"/>
      <c r="M299" s="2"/>
      <c r="N299" s="2"/>
      <c r="O299" s="2"/>
      <c r="P299" s="2"/>
      <c r="Q299" s="2"/>
      <c r="R299" s="2"/>
      <c r="S299" s="2"/>
      <c r="T299" s="2"/>
      <c r="U299" s="2"/>
      <c r="V299" s="2"/>
      <c r="W299" s="2"/>
      <c r="X299" s="2"/>
      <c r="Y299" s="2"/>
      <c r="Z299" s="2"/>
    </row>
    <row r="300">
      <c r="A300" s="2"/>
      <c r="B300" s="2"/>
      <c r="C300" s="2"/>
      <c r="D300" s="2"/>
      <c r="E300" s="2"/>
      <c r="F300" s="7"/>
      <c r="G300" s="2"/>
      <c r="H300" s="7"/>
      <c r="I300" s="2"/>
      <c r="J300" s="2"/>
      <c r="K300" s="2"/>
      <c r="L300" s="2"/>
      <c r="M300" s="2"/>
      <c r="N300" s="2"/>
      <c r="O300" s="2"/>
      <c r="P300" s="2"/>
      <c r="Q300" s="2"/>
      <c r="R300" s="2"/>
      <c r="S300" s="2"/>
      <c r="T300" s="2"/>
      <c r="U300" s="2"/>
      <c r="V300" s="2"/>
      <c r="W300" s="2"/>
      <c r="X300" s="2"/>
      <c r="Y300" s="2"/>
      <c r="Z300" s="2"/>
    </row>
    <row r="301">
      <c r="A301" s="2"/>
      <c r="B301" s="2"/>
      <c r="C301" s="2"/>
      <c r="D301" s="2"/>
      <c r="E301" s="2"/>
      <c r="F301" s="7"/>
      <c r="G301" s="2"/>
      <c r="H301" s="7"/>
      <c r="I301" s="2"/>
      <c r="J301" s="2"/>
      <c r="K301" s="2"/>
      <c r="L301" s="2"/>
      <c r="M301" s="2"/>
      <c r="N301" s="2"/>
      <c r="O301" s="2"/>
      <c r="P301" s="2"/>
      <c r="Q301" s="2"/>
      <c r="R301" s="2"/>
      <c r="S301" s="2"/>
      <c r="T301" s="2"/>
      <c r="U301" s="2"/>
      <c r="V301" s="2"/>
      <c r="W301" s="2"/>
      <c r="X301" s="2"/>
      <c r="Y301" s="2"/>
      <c r="Z301" s="2"/>
    </row>
    <row r="302">
      <c r="A302" s="2"/>
      <c r="B302" s="2"/>
      <c r="C302" s="2"/>
      <c r="D302" s="2"/>
      <c r="E302" s="2"/>
      <c r="F302" s="7"/>
      <c r="G302" s="2"/>
      <c r="H302" s="7"/>
      <c r="I302" s="2"/>
      <c r="J302" s="2"/>
      <c r="K302" s="2"/>
      <c r="L302" s="2"/>
      <c r="M302" s="2"/>
      <c r="N302" s="2"/>
      <c r="O302" s="2"/>
      <c r="P302" s="2"/>
      <c r="Q302" s="2"/>
      <c r="R302" s="2"/>
      <c r="S302" s="2"/>
      <c r="T302" s="2"/>
      <c r="U302" s="2"/>
      <c r="V302" s="2"/>
      <c r="W302" s="2"/>
      <c r="X302" s="2"/>
      <c r="Y302" s="2"/>
      <c r="Z302" s="2"/>
    </row>
    <row r="303">
      <c r="A303" s="2"/>
      <c r="B303" s="2"/>
      <c r="C303" s="2"/>
      <c r="D303" s="2"/>
      <c r="E303" s="2"/>
      <c r="F303" s="7"/>
      <c r="G303" s="2"/>
      <c r="H303" s="7"/>
      <c r="I303" s="2"/>
      <c r="J303" s="2"/>
      <c r="K303" s="2"/>
      <c r="L303" s="2"/>
      <c r="M303" s="2"/>
      <c r="N303" s="2"/>
      <c r="O303" s="2"/>
      <c r="P303" s="2"/>
      <c r="Q303" s="2"/>
      <c r="R303" s="2"/>
      <c r="S303" s="2"/>
      <c r="T303" s="2"/>
      <c r="U303" s="2"/>
      <c r="V303" s="2"/>
      <c r="W303" s="2"/>
      <c r="X303" s="2"/>
      <c r="Y303" s="2"/>
      <c r="Z303" s="2"/>
    </row>
    <row r="304">
      <c r="A304" s="2"/>
      <c r="B304" s="2"/>
      <c r="C304" s="2"/>
      <c r="D304" s="2"/>
      <c r="E304" s="2"/>
      <c r="F304" s="7"/>
      <c r="G304" s="2"/>
      <c r="H304" s="7"/>
      <c r="I304" s="2"/>
      <c r="J304" s="2"/>
      <c r="K304" s="2"/>
      <c r="L304" s="2"/>
      <c r="M304" s="2"/>
      <c r="N304" s="2"/>
      <c r="O304" s="2"/>
      <c r="P304" s="2"/>
      <c r="Q304" s="2"/>
      <c r="R304" s="2"/>
      <c r="S304" s="2"/>
      <c r="T304" s="2"/>
      <c r="U304" s="2"/>
      <c r="V304" s="2"/>
      <c r="W304" s="2"/>
      <c r="X304" s="2"/>
      <c r="Y304" s="2"/>
      <c r="Z304" s="2"/>
    </row>
    <row r="305">
      <c r="A305" s="2"/>
      <c r="B305" s="2"/>
      <c r="C305" s="2"/>
      <c r="D305" s="2"/>
      <c r="E305" s="2"/>
      <c r="F305" s="7"/>
      <c r="G305" s="2"/>
      <c r="H305" s="7"/>
      <c r="I305" s="2"/>
      <c r="J305" s="2"/>
      <c r="K305" s="2"/>
      <c r="L305" s="2"/>
      <c r="M305" s="2"/>
      <c r="N305" s="2"/>
      <c r="O305" s="2"/>
      <c r="P305" s="2"/>
      <c r="Q305" s="2"/>
      <c r="R305" s="2"/>
      <c r="S305" s="2"/>
      <c r="T305" s="2"/>
      <c r="U305" s="2"/>
      <c r="V305" s="2"/>
      <c r="W305" s="2"/>
      <c r="X305" s="2"/>
      <c r="Y305" s="2"/>
      <c r="Z305" s="2"/>
    </row>
    <row r="306">
      <c r="A306" s="2"/>
      <c r="B306" s="2"/>
      <c r="C306" s="2"/>
      <c r="D306" s="2"/>
      <c r="E306" s="2"/>
      <c r="F306" s="7"/>
      <c r="G306" s="2"/>
      <c r="H306" s="7"/>
      <c r="I306" s="2"/>
      <c r="J306" s="2"/>
      <c r="K306" s="2"/>
      <c r="L306" s="2"/>
      <c r="M306" s="2"/>
      <c r="N306" s="2"/>
      <c r="O306" s="2"/>
      <c r="P306" s="2"/>
      <c r="Q306" s="2"/>
      <c r="R306" s="2"/>
      <c r="S306" s="2"/>
      <c r="T306" s="2"/>
      <c r="U306" s="2"/>
      <c r="V306" s="2"/>
      <c r="W306" s="2"/>
      <c r="X306" s="2"/>
      <c r="Y306" s="2"/>
      <c r="Z306" s="2"/>
    </row>
    <row r="307">
      <c r="A307" s="2"/>
      <c r="B307" s="2"/>
      <c r="C307" s="2"/>
      <c r="D307" s="2"/>
      <c r="E307" s="2"/>
      <c r="F307" s="7"/>
      <c r="G307" s="2"/>
      <c r="H307" s="7"/>
      <c r="I307" s="2"/>
      <c r="J307" s="2"/>
      <c r="K307" s="2"/>
      <c r="L307" s="2"/>
      <c r="M307" s="2"/>
      <c r="N307" s="2"/>
      <c r="O307" s="2"/>
      <c r="P307" s="2"/>
      <c r="Q307" s="2"/>
      <c r="R307" s="2"/>
      <c r="S307" s="2"/>
      <c r="T307" s="2"/>
      <c r="U307" s="2"/>
      <c r="V307" s="2"/>
      <c r="W307" s="2"/>
      <c r="X307" s="2"/>
      <c r="Y307" s="2"/>
      <c r="Z307" s="2"/>
    </row>
    <row r="308">
      <c r="A308" s="2"/>
      <c r="B308" s="2"/>
      <c r="C308" s="2"/>
      <c r="D308" s="2"/>
      <c r="E308" s="2"/>
      <c r="F308" s="7"/>
      <c r="G308" s="2"/>
      <c r="H308" s="7"/>
      <c r="I308" s="2"/>
      <c r="J308" s="2"/>
      <c r="K308" s="2"/>
      <c r="L308" s="2"/>
      <c r="M308" s="2"/>
      <c r="N308" s="2"/>
      <c r="O308" s="2"/>
      <c r="P308" s="2"/>
      <c r="Q308" s="2"/>
      <c r="R308" s="2"/>
      <c r="S308" s="2"/>
      <c r="T308" s="2"/>
      <c r="U308" s="2"/>
      <c r="V308" s="2"/>
      <c r="W308" s="2"/>
      <c r="X308" s="2"/>
      <c r="Y308" s="2"/>
      <c r="Z308" s="2"/>
    </row>
    <row r="309">
      <c r="A309" s="2"/>
      <c r="B309" s="2"/>
      <c r="C309" s="2"/>
      <c r="D309" s="2"/>
      <c r="E309" s="2"/>
      <c r="F309" s="7"/>
      <c r="G309" s="2"/>
      <c r="H309" s="7"/>
      <c r="I309" s="2"/>
      <c r="J309" s="2"/>
      <c r="K309" s="2"/>
      <c r="L309" s="2"/>
      <c r="M309" s="2"/>
      <c r="N309" s="2"/>
      <c r="O309" s="2"/>
      <c r="P309" s="2"/>
      <c r="Q309" s="2"/>
      <c r="R309" s="2"/>
      <c r="S309" s="2"/>
      <c r="T309" s="2"/>
      <c r="U309" s="2"/>
      <c r="V309" s="2"/>
      <c r="W309" s="2"/>
      <c r="X309" s="2"/>
      <c r="Y309" s="2"/>
      <c r="Z309" s="2"/>
    </row>
    <row r="310">
      <c r="A310" s="2"/>
      <c r="B310" s="2"/>
      <c r="C310" s="2"/>
      <c r="D310" s="2"/>
      <c r="E310" s="2"/>
      <c r="F310" s="7"/>
      <c r="G310" s="2"/>
      <c r="H310" s="7"/>
      <c r="I310" s="2"/>
      <c r="J310" s="2"/>
      <c r="K310" s="2"/>
      <c r="L310" s="2"/>
      <c r="M310" s="2"/>
      <c r="N310" s="2"/>
      <c r="O310" s="2"/>
      <c r="P310" s="2"/>
      <c r="Q310" s="2"/>
      <c r="R310" s="2"/>
      <c r="S310" s="2"/>
      <c r="T310" s="2"/>
      <c r="U310" s="2"/>
      <c r="V310" s="2"/>
      <c r="W310" s="2"/>
      <c r="X310" s="2"/>
      <c r="Y310" s="2"/>
      <c r="Z310" s="2"/>
    </row>
    <row r="311">
      <c r="A311" s="2"/>
      <c r="B311" s="2"/>
      <c r="C311" s="2"/>
      <c r="D311" s="2"/>
      <c r="E311" s="2"/>
      <c r="F311" s="7"/>
      <c r="G311" s="2"/>
      <c r="H311" s="7"/>
      <c r="I311" s="2"/>
      <c r="J311" s="2"/>
      <c r="K311" s="2"/>
      <c r="L311" s="2"/>
      <c r="M311" s="2"/>
      <c r="N311" s="2"/>
      <c r="O311" s="2"/>
      <c r="P311" s="2"/>
      <c r="Q311" s="2"/>
      <c r="R311" s="2"/>
      <c r="S311" s="2"/>
      <c r="T311" s="2"/>
      <c r="U311" s="2"/>
      <c r="V311" s="2"/>
      <c r="W311" s="2"/>
      <c r="X311" s="2"/>
      <c r="Y311" s="2"/>
      <c r="Z311" s="2"/>
    </row>
    <row r="312">
      <c r="A312" s="2"/>
      <c r="B312" s="2"/>
      <c r="C312" s="2"/>
      <c r="D312" s="2"/>
      <c r="E312" s="2"/>
      <c r="F312" s="7"/>
      <c r="G312" s="2"/>
      <c r="H312" s="7"/>
      <c r="I312" s="2"/>
      <c r="J312" s="2"/>
      <c r="K312" s="2"/>
      <c r="L312" s="2"/>
      <c r="M312" s="2"/>
      <c r="N312" s="2"/>
      <c r="O312" s="2"/>
      <c r="P312" s="2"/>
      <c r="Q312" s="2"/>
      <c r="R312" s="2"/>
      <c r="S312" s="2"/>
      <c r="T312" s="2"/>
      <c r="U312" s="2"/>
      <c r="V312" s="2"/>
      <c r="W312" s="2"/>
      <c r="X312" s="2"/>
      <c r="Y312" s="2"/>
      <c r="Z312" s="2"/>
    </row>
    <row r="313">
      <c r="A313" s="2"/>
      <c r="B313" s="2"/>
      <c r="C313" s="2"/>
      <c r="D313" s="2"/>
      <c r="E313" s="2"/>
      <c r="F313" s="7"/>
      <c r="G313" s="2"/>
      <c r="H313" s="7"/>
      <c r="I313" s="2"/>
      <c r="J313" s="2"/>
      <c r="K313" s="2"/>
      <c r="L313" s="2"/>
      <c r="M313" s="2"/>
      <c r="N313" s="2"/>
      <c r="O313" s="2"/>
      <c r="P313" s="2"/>
      <c r="Q313" s="2"/>
      <c r="R313" s="2"/>
      <c r="S313" s="2"/>
      <c r="T313" s="2"/>
      <c r="U313" s="2"/>
      <c r="V313" s="2"/>
      <c r="W313" s="2"/>
      <c r="X313" s="2"/>
      <c r="Y313" s="2"/>
      <c r="Z313" s="2"/>
    </row>
    <row r="314">
      <c r="A314" s="2"/>
      <c r="B314" s="2"/>
      <c r="C314" s="2"/>
      <c r="D314" s="2"/>
      <c r="E314" s="2"/>
      <c r="F314" s="7"/>
      <c r="G314" s="2"/>
      <c r="H314" s="7"/>
      <c r="I314" s="2"/>
      <c r="J314" s="2"/>
      <c r="K314" s="2"/>
      <c r="L314" s="2"/>
      <c r="M314" s="2"/>
      <c r="N314" s="2"/>
      <c r="O314" s="2"/>
      <c r="P314" s="2"/>
      <c r="Q314" s="2"/>
      <c r="R314" s="2"/>
      <c r="S314" s="2"/>
      <c r="T314" s="2"/>
      <c r="U314" s="2"/>
      <c r="V314" s="2"/>
      <c r="W314" s="2"/>
      <c r="X314" s="2"/>
      <c r="Y314" s="2"/>
      <c r="Z314" s="2"/>
    </row>
    <row r="315">
      <c r="A315" s="2"/>
      <c r="B315" s="2"/>
      <c r="C315" s="2"/>
      <c r="D315" s="2"/>
      <c r="E315" s="2"/>
      <c r="F315" s="7"/>
      <c r="G315" s="2"/>
      <c r="H315" s="7"/>
      <c r="I315" s="2"/>
      <c r="J315" s="2"/>
      <c r="K315" s="2"/>
      <c r="L315" s="2"/>
      <c r="M315" s="2"/>
      <c r="N315" s="2"/>
      <c r="O315" s="2"/>
      <c r="P315" s="2"/>
      <c r="Q315" s="2"/>
      <c r="R315" s="2"/>
      <c r="S315" s="2"/>
      <c r="T315" s="2"/>
      <c r="U315" s="2"/>
      <c r="V315" s="2"/>
      <c r="W315" s="2"/>
      <c r="X315" s="2"/>
      <c r="Y315" s="2"/>
      <c r="Z315" s="2"/>
    </row>
    <row r="316">
      <c r="A316" s="2"/>
      <c r="B316" s="2"/>
      <c r="C316" s="2"/>
      <c r="D316" s="2"/>
      <c r="E316" s="2"/>
      <c r="F316" s="7"/>
      <c r="G316" s="2"/>
      <c r="H316" s="7"/>
      <c r="I316" s="2"/>
      <c r="J316" s="2"/>
      <c r="K316" s="2"/>
      <c r="L316" s="2"/>
      <c r="M316" s="2"/>
      <c r="N316" s="2"/>
      <c r="O316" s="2"/>
      <c r="P316" s="2"/>
      <c r="Q316" s="2"/>
      <c r="R316" s="2"/>
      <c r="S316" s="2"/>
      <c r="T316" s="2"/>
      <c r="U316" s="2"/>
      <c r="V316" s="2"/>
      <c r="W316" s="2"/>
      <c r="X316" s="2"/>
      <c r="Y316" s="2"/>
      <c r="Z316" s="2"/>
    </row>
    <row r="317">
      <c r="A317" s="2"/>
      <c r="B317" s="2"/>
      <c r="C317" s="2"/>
      <c r="D317" s="2"/>
      <c r="E317" s="2"/>
      <c r="F317" s="7"/>
      <c r="G317" s="2"/>
      <c r="H317" s="7"/>
      <c r="I317" s="2"/>
      <c r="J317" s="2"/>
      <c r="K317" s="2"/>
      <c r="L317" s="2"/>
      <c r="M317" s="2"/>
      <c r="N317" s="2"/>
      <c r="O317" s="2"/>
      <c r="P317" s="2"/>
      <c r="Q317" s="2"/>
      <c r="R317" s="2"/>
      <c r="S317" s="2"/>
      <c r="T317" s="2"/>
      <c r="U317" s="2"/>
      <c r="V317" s="2"/>
      <c r="W317" s="2"/>
      <c r="X317" s="2"/>
      <c r="Y317" s="2"/>
      <c r="Z317" s="2"/>
    </row>
    <row r="318">
      <c r="A318" s="2"/>
      <c r="B318" s="2"/>
      <c r="C318" s="2"/>
      <c r="D318" s="2"/>
      <c r="E318" s="2"/>
      <c r="F318" s="7"/>
      <c r="G318" s="2"/>
      <c r="H318" s="7"/>
      <c r="I318" s="2"/>
      <c r="J318" s="2"/>
      <c r="K318" s="2"/>
      <c r="L318" s="2"/>
      <c r="M318" s="2"/>
      <c r="N318" s="2"/>
      <c r="O318" s="2"/>
      <c r="P318" s="2"/>
      <c r="Q318" s="2"/>
      <c r="R318" s="2"/>
      <c r="S318" s="2"/>
      <c r="T318" s="2"/>
      <c r="U318" s="2"/>
      <c r="V318" s="2"/>
      <c r="W318" s="2"/>
      <c r="X318" s="2"/>
      <c r="Y318" s="2"/>
      <c r="Z318" s="2"/>
    </row>
    <row r="319">
      <c r="A319" s="2"/>
      <c r="B319" s="2"/>
      <c r="C319" s="2"/>
      <c r="D319" s="2"/>
      <c r="E319" s="2"/>
      <c r="F319" s="7"/>
      <c r="G319" s="2"/>
      <c r="H319" s="7"/>
      <c r="I319" s="2"/>
      <c r="J319" s="2"/>
      <c r="K319" s="2"/>
      <c r="L319" s="2"/>
      <c r="M319" s="2"/>
      <c r="N319" s="2"/>
      <c r="O319" s="2"/>
      <c r="P319" s="2"/>
      <c r="Q319" s="2"/>
      <c r="R319" s="2"/>
      <c r="S319" s="2"/>
      <c r="T319" s="2"/>
      <c r="U319" s="2"/>
      <c r="V319" s="2"/>
      <c r="W319" s="2"/>
      <c r="X319" s="2"/>
      <c r="Y319" s="2"/>
      <c r="Z319" s="2"/>
    </row>
    <row r="320">
      <c r="A320" s="2"/>
      <c r="B320" s="2"/>
      <c r="C320" s="2"/>
      <c r="D320" s="2"/>
      <c r="E320" s="2"/>
      <c r="F320" s="7"/>
      <c r="G320" s="2"/>
      <c r="H320" s="7"/>
      <c r="I320" s="2"/>
      <c r="J320" s="2"/>
      <c r="K320" s="2"/>
      <c r="L320" s="2"/>
      <c r="M320" s="2"/>
      <c r="N320" s="2"/>
      <c r="O320" s="2"/>
      <c r="P320" s="2"/>
      <c r="Q320" s="2"/>
      <c r="R320" s="2"/>
      <c r="S320" s="2"/>
      <c r="T320" s="2"/>
      <c r="U320" s="2"/>
      <c r="V320" s="2"/>
      <c r="W320" s="2"/>
      <c r="X320" s="2"/>
      <c r="Y320" s="2"/>
      <c r="Z320" s="2"/>
    </row>
    <row r="321">
      <c r="A321" s="2"/>
      <c r="B321" s="2"/>
      <c r="C321" s="2"/>
      <c r="D321" s="2"/>
      <c r="E321" s="2"/>
      <c r="F321" s="7"/>
      <c r="G321" s="2"/>
      <c r="H321" s="7"/>
      <c r="I321" s="2"/>
      <c r="J321" s="2"/>
      <c r="K321" s="2"/>
      <c r="L321" s="2"/>
      <c r="M321" s="2"/>
      <c r="N321" s="2"/>
      <c r="O321" s="2"/>
      <c r="P321" s="2"/>
      <c r="Q321" s="2"/>
      <c r="R321" s="2"/>
      <c r="S321" s="2"/>
      <c r="T321" s="2"/>
      <c r="U321" s="2"/>
      <c r="V321" s="2"/>
      <c r="W321" s="2"/>
      <c r="X321" s="2"/>
      <c r="Y321" s="2"/>
      <c r="Z321" s="2"/>
    </row>
    <row r="322">
      <c r="A322" s="2"/>
      <c r="B322" s="2"/>
      <c r="C322" s="2"/>
      <c r="D322" s="2"/>
      <c r="E322" s="2"/>
      <c r="F322" s="7"/>
      <c r="G322" s="2"/>
      <c r="H322" s="7"/>
      <c r="I322" s="2"/>
      <c r="J322" s="2"/>
      <c r="K322" s="2"/>
      <c r="L322" s="2"/>
      <c r="M322" s="2"/>
      <c r="N322" s="2"/>
      <c r="O322" s="2"/>
      <c r="P322" s="2"/>
      <c r="Q322" s="2"/>
      <c r="R322" s="2"/>
      <c r="S322" s="2"/>
      <c r="T322" s="2"/>
      <c r="U322" s="2"/>
      <c r="V322" s="2"/>
      <c r="W322" s="2"/>
      <c r="X322" s="2"/>
      <c r="Y322" s="2"/>
      <c r="Z322" s="2"/>
    </row>
    <row r="323">
      <c r="A323" s="2"/>
      <c r="B323" s="2"/>
      <c r="C323" s="2"/>
      <c r="D323" s="2"/>
      <c r="E323" s="2"/>
      <c r="F323" s="7"/>
      <c r="G323" s="2"/>
      <c r="H323" s="7"/>
      <c r="I323" s="2"/>
      <c r="J323" s="2"/>
      <c r="K323" s="2"/>
      <c r="L323" s="2"/>
      <c r="M323" s="2"/>
      <c r="N323" s="2"/>
      <c r="O323" s="2"/>
      <c r="P323" s="2"/>
      <c r="Q323" s="2"/>
      <c r="R323" s="2"/>
      <c r="S323" s="2"/>
      <c r="T323" s="2"/>
      <c r="U323" s="2"/>
      <c r="V323" s="2"/>
      <c r="W323" s="2"/>
      <c r="X323" s="2"/>
      <c r="Y323" s="2"/>
      <c r="Z323" s="2"/>
    </row>
    <row r="324">
      <c r="A324" s="2"/>
      <c r="B324" s="2"/>
      <c r="C324" s="2"/>
      <c r="D324" s="2"/>
      <c r="E324" s="2"/>
      <c r="F324" s="7"/>
      <c r="G324" s="2"/>
      <c r="H324" s="7"/>
      <c r="I324" s="2"/>
      <c r="J324" s="2"/>
      <c r="K324" s="2"/>
      <c r="L324" s="2"/>
      <c r="M324" s="2"/>
      <c r="N324" s="2"/>
      <c r="O324" s="2"/>
      <c r="P324" s="2"/>
      <c r="Q324" s="2"/>
      <c r="R324" s="2"/>
      <c r="S324" s="2"/>
      <c r="T324" s="2"/>
      <c r="U324" s="2"/>
      <c r="V324" s="2"/>
      <c r="W324" s="2"/>
      <c r="X324" s="2"/>
      <c r="Y324" s="2"/>
      <c r="Z324" s="2"/>
    </row>
    <row r="325">
      <c r="A325" s="2"/>
      <c r="B325" s="2"/>
      <c r="C325" s="2"/>
      <c r="D325" s="2"/>
      <c r="E325" s="2"/>
      <c r="F325" s="7"/>
      <c r="G325" s="2"/>
      <c r="H325" s="7"/>
      <c r="I325" s="2"/>
      <c r="J325" s="2"/>
      <c r="K325" s="2"/>
      <c r="L325" s="2"/>
      <c r="M325" s="2"/>
      <c r="N325" s="2"/>
      <c r="O325" s="2"/>
      <c r="P325" s="2"/>
      <c r="Q325" s="2"/>
      <c r="R325" s="2"/>
      <c r="S325" s="2"/>
      <c r="T325" s="2"/>
      <c r="U325" s="2"/>
      <c r="V325" s="2"/>
      <c r="W325" s="2"/>
      <c r="X325" s="2"/>
      <c r="Y325" s="2"/>
      <c r="Z325" s="2"/>
    </row>
    <row r="326">
      <c r="A326" s="2"/>
      <c r="B326" s="2"/>
      <c r="C326" s="2"/>
      <c r="D326" s="2"/>
      <c r="E326" s="2"/>
      <c r="F326" s="7"/>
      <c r="G326" s="2"/>
      <c r="H326" s="7"/>
      <c r="I326" s="2"/>
      <c r="J326" s="2"/>
      <c r="K326" s="2"/>
      <c r="L326" s="2"/>
      <c r="M326" s="2"/>
      <c r="N326" s="2"/>
      <c r="O326" s="2"/>
      <c r="P326" s="2"/>
      <c r="Q326" s="2"/>
      <c r="R326" s="2"/>
      <c r="S326" s="2"/>
      <c r="T326" s="2"/>
      <c r="U326" s="2"/>
      <c r="V326" s="2"/>
      <c r="W326" s="2"/>
      <c r="X326" s="2"/>
      <c r="Y326" s="2"/>
      <c r="Z326" s="2"/>
    </row>
    <row r="327">
      <c r="A327" s="2"/>
      <c r="B327" s="2"/>
      <c r="C327" s="2"/>
      <c r="D327" s="2"/>
      <c r="E327" s="2"/>
      <c r="F327" s="7"/>
      <c r="G327" s="2"/>
      <c r="H327" s="7"/>
      <c r="I327" s="2"/>
      <c r="J327" s="2"/>
      <c r="K327" s="2"/>
      <c r="L327" s="2"/>
      <c r="M327" s="2"/>
      <c r="N327" s="2"/>
      <c r="O327" s="2"/>
      <c r="P327" s="2"/>
      <c r="Q327" s="2"/>
      <c r="R327" s="2"/>
      <c r="S327" s="2"/>
      <c r="T327" s="2"/>
      <c r="U327" s="2"/>
      <c r="V327" s="2"/>
      <c r="W327" s="2"/>
      <c r="X327" s="2"/>
      <c r="Y327" s="2"/>
      <c r="Z327" s="2"/>
    </row>
    <row r="328">
      <c r="A328" s="2"/>
      <c r="B328" s="2"/>
      <c r="C328" s="2"/>
      <c r="D328" s="2"/>
      <c r="E328" s="2"/>
      <c r="F328" s="7"/>
      <c r="G328" s="2"/>
      <c r="H328" s="7"/>
      <c r="I328" s="2"/>
      <c r="J328" s="2"/>
      <c r="K328" s="2"/>
      <c r="L328" s="2"/>
      <c r="M328" s="2"/>
      <c r="N328" s="2"/>
      <c r="O328" s="2"/>
      <c r="P328" s="2"/>
      <c r="Q328" s="2"/>
      <c r="R328" s="2"/>
      <c r="S328" s="2"/>
      <c r="T328" s="2"/>
      <c r="U328" s="2"/>
      <c r="V328" s="2"/>
      <c r="W328" s="2"/>
      <c r="X328" s="2"/>
      <c r="Y328" s="2"/>
      <c r="Z328" s="2"/>
    </row>
    <row r="329">
      <c r="A329" s="2"/>
      <c r="B329" s="2"/>
      <c r="C329" s="2"/>
      <c r="D329" s="2"/>
      <c r="E329" s="2"/>
      <c r="F329" s="7"/>
      <c r="G329" s="2"/>
      <c r="H329" s="7"/>
      <c r="I329" s="2"/>
      <c r="J329" s="2"/>
      <c r="K329" s="2"/>
      <c r="L329" s="2"/>
      <c r="M329" s="2"/>
      <c r="N329" s="2"/>
      <c r="O329" s="2"/>
      <c r="P329" s="2"/>
      <c r="Q329" s="2"/>
      <c r="R329" s="2"/>
      <c r="S329" s="2"/>
      <c r="T329" s="2"/>
      <c r="U329" s="2"/>
      <c r="V329" s="2"/>
      <c r="W329" s="2"/>
      <c r="X329" s="2"/>
      <c r="Y329" s="2"/>
      <c r="Z329" s="2"/>
    </row>
    <row r="330">
      <c r="A330" s="2"/>
      <c r="B330" s="2"/>
      <c r="C330" s="2"/>
      <c r="D330" s="2"/>
      <c r="E330" s="2"/>
      <c r="F330" s="7"/>
      <c r="G330" s="2"/>
      <c r="H330" s="7"/>
      <c r="I330" s="2"/>
      <c r="J330" s="2"/>
      <c r="K330" s="2"/>
      <c r="L330" s="2"/>
      <c r="M330" s="2"/>
      <c r="N330" s="2"/>
      <c r="O330" s="2"/>
      <c r="P330" s="2"/>
      <c r="Q330" s="2"/>
      <c r="R330" s="2"/>
      <c r="S330" s="2"/>
      <c r="T330" s="2"/>
      <c r="U330" s="2"/>
      <c r="V330" s="2"/>
      <c r="W330" s="2"/>
      <c r="X330" s="2"/>
      <c r="Y330" s="2"/>
      <c r="Z330" s="2"/>
    </row>
    <row r="331">
      <c r="A331" s="2"/>
      <c r="B331" s="2"/>
      <c r="C331" s="2"/>
      <c r="D331" s="2"/>
      <c r="E331" s="2"/>
      <c r="F331" s="7"/>
      <c r="G331" s="2"/>
      <c r="H331" s="7"/>
      <c r="I331" s="2"/>
      <c r="J331" s="2"/>
      <c r="K331" s="2"/>
      <c r="L331" s="2"/>
      <c r="M331" s="2"/>
      <c r="N331" s="2"/>
      <c r="O331" s="2"/>
      <c r="P331" s="2"/>
      <c r="Q331" s="2"/>
      <c r="R331" s="2"/>
      <c r="S331" s="2"/>
      <c r="T331" s="2"/>
      <c r="U331" s="2"/>
      <c r="V331" s="2"/>
      <c r="W331" s="2"/>
      <c r="X331" s="2"/>
      <c r="Y331" s="2"/>
      <c r="Z331" s="2"/>
    </row>
    <row r="332">
      <c r="A332" s="2"/>
      <c r="B332" s="2"/>
      <c r="C332" s="2"/>
      <c r="D332" s="2"/>
      <c r="E332" s="2"/>
      <c r="F332" s="7"/>
      <c r="G332" s="2"/>
      <c r="H332" s="7"/>
      <c r="I332" s="2"/>
      <c r="J332" s="2"/>
      <c r="K332" s="2"/>
      <c r="L332" s="2"/>
      <c r="M332" s="2"/>
      <c r="N332" s="2"/>
      <c r="O332" s="2"/>
      <c r="P332" s="2"/>
      <c r="Q332" s="2"/>
      <c r="R332" s="2"/>
      <c r="S332" s="2"/>
      <c r="T332" s="2"/>
      <c r="U332" s="2"/>
      <c r="V332" s="2"/>
      <c r="W332" s="2"/>
      <c r="X332" s="2"/>
      <c r="Y332" s="2"/>
      <c r="Z332" s="2"/>
    </row>
    <row r="333">
      <c r="A333" s="2"/>
      <c r="B333" s="2"/>
      <c r="C333" s="2"/>
      <c r="D333" s="2"/>
      <c r="E333" s="2"/>
      <c r="F333" s="7"/>
      <c r="G333" s="2"/>
      <c r="H333" s="7"/>
      <c r="I333" s="2"/>
      <c r="J333" s="2"/>
      <c r="K333" s="2"/>
      <c r="L333" s="2"/>
      <c r="M333" s="2"/>
      <c r="N333" s="2"/>
      <c r="O333" s="2"/>
      <c r="P333" s="2"/>
      <c r="Q333" s="2"/>
      <c r="R333" s="2"/>
      <c r="S333" s="2"/>
      <c r="T333" s="2"/>
      <c r="U333" s="2"/>
      <c r="V333" s="2"/>
      <c r="W333" s="2"/>
      <c r="X333" s="2"/>
      <c r="Y333" s="2"/>
      <c r="Z333" s="2"/>
    </row>
    <row r="334">
      <c r="A334" s="2"/>
      <c r="B334" s="2"/>
      <c r="C334" s="2"/>
      <c r="D334" s="2"/>
      <c r="E334" s="2"/>
      <c r="F334" s="7"/>
      <c r="G334" s="2"/>
      <c r="H334" s="7"/>
      <c r="I334" s="2"/>
      <c r="J334" s="2"/>
      <c r="K334" s="2"/>
      <c r="L334" s="2"/>
      <c r="M334" s="2"/>
      <c r="N334" s="2"/>
      <c r="O334" s="2"/>
      <c r="P334" s="2"/>
      <c r="Q334" s="2"/>
      <c r="R334" s="2"/>
      <c r="S334" s="2"/>
      <c r="T334" s="2"/>
      <c r="U334" s="2"/>
      <c r="V334" s="2"/>
      <c r="W334" s="2"/>
      <c r="X334" s="2"/>
      <c r="Y334" s="2"/>
      <c r="Z334" s="2"/>
    </row>
    <row r="335">
      <c r="A335" s="2"/>
      <c r="B335" s="2"/>
      <c r="C335" s="2"/>
      <c r="D335" s="2"/>
      <c r="E335" s="2"/>
      <c r="F335" s="7"/>
      <c r="G335" s="2"/>
      <c r="H335" s="7"/>
      <c r="I335" s="2"/>
      <c r="J335" s="2"/>
      <c r="K335" s="2"/>
      <c r="L335" s="2"/>
      <c r="M335" s="2"/>
      <c r="N335" s="2"/>
      <c r="O335" s="2"/>
      <c r="P335" s="2"/>
      <c r="Q335" s="2"/>
      <c r="R335" s="2"/>
      <c r="S335" s="2"/>
      <c r="T335" s="2"/>
      <c r="U335" s="2"/>
      <c r="V335" s="2"/>
      <c r="W335" s="2"/>
      <c r="X335" s="2"/>
      <c r="Y335" s="2"/>
      <c r="Z335" s="2"/>
    </row>
    <row r="336">
      <c r="A336" s="2"/>
      <c r="B336" s="2"/>
      <c r="C336" s="2"/>
      <c r="D336" s="2"/>
      <c r="E336" s="2"/>
      <c r="F336" s="7"/>
      <c r="G336" s="2"/>
      <c r="H336" s="7"/>
      <c r="I336" s="2"/>
      <c r="J336" s="2"/>
      <c r="K336" s="2"/>
      <c r="L336" s="2"/>
      <c r="M336" s="2"/>
      <c r="N336" s="2"/>
      <c r="O336" s="2"/>
      <c r="P336" s="2"/>
      <c r="Q336" s="2"/>
      <c r="R336" s="2"/>
      <c r="S336" s="2"/>
      <c r="T336" s="2"/>
      <c r="U336" s="2"/>
      <c r="V336" s="2"/>
      <c r="W336" s="2"/>
      <c r="X336" s="2"/>
      <c r="Y336" s="2"/>
      <c r="Z336" s="2"/>
    </row>
    <row r="337">
      <c r="A337" s="2"/>
      <c r="B337" s="2"/>
      <c r="C337" s="2"/>
      <c r="D337" s="2"/>
      <c r="E337" s="2"/>
      <c r="F337" s="7"/>
      <c r="G337" s="2"/>
      <c r="H337" s="7"/>
      <c r="I337" s="2"/>
      <c r="J337" s="2"/>
      <c r="K337" s="2"/>
      <c r="L337" s="2"/>
      <c r="M337" s="2"/>
      <c r="N337" s="2"/>
      <c r="O337" s="2"/>
      <c r="P337" s="2"/>
      <c r="Q337" s="2"/>
      <c r="R337" s="2"/>
      <c r="S337" s="2"/>
      <c r="T337" s="2"/>
      <c r="U337" s="2"/>
      <c r="V337" s="2"/>
      <c r="W337" s="2"/>
      <c r="X337" s="2"/>
      <c r="Y337" s="2"/>
      <c r="Z337" s="2"/>
    </row>
    <row r="338">
      <c r="A338" s="2"/>
      <c r="B338" s="2"/>
      <c r="C338" s="2"/>
      <c r="D338" s="2"/>
      <c r="E338" s="2"/>
      <c r="F338" s="7"/>
      <c r="G338" s="2"/>
      <c r="H338" s="7"/>
      <c r="I338" s="2"/>
      <c r="J338" s="2"/>
      <c r="K338" s="2"/>
      <c r="L338" s="2"/>
      <c r="M338" s="2"/>
      <c r="N338" s="2"/>
      <c r="O338" s="2"/>
      <c r="P338" s="2"/>
      <c r="Q338" s="2"/>
      <c r="R338" s="2"/>
      <c r="S338" s="2"/>
      <c r="T338" s="2"/>
      <c r="U338" s="2"/>
      <c r="V338" s="2"/>
      <c r="W338" s="2"/>
      <c r="X338" s="2"/>
      <c r="Y338" s="2"/>
      <c r="Z338" s="2"/>
    </row>
    <row r="339">
      <c r="A339" s="2"/>
      <c r="B339" s="2"/>
      <c r="C339" s="2"/>
      <c r="D339" s="2"/>
      <c r="E339" s="2"/>
      <c r="F339" s="7"/>
      <c r="G339" s="2"/>
      <c r="H339" s="7"/>
      <c r="I339" s="2"/>
      <c r="J339" s="2"/>
      <c r="K339" s="2"/>
      <c r="L339" s="2"/>
      <c r="M339" s="2"/>
      <c r="N339" s="2"/>
      <c r="O339" s="2"/>
      <c r="P339" s="2"/>
      <c r="Q339" s="2"/>
      <c r="R339" s="2"/>
      <c r="S339" s="2"/>
      <c r="T339" s="2"/>
      <c r="U339" s="2"/>
      <c r="V339" s="2"/>
      <c r="W339" s="2"/>
      <c r="X339" s="2"/>
      <c r="Y339" s="2"/>
      <c r="Z339" s="2"/>
    </row>
    <row r="340">
      <c r="A340" s="2"/>
      <c r="B340" s="2"/>
      <c r="C340" s="2"/>
      <c r="D340" s="2"/>
      <c r="E340" s="2"/>
      <c r="F340" s="7"/>
      <c r="G340" s="2"/>
      <c r="H340" s="7"/>
      <c r="I340" s="2"/>
      <c r="J340" s="2"/>
      <c r="K340" s="2"/>
      <c r="L340" s="2"/>
      <c r="M340" s="2"/>
      <c r="N340" s="2"/>
      <c r="O340" s="2"/>
      <c r="P340" s="2"/>
      <c r="Q340" s="2"/>
      <c r="R340" s="2"/>
      <c r="S340" s="2"/>
      <c r="T340" s="2"/>
      <c r="U340" s="2"/>
      <c r="V340" s="2"/>
      <c r="W340" s="2"/>
      <c r="X340" s="2"/>
      <c r="Y340" s="2"/>
      <c r="Z340" s="2"/>
    </row>
    <row r="341">
      <c r="A341" s="2"/>
      <c r="B341" s="2"/>
      <c r="C341" s="2"/>
      <c r="D341" s="2"/>
      <c r="E341" s="2"/>
      <c r="F341" s="7"/>
      <c r="G341" s="2"/>
      <c r="H341" s="7"/>
      <c r="I341" s="2"/>
      <c r="J341" s="2"/>
      <c r="K341" s="2"/>
      <c r="L341" s="2"/>
      <c r="M341" s="2"/>
      <c r="N341" s="2"/>
      <c r="O341" s="2"/>
      <c r="P341" s="2"/>
      <c r="Q341" s="2"/>
      <c r="R341" s="2"/>
      <c r="S341" s="2"/>
      <c r="T341" s="2"/>
      <c r="U341" s="2"/>
      <c r="V341" s="2"/>
      <c r="W341" s="2"/>
      <c r="X341" s="2"/>
      <c r="Y341" s="2"/>
      <c r="Z341" s="2"/>
    </row>
    <row r="342">
      <c r="A342" s="2"/>
      <c r="B342" s="2"/>
      <c r="C342" s="2"/>
      <c r="D342" s="2"/>
      <c r="E342" s="2"/>
      <c r="F342" s="7"/>
      <c r="G342" s="2"/>
      <c r="H342" s="7"/>
      <c r="I342" s="2"/>
      <c r="J342" s="2"/>
      <c r="K342" s="2"/>
      <c r="L342" s="2"/>
      <c r="M342" s="2"/>
      <c r="N342" s="2"/>
      <c r="O342" s="2"/>
      <c r="P342" s="2"/>
      <c r="Q342" s="2"/>
      <c r="R342" s="2"/>
      <c r="S342" s="2"/>
      <c r="T342" s="2"/>
      <c r="U342" s="2"/>
      <c r="V342" s="2"/>
      <c r="W342" s="2"/>
      <c r="X342" s="2"/>
      <c r="Y342" s="2"/>
      <c r="Z342" s="2"/>
    </row>
    <row r="343">
      <c r="A343" s="2"/>
      <c r="B343" s="2"/>
      <c r="C343" s="2"/>
      <c r="D343" s="2"/>
      <c r="E343" s="2"/>
      <c r="F343" s="7"/>
      <c r="G343" s="2"/>
      <c r="H343" s="7"/>
      <c r="I343" s="2"/>
      <c r="J343" s="2"/>
      <c r="K343" s="2"/>
      <c r="L343" s="2"/>
      <c r="M343" s="2"/>
      <c r="N343" s="2"/>
      <c r="O343" s="2"/>
      <c r="P343" s="2"/>
      <c r="Q343" s="2"/>
      <c r="R343" s="2"/>
      <c r="S343" s="2"/>
      <c r="T343" s="2"/>
      <c r="U343" s="2"/>
      <c r="V343" s="2"/>
      <c r="W343" s="2"/>
      <c r="X343" s="2"/>
      <c r="Y343" s="2"/>
      <c r="Z343" s="2"/>
    </row>
    <row r="344">
      <c r="A344" s="2"/>
      <c r="B344" s="2"/>
      <c r="C344" s="2"/>
      <c r="D344" s="2"/>
      <c r="E344" s="2"/>
      <c r="F344" s="7"/>
      <c r="G344" s="2"/>
      <c r="H344" s="7"/>
      <c r="I344" s="2"/>
      <c r="J344" s="2"/>
      <c r="K344" s="2"/>
      <c r="L344" s="2"/>
      <c r="M344" s="2"/>
      <c r="N344" s="2"/>
      <c r="O344" s="2"/>
      <c r="P344" s="2"/>
      <c r="Q344" s="2"/>
      <c r="R344" s="2"/>
      <c r="S344" s="2"/>
      <c r="T344" s="2"/>
      <c r="U344" s="2"/>
      <c r="V344" s="2"/>
      <c r="W344" s="2"/>
      <c r="X344" s="2"/>
      <c r="Y344" s="2"/>
      <c r="Z344" s="2"/>
    </row>
    <row r="345">
      <c r="A345" s="2"/>
      <c r="B345" s="2"/>
      <c r="C345" s="2"/>
      <c r="D345" s="2"/>
      <c r="E345" s="2"/>
      <c r="F345" s="7"/>
      <c r="G345" s="2"/>
      <c r="H345" s="7"/>
      <c r="I345" s="2"/>
      <c r="J345" s="2"/>
      <c r="K345" s="2"/>
      <c r="L345" s="2"/>
      <c r="M345" s="2"/>
      <c r="N345" s="2"/>
      <c r="O345" s="2"/>
      <c r="P345" s="2"/>
      <c r="Q345" s="2"/>
      <c r="R345" s="2"/>
      <c r="S345" s="2"/>
      <c r="T345" s="2"/>
      <c r="U345" s="2"/>
      <c r="V345" s="2"/>
      <c r="W345" s="2"/>
      <c r="X345" s="2"/>
      <c r="Y345" s="2"/>
      <c r="Z345" s="2"/>
    </row>
    <row r="346">
      <c r="A346" s="2"/>
      <c r="B346" s="2"/>
      <c r="C346" s="2"/>
      <c r="D346" s="2"/>
      <c r="E346" s="2"/>
      <c r="F346" s="7"/>
      <c r="G346" s="2"/>
      <c r="H346" s="7"/>
      <c r="I346" s="2"/>
      <c r="J346" s="2"/>
      <c r="K346" s="2"/>
      <c r="L346" s="2"/>
      <c r="M346" s="2"/>
      <c r="N346" s="2"/>
      <c r="O346" s="2"/>
      <c r="P346" s="2"/>
      <c r="Q346" s="2"/>
      <c r="R346" s="2"/>
      <c r="S346" s="2"/>
      <c r="T346" s="2"/>
      <c r="U346" s="2"/>
      <c r="V346" s="2"/>
      <c r="W346" s="2"/>
      <c r="X346" s="2"/>
      <c r="Y346" s="2"/>
      <c r="Z346" s="2"/>
    </row>
    <row r="347">
      <c r="A347" s="2"/>
      <c r="B347" s="2"/>
      <c r="C347" s="2"/>
      <c r="D347" s="2"/>
      <c r="E347" s="2"/>
      <c r="F347" s="7"/>
      <c r="G347" s="2"/>
      <c r="H347" s="7"/>
      <c r="I347" s="2"/>
      <c r="J347" s="2"/>
      <c r="K347" s="2"/>
      <c r="L347" s="2"/>
      <c r="M347" s="2"/>
      <c r="N347" s="2"/>
      <c r="O347" s="2"/>
      <c r="P347" s="2"/>
      <c r="Q347" s="2"/>
      <c r="R347" s="2"/>
      <c r="S347" s="2"/>
      <c r="T347" s="2"/>
      <c r="U347" s="2"/>
      <c r="V347" s="2"/>
      <c r="W347" s="2"/>
      <c r="X347" s="2"/>
      <c r="Y347" s="2"/>
      <c r="Z347" s="2"/>
    </row>
    <row r="348">
      <c r="A348" s="2"/>
      <c r="B348" s="2"/>
      <c r="C348" s="2"/>
      <c r="D348" s="2"/>
      <c r="E348" s="2"/>
      <c r="F348" s="7"/>
      <c r="G348" s="2"/>
      <c r="H348" s="7"/>
      <c r="I348" s="2"/>
      <c r="J348" s="2"/>
      <c r="K348" s="2"/>
      <c r="L348" s="2"/>
      <c r="M348" s="2"/>
      <c r="N348" s="2"/>
      <c r="O348" s="2"/>
      <c r="P348" s="2"/>
      <c r="Q348" s="2"/>
      <c r="R348" s="2"/>
      <c r="S348" s="2"/>
      <c r="T348" s="2"/>
      <c r="U348" s="2"/>
      <c r="V348" s="2"/>
      <c r="W348" s="2"/>
      <c r="X348" s="2"/>
      <c r="Y348" s="2"/>
      <c r="Z348" s="2"/>
    </row>
    <row r="349">
      <c r="A349" s="2"/>
      <c r="B349" s="2"/>
      <c r="C349" s="2"/>
      <c r="D349" s="2"/>
      <c r="E349" s="2"/>
      <c r="F349" s="7"/>
      <c r="G349" s="2"/>
      <c r="H349" s="7"/>
      <c r="I349" s="2"/>
      <c r="J349" s="2"/>
      <c r="K349" s="2"/>
      <c r="L349" s="2"/>
      <c r="M349" s="2"/>
      <c r="N349" s="2"/>
      <c r="O349" s="2"/>
      <c r="P349" s="2"/>
      <c r="Q349" s="2"/>
      <c r="R349" s="2"/>
      <c r="S349" s="2"/>
      <c r="T349" s="2"/>
      <c r="U349" s="2"/>
      <c r="V349" s="2"/>
      <c r="W349" s="2"/>
      <c r="X349" s="2"/>
      <c r="Y349" s="2"/>
      <c r="Z349" s="2"/>
    </row>
    <row r="350">
      <c r="A350" s="2"/>
      <c r="B350" s="2"/>
      <c r="C350" s="2"/>
      <c r="D350" s="2"/>
      <c r="E350" s="2"/>
      <c r="F350" s="7"/>
      <c r="G350" s="2"/>
      <c r="H350" s="7"/>
      <c r="I350" s="2"/>
      <c r="J350" s="2"/>
      <c r="K350" s="2"/>
      <c r="L350" s="2"/>
      <c r="M350" s="2"/>
      <c r="N350" s="2"/>
      <c r="O350" s="2"/>
      <c r="P350" s="2"/>
      <c r="Q350" s="2"/>
      <c r="R350" s="2"/>
      <c r="S350" s="2"/>
      <c r="T350" s="2"/>
      <c r="U350" s="2"/>
      <c r="V350" s="2"/>
      <c r="W350" s="2"/>
      <c r="X350" s="2"/>
      <c r="Y350" s="2"/>
      <c r="Z350" s="2"/>
    </row>
    <row r="351">
      <c r="A351" s="2"/>
      <c r="B351" s="2"/>
      <c r="C351" s="2"/>
      <c r="D351" s="2"/>
      <c r="E351" s="2"/>
      <c r="F351" s="7"/>
      <c r="G351" s="2"/>
      <c r="H351" s="7"/>
      <c r="I351" s="2"/>
      <c r="J351" s="2"/>
      <c r="K351" s="2"/>
      <c r="L351" s="2"/>
      <c r="M351" s="2"/>
      <c r="N351" s="2"/>
      <c r="O351" s="2"/>
      <c r="P351" s="2"/>
      <c r="Q351" s="2"/>
      <c r="R351" s="2"/>
      <c r="S351" s="2"/>
      <c r="T351" s="2"/>
      <c r="U351" s="2"/>
      <c r="V351" s="2"/>
      <c r="W351" s="2"/>
      <c r="X351" s="2"/>
      <c r="Y351" s="2"/>
      <c r="Z351" s="2"/>
    </row>
    <row r="352">
      <c r="A352" s="2"/>
      <c r="B352" s="2"/>
      <c r="C352" s="2"/>
      <c r="D352" s="2"/>
      <c r="E352" s="2"/>
      <c r="F352" s="7"/>
      <c r="G352" s="2"/>
      <c r="H352" s="7"/>
      <c r="I352" s="2"/>
      <c r="J352" s="2"/>
      <c r="K352" s="2"/>
      <c r="L352" s="2"/>
      <c r="M352" s="2"/>
      <c r="N352" s="2"/>
      <c r="O352" s="2"/>
      <c r="P352" s="2"/>
      <c r="Q352" s="2"/>
      <c r="R352" s="2"/>
      <c r="S352" s="2"/>
      <c r="T352" s="2"/>
      <c r="U352" s="2"/>
      <c r="V352" s="2"/>
      <c r="W352" s="2"/>
      <c r="X352" s="2"/>
      <c r="Y352" s="2"/>
      <c r="Z352" s="2"/>
    </row>
    <row r="353">
      <c r="A353" s="2"/>
      <c r="B353" s="2"/>
      <c r="C353" s="2"/>
      <c r="D353" s="2"/>
      <c r="E353" s="2"/>
      <c r="F353" s="7"/>
      <c r="G353" s="2"/>
      <c r="H353" s="7"/>
      <c r="I353" s="2"/>
      <c r="J353" s="2"/>
      <c r="K353" s="2"/>
      <c r="L353" s="2"/>
      <c r="M353" s="2"/>
      <c r="N353" s="2"/>
      <c r="O353" s="2"/>
      <c r="P353" s="2"/>
      <c r="Q353" s="2"/>
      <c r="R353" s="2"/>
      <c r="S353" s="2"/>
      <c r="T353" s="2"/>
      <c r="U353" s="2"/>
      <c r="V353" s="2"/>
      <c r="W353" s="2"/>
      <c r="X353" s="2"/>
      <c r="Y353" s="2"/>
      <c r="Z353" s="2"/>
    </row>
    <row r="354">
      <c r="A354" s="2"/>
      <c r="B354" s="2"/>
      <c r="C354" s="2"/>
      <c r="D354" s="2"/>
      <c r="E354" s="2"/>
      <c r="F354" s="7"/>
      <c r="G354" s="2"/>
      <c r="H354" s="7"/>
      <c r="I354" s="2"/>
      <c r="J354" s="2"/>
      <c r="K354" s="2"/>
      <c r="L354" s="2"/>
      <c r="M354" s="2"/>
      <c r="N354" s="2"/>
      <c r="O354" s="2"/>
      <c r="P354" s="2"/>
      <c r="Q354" s="2"/>
      <c r="R354" s="2"/>
      <c r="S354" s="2"/>
      <c r="T354" s="2"/>
      <c r="U354" s="2"/>
      <c r="V354" s="2"/>
      <c r="W354" s="2"/>
      <c r="X354" s="2"/>
      <c r="Y354" s="2"/>
      <c r="Z354" s="2"/>
    </row>
    <row r="355">
      <c r="A355" s="2"/>
      <c r="B355" s="2"/>
      <c r="C355" s="2"/>
      <c r="D355" s="2"/>
      <c r="E355" s="2"/>
      <c r="F355" s="7"/>
      <c r="G355" s="2"/>
      <c r="H355" s="7"/>
      <c r="I355" s="2"/>
      <c r="J355" s="2"/>
      <c r="K355" s="2"/>
      <c r="L355" s="2"/>
      <c r="M355" s="2"/>
      <c r="N355" s="2"/>
      <c r="O355" s="2"/>
      <c r="P355" s="2"/>
      <c r="Q355" s="2"/>
      <c r="R355" s="2"/>
      <c r="S355" s="2"/>
      <c r="T355" s="2"/>
      <c r="U355" s="2"/>
      <c r="V355" s="2"/>
      <c r="W355" s="2"/>
      <c r="X355" s="2"/>
      <c r="Y355" s="2"/>
      <c r="Z355" s="2"/>
    </row>
    <row r="356">
      <c r="A356" s="2"/>
      <c r="B356" s="2"/>
      <c r="C356" s="2"/>
      <c r="D356" s="2"/>
      <c r="E356" s="2"/>
      <c r="F356" s="7"/>
      <c r="G356" s="2"/>
      <c r="H356" s="7"/>
      <c r="I356" s="2"/>
      <c r="J356" s="2"/>
      <c r="K356" s="2"/>
      <c r="L356" s="2"/>
      <c r="M356" s="2"/>
      <c r="N356" s="2"/>
      <c r="O356" s="2"/>
      <c r="P356" s="2"/>
      <c r="Q356" s="2"/>
      <c r="R356" s="2"/>
      <c r="S356" s="2"/>
      <c r="T356" s="2"/>
      <c r="U356" s="2"/>
      <c r="V356" s="2"/>
      <c r="W356" s="2"/>
      <c r="X356" s="2"/>
      <c r="Y356" s="2"/>
      <c r="Z356" s="2"/>
    </row>
    <row r="357">
      <c r="A357" s="2"/>
      <c r="B357" s="2"/>
      <c r="C357" s="2"/>
      <c r="D357" s="2"/>
      <c r="E357" s="2"/>
      <c r="F357" s="7"/>
      <c r="G357" s="2"/>
      <c r="H357" s="7"/>
      <c r="I357" s="2"/>
      <c r="J357" s="2"/>
      <c r="K357" s="2"/>
      <c r="L357" s="2"/>
      <c r="M357" s="2"/>
      <c r="N357" s="2"/>
      <c r="O357" s="2"/>
      <c r="P357" s="2"/>
      <c r="Q357" s="2"/>
      <c r="R357" s="2"/>
      <c r="S357" s="2"/>
      <c r="T357" s="2"/>
      <c r="U357" s="2"/>
      <c r="V357" s="2"/>
      <c r="W357" s="2"/>
      <c r="X357" s="2"/>
      <c r="Y357" s="2"/>
      <c r="Z357" s="2"/>
    </row>
    <row r="358">
      <c r="A358" s="2"/>
      <c r="B358" s="2"/>
      <c r="C358" s="2"/>
      <c r="D358" s="2"/>
      <c r="E358" s="2"/>
      <c r="F358" s="7"/>
      <c r="G358" s="2"/>
      <c r="H358" s="7"/>
      <c r="I358" s="2"/>
      <c r="J358" s="2"/>
      <c r="K358" s="2"/>
      <c r="L358" s="2"/>
      <c r="M358" s="2"/>
      <c r="N358" s="2"/>
      <c r="O358" s="2"/>
      <c r="P358" s="2"/>
      <c r="Q358" s="2"/>
      <c r="R358" s="2"/>
      <c r="S358" s="2"/>
      <c r="T358" s="2"/>
      <c r="U358" s="2"/>
      <c r="V358" s="2"/>
      <c r="W358" s="2"/>
      <c r="X358" s="2"/>
      <c r="Y358" s="2"/>
      <c r="Z358" s="2"/>
    </row>
    <row r="359">
      <c r="A359" s="2"/>
      <c r="B359" s="2"/>
      <c r="C359" s="2"/>
      <c r="D359" s="2"/>
      <c r="E359" s="2"/>
      <c r="F359" s="7"/>
      <c r="G359" s="2"/>
      <c r="H359" s="7"/>
      <c r="I359" s="2"/>
      <c r="J359" s="2"/>
      <c r="K359" s="2"/>
      <c r="L359" s="2"/>
      <c r="M359" s="2"/>
      <c r="N359" s="2"/>
      <c r="O359" s="2"/>
      <c r="P359" s="2"/>
      <c r="Q359" s="2"/>
      <c r="R359" s="2"/>
      <c r="S359" s="2"/>
      <c r="T359" s="2"/>
      <c r="U359" s="2"/>
      <c r="V359" s="2"/>
      <c r="W359" s="2"/>
      <c r="X359" s="2"/>
      <c r="Y359" s="2"/>
      <c r="Z359" s="2"/>
    </row>
    <row r="360">
      <c r="A360" s="2"/>
      <c r="B360" s="2"/>
      <c r="C360" s="2"/>
      <c r="D360" s="2"/>
      <c r="E360" s="2"/>
      <c r="F360" s="7"/>
      <c r="G360" s="2"/>
      <c r="H360" s="7"/>
      <c r="I360" s="2"/>
      <c r="J360" s="2"/>
      <c r="K360" s="2"/>
      <c r="L360" s="2"/>
      <c r="M360" s="2"/>
      <c r="N360" s="2"/>
      <c r="O360" s="2"/>
      <c r="P360" s="2"/>
      <c r="Q360" s="2"/>
      <c r="R360" s="2"/>
      <c r="S360" s="2"/>
      <c r="T360" s="2"/>
      <c r="U360" s="2"/>
      <c r="V360" s="2"/>
      <c r="W360" s="2"/>
      <c r="X360" s="2"/>
      <c r="Y360" s="2"/>
      <c r="Z360" s="2"/>
    </row>
    <row r="361">
      <c r="A361" s="2"/>
      <c r="B361" s="2"/>
      <c r="C361" s="2"/>
      <c r="D361" s="2"/>
      <c r="E361" s="2"/>
      <c r="F361" s="7"/>
      <c r="G361" s="2"/>
      <c r="H361" s="7"/>
      <c r="I361" s="2"/>
      <c r="J361" s="2"/>
      <c r="K361" s="2"/>
      <c r="L361" s="2"/>
      <c r="M361" s="2"/>
      <c r="N361" s="2"/>
      <c r="O361" s="2"/>
      <c r="P361" s="2"/>
      <c r="Q361" s="2"/>
      <c r="R361" s="2"/>
      <c r="S361" s="2"/>
      <c r="T361" s="2"/>
      <c r="U361" s="2"/>
      <c r="V361" s="2"/>
      <c r="W361" s="2"/>
      <c r="X361" s="2"/>
      <c r="Y361" s="2"/>
      <c r="Z361" s="2"/>
    </row>
    <row r="362">
      <c r="A362" s="2"/>
      <c r="B362" s="2"/>
      <c r="C362" s="2"/>
      <c r="D362" s="2"/>
      <c r="E362" s="2"/>
      <c r="F362" s="7"/>
      <c r="G362" s="2"/>
      <c r="H362" s="7"/>
      <c r="I362" s="2"/>
      <c r="J362" s="2"/>
      <c r="K362" s="2"/>
      <c r="L362" s="2"/>
      <c r="M362" s="2"/>
      <c r="N362" s="2"/>
      <c r="O362" s="2"/>
      <c r="P362" s="2"/>
      <c r="Q362" s="2"/>
      <c r="R362" s="2"/>
      <c r="S362" s="2"/>
      <c r="T362" s="2"/>
      <c r="U362" s="2"/>
      <c r="V362" s="2"/>
      <c r="W362" s="2"/>
      <c r="X362" s="2"/>
      <c r="Y362" s="2"/>
      <c r="Z362" s="2"/>
    </row>
    <row r="363">
      <c r="A363" s="2"/>
      <c r="B363" s="2"/>
      <c r="C363" s="2"/>
      <c r="D363" s="2"/>
      <c r="E363" s="2"/>
      <c r="F363" s="7"/>
      <c r="G363" s="2"/>
      <c r="H363" s="7"/>
      <c r="I363" s="2"/>
      <c r="J363" s="2"/>
      <c r="K363" s="2"/>
      <c r="L363" s="2"/>
      <c r="M363" s="2"/>
      <c r="N363" s="2"/>
      <c r="O363" s="2"/>
      <c r="P363" s="2"/>
      <c r="Q363" s="2"/>
      <c r="R363" s="2"/>
      <c r="S363" s="2"/>
      <c r="T363" s="2"/>
      <c r="U363" s="2"/>
      <c r="V363" s="2"/>
      <c r="W363" s="2"/>
      <c r="X363" s="2"/>
      <c r="Y363" s="2"/>
      <c r="Z363" s="2"/>
    </row>
    <row r="364">
      <c r="A364" s="2"/>
      <c r="B364" s="2"/>
      <c r="C364" s="2"/>
      <c r="D364" s="2"/>
      <c r="E364" s="2"/>
      <c r="F364" s="7"/>
      <c r="G364" s="2"/>
      <c r="H364" s="7"/>
      <c r="I364" s="2"/>
      <c r="J364" s="2"/>
      <c r="K364" s="2"/>
      <c r="L364" s="2"/>
      <c r="M364" s="2"/>
      <c r="N364" s="2"/>
      <c r="O364" s="2"/>
      <c r="P364" s="2"/>
      <c r="Q364" s="2"/>
      <c r="R364" s="2"/>
      <c r="S364" s="2"/>
      <c r="T364" s="2"/>
      <c r="U364" s="2"/>
      <c r="V364" s="2"/>
      <c r="W364" s="2"/>
      <c r="X364" s="2"/>
      <c r="Y364" s="2"/>
      <c r="Z364" s="2"/>
    </row>
    <row r="365">
      <c r="A365" s="2"/>
      <c r="B365" s="2"/>
      <c r="C365" s="2"/>
      <c r="D365" s="2"/>
      <c r="E365" s="2"/>
      <c r="F365" s="7"/>
      <c r="G365" s="2"/>
      <c r="H365" s="7"/>
      <c r="I365" s="2"/>
      <c r="J365" s="2"/>
      <c r="K365" s="2"/>
      <c r="L365" s="2"/>
      <c r="M365" s="2"/>
      <c r="N365" s="2"/>
      <c r="O365" s="2"/>
      <c r="P365" s="2"/>
      <c r="Q365" s="2"/>
      <c r="R365" s="2"/>
      <c r="S365" s="2"/>
      <c r="T365" s="2"/>
      <c r="U365" s="2"/>
      <c r="V365" s="2"/>
      <c r="W365" s="2"/>
      <c r="X365" s="2"/>
      <c r="Y365" s="2"/>
      <c r="Z365" s="2"/>
    </row>
    <row r="366">
      <c r="A366" s="2"/>
      <c r="B366" s="2"/>
      <c r="C366" s="2"/>
      <c r="D366" s="2"/>
      <c r="E366" s="2"/>
      <c r="F366" s="7"/>
      <c r="G366" s="2"/>
      <c r="H366" s="7"/>
      <c r="I366" s="2"/>
      <c r="J366" s="2"/>
      <c r="K366" s="2"/>
      <c r="L366" s="2"/>
      <c r="M366" s="2"/>
      <c r="N366" s="2"/>
      <c r="O366" s="2"/>
      <c r="P366" s="2"/>
      <c r="Q366" s="2"/>
      <c r="R366" s="2"/>
      <c r="S366" s="2"/>
      <c r="T366" s="2"/>
      <c r="U366" s="2"/>
      <c r="V366" s="2"/>
      <c r="W366" s="2"/>
      <c r="X366" s="2"/>
      <c r="Y366" s="2"/>
      <c r="Z366" s="2"/>
    </row>
    <row r="367">
      <c r="A367" s="2"/>
      <c r="B367" s="2"/>
      <c r="C367" s="2"/>
      <c r="D367" s="2"/>
      <c r="E367" s="2"/>
      <c r="F367" s="7"/>
      <c r="G367" s="2"/>
      <c r="H367" s="7"/>
      <c r="I367" s="2"/>
      <c r="J367" s="2"/>
      <c r="K367" s="2"/>
      <c r="L367" s="2"/>
      <c r="M367" s="2"/>
      <c r="N367" s="2"/>
      <c r="O367" s="2"/>
      <c r="P367" s="2"/>
      <c r="Q367" s="2"/>
      <c r="R367" s="2"/>
      <c r="S367" s="2"/>
      <c r="T367" s="2"/>
      <c r="U367" s="2"/>
      <c r="V367" s="2"/>
      <c r="W367" s="2"/>
      <c r="X367" s="2"/>
      <c r="Y367" s="2"/>
      <c r="Z367" s="2"/>
    </row>
    <row r="368">
      <c r="A368" s="2"/>
      <c r="B368" s="2"/>
      <c r="C368" s="2"/>
      <c r="D368" s="2"/>
      <c r="E368" s="2"/>
      <c r="F368" s="7"/>
      <c r="G368" s="2"/>
      <c r="H368" s="7"/>
      <c r="I368" s="2"/>
      <c r="J368" s="2"/>
      <c r="K368" s="2"/>
      <c r="L368" s="2"/>
      <c r="M368" s="2"/>
      <c r="N368" s="2"/>
      <c r="O368" s="2"/>
      <c r="P368" s="2"/>
      <c r="Q368" s="2"/>
      <c r="R368" s="2"/>
      <c r="S368" s="2"/>
      <c r="T368" s="2"/>
      <c r="U368" s="2"/>
      <c r="V368" s="2"/>
      <c r="W368" s="2"/>
      <c r="X368" s="2"/>
      <c r="Y368" s="2"/>
      <c r="Z368" s="2"/>
    </row>
    <row r="369">
      <c r="A369" s="2"/>
      <c r="B369" s="2"/>
      <c r="C369" s="2"/>
      <c r="D369" s="2"/>
      <c r="E369" s="2"/>
      <c r="F369" s="7"/>
      <c r="G369" s="2"/>
      <c r="H369" s="7"/>
      <c r="I369" s="2"/>
      <c r="J369" s="2"/>
      <c r="K369" s="2"/>
      <c r="L369" s="2"/>
      <c r="M369" s="2"/>
      <c r="N369" s="2"/>
      <c r="O369" s="2"/>
      <c r="P369" s="2"/>
      <c r="Q369" s="2"/>
      <c r="R369" s="2"/>
      <c r="S369" s="2"/>
      <c r="T369" s="2"/>
      <c r="U369" s="2"/>
      <c r="V369" s="2"/>
      <c r="W369" s="2"/>
      <c r="X369" s="2"/>
      <c r="Y369" s="2"/>
      <c r="Z369" s="2"/>
    </row>
    <row r="370">
      <c r="A370" s="2"/>
      <c r="B370" s="2"/>
      <c r="C370" s="2"/>
      <c r="D370" s="2"/>
      <c r="E370" s="2"/>
      <c r="F370" s="7"/>
      <c r="G370" s="2"/>
      <c r="H370" s="7"/>
      <c r="I370" s="2"/>
      <c r="J370" s="2"/>
      <c r="K370" s="2"/>
      <c r="L370" s="2"/>
      <c r="M370" s="2"/>
      <c r="N370" s="2"/>
      <c r="O370" s="2"/>
      <c r="P370" s="2"/>
      <c r="Q370" s="2"/>
      <c r="R370" s="2"/>
      <c r="S370" s="2"/>
      <c r="T370" s="2"/>
      <c r="U370" s="2"/>
      <c r="V370" s="2"/>
      <c r="W370" s="2"/>
      <c r="X370" s="2"/>
      <c r="Y370" s="2"/>
      <c r="Z370" s="2"/>
    </row>
    <row r="371">
      <c r="A371" s="2"/>
      <c r="B371" s="2"/>
      <c r="C371" s="2"/>
      <c r="D371" s="2"/>
      <c r="E371" s="2"/>
      <c r="F371" s="7"/>
      <c r="G371" s="2"/>
      <c r="H371" s="7"/>
      <c r="I371" s="2"/>
      <c r="J371" s="2"/>
      <c r="K371" s="2"/>
      <c r="L371" s="2"/>
      <c r="M371" s="2"/>
      <c r="N371" s="2"/>
      <c r="O371" s="2"/>
      <c r="P371" s="2"/>
      <c r="Q371" s="2"/>
      <c r="R371" s="2"/>
      <c r="S371" s="2"/>
      <c r="T371" s="2"/>
      <c r="U371" s="2"/>
      <c r="V371" s="2"/>
      <c r="W371" s="2"/>
      <c r="X371" s="2"/>
      <c r="Y371" s="2"/>
      <c r="Z371" s="2"/>
    </row>
    <row r="372">
      <c r="A372" s="2"/>
      <c r="B372" s="2"/>
      <c r="C372" s="2"/>
      <c r="D372" s="2"/>
      <c r="E372" s="2"/>
      <c r="F372" s="7"/>
      <c r="G372" s="2"/>
      <c r="H372" s="7"/>
      <c r="I372" s="2"/>
      <c r="J372" s="2"/>
      <c r="K372" s="2"/>
      <c r="L372" s="2"/>
      <c r="M372" s="2"/>
      <c r="N372" s="2"/>
      <c r="O372" s="2"/>
      <c r="P372" s="2"/>
      <c r="Q372" s="2"/>
      <c r="R372" s="2"/>
      <c r="S372" s="2"/>
      <c r="T372" s="2"/>
      <c r="U372" s="2"/>
      <c r="V372" s="2"/>
      <c r="W372" s="2"/>
      <c r="X372" s="2"/>
      <c r="Y372" s="2"/>
      <c r="Z372" s="2"/>
    </row>
    <row r="373">
      <c r="A373" s="2"/>
      <c r="B373" s="2"/>
      <c r="C373" s="2"/>
      <c r="D373" s="2"/>
      <c r="E373" s="2"/>
      <c r="F373" s="7"/>
      <c r="G373" s="2"/>
      <c r="H373" s="7"/>
      <c r="I373" s="2"/>
      <c r="J373" s="2"/>
      <c r="K373" s="2"/>
      <c r="L373" s="2"/>
      <c r="M373" s="2"/>
      <c r="N373" s="2"/>
      <c r="O373" s="2"/>
      <c r="P373" s="2"/>
      <c r="Q373" s="2"/>
      <c r="R373" s="2"/>
      <c r="S373" s="2"/>
      <c r="T373" s="2"/>
      <c r="U373" s="2"/>
      <c r="V373" s="2"/>
      <c r="W373" s="2"/>
      <c r="X373" s="2"/>
      <c r="Y373" s="2"/>
      <c r="Z373" s="2"/>
    </row>
    <row r="374">
      <c r="A374" s="2"/>
      <c r="B374" s="2"/>
      <c r="C374" s="2"/>
      <c r="D374" s="2"/>
      <c r="E374" s="2"/>
      <c r="F374" s="7"/>
      <c r="G374" s="2"/>
      <c r="H374" s="7"/>
      <c r="I374" s="2"/>
      <c r="J374" s="2"/>
      <c r="K374" s="2"/>
      <c r="L374" s="2"/>
      <c r="M374" s="2"/>
      <c r="N374" s="2"/>
      <c r="O374" s="2"/>
      <c r="P374" s="2"/>
      <c r="Q374" s="2"/>
      <c r="R374" s="2"/>
      <c r="S374" s="2"/>
      <c r="T374" s="2"/>
      <c r="U374" s="2"/>
      <c r="V374" s="2"/>
      <c r="W374" s="2"/>
      <c r="X374" s="2"/>
      <c r="Y374" s="2"/>
      <c r="Z374" s="2"/>
    </row>
    <row r="375">
      <c r="A375" s="2"/>
      <c r="B375" s="2"/>
      <c r="C375" s="2"/>
      <c r="D375" s="2"/>
      <c r="E375" s="2"/>
      <c r="F375" s="7"/>
      <c r="G375" s="2"/>
      <c r="H375" s="7"/>
      <c r="I375" s="2"/>
      <c r="J375" s="2"/>
      <c r="K375" s="2"/>
      <c r="L375" s="2"/>
      <c r="M375" s="2"/>
      <c r="N375" s="2"/>
      <c r="O375" s="2"/>
      <c r="P375" s="2"/>
      <c r="Q375" s="2"/>
      <c r="R375" s="2"/>
      <c r="S375" s="2"/>
      <c r="T375" s="2"/>
      <c r="U375" s="2"/>
      <c r="V375" s="2"/>
      <c r="W375" s="2"/>
      <c r="X375" s="2"/>
      <c r="Y375" s="2"/>
      <c r="Z375" s="2"/>
    </row>
    <row r="376">
      <c r="A376" s="2"/>
      <c r="B376" s="2"/>
      <c r="C376" s="2"/>
      <c r="D376" s="2"/>
      <c r="E376" s="2"/>
      <c r="F376" s="7"/>
      <c r="G376" s="2"/>
      <c r="H376" s="7"/>
      <c r="I376" s="2"/>
      <c r="J376" s="2"/>
      <c r="K376" s="2"/>
      <c r="L376" s="2"/>
      <c r="M376" s="2"/>
      <c r="N376" s="2"/>
      <c r="O376" s="2"/>
      <c r="P376" s="2"/>
      <c r="Q376" s="2"/>
      <c r="R376" s="2"/>
      <c r="S376" s="2"/>
      <c r="T376" s="2"/>
      <c r="U376" s="2"/>
      <c r="V376" s="2"/>
      <c r="W376" s="2"/>
      <c r="X376" s="2"/>
      <c r="Y376" s="2"/>
      <c r="Z376" s="2"/>
    </row>
    <row r="377">
      <c r="A377" s="2"/>
      <c r="B377" s="2"/>
      <c r="C377" s="2"/>
      <c r="D377" s="2"/>
      <c r="E377" s="2"/>
      <c r="F377" s="7"/>
      <c r="G377" s="2"/>
      <c r="H377" s="7"/>
      <c r="I377" s="2"/>
      <c r="J377" s="2"/>
      <c r="K377" s="2"/>
      <c r="L377" s="2"/>
      <c r="M377" s="2"/>
      <c r="N377" s="2"/>
      <c r="O377" s="2"/>
      <c r="P377" s="2"/>
      <c r="Q377" s="2"/>
      <c r="R377" s="2"/>
      <c r="S377" s="2"/>
      <c r="T377" s="2"/>
      <c r="U377" s="2"/>
      <c r="V377" s="2"/>
      <c r="W377" s="2"/>
      <c r="X377" s="2"/>
      <c r="Y377" s="2"/>
      <c r="Z377" s="2"/>
    </row>
    <row r="378">
      <c r="A378" s="2"/>
      <c r="B378" s="2"/>
      <c r="C378" s="2"/>
      <c r="D378" s="2"/>
      <c r="E378" s="2"/>
      <c r="F378" s="7"/>
      <c r="G378" s="2"/>
      <c r="H378" s="7"/>
      <c r="I378" s="2"/>
      <c r="J378" s="2"/>
      <c r="K378" s="2"/>
      <c r="L378" s="2"/>
      <c r="M378" s="2"/>
      <c r="N378" s="2"/>
      <c r="O378" s="2"/>
      <c r="P378" s="2"/>
      <c r="Q378" s="2"/>
      <c r="R378" s="2"/>
      <c r="S378" s="2"/>
      <c r="T378" s="2"/>
      <c r="U378" s="2"/>
      <c r="V378" s="2"/>
      <c r="W378" s="2"/>
      <c r="X378" s="2"/>
      <c r="Y378" s="2"/>
      <c r="Z378" s="2"/>
    </row>
    <row r="379">
      <c r="A379" s="2"/>
      <c r="B379" s="2"/>
      <c r="C379" s="2"/>
      <c r="D379" s="2"/>
      <c r="E379" s="2"/>
      <c r="F379" s="7"/>
      <c r="G379" s="2"/>
      <c r="H379" s="7"/>
      <c r="I379" s="2"/>
      <c r="J379" s="2"/>
      <c r="K379" s="2"/>
      <c r="L379" s="2"/>
      <c r="M379" s="2"/>
      <c r="N379" s="2"/>
      <c r="O379" s="2"/>
      <c r="P379" s="2"/>
      <c r="Q379" s="2"/>
      <c r="R379" s="2"/>
      <c r="S379" s="2"/>
      <c r="T379" s="2"/>
      <c r="U379" s="2"/>
      <c r="V379" s="2"/>
      <c r="W379" s="2"/>
      <c r="X379" s="2"/>
      <c r="Y379" s="2"/>
      <c r="Z379" s="2"/>
    </row>
    <row r="380">
      <c r="A380" s="2"/>
      <c r="B380" s="2"/>
      <c r="C380" s="2"/>
      <c r="D380" s="2"/>
      <c r="E380" s="2"/>
      <c r="F380" s="7"/>
      <c r="G380" s="2"/>
      <c r="H380" s="7"/>
      <c r="I380" s="2"/>
      <c r="J380" s="2"/>
      <c r="K380" s="2"/>
      <c r="L380" s="2"/>
      <c r="M380" s="2"/>
      <c r="N380" s="2"/>
      <c r="O380" s="2"/>
      <c r="P380" s="2"/>
      <c r="Q380" s="2"/>
      <c r="R380" s="2"/>
      <c r="S380" s="2"/>
      <c r="T380" s="2"/>
      <c r="U380" s="2"/>
      <c r="V380" s="2"/>
      <c r="W380" s="2"/>
      <c r="X380" s="2"/>
      <c r="Y380" s="2"/>
      <c r="Z380" s="2"/>
    </row>
    <row r="381">
      <c r="A381" s="2"/>
      <c r="B381" s="2"/>
      <c r="C381" s="2"/>
      <c r="D381" s="2"/>
      <c r="E381" s="2"/>
      <c r="F381" s="7"/>
      <c r="G381" s="2"/>
      <c r="H381" s="7"/>
      <c r="I381" s="2"/>
      <c r="J381" s="2"/>
      <c r="K381" s="2"/>
      <c r="L381" s="2"/>
      <c r="M381" s="2"/>
      <c r="N381" s="2"/>
      <c r="O381" s="2"/>
      <c r="P381" s="2"/>
      <c r="Q381" s="2"/>
      <c r="R381" s="2"/>
      <c r="S381" s="2"/>
      <c r="T381" s="2"/>
      <c r="U381" s="2"/>
      <c r="V381" s="2"/>
      <c r="W381" s="2"/>
      <c r="X381" s="2"/>
      <c r="Y381" s="2"/>
      <c r="Z381" s="2"/>
    </row>
    <row r="382">
      <c r="A382" s="2"/>
      <c r="B382" s="2"/>
      <c r="C382" s="2"/>
      <c r="D382" s="2"/>
      <c r="E382" s="2"/>
      <c r="F382" s="7"/>
      <c r="G382" s="2"/>
      <c r="H382" s="7"/>
      <c r="I382" s="2"/>
      <c r="J382" s="2"/>
      <c r="K382" s="2"/>
      <c r="L382" s="2"/>
      <c r="M382" s="2"/>
      <c r="N382" s="2"/>
      <c r="O382" s="2"/>
      <c r="P382" s="2"/>
      <c r="Q382" s="2"/>
      <c r="R382" s="2"/>
      <c r="S382" s="2"/>
      <c r="T382" s="2"/>
      <c r="U382" s="2"/>
      <c r="V382" s="2"/>
      <c r="W382" s="2"/>
      <c r="X382" s="2"/>
      <c r="Y382" s="2"/>
      <c r="Z382" s="2"/>
    </row>
    <row r="383">
      <c r="A383" s="2"/>
      <c r="B383" s="2"/>
      <c r="C383" s="2"/>
      <c r="D383" s="2"/>
      <c r="E383" s="2"/>
      <c r="F383" s="7"/>
      <c r="G383" s="2"/>
      <c r="H383" s="7"/>
      <c r="I383" s="2"/>
      <c r="J383" s="2"/>
      <c r="K383" s="2"/>
      <c r="L383" s="2"/>
      <c r="M383" s="2"/>
      <c r="N383" s="2"/>
      <c r="O383" s="2"/>
      <c r="P383" s="2"/>
      <c r="Q383" s="2"/>
      <c r="R383" s="2"/>
      <c r="S383" s="2"/>
      <c r="T383" s="2"/>
      <c r="U383" s="2"/>
      <c r="V383" s="2"/>
      <c r="W383" s="2"/>
      <c r="X383" s="2"/>
      <c r="Y383" s="2"/>
      <c r="Z383" s="2"/>
    </row>
    <row r="384">
      <c r="A384" s="2"/>
      <c r="B384" s="2"/>
      <c r="C384" s="2"/>
      <c r="D384" s="2"/>
      <c r="E384" s="2"/>
      <c r="F384" s="7"/>
      <c r="G384" s="2"/>
      <c r="H384" s="7"/>
      <c r="I384" s="2"/>
      <c r="J384" s="2"/>
      <c r="K384" s="2"/>
      <c r="L384" s="2"/>
      <c r="M384" s="2"/>
      <c r="N384" s="2"/>
      <c r="O384" s="2"/>
      <c r="P384" s="2"/>
      <c r="Q384" s="2"/>
      <c r="R384" s="2"/>
      <c r="S384" s="2"/>
      <c r="T384" s="2"/>
      <c r="U384" s="2"/>
      <c r="V384" s="2"/>
      <c r="W384" s="2"/>
      <c r="X384" s="2"/>
      <c r="Y384" s="2"/>
      <c r="Z384" s="2"/>
    </row>
    <row r="385">
      <c r="A385" s="2"/>
      <c r="B385" s="2"/>
      <c r="C385" s="2"/>
      <c r="D385" s="2"/>
      <c r="E385" s="2"/>
      <c r="F385" s="7"/>
      <c r="G385" s="2"/>
      <c r="H385" s="7"/>
      <c r="I385" s="2"/>
      <c r="J385" s="2"/>
      <c r="K385" s="2"/>
      <c r="L385" s="2"/>
      <c r="M385" s="2"/>
      <c r="N385" s="2"/>
      <c r="O385" s="2"/>
      <c r="P385" s="2"/>
      <c r="Q385" s="2"/>
      <c r="R385" s="2"/>
      <c r="S385" s="2"/>
      <c r="T385" s="2"/>
      <c r="U385" s="2"/>
      <c r="V385" s="2"/>
      <c r="W385" s="2"/>
      <c r="X385" s="2"/>
      <c r="Y385" s="2"/>
      <c r="Z385" s="2"/>
    </row>
    <row r="386">
      <c r="A386" s="2"/>
      <c r="B386" s="2"/>
      <c r="C386" s="2"/>
      <c r="D386" s="2"/>
      <c r="E386" s="2"/>
      <c r="F386" s="7"/>
      <c r="G386" s="2"/>
      <c r="H386" s="7"/>
      <c r="I386" s="2"/>
      <c r="J386" s="2"/>
      <c r="K386" s="2"/>
      <c r="L386" s="2"/>
      <c r="M386" s="2"/>
      <c r="N386" s="2"/>
      <c r="O386" s="2"/>
      <c r="P386" s="2"/>
      <c r="Q386" s="2"/>
      <c r="R386" s="2"/>
      <c r="S386" s="2"/>
      <c r="T386" s="2"/>
      <c r="U386" s="2"/>
      <c r="V386" s="2"/>
      <c r="W386" s="2"/>
      <c r="X386" s="2"/>
      <c r="Y386" s="2"/>
      <c r="Z386" s="2"/>
    </row>
    <row r="387">
      <c r="A387" s="2"/>
      <c r="B387" s="2"/>
      <c r="C387" s="2"/>
      <c r="D387" s="2"/>
      <c r="E387" s="2"/>
      <c r="F387" s="7"/>
      <c r="G387" s="2"/>
      <c r="H387" s="7"/>
      <c r="I387" s="2"/>
      <c r="J387" s="2"/>
      <c r="K387" s="2"/>
      <c r="L387" s="2"/>
      <c r="M387" s="2"/>
      <c r="N387" s="2"/>
      <c r="O387" s="2"/>
      <c r="P387" s="2"/>
      <c r="Q387" s="2"/>
      <c r="R387" s="2"/>
      <c r="S387" s="2"/>
      <c r="T387" s="2"/>
      <c r="U387" s="2"/>
      <c r="V387" s="2"/>
      <c r="W387" s="2"/>
      <c r="X387" s="2"/>
      <c r="Y387" s="2"/>
      <c r="Z387" s="2"/>
    </row>
    <row r="388">
      <c r="A388" s="2"/>
      <c r="B388" s="2"/>
      <c r="C388" s="2"/>
      <c r="D388" s="2"/>
      <c r="E388" s="2"/>
      <c r="F388" s="7"/>
      <c r="G388" s="2"/>
      <c r="H388" s="7"/>
      <c r="I388" s="2"/>
      <c r="J388" s="2"/>
      <c r="K388" s="2"/>
      <c r="L388" s="2"/>
      <c r="M388" s="2"/>
      <c r="N388" s="2"/>
      <c r="O388" s="2"/>
      <c r="P388" s="2"/>
      <c r="Q388" s="2"/>
      <c r="R388" s="2"/>
      <c r="S388" s="2"/>
      <c r="T388" s="2"/>
      <c r="U388" s="2"/>
      <c r="V388" s="2"/>
      <c r="W388" s="2"/>
      <c r="X388" s="2"/>
      <c r="Y388" s="2"/>
      <c r="Z388" s="2"/>
    </row>
    <row r="389">
      <c r="A389" s="2"/>
      <c r="B389" s="2"/>
      <c r="C389" s="2"/>
      <c r="D389" s="2"/>
      <c r="E389" s="2"/>
      <c r="F389" s="7"/>
      <c r="G389" s="2"/>
      <c r="H389" s="7"/>
      <c r="I389" s="2"/>
      <c r="J389" s="2"/>
      <c r="K389" s="2"/>
      <c r="L389" s="2"/>
      <c r="M389" s="2"/>
      <c r="N389" s="2"/>
      <c r="O389" s="2"/>
      <c r="P389" s="2"/>
      <c r="Q389" s="2"/>
      <c r="R389" s="2"/>
      <c r="S389" s="2"/>
      <c r="T389" s="2"/>
      <c r="U389" s="2"/>
      <c r="V389" s="2"/>
      <c r="W389" s="2"/>
      <c r="X389" s="2"/>
      <c r="Y389" s="2"/>
      <c r="Z389" s="2"/>
    </row>
    <row r="390">
      <c r="A390" s="2"/>
      <c r="B390" s="2"/>
      <c r="C390" s="2"/>
      <c r="D390" s="2"/>
      <c r="E390" s="2"/>
      <c r="F390" s="7"/>
      <c r="G390" s="2"/>
      <c r="H390" s="7"/>
      <c r="I390" s="2"/>
      <c r="J390" s="2"/>
      <c r="K390" s="2"/>
      <c r="L390" s="2"/>
      <c r="M390" s="2"/>
      <c r="N390" s="2"/>
      <c r="O390" s="2"/>
      <c r="P390" s="2"/>
      <c r="Q390" s="2"/>
      <c r="R390" s="2"/>
      <c r="S390" s="2"/>
      <c r="T390" s="2"/>
      <c r="U390" s="2"/>
      <c r="V390" s="2"/>
      <c r="W390" s="2"/>
      <c r="X390" s="2"/>
      <c r="Y390" s="2"/>
      <c r="Z390" s="2"/>
    </row>
    <row r="391">
      <c r="A391" s="2"/>
      <c r="B391" s="2"/>
      <c r="C391" s="2"/>
      <c r="D391" s="2"/>
      <c r="E391" s="2"/>
      <c r="F391" s="7"/>
      <c r="G391" s="2"/>
      <c r="H391" s="7"/>
      <c r="I391" s="2"/>
      <c r="J391" s="2"/>
      <c r="K391" s="2"/>
      <c r="L391" s="2"/>
      <c r="M391" s="2"/>
      <c r="N391" s="2"/>
      <c r="O391" s="2"/>
      <c r="P391" s="2"/>
      <c r="Q391" s="2"/>
      <c r="R391" s="2"/>
      <c r="S391" s="2"/>
      <c r="T391" s="2"/>
      <c r="U391" s="2"/>
      <c r="V391" s="2"/>
      <c r="W391" s="2"/>
      <c r="X391" s="2"/>
      <c r="Y391" s="2"/>
      <c r="Z391" s="2"/>
    </row>
    <row r="392">
      <c r="A392" s="2"/>
      <c r="B392" s="2"/>
      <c r="C392" s="2"/>
      <c r="D392" s="2"/>
      <c r="E392" s="2"/>
      <c r="F392" s="7"/>
      <c r="G392" s="2"/>
      <c r="H392" s="7"/>
      <c r="I392" s="2"/>
      <c r="J392" s="2"/>
      <c r="K392" s="2"/>
      <c r="L392" s="2"/>
      <c r="M392" s="2"/>
      <c r="N392" s="2"/>
      <c r="O392" s="2"/>
      <c r="P392" s="2"/>
      <c r="Q392" s="2"/>
      <c r="R392" s="2"/>
      <c r="S392" s="2"/>
      <c r="T392" s="2"/>
      <c r="U392" s="2"/>
      <c r="V392" s="2"/>
      <c r="W392" s="2"/>
      <c r="X392" s="2"/>
      <c r="Y392" s="2"/>
      <c r="Z392" s="2"/>
    </row>
    <row r="393">
      <c r="A393" s="2"/>
      <c r="B393" s="2"/>
      <c r="C393" s="2"/>
      <c r="D393" s="2"/>
      <c r="E393" s="2"/>
      <c r="F393" s="7"/>
      <c r="G393" s="2"/>
      <c r="H393" s="7"/>
      <c r="I393" s="2"/>
      <c r="J393" s="2"/>
      <c r="K393" s="2"/>
      <c r="L393" s="2"/>
      <c r="M393" s="2"/>
      <c r="N393" s="2"/>
      <c r="O393" s="2"/>
      <c r="P393" s="2"/>
      <c r="Q393" s="2"/>
      <c r="R393" s="2"/>
      <c r="S393" s="2"/>
      <c r="T393" s="2"/>
      <c r="U393" s="2"/>
      <c r="V393" s="2"/>
      <c r="W393" s="2"/>
      <c r="X393" s="2"/>
      <c r="Y393" s="2"/>
      <c r="Z393" s="2"/>
    </row>
    <row r="394">
      <c r="A394" s="2"/>
      <c r="B394" s="2"/>
      <c r="C394" s="2"/>
      <c r="D394" s="2"/>
      <c r="E394" s="2"/>
      <c r="F394" s="7"/>
      <c r="G394" s="2"/>
      <c r="H394" s="7"/>
      <c r="I394" s="2"/>
      <c r="J394" s="2"/>
      <c r="K394" s="2"/>
      <c r="L394" s="2"/>
      <c r="M394" s="2"/>
      <c r="N394" s="2"/>
      <c r="O394" s="2"/>
      <c r="P394" s="2"/>
      <c r="Q394" s="2"/>
      <c r="R394" s="2"/>
      <c r="S394" s="2"/>
      <c r="T394" s="2"/>
      <c r="U394" s="2"/>
      <c r="V394" s="2"/>
      <c r="W394" s="2"/>
      <c r="X394" s="2"/>
      <c r="Y394" s="2"/>
      <c r="Z394" s="2"/>
    </row>
    <row r="395">
      <c r="A395" s="2"/>
      <c r="B395" s="2"/>
      <c r="C395" s="2"/>
      <c r="D395" s="2"/>
      <c r="E395" s="2"/>
      <c r="F395" s="7"/>
      <c r="G395" s="2"/>
      <c r="H395" s="7"/>
      <c r="I395" s="2"/>
      <c r="J395" s="2"/>
      <c r="K395" s="2"/>
      <c r="L395" s="2"/>
      <c r="M395" s="2"/>
      <c r="N395" s="2"/>
      <c r="O395" s="2"/>
      <c r="P395" s="2"/>
      <c r="Q395" s="2"/>
      <c r="R395" s="2"/>
      <c r="S395" s="2"/>
      <c r="T395" s="2"/>
      <c r="U395" s="2"/>
      <c r="V395" s="2"/>
      <c r="W395" s="2"/>
      <c r="X395" s="2"/>
      <c r="Y395" s="2"/>
      <c r="Z395" s="2"/>
    </row>
    <row r="396">
      <c r="A396" s="2"/>
      <c r="B396" s="2"/>
      <c r="C396" s="2"/>
      <c r="D396" s="2"/>
      <c r="E396" s="2"/>
      <c r="F396" s="7"/>
      <c r="G396" s="2"/>
      <c r="H396" s="7"/>
      <c r="I396" s="2"/>
      <c r="J396" s="2"/>
      <c r="K396" s="2"/>
      <c r="L396" s="2"/>
      <c r="M396" s="2"/>
      <c r="N396" s="2"/>
      <c r="O396" s="2"/>
      <c r="P396" s="2"/>
      <c r="Q396" s="2"/>
      <c r="R396" s="2"/>
      <c r="S396" s="2"/>
      <c r="T396" s="2"/>
      <c r="U396" s="2"/>
      <c r="V396" s="2"/>
      <c r="W396" s="2"/>
      <c r="X396" s="2"/>
      <c r="Y396" s="2"/>
      <c r="Z396" s="2"/>
    </row>
    <row r="397">
      <c r="A397" s="2"/>
      <c r="B397" s="2"/>
      <c r="C397" s="2"/>
      <c r="D397" s="2"/>
      <c r="E397" s="2"/>
      <c r="F397" s="7"/>
      <c r="G397" s="2"/>
      <c r="H397" s="7"/>
      <c r="I397" s="2"/>
      <c r="J397" s="2"/>
      <c r="K397" s="2"/>
      <c r="L397" s="2"/>
      <c r="M397" s="2"/>
      <c r="N397" s="2"/>
      <c r="O397" s="2"/>
      <c r="P397" s="2"/>
      <c r="Q397" s="2"/>
      <c r="R397" s="2"/>
      <c r="S397" s="2"/>
      <c r="T397" s="2"/>
      <c r="U397" s="2"/>
      <c r="V397" s="2"/>
      <c r="W397" s="2"/>
      <c r="X397" s="2"/>
      <c r="Y397" s="2"/>
      <c r="Z397" s="2"/>
    </row>
    <row r="398">
      <c r="A398" s="2"/>
      <c r="B398" s="2"/>
      <c r="C398" s="2"/>
      <c r="D398" s="2"/>
      <c r="E398" s="2"/>
      <c r="F398" s="7"/>
      <c r="G398" s="2"/>
      <c r="H398" s="7"/>
      <c r="I398" s="2"/>
      <c r="J398" s="2"/>
      <c r="K398" s="2"/>
      <c r="L398" s="2"/>
      <c r="M398" s="2"/>
      <c r="N398" s="2"/>
      <c r="O398" s="2"/>
      <c r="P398" s="2"/>
      <c r="Q398" s="2"/>
      <c r="R398" s="2"/>
      <c r="S398" s="2"/>
      <c r="T398" s="2"/>
      <c r="U398" s="2"/>
      <c r="V398" s="2"/>
      <c r="W398" s="2"/>
      <c r="X398" s="2"/>
      <c r="Y398" s="2"/>
      <c r="Z398" s="2"/>
    </row>
    <row r="399">
      <c r="A399" s="2"/>
      <c r="B399" s="2"/>
      <c r="C399" s="2"/>
      <c r="D399" s="2"/>
      <c r="E399" s="2"/>
      <c r="F399" s="7"/>
      <c r="G399" s="2"/>
      <c r="H399" s="7"/>
      <c r="I399" s="2"/>
      <c r="J399" s="2"/>
      <c r="K399" s="2"/>
      <c r="L399" s="2"/>
      <c r="M399" s="2"/>
      <c r="N399" s="2"/>
      <c r="O399" s="2"/>
      <c r="P399" s="2"/>
      <c r="Q399" s="2"/>
      <c r="R399" s="2"/>
      <c r="S399" s="2"/>
      <c r="T399" s="2"/>
      <c r="U399" s="2"/>
      <c r="V399" s="2"/>
      <c r="W399" s="2"/>
      <c r="X399" s="2"/>
      <c r="Y399" s="2"/>
      <c r="Z399" s="2"/>
    </row>
    <row r="400">
      <c r="A400" s="2"/>
      <c r="B400" s="2"/>
      <c r="C400" s="2"/>
      <c r="D400" s="2"/>
      <c r="E400" s="2"/>
      <c r="F400" s="7"/>
      <c r="G400" s="2"/>
      <c r="H400" s="7"/>
      <c r="I400" s="2"/>
      <c r="J400" s="2"/>
      <c r="K400" s="2"/>
      <c r="L400" s="2"/>
      <c r="M400" s="2"/>
      <c r="N400" s="2"/>
      <c r="O400" s="2"/>
      <c r="P400" s="2"/>
      <c r="Q400" s="2"/>
      <c r="R400" s="2"/>
      <c r="S400" s="2"/>
      <c r="T400" s="2"/>
      <c r="U400" s="2"/>
      <c r="V400" s="2"/>
      <c r="W400" s="2"/>
      <c r="X400" s="2"/>
      <c r="Y400" s="2"/>
      <c r="Z400" s="2"/>
    </row>
    <row r="401">
      <c r="A401" s="2"/>
      <c r="B401" s="2"/>
      <c r="C401" s="2"/>
      <c r="D401" s="2"/>
      <c r="E401" s="2"/>
      <c r="F401" s="7"/>
      <c r="G401" s="2"/>
      <c r="H401" s="7"/>
      <c r="I401" s="2"/>
      <c r="J401" s="2"/>
      <c r="K401" s="2"/>
      <c r="L401" s="2"/>
      <c r="M401" s="2"/>
      <c r="N401" s="2"/>
      <c r="O401" s="2"/>
      <c r="P401" s="2"/>
      <c r="Q401" s="2"/>
      <c r="R401" s="2"/>
      <c r="S401" s="2"/>
      <c r="T401" s="2"/>
      <c r="U401" s="2"/>
      <c r="V401" s="2"/>
      <c r="W401" s="2"/>
      <c r="X401" s="2"/>
      <c r="Y401" s="2"/>
      <c r="Z401" s="2"/>
    </row>
    <row r="402">
      <c r="A402" s="2"/>
      <c r="B402" s="2"/>
      <c r="C402" s="2"/>
      <c r="D402" s="2"/>
      <c r="E402" s="2"/>
      <c r="F402" s="7"/>
      <c r="G402" s="2"/>
      <c r="H402" s="7"/>
      <c r="I402" s="2"/>
      <c r="J402" s="2"/>
      <c r="K402" s="2"/>
      <c r="L402" s="2"/>
      <c r="M402" s="2"/>
      <c r="N402" s="2"/>
      <c r="O402" s="2"/>
      <c r="P402" s="2"/>
      <c r="Q402" s="2"/>
      <c r="R402" s="2"/>
      <c r="S402" s="2"/>
      <c r="T402" s="2"/>
      <c r="U402" s="2"/>
      <c r="V402" s="2"/>
      <c r="W402" s="2"/>
      <c r="X402" s="2"/>
      <c r="Y402" s="2"/>
      <c r="Z402" s="2"/>
    </row>
    <row r="403">
      <c r="A403" s="2"/>
      <c r="B403" s="2"/>
      <c r="C403" s="2"/>
      <c r="D403" s="2"/>
      <c r="E403" s="2"/>
      <c r="F403" s="7"/>
      <c r="G403" s="2"/>
      <c r="H403" s="7"/>
      <c r="I403" s="2"/>
      <c r="J403" s="2"/>
      <c r="K403" s="2"/>
      <c r="L403" s="2"/>
      <c r="M403" s="2"/>
      <c r="N403" s="2"/>
      <c r="O403" s="2"/>
      <c r="P403" s="2"/>
      <c r="Q403" s="2"/>
      <c r="R403" s="2"/>
      <c r="S403" s="2"/>
      <c r="T403" s="2"/>
      <c r="U403" s="2"/>
      <c r="V403" s="2"/>
      <c r="W403" s="2"/>
      <c r="X403" s="2"/>
      <c r="Y403" s="2"/>
      <c r="Z403" s="2"/>
    </row>
    <row r="404">
      <c r="A404" s="2"/>
      <c r="B404" s="2"/>
      <c r="C404" s="2"/>
      <c r="D404" s="2"/>
      <c r="E404" s="2"/>
      <c r="F404" s="7"/>
      <c r="G404" s="2"/>
      <c r="H404" s="7"/>
      <c r="I404" s="2"/>
      <c r="J404" s="2"/>
      <c r="K404" s="2"/>
      <c r="L404" s="2"/>
      <c r="M404" s="2"/>
      <c r="N404" s="2"/>
      <c r="O404" s="2"/>
      <c r="P404" s="2"/>
      <c r="Q404" s="2"/>
      <c r="R404" s="2"/>
      <c r="S404" s="2"/>
      <c r="T404" s="2"/>
      <c r="U404" s="2"/>
      <c r="V404" s="2"/>
      <c r="W404" s="2"/>
      <c r="X404" s="2"/>
      <c r="Y404" s="2"/>
      <c r="Z404" s="2"/>
    </row>
    <row r="405">
      <c r="A405" s="2"/>
      <c r="B405" s="2"/>
      <c r="C405" s="2"/>
      <c r="D405" s="2"/>
      <c r="E405" s="2"/>
      <c r="F405" s="7"/>
      <c r="G405" s="2"/>
      <c r="H405" s="7"/>
      <c r="I405" s="2"/>
      <c r="J405" s="2"/>
      <c r="K405" s="2"/>
      <c r="L405" s="2"/>
      <c r="M405" s="2"/>
      <c r="N405" s="2"/>
      <c r="O405" s="2"/>
      <c r="P405" s="2"/>
      <c r="Q405" s="2"/>
      <c r="R405" s="2"/>
      <c r="S405" s="2"/>
      <c r="T405" s="2"/>
      <c r="U405" s="2"/>
      <c r="V405" s="2"/>
      <c r="W405" s="2"/>
      <c r="X405" s="2"/>
      <c r="Y405" s="2"/>
      <c r="Z405" s="2"/>
    </row>
    <row r="406">
      <c r="A406" s="2"/>
      <c r="B406" s="2"/>
      <c r="C406" s="2"/>
      <c r="D406" s="2"/>
      <c r="E406" s="2"/>
      <c r="F406" s="7"/>
      <c r="G406" s="2"/>
      <c r="H406" s="7"/>
      <c r="I406" s="2"/>
      <c r="J406" s="2"/>
      <c r="K406" s="2"/>
      <c r="L406" s="2"/>
      <c r="M406" s="2"/>
      <c r="N406" s="2"/>
      <c r="O406" s="2"/>
      <c r="P406" s="2"/>
      <c r="Q406" s="2"/>
      <c r="R406" s="2"/>
      <c r="S406" s="2"/>
      <c r="T406" s="2"/>
      <c r="U406" s="2"/>
      <c r="V406" s="2"/>
      <c r="W406" s="2"/>
      <c r="X406" s="2"/>
      <c r="Y406" s="2"/>
      <c r="Z406" s="2"/>
    </row>
    <row r="407">
      <c r="A407" s="2"/>
      <c r="B407" s="2"/>
      <c r="C407" s="2"/>
      <c r="D407" s="2"/>
      <c r="E407" s="2"/>
      <c r="F407" s="7"/>
      <c r="G407" s="2"/>
      <c r="H407" s="7"/>
      <c r="I407" s="2"/>
      <c r="J407" s="2"/>
      <c r="K407" s="2"/>
      <c r="L407" s="2"/>
      <c r="M407" s="2"/>
      <c r="N407" s="2"/>
      <c r="O407" s="2"/>
      <c r="P407" s="2"/>
      <c r="Q407" s="2"/>
      <c r="R407" s="2"/>
      <c r="S407" s="2"/>
      <c r="T407" s="2"/>
      <c r="U407" s="2"/>
      <c r="V407" s="2"/>
      <c r="W407" s="2"/>
      <c r="X407" s="2"/>
      <c r="Y407" s="2"/>
      <c r="Z407" s="2"/>
    </row>
    <row r="408">
      <c r="A408" s="2"/>
      <c r="B408" s="2"/>
      <c r="C408" s="2"/>
      <c r="D408" s="2"/>
      <c r="E408" s="2"/>
      <c r="F408" s="7"/>
      <c r="G408" s="2"/>
      <c r="H408" s="7"/>
      <c r="I408" s="2"/>
      <c r="J408" s="2"/>
      <c r="K408" s="2"/>
      <c r="L408" s="2"/>
      <c r="M408" s="2"/>
      <c r="N408" s="2"/>
      <c r="O408" s="2"/>
      <c r="P408" s="2"/>
      <c r="Q408" s="2"/>
      <c r="R408" s="2"/>
      <c r="S408" s="2"/>
      <c r="T408" s="2"/>
      <c r="U408" s="2"/>
      <c r="V408" s="2"/>
      <c r="W408" s="2"/>
      <c r="X408" s="2"/>
      <c r="Y408" s="2"/>
      <c r="Z408" s="2"/>
    </row>
    <row r="409">
      <c r="A409" s="2"/>
      <c r="B409" s="2"/>
      <c r="C409" s="2"/>
      <c r="D409" s="2"/>
      <c r="E409" s="2"/>
      <c r="F409" s="7"/>
      <c r="G409" s="2"/>
      <c r="H409" s="7"/>
      <c r="I409" s="2"/>
      <c r="J409" s="2"/>
      <c r="K409" s="2"/>
      <c r="L409" s="2"/>
      <c r="M409" s="2"/>
      <c r="N409" s="2"/>
      <c r="O409" s="2"/>
      <c r="P409" s="2"/>
      <c r="Q409" s="2"/>
      <c r="R409" s="2"/>
      <c r="S409" s="2"/>
      <c r="T409" s="2"/>
      <c r="U409" s="2"/>
      <c r="V409" s="2"/>
      <c r="W409" s="2"/>
      <c r="X409" s="2"/>
      <c r="Y409" s="2"/>
      <c r="Z409" s="2"/>
    </row>
    <row r="410">
      <c r="A410" s="2"/>
      <c r="B410" s="2"/>
      <c r="C410" s="2"/>
      <c r="D410" s="2"/>
      <c r="E410" s="2"/>
      <c r="F410" s="7"/>
      <c r="G410" s="2"/>
      <c r="H410" s="7"/>
      <c r="I410" s="2"/>
      <c r="J410" s="2"/>
      <c r="K410" s="2"/>
      <c r="L410" s="2"/>
      <c r="M410" s="2"/>
      <c r="N410" s="2"/>
      <c r="O410" s="2"/>
      <c r="P410" s="2"/>
      <c r="Q410" s="2"/>
      <c r="R410" s="2"/>
      <c r="S410" s="2"/>
      <c r="T410" s="2"/>
      <c r="U410" s="2"/>
      <c r="V410" s="2"/>
      <c r="W410" s="2"/>
      <c r="X410" s="2"/>
      <c r="Y410" s="2"/>
      <c r="Z410" s="2"/>
    </row>
    <row r="411">
      <c r="A411" s="2"/>
      <c r="B411" s="2"/>
      <c r="C411" s="2"/>
      <c r="D411" s="2"/>
      <c r="E411" s="2"/>
      <c r="F411" s="7"/>
      <c r="G411" s="2"/>
      <c r="H411" s="7"/>
      <c r="I411" s="2"/>
      <c r="J411" s="2"/>
      <c r="K411" s="2"/>
      <c r="L411" s="2"/>
      <c r="M411" s="2"/>
      <c r="N411" s="2"/>
      <c r="O411" s="2"/>
      <c r="P411" s="2"/>
      <c r="Q411" s="2"/>
      <c r="R411" s="2"/>
      <c r="S411" s="2"/>
      <c r="T411" s="2"/>
      <c r="U411" s="2"/>
      <c r="V411" s="2"/>
      <c r="W411" s="2"/>
      <c r="X411" s="2"/>
      <c r="Y411" s="2"/>
      <c r="Z411" s="2"/>
    </row>
    <row r="412">
      <c r="A412" s="2"/>
      <c r="B412" s="2"/>
      <c r="C412" s="2"/>
      <c r="D412" s="2"/>
      <c r="E412" s="2"/>
      <c r="F412" s="7"/>
      <c r="G412" s="2"/>
      <c r="H412" s="7"/>
      <c r="I412" s="2"/>
      <c r="J412" s="2"/>
      <c r="K412" s="2"/>
      <c r="L412" s="2"/>
      <c r="M412" s="2"/>
      <c r="N412" s="2"/>
      <c r="O412" s="2"/>
      <c r="P412" s="2"/>
      <c r="Q412" s="2"/>
      <c r="R412" s="2"/>
      <c r="S412" s="2"/>
      <c r="T412" s="2"/>
      <c r="U412" s="2"/>
      <c r="V412" s="2"/>
      <c r="W412" s="2"/>
      <c r="X412" s="2"/>
      <c r="Y412" s="2"/>
      <c r="Z412" s="2"/>
    </row>
    <row r="413">
      <c r="A413" s="2"/>
      <c r="B413" s="2"/>
      <c r="C413" s="2"/>
      <c r="D413" s="2"/>
      <c r="E413" s="2"/>
      <c r="F413" s="7"/>
      <c r="G413" s="2"/>
      <c r="H413" s="7"/>
      <c r="I413" s="2"/>
      <c r="J413" s="2"/>
      <c r="K413" s="2"/>
      <c r="L413" s="2"/>
      <c r="M413" s="2"/>
      <c r="N413" s="2"/>
      <c r="O413" s="2"/>
      <c r="P413" s="2"/>
      <c r="Q413" s="2"/>
      <c r="R413" s="2"/>
      <c r="S413" s="2"/>
      <c r="T413" s="2"/>
      <c r="U413" s="2"/>
      <c r="V413" s="2"/>
      <c r="W413" s="2"/>
      <c r="X413" s="2"/>
      <c r="Y413" s="2"/>
      <c r="Z413" s="2"/>
    </row>
    <row r="414">
      <c r="A414" s="2"/>
      <c r="B414" s="2"/>
      <c r="C414" s="2"/>
      <c r="D414" s="2"/>
      <c r="E414" s="2"/>
      <c r="F414" s="7"/>
      <c r="G414" s="2"/>
      <c r="H414" s="7"/>
      <c r="I414" s="2"/>
      <c r="J414" s="2"/>
      <c r="K414" s="2"/>
      <c r="L414" s="2"/>
      <c r="M414" s="2"/>
      <c r="N414" s="2"/>
      <c r="O414" s="2"/>
      <c r="P414" s="2"/>
      <c r="Q414" s="2"/>
      <c r="R414" s="2"/>
      <c r="S414" s="2"/>
      <c r="T414" s="2"/>
      <c r="U414" s="2"/>
      <c r="V414" s="2"/>
      <c r="W414" s="2"/>
      <c r="X414" s="2"/>
      <c r="Y414" s="2"/>
      <c r="Z414" s="2"/>
    </row>
    <row r="415">
      <c r="A415" s="2"/>
      <c r="B415" s="2"/>
      <c r="C415" s="2"/>
      <c r="D415" s="2"/>
      <c r="E415" s="2"/>
      <c r="F415" s="7"/>
      <c r="G415" s="2"/>
      <c r="H415" s="7"/>
      <c r="I415" s="2"/>
      <c r="J415" s="2"/>
      <c r="K415" s="2"/>
      <c r="L415" s="2"/>
      <c r="M415" s="2"/>
      <c r="N415" s="2"/>
      <c r="O415" s="2"/>
      <c r="P415" s="2"/>
      <c r="Q415" s="2"/>
      <c r="R415" s="2"/>
      <c r="S415" s="2"/>
      <c r="T415" s="2"/>
      <c r="U415" s="2"/>
      <c r="V415" s="2"/>
      <c r="W415" s="2"/>
      <c r="X415" s="2"/>
      <c r="Y415" s="2"/>
      <c r="Z415" s="2"/>
    </row>
    <row r="416">
      <c r="A416" s="2"/>
      <c r="B416" s="2"/>
      <c r="C416" s="2"/>
      <c r="D416" s="2"/>
      <c r="E416" s="2"/>
      <c r="F416" s="7"/>
      <c r="G416" s="2"/>
      <c r="H416" s="7"/>
      <c r="I416" s="2"/>
      <c r="J416" s="2"/>
      <c r="K416" s="2"/>
      <c r="L416" s="2"/>
      <c r="M416" s="2"/>
      <c r="N416" s="2"/>
      <c r="O416" s="2"/>
      <c r="P416" s="2"/>
      <c r="Q416" s="2"/>
      <c r="R416" s="2"/>
      <c r="S416" s="2"/>
      <c r="T416" s="2"/>
      <c r="U416" s="2"/>
      <c r="V416" s="2"/>
      <c r="W416" s="2"/>
      <c r="X416" s="2"/>
      <c r="Y416" s="2"/>
      <c r="Z416" s="2"/>
    </row>
    <row r="417">
      <c r="A417" s="2"/>
      <c r="B417" s="2"/>
      <c r="C417" s="2"/>
      <c r="D417" s="2"/>
      <c r="E417" s="2"/>
      <c r="F417" s="7"/>
      <c r="G417" s="2"/>
      <c r="H417" s="7"/>
      <c r="I417" s="2"/>
      <c r="J417" s="2"/>
      <c r="K417" s="2"/>
      <c r="L417" s="2"/>
      <c r="M417" s="2"/>
      <c r="N417" s="2"/>
      <c r="O417" s="2"/>
      <c r="P417" s="2"/>
      <c r="Q417" s="2"/>
      <c r="R417" s="2"/>
      <c r="S417" s="2"/>
      <c r="T417" s="2"/>
      <c r="U417" s="2"/>
      <c r="V417" s="2"/>
      <c r="W417" s="2"/>
      <c r="X417" s="2"/>
      <c r="Y417" s="2"/>
      <c r="Z417" s="2"/>
    </row>
    <row r="418">
      <c r="A418" s="2"/>
      <c r="B418" s="2"/>
      <c r="C418" s="2"/>
      <c r="D418" s="2"/>
      <c r="E418" s="2"/>
      <c r="F418" s="7"/>
      <c r="G418" s="2"/>
      <c r="H418" s="7"/>
      <c r="I418" s="2"/>
      <c r="J418" s="2"/>
      <c r="K418" s="2"/>
      <c r="L418" s="2"/>
      <c r="M418" s="2"/>
      <c r="N418" s="2"/>
      <c r="O418" s="2"/>
      <c r="P418" s="2"/>
      <c r="Q418" s="2"/>
      <c r="R418" s="2"/>
      <c r="S418" s="2"/>
      <c r="T418" s="2"/>
      <c r="U418" s="2"/>
      <c r="V418" s="2"/>
      <c r="W418" s="2"/>
      <c r="X418" s="2"/>
      <c r="Y418" s="2"/>
      <c r="Z418" s="2"/>
    </row>
    <row r="419">
      <c r="A419" s="2"/>
      <c r="B419" s="2"/>
      <c r="C419" s="2"/>
      <c r="D419" s="2"/>
      <c r="E419" s="2"/>
      <c r="F419" s="7"/>
      <c r="G419" s="2"/>
      <c r="H419" s="7"/>
      <c r="I419" s="2"/>
      <c r="J419" s="2"/>
      <c r="K419" s="2"/>
      <c r="L419" s="2"/>
      <c r="M419" s="2"/>
      <c r="N419" s="2"/>
      <c r="O419" s="2"/>
      <c r="P419" s="2"/>
      <c r="Q419" s="2"/>
      <c r="R419" s="2"/>
      <c r="S419" s="2"/>
      <c r="T419" s="2"/>
      <c r="U419" s="2"/>
      <c r="V419" s="2"/>
      <c r="W419" s="2"/>
      <c r="X419" s="2"/>
      <c r="Y419" s="2"/>
      <c r="Z419" s="2"/>
    </row>
    <row r="420">
      <c r="A420" s="2"/>
      <c r="B420" s="2"/>
      <c r="C420" s="2"/>
      <c r="D420" s="2"/>
      <c r="E420" s="2"/>
      <c r="F420" s="7"/>
      <c r="G420" s="2"/>
      <c r="H420" s="7"/>
      <c r="I420" s="2"/>
      <c r="J420" s="2"/>
      <c r="K420" s="2"/>
      <c r="L420" s="2"/>
      <c r="M420" s="2"/>
      <c r="N420" s="2"/>
      <c r="O420" s="2"/>
      <c r="P420" s="2"/>
      <c r="Q420" s="2"/>
      <c r="R420" s="2"/>
      <c r="S420" s="2"/>
      <c r="T420" s="2"/>
      <c r="U420" s="2"/>
      <c r="V420" s="2"/>
      <c r="W420" s="2"/>
      <c r="X420" s="2"/>
      <c r="Y420" s="2"/>
      <c r="Z420" s="2"/>
    </row>
    <row r="421">
      <c r="A421" s="2"/>
      <c r="B421" s="2"/>
      <c r="C421" s="2"/>
      <c r="D421" s="2"/>
      <c r="E421" s="2"/>
      <c r="F421" s="7"/>
      <c r="G421" s="2"/>
      <c r="H421" s="7"/>
      <c r="I421" s="2"/>
      <c r="J421" s="2"/>
      <c r="K421" s="2"/>
      <c r="L421" s="2"/>
      <c r="M421" s="2"/>
      <c r="N421" s="2"/>
      <c r="O421" s="2"/>
      <c r="P421" s="2"/>
      <c r="Q421" s="2"/>
      <c r="R421" s="2"/>
      <c r="S421" s="2"/>
      <c r="T421" s="2"/>
      <c r="U421" s="2"/>
      <c r="V421" s="2"/>
      <c r="W421" s="2"/>
      <c r="X421" s="2"/>
      <c r="Y421" s="2"/>
      <c r="Z421" s="2"/>
    </row>
    <row r="422">
      <c r="A422" s="2"/>
      <c r="B422" s="2"/>
      <c r="C422" s="2"/>
      <c r="D422" s="2"/>
      <c r="E422" s="2"/>
      <c r="F422" s="7"/>
      <c r="G422" s="2"/>
      <c r="H422" s="7"/>
      <c r="I422" s="2"/>
      <c r="J422" s="2"/>
      <c r="K422" s="2"/>
      <c r="L422" s="2"/>
      <c r="M422" s="2"/>
      <c r="N422" s="2"/>
      <c r="O422" s="2"/>
      <c r="P422" s="2"/>
      <c r="Q422" s="2"/>
      <c r="R422" s="2"/>
      <c r="S422" s="2"/>
      <c r="T422" s="2"/>
      <c r="U422" s="2"/>
      <c r="V422" s="2"/>
      <c r="W422" s="2"/>
      <c r="X422" s="2"/>
      <c r="Y422" s="2"/>
      <c r="Z422" s="2"/>
    </row>
    <row r="423">
      <c r="A423" s="2"/>
      <c r="B423" s="2"/>
      <c r="C423" s="2"/>
      <c r="D423" s="2"/>
      <c r="E423" s="2"/>
      <c r="F423" s="7"/>
      <c r="G423" s="2"/>
      <c r="H423" s="7"/>
      <c r="I423" s="2"/>
      <c r="J423" s="2"/>
      <c r="K423" s="2"/>
      <c r="L423" s="2"/>
      <c r="M423" s="2"/>
      <c r="N423" s="2"/>
      <c r="O423" s="2"/>
      <c r="P423" s="2"/>
      <c r="Q423" s="2"/>
      <c r="R423" s="2"/>
      <c r="S423" s="2"/>
      <c r="T423" s="2"/>
      <c r="U423" s="2"/>
      <c r="V423" s="2"/>
      <c r="W423" s="2"/>
      <c r="X423" s="2"/>
      <c r="Y423" s="2"/>
      <c r="Z423" s="2"/>
    </row>
    <row r="424">
      <c r="A424" s="2"/>
      <c r="B424" s="2"/>
      <c r="C424" s="2"/>
      <c r="D424" s="2"/>
      <c r="E424" s="2"/>
      <c r="F424" s="7"/>
      <c r="G424" s="2"/>
      <c r="H424" s="7"/>
      <c r="I424" s="2"/>
      <c r="J424" s="2"/>
      <c r="K424" s="2"/>
      <c r="L424" s="2"/>
      <c r="M424" s="2"/>
      <c r="N424" s="2"/>
      <c r="O424" s="2"/>
      <c r="P424" s="2"/>
      <c r="Q424" s="2"/>
      <c r="R424" s="2"/>
      <c r="S424" s="2"/>
      <c r="T424" s="2"/>
      <c r="U424" s="2"/>
      <c r="V424" s="2"/>
      <c r="W424" s="2"/>
      <c r="X424" s="2"/>
      <c r="Y424" s="2"/>
      <c r="Z424" s="2"/>
    </row>
    <row r="425">
      <c r="A425" s="2"/>
      <c r="B425" s="2"/>
      <c r="C425" s="2"/>
      <c r="D425" s="2"/>
      <c r="E425" s="2"/>
      <c r="F425" s="7"/>
      <c r="G425" s="2"/>
      <c r="H425" s="7"/>
      <c r="I425" s="2"/>
      <c r="J425" s="2"/>
      <c r="K425" s="2"/>
      <c r="L425" s="2"/>
      <c r="M425" s="2"/>
      <c r="N425" s="2"/>
      <c r="O425" s="2"/>
      <c r="P425" s="2"/>
      <c r="Q425" s="2"/>
      <c r="R425" s="2"/>
      <c r="S425" s="2"/>
      <c r="T425" s="2"/>
      <c r="U425" s="2"/>
      <c r="V425" s="2"/>
      <c r="W425" s="2"/>
      <c r="X425" s="2"/>
      <c r="Y425" s="2"/>
      <c r="Z425" s="2"/>
    </row>
    <row r="426">
      <c r="A426" s="2"/>
      <c r="B426" s="2"/>
      <c r="C426" s="2"/>
      <c r="D426" s="2"/>
      <c r="E426" s="2"/>
      <c r="F426" s="7"/>
      <c r="G426" s="2"/>
      <c r="H426" s="7"/>
      <c r="I426" s="2"/>
      <c r="J426" s="2"/>
      <c r="K426" s="2"/>
      <c r="L426" s="2"/>
      <c r="M426" s="2"/>
      <c r="N426" s="2"/>
      <c r="O426" s="2"/>
      <c r="P426" s="2"/>
      <c r="Q426" s="2"/>
      <c r="R426" s="2"/>
      <c r="S426" s="2"/>
      <c r="T426" s="2"/>
      <c r="U426" s="2"/>
      <c r="V426" s="2"/>
      <c r="W426" s="2"/>
      <c r="X426" s="2"/>
      <c r="Y426" s="2"/>
      <c r="Z426" s="2"/>
    </row>
    <row r="427">
      <c r="A427" s="2"/>
      <c r="B427" s="2"/>
      <c r="C427" s="2"/>
      <c r="D427" s="2"/>
      <c r="E427" s="2"/>
      <c r="F427" s="7"/>
      <c r="G427" s="2"/>
      <c r="H427" s="7"/>
      <c r="I427" s="2"/>
      <c r="J427" s="2"/>
      <c r="K427" s="2"/>
      <c r="L427" s="2"/>
      <c r="M427" s="2"/>
      <c r="N427" s="2"/>
      <c r="O427" s="2"/>
      <c r="P427" s="2"/>
      <c r="Q427" s="2"/>
      <c r="R427" s="2"/>
      <c r="S427" s="2"/>
      <c r="T427" s="2"/>
      <c r="U427" s="2"/>
      <c r="V427" s="2"/>
      <c r="W427" s="2"/>
      <c r="X427" s="2"/>
      <c r="Y427" s="2"/>
      <c r="Z427" s="2"/>
    </row>
    <row r="428">
      <c r="A428" s="2"/>
      <c r="B428" s="2"/>
      <c r="C428" s="2"/>
      <c r="D428" s="2"/>
      <c r="E428" s="2"/>
      <c r="F428" s="7"/>
      <c r="G428" s="2"/>
      <c r="H428" s="7"/>
      <c r="I428" s="2"/>
      <c r="J428" s="2"/>
      <c r="K428" s="2"/>
      <c r="L428" s="2"/>
      <c r="M428" s="2"/>
      <c r="N428" s="2"/>
      <c r="O428" s="2"/>
      <c r="P428" s="2"/>
      <c r="Q428" s="2"/>
      <c r="R428" s="2"/>
      <c r="S428" s="2"/>
      <c r="T428" s="2"/>
      <c r="U428" s="2"/>
      <c r="V428" s="2"/>
      <c r="W428" s="2"/>
      <c r="X428" s="2"/>
      <c r="Y428" s="2"/>
      <c r="Z428" s="2"/>
    </row>
    <row r="429">
      <c r="A429" s="2"/>
      <c r="B429" s="2"/>
      <c r="C429" s="2"/>
      <c r="D429" s="2"/>
      <c r="E429" s="2"/>
      <c r="F429" s="7"/>
      <c r="G429" s="2"/>
      <c r="H429" s="7"/>
      <c r="I429" s="2"/>
      <c r="J429" s="2"/>
      <c r="K429" s="2"/>
      <c r="L429" s="2"/>
      <c r="M429" s="2"/>
      <c r="N429" s="2"/>
      <c r="O429" s="2"/>
      <c r="P429" s="2"/>
      <c r="Q429" s="2"/>
      <c r="R429" s="2"/>
      <c r="S429" s="2"/>
      <c r="T429" s="2"/>
      <c r="U429" s="2"/>
      <c r="V429" s="2"/>
      <c r="W429" s="2"/>
      <c r="X429" s="2"/>
      <c r="Y429" s="2"/>
      <c r="Z429" s="2"/>
    </row>
    <row r="430">
      <c r="A430" s="2"/>
      <c r="B430" s="2"/>
      <c r="C430" s="2"/>
      <c r="D430" s="2"/>
      <c r="E430" s="2"/>
      <c r="F430" s="7"/>
      <c r="G430" s="2"/>
      <c r="H430" s="7"/>
      <c r="I430" s="2"/>
      <c r="J430" s="2"/>
      <c r="K430" s="2"/>
      <c r="L430" s="2"/>
      <c r="M430" s="2"/>
      <c r="N430" s="2"/>
      <c r="O430" s="2"/>
      <c r="P430" s="2"/>
      <c r="Q430" s="2"/>
      <c r="R430" s="2"/>
      <c r="S430" s="2"/>
      <c r="T430" s="2"/>
      <c r="U430" s="2"/>
      <c r="V430" s="2"/>
      <c r="W430" s="2"/>
      <c r="X430" s="2"/>
      <c r="Y430" s="2"/>
      <c r="Z430" s="2"/>
    </row>
    <row r="431">
      <c r="A431" s="2"/>
      <c r="B431" s="2"/>
      <c r="C431" s="2"/>
      <c r="D431" s="2"/>
      <c r="E431" s="2"/>
      <c r="F431" s="7"/>
      <c r="G431" s="2"/>
      <c r="H431" s="7"/>
      <c r="I431" s="2"/>
      <c r="J431" s="2"/>
      <c r="K431" s="2"/>
      <c r="L431" s="2"/>
      <c r="M431" s="2"/>
      <c r="N431" s="2"/>
      <c r="O431" s="2"/>
      <c r="P431" s="2"/>
      <c r="Q431" s="2"/>
      <c r="R431" s="2"/>
      <c r="S431" s="2"/>
      <c r="T431" s="2"/>
      <c r="U431" s="2"/>
      <c r="V431" s="2"/>
      <c r="W431" s="2"/>
      <c r="X431" s="2"/>
      <c r="Y431" s="2"/>
      <c r="Z431" s="2"/>
    </row>
    <row r="432">
      <c r="A432" s="2"/>
      <c r="B432" s="2"/>
      <c r="C432" s="2"/>
      <c r="D432" s="2"/>
      <c r="E432" s="2"/>
      <c r="F432" s="7"/>
      <c r="G432" s="2"/>
      <c r="H432" s="7"/>
      <c r="I432" s="2"/>
      <c r="J432" s="2"/>
      <c r="K432" s="2"/>
      <c r="L432" s="2"/>
      <c r="M432" s="2"/>
      <c r="N432" s="2"/>
      <c r="O432" s="2"/>
      <c r="P432" s="2"/>
      <c r="Q432" s="2"/>
      <c r="R432" s="2"/>
      <c r="S432" s="2"/>
      <c r="T432" s="2"/>
      <c r="U432" s="2"/>
      <c r="V432" s="2"/>
      <c r="W432" s="2"/>
      <c r="X432" s="2"/>
      <c r="Y432" s="2"/>
      <c r="Z432" s="2"/>
    </row>
    <row r="433">
      <c r="A433" s="2"/>
      <c r="B433" s="2"/>
      <c r="C433" s="2"/>
      <c r="D433" s="2"/>
      <c r="E433" s="2"/>
      <c r="F433" s="7"/>
      <c r="G433" s="2"/>
      <c r="H433" s="7"/>
      <c r="I433" s="2"/>
      <c r="J433" s="2"/>
      <c r="K433" s="2"/>
      <c r="L433" s="2"/>
      <c r="M433" s="2"/>
      <c r="N433" s="2"/>
      <c r="O433" s="2"/>
      <c r="P433" s="2"/>
      <c r="Q433" s="2"/>
      <c r="R433" s="2"/>
      <c r="S433" s="2"/>
      <c r="T433" s="2"/>
      <c r="U433" s="2"/>
      <c r="V433" s="2"/>
      <c r="W433" s="2"/>
      <c r="X433" s="2"/>
      <c r="Y433" s="2"/>
      <c r="Z433" s="2"/>
    </row>
    <row r="434">
      <c r="A434" s="2"/>
      <c r="B434" s="2"/>
      <c r="C434" s="2"/>
      <c r="D434" s="2"/>
      <c r="E434" s="2"/>
      <c r="F434" s="7"/>
      <c r="G434" s="2"/>
      <c r="H434" s="7"/>
      <c r="I434" s="2"/>
      <c r="J434" s="2"/>
      <c r="K434" s="2"/>
      <c r="L434" s="2"/>
      <c r="M434" s="2"/>
      <c r="N434" s="2"/>
      <c r="O434" s="2"/>
      <c r="P434" s="2"/>
      <c r="Q434" s="2"/>
      <c r="R434" s="2"/>
      <c r="S434" s="2"/>
      <c r="T434" s="2"/>
      <c r="U434" s="2"/>
      <c r="V434" s="2"/>
      <c r="W434" s="2"/>
      <c r="X434" s="2"/>
      <c r="Y434" s="2"/>
      <c r="Z434" s="2"/>
    </row>
    <row r="435">
      <c r="A435" s="2"/>
      <c r="B435" s="2"/>
      <c r="C435" s="2"/>
      <c r="D435" s="2"/>
      <c r="E435" s="2"/>
      <c r="F435" s="7"/>
      <c r="G435" s="2"/>
      <c r="H435" s="7"/>
      <c r="I435" s="2"/>
      <c r="J435" s="2"/>
      <c r="K435" s="2"/>
      <c r="L435" s="2"/>
      <c r="M435" s="2"/>
      <c r="N435" s="2"/>
      <c r="O435" s="2"/>
      <c r="P435" s="2"/>
      <c r="Q435" s="2"/>
      <c r="R435" s="2"/>
      <c r="S435" s="2"/>
      <c r="T435" s="2"/>
      <c r="U435" s="2"/>
      <c r="V435" s="2"/>
      <c r="W435" s="2"/>
      <c r="X435" s="2"/>
      <c r="Y435" s="2"/>
      <c r="Z435" s="2"/>
    </row>
    <row r="436">
      <c r="A436" s="2"/>
      <c r="B436" s="2"/>
      <c r="C436" s="2"/>
      <c r="D436" s="2"/>
      <c r="E436" s="2"/>
      <c r="F436" s="7"/>
      <c r="G436" s="2"/>
      <c r="H436" s="7"/>
      <c r="I436" s="2"/>
      <c r="J436" s="2"/>
      <c r="K436" s="2"/>
      <c r="L436" s="2"/>
      <c r="M436" s="2"/>
      <c r="N436" s="2"/>
      <c r="O436" s="2"/>
      <c r="P436" s="2"/>
      <c r="Q436" s="2"/>
      <c r="R436" s="2"/>
      <c r="S436" s="2"/>
      <c r="T436" s="2"/>
      <c r="U436" s="2"/>
      <c r="V436" s="2"/>
      <c r="W436" s="2"/>
      <c r="X436" s="2"/>
      <c r="Y436" s="2"/>
      <c r="Z436" s="2"/>
    </row>
    <row r="437">
      <c r="A437" s="2"/>
      <c r="B437" s="2"/>
      <c r="C437" s="2"/>
      <c r="D437" s="2"/>
      <c r="E437" s="2"/>
      <c r="F437" s="7"/>
      <c r="G437" s="2"/>
      <c r="H437" s="7"/>
      <c r="I437" s="2"/>
      <c r="J437" s="2"/>
      <c r="K437" s="2"/>
      <c r="L437" s="2"/>
      <c r="M437" s="2"/>
      <c r="N437" s="2"/>
      <c r="O437" s="2"/>
      <c r="P437" s="2"/>
      <c r="Q437" s="2"/>
      <c r="R437" s="2"/>
      <c r="S437" s="2"/>
      <c r="T437" s="2"/>
      <c r="U437" s="2"/>
      <c r="V437" s="2"/>
      <c r="W437" s="2"/>
      <c r="X437" s="2"/>
      <c r="Y437" s="2"/>
      <c r="Z437" s="2"/>
    </row>
    <row r="438">
      <c r="A438" s="2"/>
      <c r="B438" s="2"/>
      <c r="C438" s="2"/>
      <c r="D438" s="2"/>
      <c r="E438" s="2"/>
      <c r="F438" s="7"/>
      <c r="G438" s="2"/>
      <c r="H438" s="7"/>
      <c r="I438" s="2"/>
      <c r="J438" s="2"/>
      <c r="K438" s="2"/>
      <c r="L438" s="2"/>
      <c r="M438" s="2"/>
      <c r="N438" s="2"/>
      <c r="O438" s="2"/>
      <c r="P438" s="2"/>
      <c r="Q438" s="2"/>
      <c r="R438" s="2"/>
      <c r="S438" s="2"/>
      <c r="T438" s="2"/>
      <c r="U438" s="2"/>
      <c r="V438" s="2"/>
      <c r="W438" s="2"/>
      <c r="X438" s="2"/>
      <c r="Y438" s="2"/>
      <c r="Z438" s="2"/>
    </row>
    <row r="439">
      <c r="A439" s="2"/>
      <c r="B439" s="2"/>
      <c r="C439" s="2"/>
      <c r="D439" s="2"/>
      <c r="E439" s="2"/>
      <c r="F439" s="7"/>
      <c r="G439" s="2"/>
      <c r="H439" s="7"/>
      <c r="I439" s="2"/>
      <c r="J439" s="2"/>
      <c r="K439" s="2"/>
      <c r="L439" s="2"/>
      <c r="M439" s="2"/>
      <c r="N439" s="2"/>
      <c r="O439" s="2"/>
      <c r="P439" s="2"/>
      <c r="Q439" s="2"/>
      <c r="R439" s="2"/>
      <c r="S439" s="2"/>
      <c r="T439" s="2"/>
      <c r="U439" s="2"/>
      <c r="V439" s="2"/>
      <c r="W439" s="2"/>
      <c r="X439" s="2"/>
      <c r="Y439" s="2"/>
      <c r="Z439" s="2"/>
    </row>
    <row r="440">
      <c r="A440" s="2"/>
      <c r="B440" s="2"/>
      <c r="C440" s="2"/>
      <c r="D440" s="2"/>
      <c r="E440" s="2"/>
      <c r="F440" s="7"/>
      <c r="G440" s="2"/>
      <c r="H440" s="7"/>
      <c r="I440" s="2"/>
      <c r="J440" s="2"/>
      <c r="K440" s="2"/>
      <c r="L440" s="2"/>
      <c r="M440" s="2"/>
      <c r="N440" s="2"/>
      <c r="O440" s="2"/>
      <c r="P440" s="2"/>
      <c r="Q440" s="2"/>
      <c r="R440" s="2"/>
      <c r="S440" s="2"/>
      <c r="T440" s="2"/>
      <c r="U440" s="2"/>
      <c r="V440" s="2"/>
      <c r="W440" s="2"/>
      <c r="X440" s="2"/>
      <c r="Y440" s="2"/>
      <c r="Z440" s="2"/>
    </row>
    <row r="441">
      <c r="A441" s="2"/>
      <c r="B441" s="2"/>
      <c r="C441" s="2"/>
      <c r="D441" s="2"/>
      <c r="E441" s="2"/>
      <c r="F441" s="7"/>
      <c r="G441" s="2"/>
      <c r="H441" s="7"/>
      <c r="I441" s="2"/>
      <c r="J441" s="2"/>
      <c r="K441" s="2"/>
      <c r="L441" s="2"/>
      <c r="M441" s="2"/>
      <c r="N441" s="2"/>
      <c r="O441" s="2"/>
      <c r="P441" s="2"/>
      <c r="Q441" s="2"/>
      <c r="R441" s="2"/>
      <c r="S441" s="2"/>
      <c r="T441" s="2"/>
      <c r="U441" s="2"/>
      <c r="V441" s="2"/>
      <c r="W441" s="2"/>
      <c r="X441" s="2"/>
      <c r="Y441" s="2"/>
      <c r="Z441" s="2"/>
    </row>
    <row r="442">
      <c r="A442" s="2"/>
      <c r="B442" s="2"/>
      <c r="C442" s="2"/>
      <c r="D442" s="2"/>
      <c r="E442" s="2"/>
      <c r="F442" s="7"/>
      <c r="G442" s="2"/>
      <c r="H442" s="7"/>
      <c r="I442" s="2"/>
      <c r="J442" s="2"/>
      <c r="K442" s="2"/>
      <c r="L442" s="2"/>
      <c r="M442" s="2"/>
      <c r="N442" s="2"/>
      <c r="O442" s="2"/>
      <c r="P442" s="2"/>
      <c r="Q442" s="2"/>
      <c r="R442" s="2"/>
      <c r="S442" s="2"/>
      <c r="T442" s="2"/>
      <c r="U442" s="2"/>
      <c r="V442" s="2"/>
      <c r="W442" s="2"/>
      <c r="X442" s="2"/>
      <c r="Y442" s="2"/>
      <c r="Z442" s="2"/>
    </row>
    <row r="443">
      <c r="A443" s="2"/>
      <c r="B443" s="2"/>
      <c r="C443" s="2"/>
      <c r="D443" s="2"/>
      <c r="E443" s="2"/>
      <c r="F443" s="7"/>
      <c r="G443" s="2"/>
      <c r="H443" s="7"/>
      <c r="I443" s="2"/>
      <c r="J443" s="2"/>
      <c r="K443" s="2"/>
      <c r="L443" s="2"/>
      <c r="M443" s="2"/>
      <c r="N443" s="2"/>
      <c r="O443" s="2"/>
      <c r="P443" s="2"/>
      <c r="Q443" s="2"/>
      <c r="R443" s="2"/>
      <c r="S443" s="2"/>
      <c r="T443" s="2"/>
      <c r="U443" s="2"/>
      <c r="V443" s="2"/>
      <c r="W443" s="2"/>
      <c r="X443" s="2"/>
      <c r="Y443" s="2"/>
      <c r="Z443" s="2"/>
    </row>
    <row r="444">
      <c r="A444" s="2"/>
      <c r="B444" s="2"/>
      <c r="C444" s="2"/>
      <c r="D444" s="2"/>
      <c r="E444" s="2"/>
      <c r="F444" s="7"/>
      <c r="G444" s="2"/>
      <c r="H444" s="7"/>
      <c r="I444" s="2"/>
      <c r="J444" s="2"/>
      <c r="K444" s="2"/>
      <c r="L444" s="2"/>
      <c r="M444" s="2"/>
      <c r="N444" s="2"/>
      <c r="O444" s="2"/>
      <c r="P444" s="2"/>
      <c r="Q444" s="2"/>
      <c r="R444" s="2"/>
      <c r="S444" s="2"/>
      <c r="T444" s="2"/>
      <c r="U444" s="2"/>
      <c r="V444" s="2"/>
      <c r="W444" s="2"/>
      <c r="X444" s="2"/>
      <c r="Y444" s="2"/>
      <c r="Z444" s="2"/>
    </row>
    <row r="445">
      <c r="A445" s="2"/>
      <c r="B445" s="2"/>
      <c r="C445" s="2"/>
      <c r="D445" s="2"/>
      <c r="E445" s="2"/>
      <c r="F445" s="7"/>
      <c r="G445" s="2"/>
      <c r="H445" s="7"/>
      <c r="I445" s="2"/>
      <c r="J445" s="2"/>
      <c r="K445" s="2"/>
      <c r="L445" s="2"/>
      <c r="M445" s="2"/>
      <c r="N445" s="2"/>
      <c r="O445" s="2"/>
      <c r="P445" s="2"/>
      <c r="Q445" s="2"/>
      <c r="R445" s="2"/>
      <c r="S445" s="2"/>
      <c r="T445" s="2"/>
      <c r="U445" s="2"/>
      <c r="V445" s="2"/>
      <c r="W445" s="2"/>
      <c r="X445" s="2"/>
      <c r="Y445" s="2"/>
      <c r="Z445" s="2"/>
    </row>
    <row r="446">
      <c r="A446" s="2"/>
      <c r="B446" s="2"/>
      <c r="C446" s="2"/>
      <c r="D446" s="2"/>
      <c r="E446" s="2"/>
      <c r="F446" s="7"/>
      <c r="G446" s="2"/>
      <c r="H446" s="7"/>
      <c r="I446" s="2"/>
      <c r="J446" s="2"/>
      <c r="K446" s="2"/>
      <c r="L446" s="2"/>
      <c r="M446" s="2"/>
      <c r="N446" s="2"/>
      <c r="O446" s="2"/>
      <c r="P446" s="2"/>
      <c r="Q446" s="2"/>
      <c r="R446" s="2"/>
      <c r="S446" s="2"/>
      <c r="T446" s="2"/>
      <c r="U446" s="2"/>
      <c r="V446" s="2"/>
      <c r="W446" s="2"/>
      <c r="X446" s="2"/>
      <c r="Y446" s="2"/>
      <c r="Z446" s="2"/>
    </row>
    <row r="447">
      <c r="A447" s="2"/>
      <c r="B447" s="2"/>
      <c r="C447" s="2"/>
      <c r="D447" s="2"/>
      <c r="E447" s="2"/>
      <c r="F447" s="7"/>
      <c r="G447" s="2"/>
      <c r="H447" s="7"/>
      <c r="I447" s="2"/>
      <c r="J447" s="2"/>
      <c r="K447" s="2"/>
      <c r="L447" s="2"/>
      <c r="M447" s="2"/>
      <c r="N447" s="2"/>
      <c r="O447" s="2"/>
      <c r="P447" s="2"/>
      <c r="Q447" s="2"/>
      <c r="R447" s="2"/>
      <c r="S447" s="2"/>
      <c r="T447" s="2"/>
      <c r="U447" s="2"/>
      <c r="V447" s="2"/>
      <c r="W447" s="2"/>
      <c r="X447" s="2"/>
      <c r="Y447" s="2"/>
      <c r="Z447" s="2"/>
    </row>
    <row r="448">
      <c r="A448" s="2"/>
      <c r="B448" s="2"/>
      <c r="C448" s="2"/>
      <c r="D448" s="2"/>
      <c r="E448" s="2"/>
      <c r="F448" s="7"/>
      <c r="G448" s="2"/>
      <c r="H448" s="7"/>
      <c r="I448" s="2"/>
      <c r="J448" s="2"/>
      <c r="K448" s="2"/>
      <c r="L448" s="2"/>
      <c r="M448" s="2"/>
      <c r="N448" s="2"/>
      <c r="O448" s="2"/>
      <c r="P448" s="2"/>
      <c r="Q448" s="2"/>
      <c r="R448" s="2"/>
      <c r="S448" s="2"/>
      <c r="T448" s="2"/>
      <c r="U448" s="2"/>
      <c r="V448" s="2"/>
      <c r="W448" s="2"/>
      <c r="X448" s="2"/>
      <c r="Y448" s="2"/>
      <c r="Z448" s="2"/>
    </row>
    <row r="449">
      <c r="A449" s="2"/>
      <c r="B449" s="2"/>
      <c r="C449" s="2"/>
      <c r="D449" s="2"/>
      <c r="E449" s="2"/>
      <c r="F449" s="7"/>
      <c r="G449" s="2"/>
      <c r="H449" s="7"/>
      <c r="I449" s="2"/>
      <c r="J449" s="2"/>
      <c r="K449" s="2"/>
      <c r="L449" s="2"/>
      <c r="M449" s="2"/>
      <c r="N449" s="2"/>
      <c r="O449" s="2"/>
      <c r="P449" s="2"/>
      <c r="Q449" s="2"/>
      <c r="R449" s="2"/>
      <c r="S449" s="2"/>
      <c r="T449" s="2"/>
      <c r="U449" s="2"/>
      <c r="V449" s="2"/>
      <c r="W449" s="2"/>
      <c r="X449" s="2"/>
      <c r="Y449" s="2"/>
      <c r="Z449" s="2"/>
    </row>
    <row r="450">
      <c r="A450" s="2"/>
      <c r="B450" s="2"/>
      <c r="C450" s="2"/>
      <c r="D450" s="2"/>
      <c r="E450" s="2"/>
      <c r="F450" s="7"/>
      <c r="G450" s="2"/>
      <c r="H450" s="7"/>
      <c r="I450" s="2"/>
      <c r="J450" s="2"/>
      <c r="K450" s="2"/>
      <c r="L450" s="2"/>
      <c r="M450" s="2"/>
      <c r="N450" s="2"/>
      <c r="O450" s="2"/>
      <c r="P450" s="2"/>
      <c r="Q450" s="2"/>
      <c r="R450" s="2"/>
      <c r="S450" s="2"/>
      <c r="T450" s="2"/>
      <c r="U450" s="2"/>
      <c r="V450" s="2"/>
      <c r="W450" s="2"/>
      <c r="X450" s="2"/>
      <c r="Y450" s="2"/>
      <c r="Z450" s="2"/>
    </row>
    <row r="451">
      <c r="A451" s="2"/>
      <c r="B451" s="2"/>
      <c r="C451" s="2"/>
      <c r="D451" s="2"/>
      <c r="E451" s="2"/>
      <c r="F451" s="7"/>
      <c r="G451" s="2"/>
      <c r="H451" s="7"/>
      <c r="I451" s="2"/>
      <c r="J451" s="2"/>
      <c r="K451" s="2"/>
      <c r="L451" s="2"/>
      <c r="M451" s="2"/>
      <c r="N451" s="2"/>
      <c r="O451" s="2"/>
      <c r="P451" s="2"/>
      <c r="Q451" s="2"/>
      <c r="R451" s="2"/>
      <c r="S451" s="2"/>
      <c r="T451" s="2"/>
      <c r="U451" s="2"/>
      <c r="V451" s="2"/>
      <c r="W451" s="2"/>
      <c r="X451" s="2"/>
      <c r="Y451" s="2"/>
      <c r="Z451" s="2"/>
    </row>
    <row r="452">
      <c r="A452" s="2"/>
      <c r="B452" s="2"/>
      <c r="C452" s="2"/>
      <c r="D452" s="2"/>
      <c r="E452" s="2"/>
      <c r="F452" s="7"/>
      <c r="G452" s="2"/>
      <c r="H452" s="7"/>
      <c r="I452" s="2"/>
      <c r="J452" s="2"/>
      <c r="K452" s="2"/>
      <c r="L452" s="2"/>
      <c r="M452" s="2"/>
      <c r="N452" s="2"/>
      <c r="O452" s="2"/>
      <c r="P452" s="2"/>
      <c r="Q452" s="2"/>
      <c r="R452" s="2"/>
      <c r="S452" s="2"/>
      <c r="T452" s="2"/>
      <c r="U452" s="2"/>
      <c r="V452" s="2"/>
      <c r="W452" s="2"/>
      <c r="X452" s="2"/>
      <c r="Y452" s="2"/>
      <c r="Z452" s="2"/>
    </row>
    <row r="453">
      <c r="A453" s="2"/>
      <c r="B453" s="2"/>
      <c r="C453" s="2"/>
      <c r="D453" s="2"/>
      <c r="E453" s="2"/>
      <c r="F453" s="7"/>
      <c r="G453" s="2"/>
      <c r="H453" s="7"/>
      <c r="I453" s="2"/>
      <c r="J453" s="2"/>
      <c r="K453" s="2"/>
      <c r="L453" s="2"/>
      <c r="M453" s="2"/>
      <c r="N453" s="2"/>
      <c r="O453" s="2"/>
      <c r="P453" s="2"/>
      <c r="Q453" s="2"/>
      <c r="R453" s="2"/>
      <c r="S453" s="2"/>
      <c r="T453" s="2"/>
      <c r="U453" s="2"/>
      <c r="V453" s="2"/>
      <c r="W453" s="2"/>
      <c r="X453" s="2"/>
      <c r="Y453" s="2"/>
      <c r="Z453" s="2"/>
    </row>
    <row r="454">
      <c r="A454" s="2"/>
      <c r="B454" s="2"/>
      <c r="C454" s="2"/>
      <c r="D454" s="2"/>
      <c r="E454" s="2"/>
      <c r="F454" s="7"/>
      <c r="G454" s="2"/>
      <c r="H454" s="7"/>
      <c r="I454" s="2"/>
      <c r="J454" s="2"/>
      <c r="K454" s="2"/>
      <c r="L454" s="2"/>
      <c r="M454" s="2"/>
      <c r="N454" s="2"/>
      <c r="O454" s="2"/>
      <c r="P454" s="2"/>
      <c r="Q454" s="2"/>
      <c r="R454" s="2"/>
      <c r="S454" s="2"/>
      <c r="T454" s="2"/>
      <c r="U454" s="2"/>
      <c r="V454" s="2"/>
      <c r="W454" s="2"/>
      <c r="X454" s="2"/>
      <c r="Y454" s="2"/>
      <c r="Z454" s="2"/>
    </row>
    <row r="455">
      <c r="A455" s="2"/>
      <c r="B455" s="2"/>
      <c r="C455" s="2"/>
      <c r="D455" s="2"/>
      <c r="E455" s="2"/>
      <c r="F455" s="7"/>
      <c r="G455" s="2"/>
      <c r="H455" s="7"/>
      <c r="I455" s="2"/>
      <c r="J455" s="2"/>
      <c r="K455" s="2"/>
      <c r="L455" s="2"/>
      <c r="M455" s="2"/>
      <c r="N455" s="2"/>
      <c r="O455" s="2"/>
      <c r="P455" s="2"/>
      <c r="Q455" s="2"/>
      <c r="R455" s="2"/>
      <c r="S455" s="2"/>
      <c r="T455" s="2"/>
      <c r="U455" s="2"/>
      <c r="V455" s="2"/>
      <c r="W455" s="2"/>
      <c r="X455" s="2"/>
      <c r="Y455" s="2"/>
      <c r="Z455" s="2"/>
    </row>
    <row r="456">
      <c r="A456" s="2"/>
      <c r="B456" s="2"/>
      <c r="C456" s="2"/>
      <c r="D456" s="2"/>
      <c r="E456" s="2"/>
      <c r="F456" s="7"/>
      <c r="G456" s="2"/>
      <c r="H456" s="7"/>
      <c r="I456" s="2"/>
      <c r="J456" s="2"/>
      <c r="K456" s="2"/>
      <c r="L456" s="2"/>
      <c r="M456" s="2"/>
      <c r="N456" s="2"/>
      <c r="O456" s="2"/>
      <c r="P456" s="2"/>
      <c r="Q456" s="2"/>
      <c r="R456" s="2"/>
      <c r="S456" s="2"/>
      <c r="T456" s="2"/>
      <c r="U456" s="2"/>
      <c r="V456" s="2"/>
      <c r="W456" s="2"/>
      <c r="X456" s="2"/>
      <c r="Y456" s="2"/>
      <c r="Z456" s="2"/>
    </row>
    <row r="457">
      <c r="A457" s="2"/>
      <c r="B457" s="2"/>
      <c r="C457" s="2"/>
      <c r="D457" s="2"/>
      <c r="E457" s="2"/>
      <c r="F457" s="7"/>
      <c r="G457" s="2"/>
      <c r="H457" s="7"/>
      <c r="I457" s="2"/>
      <c r="J457" s="2"/>
      <c r="K457" s="2"/>
      <c r="L457" s="2"/>
      <c r="M457" s="2"/>
      <c r="N457" s="2"/>
      <c r="O457" s="2"/>
      <c r="P457" s="2"/>
      <c r="Q457" s="2"/>
      <c r="R457" s="2"/>
      <c r="S457" s="2"/>
      <c r="T457" s="2"/>
      <c r="U457" s="2"/>
      <c r="V457" s="2"/>
      <c r="W457" s="2"/>
      <c r="X457" s="2"/>
      <c r="Y457" s="2"/>
      <c r="Z457" s="2"/>
    </row>
    <row r="458">
      <c r="A458" s="2"/>
      <c r="B458" s="2"/>
      <c r="C458" s="2"/>
      <c r="D458" s="2"/>
      <c r="E458" s="2"/>
      <c r="F458" s="7"/>
      <c r="G458" s="2"/>
      <c r="H458" s="7"/>
      <c r="I458" s="2"/>
      <c r="J458" s="2"/>
      <c r="K458" s="2"/>
      <c r="L458" s="2"/>
      <c r="M458" s="2"/>
      <c r="N458" s="2"/>
      <c r="O458" s="2"/>
      <c r="P458" s="2"/>
      <c r="Q458" s="2"/>
      <c r="R458" s="2"/>
      <c r="S458" s="2"/>
      <c r="T458" s="2"/>
      <c r="U458" s="2"/>
      <c r="V458" s="2"/>
      <c r="W458" s="2"/>
      <c r="X458" s="2"/>
      <c r="Y458" s="2"/>
      <c r="Z458" s="2"/>
    </row>
    <row r="459">
      <c r="A459" s="2"/>
      <c r="B459" s="2"/>
      <c r="C459" s="2"/>
      <c r="D459" s="2"/>
      <c r="E459" s="2"/>
      <c r="F459" s="7"/>
      <c r="G459" s="2"/>
      <c r="H459" s="7"/>
      <c r="I459" s="2"/>
      <c r="J459" s="2"/>
      <c r="K459" s="2"/>
      <c r="L459" s="2"/>
      <c r="M459" s="2"/>
      <c r="N459" s="2"/>
      <c r="O459" s="2"/>
      <c r="P459" s="2"/>
      <c r="Q459" s="2"/>
      <c r="R459" s="2"/>
      <c r="S459" s="2"/>
      <c r="T459" s="2"/>
      <c r="U459" s="2"/>
      <c r="V459" s="2"/>
      <c r="W459" s="2"/>
      <c r="X459" s="2"/>
      <c r="Y459" s="2"/>
      <c r="Z459" s="2"/>
    </row>
    <row r="460">
      <c r="A460" s="2"/>
      <c r="B460" s="2"/>
      <c r="C460" s="2"/>
      <c r="D460" s="2"/>
      <c r="E460" s="2"/>
      <c r="F460" s="7"/>
      <c r="G460" s="2"/>
      <c r="H460" s="7"/>
      <c r="I460" s="2"/>
      <c r="J460" s="2"/>
      <c r="K460" s="2"/>
      <c r="L460" s="2"/>
      <c r="M460" s="2"/>
      <c r="N460" s="2"/>
      <c r="O460" s="2"/>
      <c r="P460" s="2"/>
      <c r="Q460" s="2"/>
      <c r="R460" s="2"/>
      <c r="S460" s="2"/>
      <c r="T460" s="2"/>
      <c r="U460" s="2"/>
      <c r="V460" s="2"/>
      <c r="W460" s="2"/>
      <c r="X460" s="2"/>
      <c r="Y460" s="2"/>
      <c r="Z460" s="2"/>
    </row>
    <row r="461">
      <c r="A461" s="2"/>
      <c r="B461" s="2"/>
      <c r="C461" s="2"/>
      <c r="D461" s="2"/>
      <c r="E461" s="2"/>
      <c r="F461" s="7"/>
      <c r="G461" s="2"/>
      <c r="H461" s="7"/>
      <c r="I461" s="2"/>
      <c r="J461" s="2"/>
      <c r="K461" s="2"/>
      <c r="L461" s="2"/>
      <c r="M461" s="2"/>
      <c r="N461" s="2"/>
      <c r="O461" s="2"/>
      <c r="P461" s="2"/>
      <c r="Q461" s="2"/>
      <c r="R461" s="2"/>
      <c r="S461" s="2"/>
      <c r="T461" s="2"/>
      <c r="U461" s="2"/>
      <c r="V461" s="2"/>
      <c r="W461" s="2"/>
      <c r="X461" s="2"/>
      <c r="Y461" s="2"/>
      <c r="Z461" s="2"/>
    </row>
    <row r="462">
      <c r="A462" s="2"/>
      <c r="B462" s="2"/>
      <c r="C462" s="2"/>
      <c r="D462" s="2"/>
      <c r="E462" s="2"/>
      <c r="F462" s="7"/>
      <c r="G462" s="2"/>
      <c r="H462" s="7"/>
      <c r="I462" s="2"/>
      <c r="J462" s="2"/>
      <c r="K462" s="2"/>
      <c r="L462" s="2"/>
      <c r="M462" s="2"/>
      <c r="N462" s="2"/>
      <c r="O462" s="2"/>
      <c r="P462" s="2"/>
      <c r="Q462" s="2"/>
      <c r="R462" s="2"/>
      <c r="S462" s="2"/>
      <c r="T462" s="2"/>
      <c r="U462" s="2"/>
      <c r="V462" s="2"/>
      <c r="W462" s="2"/>
      <c r="X462" s="2"/>
      <c r="Y462" s="2"/>
      <c r="Z462" s="2"/>
    </row>
    <row r="463">
      <c r="A463" s="2"/>
      <c r="B463" s="2"/>
      <c r="C463" s="2"/>
      <c r="D463" s="2"/>
      <c r="E463" s="2"/>
      <c r="F463" s="7"/>
      <c r="G463" s="2"/>
      <c r="H463" s="7"/>
      <c r="I463" s="2"/>
      <c r="J463" s="2"/>
      <c r="K463" s="2"/>
      <c r="L463" s="2"/>
      <c r="M463" s="2"/>
      <c r="N463" s="2"/>
      <c r="O463" s="2"/>
      <c r="P463" s="2"/>
      <c r="Q463" s="2"/>
      <c r="R463" s="2"/>
      <c r="S463" s="2"/>
      <c r="T463" s="2"/>
      <c r="U463" s="2"/>
      <c r="V463" s="2"/>
      <c r="W463" s="2"/>
      <c r="X463" s="2"/>
      <c r="Y463" s="2"/>
      <c r="Z463" s="2"/>
    </row>
    <row r="464">
      <c r="A464" s="2"/>
      <c r="B464" s="2"/>
      <c r="C464" s="2"/>
      <c r="D464" s="2"/>
      <c r="E464" s="2"/>
      <c r="F464" s="7"/>
      <c r="G464" s="2"/>
      <c r="H464" s="7"/>
      <c r="I464" s="2"/>
      <c r="J464" s="2"/>
      <c r="K464" s="2"/>
      <c r="L464" s="2"/>
      <c r="M464" s="2"/>
      <c r="N464" s="2"/>
      <c r="O464" s="2"/>
      <c r="P464" s="2"/>
      <c r="Q464" s="2"/>
      <c r="R464" s="2"/>
      <c r="S464" s="2"/>
      <c r="T464" s="2"/>
      <c r="U464" s="2"/>
      <c r="V464" s="2"/>
      <c r="W464" s="2"/>
      <c r="X464" s="2"/>
      <c r="Y464" s="2"/>
      <c r="Z464" s="2"/>
    </row>
    <row r="465">
      <c r="A465" s="2"/>
      <c r="B465" s="2"/>
      <c r="C465" s="2"/>
      <c r="D465" s="2"/>
      <c r="E465" s="2"/>
      <c r="F465" s="7"/>
      <c r="G465" s="2"/>
      <c r="H465" s="7"/>
      <c r="I465" s="2"/>
      <c r="J465" s="2"/>
      <c r="K465" s="2"/>
      <c r="L465" s="2"/>
      <c r="M465" s="2"/>
      <c r="N465" s="2"/>
      <c r="O465" s="2"/>
      <c r="P465" s="2"/>
      <c r="Q465" s="2"/>
      <c r="R465" s="2"/>
      <c r="S465" s="2"/>
      <c r="T465" s="2"/>
      <c r="U465" s="2"/>
      <c r="V465" s="2"/>
      <c r="W465" s="2"/>
      <c r="X465" s="2"/>
      <c r="Y465" s="2"/>
      <c r="Z465" s="2"/>
    </row>
    <row r="466">
      <c r="A466" s="2"/>
      <c r="B466" s="2"/>
      <c r="C466" s="2"/>
      <c r="D466" s="2"/>
      <c r="E466" s="2"/>
      <c r="F466" s="7"/>
      <c r="G466" s="2"/>
      <c r="H466" s="7"/>
      <c r="I466" s="2"/>
      <c r="J466" s="2"/>
      <c r="K466" s="2"/>
      <c r="L466" s="2"/>
      <c r="M466" s="2"/>
      <c r="N466" s="2"/>
      <c r="O466" s="2"/>
      <c r="P466" s="2"/>
      <c r="Q466" s="2"/>
      <c r="R466" s="2"/>
      <c r="S466" s="2"/>
      <c r="T466" s="2"/>
      <c r="U466" s="2"/>
      <c r="V466" s="2"/>
      <c r="W466" s="2"/>
      <c r="X466" s="2"/>
      <c r="Y466" s="2"/>
      <c r="Z466" s="2"/>
    </row>
    <row r="467">
      <c r="A467" s="2"/>
      <c r="B467" s="2"/>
      <c r="C467" s="2"/>
      <c r="D467" s="2"/>
      <c r="E467" s="2"/>
      <c r="F467" s="7"/>
      <c r="G467" s="2"/>
      <c r="H467" s="7"/>
      <c r="I467" s="2"/>
      <c r="J467" s="2"/>
      <c r="K467" s="2"/>
      <c r="L467" s="2"/>
      <c r="M467" s="2"/>
      <c r="N467" s="2"/>
      <c r="O467" s="2"/>
      <c r="P467" s="2"/>
      <c r="Q467" s="2"/>
      <c r="R467" s="2"/>
      <c r="S467" s="2"/>
      <c r="T467" s="2"/>
      <c r="U467" s="2"/>
      <c r="V467" s="2"/>
      <c r="W467" s="2"/>
      <c r="X467" s="2"/>
      <c r="Y467" s="2"/>
      <c r="Z467" s="2"/>
    </row>
    <row r="468">
      <c r="A468" s="2"/>
      <c r="B468" s="2"/>
      <c r="C468" s="2"/>
      <c r="D468" s="2"/>
      <c r="E468" s="2"/>
      <c r="F468" s="7"/>
      <c r="G468" s="2"/>
      <c r="H468" s="7"/>
      <c r="I468" s="2"/>
      <c r="J468" s="2"/>
      <c r="K468" s="2"/>
      <c r="L468" s="2"/>
      <c r="M468" s="2"/>
      <c r="N468" s="2"/>
      <c r="O468" s="2"/>
      <c r="P468" s="2"/>
      <c r="Q468" s="2"/>
      <c r="R468" s="2"/>
      <c r="S468" s="2"/>
      <c r="T468" s="2"/>
      <c r="U468" s="2"/>
      <c r="V468" s="2"/>
      <c r="W468" s="2"/>
      <c r="X468" s="2"/>
      <c r="Y468" s="2"/>
      <c r="Z468" s="2"/>
    </row>
    <row r="469">
      <c r="A469" s="2"/>
      <c r="B469" s="2"/>
      <c r="C469" s="2"/>
      <c r="D469" s="2"/>
      <c r="E469" s="2"/>
      <c r="F469" s="7"/>
      <c r="G469" s="2"/>
      <c r="H469" s="7"/>
      <c r="I469" s="2"/>
      <c r="J469" s="2"/>
      <c r="K469" s="2"/>
      <c r="L469" s="2"/>
      <c r="M469" s="2"/>
      <c r="N469" s="2"/>
      <c r="O469" s="2"/>
      <c r="P469" s="2"/>
      <c r="Q469" s="2"/>
      <c r="R469" s="2"/>
      <c r="S469" s="2"/>
      <c r="T469" s="2"/>
      <c r="U469" s="2"/>
      <c r="V469" s="2"/>
      <c r="W469" s="2"/>
      <c r="X469" s="2"/>
      <c r="Y469" s="2"/>
      <c r="Z469" s="2"/>
    </row>
    <row r="470">
      <c r="A470" s="2"/>
      <c r="B470" s="2"/>
      <c r="C470" s="2"/>
      <c r="D470" s="2"/>
      <c r="E470" s="2"/>
      <c r="F470" s="7"/>
      <c r="G470" s="2"/>
      <c r="H470" s="7"/>
      <c r="I470" s="2"/>
      <c r="J470" s="2"/>
      <c r="K470" s="2"/>
      <c r="L470" s="2"/>
      <c r="M470" s="2"/>
      <c r="N470" s="2"/>
      <c r="O470" s="2"/>
      <c r="P470" s="2"/>
      <c r="Q470" s="2"/>
      <c r="R470" s="2"/>
      <c r="S470" s="2"/>
      <c r="T470" s="2"/>
      <c r="U470" s="2"/>
      <c r="V470" s="2"/>
      <c r="W470" s="2"/>
      <c r="X470" s="2"/>
      <c r="Y470" s="2"/>
      <c r="Z470" s="2"/>
    </row>
    <row r="471">
      <c r="A471" s="2"/>
      <c r="B471" s="2"/>
      <c r="C471" s="2"/>
      <c r="D471" s="2"/>
      <c r="E471" s="2"/>
      <c r="F471" s="7"/>
      <c r="G471" s="2"/>
      <c r="H471" s="7"/>
      <c r="I471" s="2"/>
      <c r="J471" s="2"/>
      <c r="K471" s="2"/>
      <c r="L471" s="2"/>
      <c r="M471" s="2"/>
      <c r="N471" s="2"/>
      <c r="O471" s="2"/>
      <c r="P471" s="2"/>
      <c r="Q471" s="2"/>
      <c r="R471" s="2"/>
      <c r="S471" s="2"/>
      <c r="T471" s="2"/>
      <c r="U471" s="2"/>
      <c r="V471" s="2"/>
      <c r="W471" s="2"/>
      <c r="X471" s="2"/>
      <c r="Y471" s="2"/>
      <c r="Z471" s="2"/>
    </row>
    <row r="472">
      <c r="A472" s="2"/>
      <c r="B472" s="2"/>
      <c r="C472" s="2"/>
      <c r="D472" s="2"/>
      <c r="E472" s="2"/>
      <c r="F472" s="7"/>
      <c r="G472" s="2"/>
      <c r="H472" s="7"/>
      <c r="I472" s="2"/>
      <c r="J472" s="2"/>
      <c r="K472" s="2"/>
      <c r="L472" s="2"/>
      <c r="M472" s="2"/>
      <c r="N472" s="2"/>
      <c r="O472" s="2"/>
      <c r="P472" s="2"/>
      <c r="Q472" s="2"/>
      <c r="R472" s="2"/>
      <c r="S472" s="2"/>
      <c r="T472" s="2"/>
      <c r="U472" s="2"/>
      <c r="V472" s="2"/>
      <c r="W472" s="2"/>
      <c r="X472" s="2"/>
      <c r="Y472" s="2"/>
      <c r="Z472" s="2"/>
    </row>
    <row r="473">
      <c r="A473" s="2"/>
      <c r="B473" s="2"/>
      <c r="C473" s="2"/>
      <c r="D473" s="2"/>
      <c r="E473" s="2"/>
      <c r="F473" s="7"/>
      <c r="G473" s="2"/>
      <c r="H473" s="7"/>
      <c r="I473" s="2"/>
      <c r="J473" s="2"/>
      <c r="K473" s="2"/>
      <c r="L473" s="2"/>
      <c r="M473" s="2"/>
      <c r="N473" s="2"/>
      <c r="O473" s="2"/>
      <c r="P473" s="2"/>
      <c r="Q473" s="2"/>
      <c r="R473" s="2"/>
      <c r="S473" s="2"/>
      <c r="T473" s="2"/>
      <c r="U473" s="2"/>
      <c r="V473" s="2"/>
      <c r="W473" s="2"/>
      <c r="X473" s="2"/>
      <c r="Y473" s="2"/>
      <c r="Z473" s="2"/>
    </row>
    <row r="474">
      <c r="A474" s="2"/>
      <c r="B474" s="2"/>
      <c r="C474" s="2"/>
      <c r="D474" s="2"/>
      <c r="E474" s="2"/>
      <c r="F474" s="7"/>
      <c r="G474" s="2"/>
      <c r="H474" s="7"/>
      <c r="I474" s="2"/>
      <c r="J474" s="2"/>
      <c r="K474" s="2"/>
      <c r="L474" s="2"/>
      <c r="M474" s="2"/>
      <c r="N474" s="2"/>
      <c r="O474" s="2"/>
      <c r="P474" s="2"/>
      <c r="Q474" s="2"/>
      <c r="R474" s="2"/>
      <c r="S474" s="2"/>
      <c r="T474" s="2"/>
      <c r="U474" s="2"/>
      <c r="V474" s="2"/>
      <c r="W474" s="2"/>
      <c r="X474" s="2"/>
      <c r="Y474" s="2"/>
      <c r="Z474" s="2"/>
    </row>
    <row r="475">
      <c r="A475" s="2"/>
      <c r="B475" s="2"/>
      <c r="C475" s="2"/>
      <c r="D475" s="2"/>
      <c r="E475" s="2"/>
      <c r="F475" s="7"/>
      <c r="G475" s="2"/>
      <c r="H475" s="7"/>
      <c r="I475" s="2"/>
      <c r="J475" s="2"/>
      <c r="K475" s="2"/>
      <c r="L475" s="2"/>
      <c r="M475" s="2"/>
      <c r="N475" s="2"/>
      <c r="O475" s="2"/>
      <c r="P475" s="2"/>
      <c r="Q475" s="2"/>
      <c r="R475" s="2"/>
      <c r="S475" s="2"/>
      <c r="T475" s="2"/>
      <c r="U475" s="2"/>
      <c r="V475" s="2"/>
      <c r="W475" s="2"/>
      <c r="X475" s="2"/>
      <c r="Y475" s="2"/>
      <c r="Z475" s="2"/>
    </row>
    <row r="476">
      <c r="A476" s="2"/>
      <c r="B476" s="2"/>
      <c r="C476" s="2"/>
      <c r="D476" s="2"/>
      <c r="E476" s="2"/>
      <c r="F476" s="7"/>
      <c r="G476" s="2"/>
      <c r="H476" s="7"/>
      <c r="I476" s="2"/>
      <c r="J476" s="2"/>
      <c r="K476" s="2"/>
      <c r="L476" s="2"/>
      <c r="M476" s="2"/>
      <c r="N476" s="2"/>
      <c r="O476" s="2"/>
      <c r="P476" s="2"/>
      <c r="Q476" s="2"/>
      <c r="R476" s="2"/>
      <c r="S476" s="2"/>
      <c r="T476" s="2"/>
      <c r="U476" s="2"/>
      <c r="V476" s="2"/>
      <c r="W476" s="2"/>
      <c r="X476" s="2"/>
      <c r="Y476" s="2"/>
      <c r="Z476" s="2"/>
    </row>
    <row r="477">
      <c r="A477" s="2"/>
      <c r="B477" s="2"/>
      <c r="C477" s="2"/>
      <c r="D477" s="2"/>
      <c r="E477" s="2"/>
      <c r="F477" s="7"/>
      <c r="G477" s="2"/>
      <c r="H477" s="7"/>
      <c r="I477" s="2"/>
      <c r="J477" s="2"/>
      <c r="K477" s="2"/>
      <c r="L477" s="2"/>
      <c r="M477" s="2"/>
      <c r="N477" s="2"/>
      <c r="O477" s="2"/>
      <c r="P477" s="2"/>
      <c r="Q477" s="2"/>
      <c r="R477" s="2"/>
      <c r="S477" s="2"/>
      <c r="T477" s="2"/>
      <c r="U477" s="2"/>
      <c r="V477" s="2"/>
      <c r="W477" s="2"/>
      <c r="X477" s="2"/>
      <c r="Y477" s="2"/>
      <c r="Z477" s="2"/>
    </row>
    <row r="478">
      <c r="A478" s="2"/>
      <c r="B478" s="2"/>
      <c r="C478" s="2"/>
      <c r="D478" s="2"/>
      <c r="E478" s="2"/>
      <c r="F478" s="7"/>
      <c r="G478" s="2"/>
      <c r="H478" s="7"/>
      <c r="I478" s="2"/>
      <c r="J478" s="2"/>
      <c r="K478" s="2"/>
      <c r="L478" s="2"/>
      <c r="M478" s="2"/>
      <c r="N478" s="2"/>
      <c r="O478" s="2"/>
      <c r="P478" s="2"/>
      <c r="Q478" s="2"/>
      <c r="R478" s="2"/>
      <c r="S478" s="2"/>
      <c r="T478" s="2"/>
      <c r="U478" s="2"/>
      <c r="V478" s="2"/>
      <c r="W478" s="2"/>
      <c r="X478" s="2"/>
      <c r="Y478" s="2"/>
      <c r="Z478" s="2"/>
    </row>
    <row r="479">
      <c r="A479" s="2"/>
      <c r="B479" s="2"/>
      <c r="C479" s="2"/>
      <c r="D479" s="2"/>
      <c r="E479" s="2"/>
      <c r="F479" s="7"/>
      <c r="G479" s="2"/>
      <c r="H479" s="7"/>
      <c r="I479" s="2"/>
      <c r="J479" s="2"/>
      <c r="K479" s="2"/>
      <c r="L479" s="2"/>
      <c r="M479" s="2"/>
      <c r="N479" s="2"/>
      <c r="O479" s="2"/>
      <c r="P479" s="2"/>
      <c r="Q479" s="2"/>
      <c r="R479" s="2"/>
      <c r="S479" s="2"/>
      <c r="T479" s="2"/>
      <c r="U479" s="2"/>
      <c r="V479" s="2"/>
      <c r="W479" s="2"/>
      <c r="X479" s="2"/>
      <c r="Y479" s="2"/>
      <c r="Z479" s="2"/>
    </row>
    <row r="480">
      <c r="A480" s="2"/>
      <c r="B480" s="2"/>
      <c r="C480" s="2"/>
      <c r="D480" s="2"/>
      <c r="E480" s="2"/>
      <c r="F480" s="7"/>
      <c r="G480" s="2"/>
      <c r="H480" s="7"/>
      <c r="I480" s="2"/>
      <c r="J480" s="2"/>
      <c r="K480" s="2"/>
      <c r="L480" s="2"/>
      <c r="M480" s="2"/>
      <c r="N480" s="2"/>
      <c r="O480" s="2"/>
      <c r="P480" s="2"/>
      <c r="Q480" s="2"/>
      <c r="R480" s="2"/>
      <c r="S480" s="2"/>
      <c r="T480" s="2"/>
      <c r="U480" s="2"/>
      <c r="V480" s="2"/>
      <c r="W480" s="2"/>
      <c r="X480" s="2"/>
      <c r="Y480" s="2"/>
      <c r="Z480" s="2"/>
    </row>
    <row r="481">
      <c r="A481" s="2"/>
      <c r="B481" s="2"/>
      <c r="C481" s="2"/>
      <c r="D481" s="2"/>
      <c r="E481" s="2"/>
      <c r="F481" s="7"/>
      <c r="G481" s="2"/>
      <c r="H481" s="7"/>
      <c r="I481" s="2"/>
      <c r="J481" s="2"/>
      <c r="K481" s="2"/>
      <c r="L481" s="2"/>
      <c r="M481" s="2"/>
      <c r="N481" s="2"/>
      <c r="O481" s="2"/>
      <c r="P481" s="2"/>
      <c r="Q481" s="2"/>
      <c r="R481" s="2"/>
      <c r="S481" s="2"/>
      <c r="T481" s="2"/>
      <c r="U481" s="2"/>
      <c r="V481" s="2"/>
      <c r="W481" s="2"/>
      <c r="X481" s="2"/>
      <c r="Y481" s="2"/>
      <c r="Z481" s="2"/>
    </row>
    <row r="482">
      <c r="A482" s="2"/>
      <c r="B482" s="2"/>
      <c r="C482" s="2"/>
      <c r="D482" s="2"/>
      <c r="E482" s="2"/>
      <c r="F482" s="7"/>
      <c r="G482" s="2"/>
      <c r="H482" s="7"/>
      <c r="I482" s="2"/>
      <c r="J482" s="2"/>
      <c r="K482" s="2"/>
      <c r="L482" s="2"/>
      <c r="M482" s="2"/>
      <c r="N482" s="2"/>
      <c r="O482" s="2"/>
      <c r="P482" s="2"/>
      <c r="Q482" s="2"/>
      <c r="R482" s="2"/>
      <c r="S482" s="2"/>
      <c r="T482" s="2"/>
      <c r="U482" s="2"/>
      <c r="V482" s="2"/>
      <c r="W482" s="2"/>
      <c r="X482" s="2"/>
      <c r="Y482" s="2"/>
      <c r="Z482" s="2"/>
    </row>
    <row r="483">
      <c r="A483" s="2"/>
      <c r="B483" s="2"/>
      <c r="C483" s="2"/>
      <c r="D483" s="2"/>
      <c r="E483" s="2"/>
      <c r="F483" s="7"/>
      <c r="G483" s="2"/>
      <c r="H483" s="7"/>
      <c r="I483" s="2"/>
      <c r="J483" s="2"/>
      <c r="K483" s="2"/>
      <c r="L483" s="2"/>
      <c r="M483" s="2"/>
      <c r="N483" s="2"/>
      <c r="O483" s="2"/>
      <c r="P483" s="2"/>
      <c r="Q483" s="2"/>
      <c r="R483" s="2"/>
      <c r="S483" s="2"/>
      <c r="T483" s="2"/>
      <c r="U483" s="2"/>
      <c r="V483" s="2"/>
      <c r="W483" s="2"/>
      <c r="X483" s="2"/>
      <c r="Y483" s="2"/>
      <c r="Z483" s="2"/>
    </row>
    <row r="484">
      <c r="A484" s="2"/>
      <c r="B484" s="2"/>
      <c r="C484" s="2"/>
      <c r="D484" s="2"/>
      <c r="E484" s="2"/>
      <c r="F484" s="7"/>
      <c r="G484" s="2"/>
      <c r="H484" s="7"/>
      <c r="I484" s="2"/>
      <c r="J484" s="2"/>
      <c r="K484" s="2"/>
      <c r="L484" s="2"/>
      <c r="M484" s="2"/>
      <c r="N484" s="2"/>
      <c r="O484" s="2"/>
      <c r="P484" s="2"/>
      <c r="Q484" s="2"/>
      <c r="R484" s="2"/>
      <c r="S484" s="2"/>
      <c r="T484" s="2"/>
      <c r="U484" s="2"/>
      <c r="V484" s="2"/>
      <c r="W484" s="2"/>
      <c r="X484" s="2"/>
      <c r="Y484" s="2"/>
      <c r="Z484" s="2"/>
    </row>
    <row r="485">
      <c r="A485" s="2"/>
      <c r="B485" s="2"/>
      <c r="C485" s="2"/>
      <c r="D485" s="2"/>
      <c r="E485" s="2"/>
      <c r="F485" s="7"/>
      <c r="G485" s="2"/>
      <c r="H485" s="7"/>
      <c r="I485" s="2"/>
      <c r="J485" s="2"/>
      <c r="K485" s="2"/>
      <c r="L485" s="2"/>
      <c r="M485" s="2"/>
      <c r="N485" s="2"/>
      <c r="O485" s="2"/>
      <c r="P485" s="2"/>
      <c r="Q485" s="2"/>
      <c r="R485" s="2"/>
      <c r="S485" s="2"/>
      <c r="T485" s="2"/>
      <c r="U485" s="2"/>
      <c r="V485" s="2"/>
      <c r="W485" s="2"/>
      <c r="X485" s="2"/>
      <c r="Y485" s="2"/>
      <c r="Z485" s="2"/>
    </row>
    <row r="486">
      <c r="A486" s="2"/>
      <c r="B486" s="2"/>
      <c r="C486" s="2"/>
      <c r="D486" s="2"/>
      <c r="E486" s="2"/>
      <c r="F486" s="7"/>
      <c r="G486" s="2"/>
      <c r="H486" s="7"/>
      <c r="I486" s="2"/>
      <c r="J486" s="2"/>
      <c r="K486" s="2"/>
      <c r="L486" s="2"/>
      <c r="M486" s="2"/>
      <c r="N486" s="2"/>
      <c r="O486" s="2"/>
      <c r="P486" s="2"/>
      <c r="Q486" s="2"/>
      <c r="R486" s="2"/>
      <c r="S486" s="2"/>
      <c r="T486" s="2"/>
      <c r="U486" s="2"/>
      <c r="V486" s="2"/>
      <c r="W486" s="2"/>
      <c r="X486" s="2"/>
      <c r="Y486" s="2"/>
      <c r="Z486" s="2"/>
    </row>
    <row r="487">
      <c r="A487" s="2"/>
      <c r="B487" s="2"/>
      <c r="C487" s="2"/>
      <c r="D487" s="2"/>
      <c r="E487" s="2"/>
      <c r="F487" s="7"/>
      <c r="G487" s="2"/>
      <c r="H487" s="7"/>
      <c r="I487" s="2"/>
      <c r="J487" s="2"/>
      <c r="K487" s="2"/>
      <c r="L487" s="2"/>
      <c r="M487" s="2"/>
      <c r="N487" s="2"/>
      <c r="O487" s="2"/>
      <c r="P487" s="2"/>
      <c r="Q487" s="2"/>
      <c r="R487" s="2"/>
      <c r="S487" s="2"/>
      <c r="T487" s="2"/>
      <c r="U487" s="2"/>
      <c r="V487" s="2"/>
      <c r="W487" s="2"/>
      <c r="X487" s="2"/>
      <c r="Y487" s="2"/>
      <c r="Z487" s="2"/>
    </row>
    <row r="488">
      <c r="A488" s="2"/>
      <c r="B488" s="2"/>
      <c r="C488" s="2"/>
      <c r="D488" s="2"/>
      <c r="E488" s="2"/>
      <c r="F488" s="7"/>
      <c r="G488" s="2"/>
      <c r="H488" s="7"/>
      <c r="I488" s="2"/>
      <c r="J488" s="2"/>
      <c r="K488" s="2"/>
      <c r="L488" s="2"/>
      <c r="M488" s="2"/>
      <c r="N488" s="2"/>
      <c r="O488" s="2"/>
      <c r="P488" s="2"/>
      <c r="Q488" s="2"/>
      <c r="R488" s="2"/>
      <c r="S488" s="2"/>
      <c r="T488" s="2"/>
      <c r="U488" s="2"/>
      <c r="V488" s="2"/>
      <c r="W488" s="2"/>
      <c r="X488" s="2"/>
      <c r="Y488" s="2"/>
      <c r="Z488" s="2"/>
    </row>
    <row r="489">
      <c r="A489" s="2"/>
      <c r="B489" s="2"/>
      <c r="C489" s="2"/>
      <c r="D489" s="2"/>
      <c r="E489" s="2"/>
      <c r="F489" s="7"/>
      <c r="G489" s="2"/>
      <c r="H489" s="7"/>
      <c r="I489" s="2"/>
      <c r="J489" s="2"/>
      <c r="K489" s="2"/>
      <c r="L489" s="2"/>
      <c r="M489" s="2"/>
      <c r="N489" s="2"/>
      <c r="O489" s="2"/>
      <c r="P489" s="2"/>
      <c r="Q489" s="2"/>
      <c r="R489" s="2"/>
      <c r="S489" s="2"/>
      <c r="T489" s="2"/>
      <c r="U489" s="2"/>
      <c r="V489" s="2"/>
      <c r="W489" s="2"/>
      <c r="X489" s="2"/>
      <c r="Y489" s="2"/>
      <c r="Z489" s="2"/>
    </row>
    <row r="490">
      <c r="A490" s="2"/>
      <c r="B490" s="2"/>
      <c r="C490" s="2"/>
      <c r="D490" s="2"/>
      <c r="E490" s="2"/>
      <c r="F490" s="7"/>
      <c r="G490" s="2"/>
      <c r="H490" s="7"/>
      <c r="I490" s="2"/>
      <c r="J490" s="2"/>
      <c r="K490" s="2"/>
      <c r="L490" s="2"/>
      <c r="M490" s="2"/>
      <c r="N490" s="2"/>
      <c r="O490" s="2"/>
      <c r="P490" s="2"/>
      <c r="Q490" s="2"/>
      <c r="R490" s="2"/>
      <c r="S490" s="2"/>
      <c r="T490" s="2"/>
      <c r="U490" s="2"/>
      <c r="V490" s="2"/>
      <c r="W490" s="2"/>
      <c r="X490" s="2"/>
      <c r="Y490" s="2"/>
      <c r="Z490" s="2"/>
    </row>
    <row r="491">
      <c r="A491" s="2"/>
      <c r="B491" s="2"/>
      <c r="C491" s="2"/>
      <c r="D491" s="2"/>
      <c r="E491" s="2"/>
      <c r="F491" s="7"/>
      <c r="G491" s="2"/>
      <c r="H491" s="7"/>
      <c r="I491" s="2"/>
      <c r="J491" s="2"/>
      <c r="K491" s="2"/>
      <c r="L491" s="2"/>
      <c r="M491" s="2"/>
      <c r="N491" s="2"/>
      <c r="O491" s="2"/>
      <c r="P491" s="2"/>
      <c r="Q491" s="2"/>
      <c r="R491" s="2"/>
      <c r="S491" s="2"/>
      <c r="T491" s="2"/>
      <c r="U491" s="2"/>
      <c r="V491" s="2"/>
      <c r="W491" s="2"/>
      <c r="X491" s="2"/>
      <c r="Y491" s="2"/>
      <c r="Z491" s="2"/>
    </row>
    <row r="492">
      <c r="A492" s="2"/>
      <c r="B492" s="2"/>
      <c r="C492" s="2"/>
      <c r="D492" s="2"/>
      <c r="E492" s="2"/>
      <c r="F492" s="7"/>
      <c r="G492" s="2"/>
      <c r="H492" s="7"/>
      <c r="I492" s="2"/>
      <c r="J492" s="2"/>
      <c r="K492" s="2"/>
      <c r="L492" s="2"/>
      <c r="M492" s="2"/>
      <c r="N492" s="2"/>
      <c r="O492" s="2"/>
      <c r="P492" s="2"/>
      <c r="Q492" s="2"/>
      <c r="R492" s="2"/>
      <c r="S492" s="2"/>
      <c r="T492" s="2"/>
      <c r="U492" s="2"/>
      <c r="V492" s="2"/>
      <c r="W492" s="2"/>
      <c r="X492" s="2"/>
      <c r="Y492" s="2"/>
      <c r="Z492" s="2"/>
    </row>
    <row r="493">
      <c r="A493" s="2"/>
      <c r="B493" s="2"/>
      <c r="C493" s="2"/>
      <c r="D493" s="2"/>
      <c r="E493" s="2"/>
      <c r="F493" s="7"/>
      <c r="G493" s="2"/>
      <c r="H493" s="7"/>
      <c r="I493" s="2"/>
      <c r="J493" s="2"/>
      <c r="K493" s="2"/>
      <c r="L493" s="2"/>
      <c r="M493" s="2"/>
      <c r="N493" s="2"/>
      <c r="O493" s="2"/>
      <c r="P493" s="2"/>
      <c r="Q493" s="2"/>
      <c r="R493" s="2"/>
      <c r="S493" s="2"/>
      <c r="T493" s="2"/>
      <c r="U493" s="2"/>
      <c r="V493" s="2"/>
      <c r="W493" s="2"/>
      <c r="X493" s="2"/>
      <c r="Y493" s="2"/>
      <c r="Z493" s="2"/>
    </row>
    <row r="494">
      <c r="A494" s="2"/>
      <c r="B494" s="2"/>
      <c r="C494" s="2"/>
      <c r="D494" s="2"/>
      <c r="E494" s="2"/>
      <c r="F494" s="7"/>
      <c r="G494" s="2"/>
      <c r="H494" s="7"/>
      <c r="I494" s="2"/>
      <c r="J494" s="2"/>
      <c r="K494" s="2"/>
      <c r="L494" s="2"/>
      <c r="M494" s="2"/>
      <c r="N494" s="2"/>
      <c r="O494" s="2"/>
      <c r="P494" s="2"/>
      <c r="Q494" s="2"/>
      <c r="R494" s="2"/>
      <c r="S494" s="2"/>
      <c r="T494" s="2"/>
      <c r="U494" s="2"/>
      <c r="V494" s="2"/>
      <c r="W494" s="2"/>
      <c r="X494" s="2"/>
      <c r="Y494" s="2"/>
      <c r="Z494" s="2"/>
    </row>
    <row r="495">
      <c r="A495" s="2"/>
      <c r="B495" s="2"/>
      <c r="C495" s="2"/>
      <c r="D495" s="2"/>
      <c r="E495" s="2"/>
      <c r="F495" s="7"/>
      <c r="G495" s="2"/>
      <c r="H495" s="7"/>
      <c r="I495" s="2"/>
      <c r="J495" s="2"/>
      <c r="K495" s="2"/>
      <c r="L495" s="2"/>
      <c r="M495" s="2"/>
      <c r="N495" s="2"/>
      <c r="O495" s="2"/>
      <c r="P495" s="2"/>
      <c r="Q495" s="2"/>
      <c r="R495" s="2"/>
      <c r="S495" s="2"/>
      <c r="T495" s="2"/>
      <c r="U495" s="2"/>
      <c r="V495" s="2"/>
      <c r="W495" s="2"/>
      <c r="X495" s="2"/>
      <c r="Y495" s="2"/>
      <c r="Z495" s="2"/>
    </row>
    <row r="496">
      <c r="A496" s="2"/>
      <c r="B496" s="2"/>
      <c r="C496" s="2"/>
      <c r="D496" s="2"/>
      <c r="E496" s="2"/>
      <c r="F496" s="7"/>
      <c r="G496" s="2"/>
      <c r="H496" s="7"/>
      <c r="I496" s="2"/>
      <c r="J496" s="2"/>
      <c r="K496" s="2"/>
      <c r="L496" s="2"/>
      <c r="M496" s="2"/>
      <c r="N496" s="2"/>
      <c r="O496" s="2"/>
      <c r="P496" s="2"/>
      <c r="Q496" s="2"/>
      <c r="R496" s="2"/>
      <c r="S496" s="2"/>
      <c r="T496" s="2"/>
      <c r="U496" s="2"/>
      <c r="V496" s="2"/>
      <c r="W496" s="2"/>
      <c r="X496" s="2"/>
      <c r="Y496" s="2"/>
      <c r="Z496" s="2"/>
    </row>
    <row r="497">
      <c r="A497" s="2"/>
      <c r="B497" s="2"/>
      <c r="C497" s="2"/>
      <c r="D497" s="2"/>
      <c r="E497" s="2"/>
      <c r="F497" s="7"/>
      <c r="G497" s="2"/>
      <c r="H497" s="7"/>
      <c r="I497" s="2"/>
      <c r="J497" s="2"/>
      <c r="K497" s="2"/>
      <c r="L497" s="2"/>
      <c r="M497" s="2"/>
      <c r="N497" s="2"/>
      <c r="O497" s="2"/>
      <c r="P497" s="2"/>
      <c r="Q497" s="2"/>
      <c r="R497" s="2"/>
      <c r="S497" s="2"/>
      <c r="T497" s="2"/>
      <c r="U497" s="2"/>
      <c r="V497" s="2"/>
      <c r="W497" s="2"/>
      <c r="X497" s="2"/>
      <c r="Y497" s="2"/>
      <c r="Z497" s="2"/>
    </row>
    <row r="498">
      <c r="A498" s="2"/>
      <c r="B498" s="2"/>
      <c r="C498" s="2"/>
      <c r="D498" s="2"/>
      <c r="E498" s="2"/>
      <c r="F498" s="7"/>
      <c r="G498" s="2"/>
      <c r="H498" s="7"/>
      <c r="I498" s="2"/>
      <c r="J498" s="2"/>
      <c r="K498" s="2"/>
      <c r="L498" s="2"/>
      <c r="M498" s="2"/>
      <c r="N498" s="2"/>
      <c r="O498" s="2"/>
      <c r="P498" s="2"/>
      <c r="Q498" s="2"/>
      <c r="R498" s="2"/>
      <c r="S498" s="2"/>
      <c r="T498" s="2"/>
      <c r="U498" s="2"/>
      <c r="V498" s="2"/>
      <c r="W498" s="2"/>
      <c r="X498" s="2"/>
      <c r="Y498" s="2"/>
      <c r="Z498" s="2"/>
    </row>
    <row r="499">
      <c r="A499" s="2"/>
      <c r="B499" s="2"/>
      <c r="C499" s="2"/>
      <c r="D499" s="2"/>
      <c r="E499" s="2"/>
      <c r="F499" s="7"/>
      <c r="G499" s="2"/>
      <c r="H499" s="7"/>
      <c r="I499" s="2"/>
      <c r="J499" s="2"/>
      <c r="K499" s="2"/>
      <c r="L499" s="2"/>
      <c r="M499" s="2"/>
      <c r="N499" s="2"/>
      <c r="O499" s="2"/>
      <c r="P499" s="2"/>
      <c r="Q499" s="2"/>
      <c r="R499" s="2"/>
      <c r="S499" s="2"/>
      <c r="T499" s="2"/>
      <c r="U499" s="2"/>
      <c r="V499" s="2"/>
      <c r="W499" s="2"/>
      <c r="X499" s="2"/>
      <c r="Y499" s="2"/>
      <c r="Z499" s="2"/>
    </row>
    <row r="500">
      <c r="A500" s="2"/>
      <c r="B500" s="2"/>
      <c r="C500" s="2"/>
      <c r="D500" s="2"/>
      <c r="E500" s="2"/>
      <c r="F500" s="7"/>
      <c r="G500" s="2"/>
      <c r="H500" s="7"/>
      <c r="I500" s="2"/>
      <c r="J500" s="2"/>
      <c r="K500" s="2"/>
      <c r="L500" s="2"/>
      <c r="M500" s="2"/>
      <c r="N500" s="2"/>
      <c r="O500" s="2"/>
      <c r="P500" s="2"/>
      <c r="Q500" s="2"/>
      <c r="R500" s="2"/>
      <c r="S500" s="2"/>
      <c r="T500" s="2"/>
      <c r="U500" s="2"/>
      <c r="V500" s="2"/>
      <c r="W500" s="2"/>
      <c r="X500" s="2"/>
      <c r="Y500" s="2"/>
      <c r="Z500" s="2"/>
    </row>
    <row r="501">
      <c r="A501" s="2"/>
      <c r="B501" s="2"/>
      <c r="C501" s="2"/>
      <c r="D501" s="2"/>
      <c r="E501" s="2"/>
      <c r="F501" s="7"/>
      <c r="G501" s="2"/>
      <c r="H501" s="7"/>
      <c r="I501" s="2"/>
      <c r="J501" s="2"/>
      <c r="K501" s="2"/>
      <c r="L501" s="2"/>
      <c r="M501" s="2"/>
      <c r="N501" s="2"/>
      <c r="O501" s="2"/>
      <c r="P501" s="2"/>
      <c r="Q501" s="2"/>
      <c r="R501" s="2"/>
      <c r="S501" s="2"/>
      <c r="T501" s="2"/>
      <c r="U501" s="2"/>
      <c r="V501" s="2"/>
      <c r="W501" s="2"/>
      <c r="X501" s="2"/>
      <c r="Y501" s="2"/>
      <c r="Z501" s="2"/>
    </row>
    <row r="502">
      <c r="A502" s="2"/>
      <c r="B502" s="2"/>
      <c r="C502" s="2"/>
      <c r="D502" s="2"/>
      <c r="E502" s="2"/>
      <c r="F502" s="7"/>
      <c r="G502" s="2"/>
      <c r="H502" s="7"/>
      <c r="I502" s="2"/>
      <c r="J502" s="2"/>
      <c r="K502" s="2"/>
      <c r="L502" s="2"/>
      <c r="M502" s="2"/>
      <c r="N502" s="2"/>
      <c r="O502" s="2"/>
      <c r="P502" s="2"/>
      <c r="Q502" s="2"/>
      <c r="R502" s="2"/>
      <c r="S502" s="2"/>
      <c r="T502" s="2"/>
      <c r="U502" s="2"/>
      <c r="V502" s="2"/>
      <c r="W502" s="2"/>
      <c r="X502" s="2"/>
      <c r="Y502" s="2"/>
      <c r="Z502" s="2"/>
    </row>
    <row r="503">
      <c r="A503" s="2"/>
      <c r="B503" s="2"/>
      <c r="C503" s="2"/>
      <c r="D503" s="2"/>
      <c r="E503" s="2"/>
      <c r="F503" s="7"/>
      <c r="G503" s="2"/>
      <c r="H503" s="7"/>
      <c r="I503" s="2"/>
      <c r="J503" s="2"/>
      <c r="K503" s="2"/>
      <c r="L503" s="2"/>
      <c r="M503" s="2"/>
      <c r="N503" s="2"/>
      <c r="O503" s="2"/>
      <c r="P503" s="2"/>
      <c r="Q503" s="2"/>
      <c r="R503" s="2"/>
      <c r="S503" s="2"/>
      <c r="T503" s="2"/>
      <c r="U503" s="2"/>
      <c r="V503" s="2"/>
      <c r="W503" s="2"/>
      <c r="X503" s="2"/>
      <c r="Y503" s="2"/>
      <c r="Z503" s="2"/>
    </row>
    <row r="504">
      <c r="A504" s="2"/>
      <c r="B504" s="2"/>
      <c r="C504" s="2"/>
      <c r="D504" s="2"/>
      <c r="E504" s="2"/>
      <c r="F504" s="7"/>
      <c r="G504" s="2"/>
      <c r="H504" s="7"/>
      <c r="I504" s="2"/>
      <c r="J504" s="2"/>
      <c r="K504" s="2"/>
      <c r="L504" s="2"/>
      <c r="M504" s="2"/>
      <c r="N504" s="2"/>
      <c r="O504" s="2"/>
      <c r="P504" s="2"/>
      <c r="Q504" s="2"/>
      <c r="R504" s="2"/>
      <c r="S504" s="2"/>
      <c r="T504" s="2"/>
      <c r="U504" s="2"/>
      <c r="V504" s="2"/>
      <c r="W504" s="2"/>
      <c r="X504" s="2"/>
      <c r="Y504" s="2"/>
      <c r="Z504" s="2"/>
    </row>
    <row r="505">
      <c r="A505" s="2"/>
      <c r="B505" s="2"/>
      <c r="C505" s="2"/>
      <c r="D505" s="2"/>
      <c r="E505" s="2"/>
      <c r="F505" s="7"/>
      <c r="G505" s="2"/>
      <c r="H505" s="7"/>
      <c r="I505" s="2"/>
      <c r="J505" s="2"/>
      <c r="K505" s="2"/>
      <c r="L505" s="2"/>
      <c r="M505" s="2"/>
      <c r="N505" s="2"/>
      <c r="O505" s="2"/>
      <c r="P505" s="2"/>
      <c r="Q505" s="2"/>
      <c r="R505" s="2"/>
      <c r="S505" s="2"/>
      <c r="T505" s="2"/>
      <c r="U505" s="2"/>
      <c r="V505" s="2"/>
      <c r="W505" s="2"/>
      <c r="X505" s="2"/>
      <c r="Y505" s="2"/>
      <c r="Z505" s="2"/>
    </row>
    <row r="506">
      <c r="A506" s="2"/>
      <c r="B506" s="2"/>
      <c r="C506" s="2"/>
      <c r="D506" s="2"/>
      <c r="E506" s="2"/>
      <c r="F506" s="7"/>
      <c r="G506" s="2"/>
      <c r="H506" s="7"/>
      <c r="I506" s="2"/>
      <c r="J506" s="2"/>
      <c r="K506" s="2"/>
      <c r="L506" s="2"/>
      <c r="M506" s="2"/>
      <c r="N506" s="2"/>
      <c r="O506" s="2"/>
      <c r="P506" s="2"/>
      <c r="Q506" s="2"/>
      <c r="R506" s="2"/>
      <c r="S506" s="2"/>
      <c r="T506" s="2"/>
      <c r="U506" s="2"/>
      <c r="V506" s="2"/>
      <c r="W506" s="2"/>
      <c r="X506" s="2"/>
      <c r="Y506" s="2"/>
      <c r="Z506" s="2"/>
    </row>
    <row r="507">
      <c r="A507" s="2"/>
      <c r="B507" s="2"/>
      <c r="C507" s="2"/>
      <c r="D507" s="2"/>
      <c r="E507" s="2"/>
      <c r="F507" s="7"/>
      <c r="G507" s="2"/>
      <c r="H507" s="7"/>
      <c r="I507" s="2"/>
      <c r="J507" s="2"/>
      <c r="K507" s="2"/>
      <c r="L507" s="2"/>
      <c r="M507" s="2"/>
      <c r="N507" s="2"/>
      <c r="O507" s="2"/>
      <c r="P507" s="2"/>
      <c r="Q507" s="2"/>
      <c r="R507" s="2"/>
      <c r="S507" s="2"/>
      <c r="T507" s="2"/>
      <c r="U507" s="2"/>
      <c r="V507" s="2"/>
      <c r="W507" s="2"/>
      <c r="X507" s="2"/>
      <c r="Y507" s="2"/>
      <c r="Z507" s="2"/>
    </row>
    <row r="508">
      <c r="A508" s="2"/>
      <c r="B508" s="2"/>
      <c r="C508" s="2"/>
      <c r="D508" s="2"/>
      <c r="E508" s="2"/>
      <c r="F508" s="7"/>
      <c r="G508" s="2"/>
      <c r="H508" s="7"/>
      <c r="I508" s="2"/>
      <c r="J508" s="2"/>
      <c r="K508" s="2"/>
      <c r="L508" s="2"/>
      <c r="M508" s="2"/>
      <c r="N508" s="2"/>
      <c r="O508" s="2"/>
      <c r="P508" s="2"/>
      <c r="Q508" s="2"/>
      <c r="R508" s="2"/>
      <c r="S508" s="2"/>
      <c r="T508" s="2"/>
      <c r="U508" s="2"/>
      <c r="V508" s="2"/>
      <c r="W508" s="2"/>
      <c r="X508" s="2"/>
      <c r="Y508" s="2"/>
      <c r="Z508" s="2"/>
    </row>
    <row r="509">
      <c r="A509" s="2"/>
      <c r="B509" s="2"/>
      <c r="C509" s="2"/>
      <c r="D509" s="2"/>
      <c r="E509" s="2"/>
      <c r="F509" s="7"/>
      <c r="G509" s="2"/>
      <c r="H509" s="7"/>
      <c r="I509" s="2"/>
      <c r="J509" s="2"/>
      <c r="K509" s="2"/>
      <c r="L509" s="2"/>
      <c r="M509" s="2"/>
      <c r="N509" s="2"/>
      <c r="O509" s="2"/>
      <c r="P509" s="2"/>
      <c r="Q509" s="2"/>
      <c r="R509" s="2"/>
      <c r="S509" s="2"/>
      <c r="T509" s="2"/>
      <c r="U509" s="2"/>
      <c r="V509" s="2"/>
      <c r="W509" s="2"/>
      <c r="X509" s="2"/>
      <c r="Y509" s="2"/>
      <c r="Z509" s="2"/>
    </row>
    <row r="510">
      <c r="A510" s="2"/>
      <c r="B510" s="2"/>
      <c r="C510" s="2"/>
      <c r="D510" s="2"/>
      <c r="E510" s="2"/>
      <c r="F510" s="7"/>
      <c r="G510" s="2"/>
      <c r="H510" s="7"/>
      <c r="I510" s="2"/>
      <c r="J510" s="2"/>
      <c r="K510" s="2"/>
      <c r="L510" s="2"/>
      <c r="M510" s="2"/>
      <c r="N510" s="2"/>
      <c r="O510" s="2"/>
      <c r="P510" s="2"/>
      <c r="Q510" s="2"/>
      <c r="R510" s="2"/>
      <c r="S510" s="2"/>
      <c r="T510" s="2"/>
      <c r="U510" s="2"/>
      <c r="V510" s="2"/>
      <c r="W510" s="2"/>
      <c r="X510" s="2"/>
      <c r="Y510" s="2"/>
      <c r="Z510" s="2"/>
    </row>
    <row r="511">
      <c r="A511" s="2"/>
      <c r="B511" s="2"/>
      <c r="C511" s="2"/>
      <c r="D511" s="2"/>
      <c r="E511" s="2"/>
      <c r="F511" s="7"/>
      <c r="G511" s="2"/>
      <c r="H511" s="7"/>
      <c r="I511" s="2"/>
      <c r="J511" s="2"/>
      <c r="K511" s="2"/>
      <c r="L511" s="2"/>
      <c r="M511" s="2"/>
      <c r="N511" s="2"/>
      <c r="O511" s="2"/>
      <c r="P511" s="2"/>
      <c r="Q511" s="2"/>
      <c r="R511" s="2"/>
      <c r="S511" s="2"/>
      <c r="T511" s="2"/>
      <c r="U511" s="2"/>
      <c r="V511" s="2"/>
      <c r="W511" s="2"/>
      <c r="X511" s="2"/>
      <c r="Y511" s="2"/>
      <c r="Z511" s="2"/>
    </row>
    <row r="512">
      <c r="A512" s="2"/>
      <c r="B512" s="2"/>
      <c r="C512" s="2"/>
      <c r="D512" s="2"/>
      <c r="E512" s="2"/>
      <c r="F512" s="7"/>
      <c r="G512" s="2"/>
      <c r="H512" s="7"/>
      <c r="I512" s="2"/>
      <c r="J512" s="2"/>
      <c r="K512" s="2"/>
      <c r="L512" s="2"/>
      <c r="M512" s="2"/>
      <c r="N512" s="2"/>
      <c r="O512" s="2"/>
      <c r="P512" s="2"/>
      <c r="Q512" s="2"/>
      <c r="R512" s="2"/>
      <c r="S512" s="2"/>
      <c r="T512" s="2"/>
      <c r="U512" s="2"/>
      <c r="V512" s="2"/>
      <c r="W512" s="2"/>
      <c r="X512" s="2"/>
      <c r="Y512" s="2"/>
      <c r="Z512" s="2"/>
    </row>
    <row r="513">
      <c r="A513" s="2"/>
      <c r="B513" s="2"/>
      <c r="C513" s="2"/>
      <c r="D513" s="2"/>
      <c r="E513" s="2"/>
      <c r="F513" s="7"/>
      <c r="G513" s="2"/>
      <c r="H513" s="7"/>
      <c r="I513" s="2"/>
      <c r="J513" s="2"/>
      <c r="K513" s="2"/>
      <c r="L513" s="2"/>
      <c r="M513" s="2"/>
      <c r="N513" s="2"/>
      <c r="O513" s="2"/>
      <c r="P513" s="2"/>
      <c r="Q513" s="2"/>
      <c r="R513" s="2"/>
      <c r="S513" s="2"/>
      <c r="T513" s="2"/>
      <c r="U513" s="2"/>
      <c r="V513" s="2"/>
      <c r="W513" s="2"/>
      <c r="X513" s="2"/>
      <c r="Y513" s="2"/>
      <c r="Z513" s="2"/>
    </row>
    <row r="514">
      <c r="A514" s="2"/>
      <c r="B514" s="2"/>
      <c r="C514" s="2"/>
      <c r="D514" s="2"/>
      <c r="E514" s="2"/>
      <c r="F514" s="7"/>
      <c r="G514" s="2"/>
      <c r="H514" s="7"/>
      <c r="I514" s="2"/>
      <c r="J514" s="2"/>
      <c r="K514" s="2"/>
      <c r="L514" s="2"/>
      <c r="M514" s="2"/>
      <c r="N514" s="2"/>
      <c r="O514" s="2"/>
      <c r="P514" s="2"/>
      <c r="Q514" s="2"/>
      <c r="R514" s="2"/>
      <c r="S514" s="2"/>
      <c r="T514" s="2"/>
      <c r="U514" s="2"/>
      <c r="V514" s="2"/>
      <c r="W514" s="2"/>
      <c r="X514" s="2"/>
      <c r="Y514" s="2"/>
      <c r="Z514" s="2"/>
    </row>
    <row r="515">
      <c r="A515" s="2"/>
      <c r="B515" s="2"/>
      <c r="C515" s="2"/>
      <c r="D515" s="2"/>
      <c r="E515" s="2"/>
      <c r="F515" s="7"/>
      <c r="G515" s="2"/>
      <c r="H515" s="7"/>
      <c r="I515" s="2"/>
      <c r="J515" s="2"/>
      <c r="K515" s="2"/>
      <c r="L515" s="2"/>
      <c r="M515" s="2"/>
      <c r="N515" s="2"/>
      <c r="O515" s="2"/>
      <c r="P515" s="2"/>
      <c r="Q515" s="2"/>
      <c r="R515" s="2"/>
      <c r="S515" s="2"/>
      <c r="T515" s="2"/>
      <c r="U515" s="2"/>
      <c r="V515" s="2"/>
      <c r="W515" s="2"/>
      <c r="X515" s="2"/>
      <c r="Y515" s="2"/>
      <c r="Z515" s="2"/>
    </row>
    <row r="516">
      <c r="A516" s="2"/>
      <c r="B516" s="2"/>
      <c r="C516" s="2"/>
      <c r="D516" s="2"/>
      <c r="E516" s="2"/>
      <c r="F516" s="7"/>
      <c r="G516" s="2"/>
      <c r="H516" s="7"/>
      <c r="I516" s="2"/>
      <c r="J516" s="2"/>
      <c r="K516" s="2"/>
      <c r="L516" s="2"/>
      <c r="M516" s="2"/>
      <c r="N516" s="2"/>
      <c r="O516" s="2"/>
      <c r="P516" s="2"/>
      <c r="Q516" s="2"/>
      <c r="R516" s="2"/>
      <c r="S516" s="2"/>
      <c r="T516" s="2"/>
      <c r="U516" s="2"/>
      <c r="V516" s="2"/>
      <c r="W516" s="2"/>
      <c r="X516" s="2"/>
      <c r="Y516" s="2"/>
      <c r="Z516" s="2"/>
    </row>
    <row r="517">
      <c r="A517" s="2"/>
      <c r="B517" s="2"/>
      <c r="C517" s="2"/>
      <c r="D517" s="2"/>
      <c r="E517" s="2"/>
      <c r="F517" s="7"/>
      <c r="G517" s="2"/>
      <c r="H517" s="7"/>
      <c r="I517" s="2"/>
      <c r="J517" s="2"/>
      <c r="K517" s="2"/>
      <c r="L517" s="2"/>
      <c r="M517" s="2"/>
      <c r="N517" s="2"/>
      <c r="O517" s="2"/>
      <c r="P517" s="2"/>
      <c r="Q517" s="2"/>
      <c r="R517" s="2"/>
      <c r="S517" s="2"/>
      <c r="T517" s="2"/>
      <c r="U517" s="2"/>
      <c r="V517" s="2"/>
      <c r="W517" s="2"/>
      <c r="X517" s="2"/>
      <c r="Y517" s="2"/>
      <c r="Z517" s="2"/>
    </row>
    <row r="518">
      <c r="A518" s="2"/>
      <c r="B518" s="2"/>
      <c r="C518" s="2"/>
      <c r="D518" s="2"/>
      <c r="E518" s="2"/>
      <c r="F518" s="7"/>
      <c r="G518" s="2"/>
      <c r="H518" s="7"/>
      <c r="I518" s="2"/>
      <c r="J518" s="2"/>
      <c r="K518" s="2"/>
      <c r="L518" s="2"/>
      <c r="M518" s="2"/>
      <c r="N518" s="2"/>
      <c r="O518" s="2"/>
      <c r="P518" s="2"/>
      <c r="Q518" s="2"/>
      <c r="R518" s="2"/>
      <c r="S518" s="2"/>
      <c r="T518" s="2"/>
      <c r="U518" s="2"/>
      <c r="V518" s="2"/>
      <c r="W518" s="2"/>
      <c r="X518" s="2"/>
      <c r="Y518" s="2"/>
      <c r="Z518" s="2"/>
    </row>
    <row r="519">
      <c r="A519" s="2"/>
      <c r="B519" s="2"/>
      <c r="C519" s="2"/>
      <c r="D519" s="2"/>
      <c r="E519" s="2"/>
      <c r="F519" s="7"/>
      <c r="G519" s="2"/>
      <c r="H519" s="7"/>
      <c r="I519" s="2"/>
      <c r="J519" s="2"/>
      <c r="K519" s="2"/>
      <c r="L519" s="2"/>
      <c r="M519" s="2"/>
      <c r="N519" s="2"/>
      <c r="O519" s="2"/>
      <c r="P519" s="2"/>
      <c r="Q519" s="2"/>
      <c r="R519" s="2"/>
      <c r="S519" s="2"/>
      <c r="T519" s="2"/>
      <c r="U519" s="2"/>
      <c r="V519" s="2"/>
      <c r="W519" s="2"/>
      <c r="X519" s="2"/>
      <c r="Y519" s="2"/>
      <c r="Z519" s="2"/>
    </row>
    <row r="520">
      <c r="A520" s="2"/>
      <c r="B520" s="2"/>
      <c r="C520" s="2"/>
      <c r="D520" s="2"/>
      <c r="E520" s="2"/>
      <c r="F520" s="7"/>
      <c r="G520" s="2"/>
      <c r="H520" s="7"/>
      <c r="I520" s="2"/>
      <c r="J520" s="2"/>
      <c r="K520" s="2"/>
      <c r="L520" s="2"/>
      <c r="M520" s="2"/>
      <c r="N520" s="2"/>
      <c r="O520" s="2"/>
      <c r="P520" s="2"/>
      <c r="Q520" s="2"/>
      <c r="R520" s="2"/>
      <c r="S520" s="2"/>
      <c r="T520" s="2"/>
      <c r="U520" s="2"/>
      <c r="V520" s="2"/>
      <c r="W520" s="2"/>
      <c r="X520" s="2"/>
      <c r="Y520" s="2"/>
      <c r="Z520" s="2"/>
    </row>
    <row r="521">
      <c r="A521" s="2"/>
      <c r="B521" s="2"/>
      <c r="C521" s="2"/>
      <c r="D521" s="2"/>
      <c r="E521" s="2"/>
      <c r="F521" s="7"/>
      <c r="G521" s="2"/>
      <c r="H521" s="7"/>
      <c r="I521" s="2"/>
      <c r="J521" s="2"/>
      <c r="K521" s="2"/>
      <c r="L521" s="2"/>
      <c r="M521" s="2"/>
      <c r="N521" s="2"/>
      <c r="O521" s="2"/>
      <c r="P521" s="2"/>
      <c r="Q521" s="2"/>
      <c r="R521" s="2"/>
      <c r="S521" s="2"/>
      <c r="T521" s="2"/>
      <c r="U521" s="2"/>
      <c r="V521" s="2"/>
      <c r="W521" s="2"/>
      <c r="X521" s="2"/>
      <c r="Y521" s="2"/>
      <c r="Z521" s="2"/>
    </row>
    <row r="522">
      <c r="A522" s="2"/>
      <c r="B522" s="2"/>
      <c r="C522" s="2"/>
      <c r="D522" s="2"/>
      <c r="E522" s="2"/>
      <c r="F522" s="7"/>
      <c r="G522" s="2"/>
      <c r="H522" s="7"/>
      <c r="I522" s="2"/>
      <c r="J522" s="2"/>
      <c r="K522" s="2"/>
      <c r="L522" s="2"/>
      <c r="M522" s="2"/>
      <c r="N522" s="2"/>
      <c r="O522" s="2"/>
      <c r="P522" s="2"/>
      <c r="Q522" s="2"/>
      <c r="R522" s="2"/>
      <c r="S522" s="2"/>
      <c r="T522" s="2"/>
      <c r="U522" s="2"/>
      <c r="V522" s="2"/>
      <c r="W522" s="2"/>
      <c r="X522" s="2"/>
      <c r="Y522" s="2"/>
      <c r="Z522" s="2"/>
    </row>
    <row r="523">
      <c r="A523" s="2"/>
      <c r="B523" s="2"/>
      <c r="C523" s="2"/>
      <c r="D523" s="2"/>
      <c r="E523" s="2"/>
      <c r="F523" s="7"/>
      <c r="G523" s="2"/>
      <c r="H523" s="7"/>
      <c r="I523" s="2"/>
      <c r="J523" s="2"/>
      <c r="K523" s="2"/>
      <c r="L523" s="2"/>
      <c r="M523" s="2"/>
      <c r="N523" s="2"/>
      <c r="O523" s="2"/>
      <c r="P523" s="2"/>
      <c r="Q523" s="2"/>
      <c r="R523" s="2"/>
      <c r="S523" s="2"/>
      <c r="T523" s="2"/>
      <c r="U523" s="2"/>
      <c r="V523" s="2"/>
      <c r="W523" s="2"/>
      <c r="X523" s="2"/>
      <c r="Y523" s="2"/>
      <c r="Z523" s="2"/>
    </row>
    <row r="524">
      <c r="A524" s="2"/>
      <c r="B524" s="2"/>
      <c r="C524" s="2"/>
      <c r="D524" s="2"/>
      <c r="E524" s="2"/>
      <c r="F524" s="7"/>
      <c r="G524" s="2"/>
      <c r="H524" s="7"/>
      <c r="I524" s="2"/>
      <c r="J524" s="2"/>
      <c r="K524" s="2"/>
      <c r="L524" s="2"/>
      <c r="M524" s="2"/>
      <c r="N524" s="2"/>
      <c r="O524" s="2"/>
      <c r="P524" s="2"/>
      <c r="Q524" s="2"/>
      <c r="R524" s="2"/>
      <c r="S524" s="2"/>
      <c r="T524" s="2"/>
      <c r="U524" s="2"/>
      <c r="V524" s="2"/>
      <c r="W524" s="2"/>
      <c r="X524" s="2"/>
      <c r="Y524" s="2"/>
      <c r="Z524" s="2"/>
    </row>
    <row r="525">
      <c r="A525" s="2"/>
      <c r="B525" s="2"/>
      <c r="C525" s="2"/>
      <c r="D525" s="2"/>
      <c r="E525" s="2"/>
      <c r="F525" s="7"/>
      <c r="G525" s="2"/>
      <c r="H525" s="7"/>
      <c r="I525" s="2"/>
      <c r="J525" s="2"/>
      <c r="K525" s="2"/>
      <c r="L525" s="2"/>
      <c r="M525" s="2"/>
      <c r="N525" s="2"/>
      <c r="O525" s="2"/>
      <c r="P525" s="2"/>
      <c r="Q525" s="2"/>
      <c r="R525" s="2"/>
      <c r="S525" s="2"/>
      <c r="T525" s="2"/>
      <c r="U525" s="2"/>
      <c r="V525" s="2"/>
      <c r="W525" s="2"/>
      <c r="X525" s="2"/>
      <c r="Y525" s="2"/>
      <c r="Z525" s="2"/>
    </row>
    <row r="526">
      <c r="A526" s="2"/>
      <c r="B526" s="2"/>
      <c r="C526" s="2"/>
      <c r="D526" s="2"/>
      <c r="E526" s="2"/>
      <c r="F526" s="7"/>
      <c r="G526" s="2"/>
      <c r="H526" s="7"/>
      <c r="I526" s="2"/>
      <c r="J526" s="2"/>
      <c r="K526" s="2"/>
      <c r="L526" s="2"/>
      <c r="M526" s="2"/>
      <c r="N526" s="2"/>
      <c r="O526" s="2"/>
      <c r="P526" s="2"/>
      <c r="Q526" s="2"/>
      <c r="R526" s="2"/>
      <c r="S526" s="2"/>
      <c r="T526" s="2"/>
      <c r="U526" s="2"/>
      <c r="V526" s="2"/>
      <c r="W526" s="2"/>
      <c r="X526" s="2"/>
      <c r="Y526" s="2"/>
      <c r="Z526" s="2"/>
    </row>
    <row r="527">
      <c r="A527" s="2"/>
      <c r="B527" s="2"/>
      <c r="C527" s="2"/>
      <c r="D527" s="2"/>
      <c r="E527" s="2"/>
      <c r="F527" s="7"/>
      <c r="G527" s="2"/>
      <c r="H527" s="7"/>
      <c r="I527" s="2"/>
      <c r="J527" s="2"/>
      <c r="K527" s="2"/>
      <c r="L527" s="2"/>
      <c r="M527" s="2"/>
      <c r="N527" s="2"/>
      <c r="O527" s="2"/>
      <c r="P527" s="2"/>
      <c r="Q527" s="2"/>
      <c r="R527" s="2"/>
      <c r="S527" s="2"/>
      <c r="T527" s="2"/>
      <c r="U527" s="2"/>
      <c r="V527" s="2"/>
      <c r="W527" s="2"/>
      <c r="X527" s="2"/>
      <c r="Y527" s="2"/>
      <c r="Z527" s="2"/>
    </row>
    <row r="528">
      <c r="A528" s="2"/>
      <c r="B528" s="2"/>
      <c r="C528" s="2"/>
      <c r="D528" s="2"/>
      <c r="E528" s="2"/>
      <c r="F528" s="7"/>
      <c r="G528" s="2"/>
      <c r="H528" s="7"/>
      <c r="I528" s="2"/>
      <c r="J528" s="2"/>
      <c r="K528" s="2"/>
      <c r="L528" s="2"/>
      <c r="M528" s="2"/>
      <c r="N528" s="2"/>
      <c r="O528" s="2"/>
      <c r="P528" s="2"/>
      <c r="Q528" s="2"/>
      <c r="R528" s="2"/>
      <c r="S528" s="2"/>
      <c r="T528" s="2"/>
      <c r="U528" s="2"/>
      <c r="V528" s="2"/>
      <c r="W528" s="2"/>
      <c r="X528" s="2"/>
      <c r="Y528" s="2"/>
      <c r="Z528" s="2"/>
    </row>
    <row r="529">
      <c r="A529" s="2"/>
      <c r="B529" s="2"/>
      <c r="C529" s="2"/>
      <c r="D529" s="2"/>
      <c r="E529" s="2"/>
      <c r="F529" s="7"/>
      <c r="G529" s="2"/>
      <c r="H529" s="7"/>
      <c r="I529" s="2"/>
      <c r="J529" s="2"/>
      <c r="K529" s="2"/>
      <c r="L529" s="2"/>
      <c r="M529" s="2"/>
      <c r="N529" s="2"/>
      <c r="O529" s="2"/>
      <c r="P529" s="2"/>
      <c r="Q529" s="2"/>
      <c r="R529" s="2"/>
      <c r="S529" s="2"/>
      <c r="T529" s="2"/>
      <c r="U529" s="2"/>
      <c r="V529" s="2"/>
      <c r="W529" s="2"/>
      <c r="X529" s="2"/>
      <c r="Y529" s="2"/>
      <c r="Z529" s="2"/>
    </row>
    <row r="530">
      <c r="A530" s="2"/>
      <c r="B530" s="2"/>
      <c r="C530" s="2"/>
      <c r="D530" s="2"/>
      <c r="E530" s="2"/>
      <c r="F530" s="7"/>
      <c r="G530" s="2"/>
      <c r="H530" s="7"/>
      <c r="I530" s="2"/>
      <c r="J530" s="2"/>
      <c r="K530" s="2"/>
      <c r="L530" s="2"/>
      <c r="M530" s="2"/>
      <c r="N530" s="2"/>
      <c r="O530" s="2"/>
      <c r="P530" s="2"/>
      <c r="Q530" s="2"/>
      <c r="R530" s="2"/>
      <c r="S530" s="2"/>
      <c r="T530" s="2"/>
      <c r="U530" s="2"/>
      <c r="V530" s="2"/>
      <c r="W530" s="2"/>
      <c r="X530" s="2"/>
      <c r="Y530" s="2"/>
      <c r="Z530" s="2"/>
    </row>
    <row r="531">
      <c r="A531" s="2"/>
      <c r="B531" s="2"/>
      <c r="C531" s="2"/>
      <c r="D531" s="2"/>
      <c r="E531" s="2"/>
      <c r="F531" s="7"/>
      <c r="G531" s="2"/>
      <c r="H531" s="7"/>
      <c r="I531" s="2"/>
      <c r="J531" s="2"/>
      <c r="K531" s="2"/>
      <c r="L531" s="2"/>
      <c r="M531" s="2"/>
      <c r="N531" s="2"/>
      <c r="O531" s="2"/>
      <c r="P531" s="2"/>
      <c r="Q531" s="2"/>
      <c r="R531" s="2"/>
      <c r="S531" s="2"/>
      <c r="T531" s="2"/>
      <c r="U531" s="2"/>
      <c r="V531" s="2"/>
      <c r="W531" s="2"/>
      <c r="X531" s="2"/>
      <c r="Y531" s="2"/>
      <c r="Z531" s="2"/>
    </row>
    <row r="532">
      <c r="A532" s="2"/>
      <c r="B532" s="2"/>
      <c r="C532" s="2"/>
      <c r="D532" s="2"/>
      <c r="E532" s="2"/>
      <c r="F532" s="7"/>
      <c r="G532" s="2"/>
      <c r="H532" s="7"/>
      <c r="I532" s="2"/>
      <c r="J532" s="2"/>
      <c r="K532" s="2"/>
      <c r="L532" s="2"/>
      <c r="M532" s="2"/>
      <c r="N532" s="2"/>
      <c r="O532" s="2"/>
      <c r="P532" s="2"/>
      <c r="Q532" s="2"/>
      <c r="R532" s="2"/>
      <c r="S532" s="2"/>
      <c r="T532" s="2"/>
      <c r="U532" s="2"/>
      <c r="V532" s="2"/>
      <c r="W532" s="2"/>
      <c r="X532" s="2"/>
      <c r="Y532" s="2"/>
      <c r="Z532" s="2"/>
    </row>
    <row r="533">
      <c r="A533" s="2"/>
      <c r="B533" s="2"/>
      <c r="C533" s="2"/>
      <c r="D533" s="2"/>
      <c r="E533" s="2"/>
      <c r="F533" s="7"/>
      <c r="G533" s="2"/>
      <c r="H533" s="7"/>
      <c r="I533" s="2"/>
      <c r="J533" s="2"/>
      <c r="K533" s="2"/>
      <c r="L533" s="2"/>
      <c r="M533" s="2"/>
      <c r="N533" s="2"/>
      <c r="O533" s="2"/>
      <c r="P533" s="2"/>
      <c r="Q533" s="2"/>
      <c r="R533" s="2"/>
      <c r="S533" s="2"/>
      <c r="T533" s="2"/>
      <c r="U533" s="2"/>
      <c r="V533" s="2"/>
      <c r="W533" s="2"/>
      <c r="X533" s="2"/>
      <c r="Y533" s="2"/>
      <c r="Z533" s="2"/>
    </row>
    <row r="534">
      <c r="A534" s="2"/>
      <c r="B534" s="2"/>
      <c r="C534" s="2"/>
      <c r="D534" s="2"/>
      <c r="E534" s="2"/>
      <c r="F534" s="7"/>
      <c r="G534" s="2"/>
      <c r="H534" s="7"/>
      <c r="I534" s="2"/>
      <c r="J534" s="2"/>
      <c r="K534" s="2"/>
      <c r="L534" s="2"/>
      <c r="M534" s="2"/>
      <c r="N534" s="2"/>
      <c r="O534" s="2"/>
      <c r="P534" s="2"/>
      <c r="Q534" s="2"/>
      <c r="R534" s="2"/>
      <c r="S534" s="2"/>
      <c r="T534" s="2"/>
      <c r="U534" s="2"/>
      <c r="V534" s="2"/>
      <c r="W534" s="2"/>
      <c r="X534" s="2"/>
      <c r="Y534" s="2"/>
      <c r="Z534" s="2"/>
    </row>
    <row r="535">
      <c r="A535" s="2"/>
      <c r="B535" s="2"/>
      <c r="C535" s="2"/>
      <c r="D535" s="2"/>
      <c r="E535" s="2"/>
      <c r="F535" s="7"/>
      <c r="G535" s="2"/>
      <c r="H535" s="7"/>
      <c r="I535" s="2"/>
      <c r="J535" s="2"/>
      <c r="K535" s="2"/>
      <c r="L535" s="2"/>
      <c r="M535" s="2"/>
      <c r="N535" s="2"/>
      <c r="O535" s="2"/>
      <c r="P535" s="2"/>
      <c r="Q535" s="2"/>
      <c r="R535" s="2"/>
      <c r="S535" s="2"/>
      <c r="T535" s="2"/>
      <c r="U535" s="2"/>
      <c r="V535" s="2"/>
      <c r="W535" s="2"/>
      <c r="X535" s="2"/>
      <c r="Y535" s="2"/>
      <c r="Z535" s="2"/>
    </row>
    <row r="536">
      <c r="A536" s="2"/>
      <c r="B536" s="2"/>
      <c r="C536" s="2"/>
      <c r="D536" s="2"/>
      <c r="E536" s="2"/>
      <c r="F536" s="7"/>
      <c r="G536" s="2"/>
      <c r="H536" s="7"/>
      <c r="I536" s="2"/>
      <c r="J536" s="2"/>
      <c r="K536" s="2"/>
      <c r="L536" s="2"/>
      <c r="M536" s="2"/>
      <c r="N536" s="2"/>
      <c r="O536" s="2"/>
      <c r="P536" s="2"/>
      <c r="Q536" s="2"/>
      <c r="R536" s="2"/>
      <c r="S536" s="2"/>
      <c r="T536" s="2"/>
      <c r="U536" s="2"/>
      <c r="V536" s="2"/>
      <c r="W536" s="2"/>
      <c r="X536" s="2"/>
      <c r="Y536" s="2"/>
      <c r="Z536" s="2"/>
    </row>
    <row r="537">
      <c r="A537" s="2"/>
      <c r="B537" s="2"/>
      <c r="C537" s="2"/>
      <c r="D537" s="2"/>
      <c r="E537" s="2"/>
      <c r="F537" s="7"/>
      <c r="G537" s="2"/>
      <c r="H537" s="7"/>
      <c r="I537" s="2"/>
      <c r="J537" s="2"/>
      <c r="K537" s="2"/>
      <c r="L537" s="2"/>
      <c r="M537" s="2"/>
      <c r="N537" s="2"/>
      <c r="O537" s="2"/>
      <c r="P537" s="2"/>
      <c r="Q537" s="2"/>
      <c r="R537" s="2"/>
      <c r="S537" s="2"/>
      <c r="T537" s="2"/>
      <c r="U537" s="2"/>
      <c r="V537" s="2"/>
      <c r="W537" s="2"/>
      <c r="X537" s="2"/>
      <c r="Y537" s="2"/>
      <c r="Z537" s="2"/>
    </row>
    <row r="538">
      <c r="A538" s="2"/>
      <c r="B538" s="2"/>
      <c r="C538" s="2"/>
      <c r="D538" s="2"/>
      <c r="E538" s="2"/>
      <c r="F538" s="7"/>
      <c r="G538" s="2"/>
      <c r="H538" s="7"/>
      <c r="I538" s="2"/>
      <c r="J538" s="2"/>
      <c r="K538" s="2"/>
      <c r="L538" s="2"/>
      <c r="M538" s="2"/>
      <c r="N538" s="2"/>
      <c r="O538" s="2"/>
      <c r="P538" s="2"/>
      <c r="Q538" s="2"/>
      <c r="R538" s="2"/>
      <c r="S538" s="2"/>
      <c r="T538" s="2"/>
      <c r="U538" s="2"/>
      <c r="V538" s="2"/>
      <c r="W538" s="2"/>
      <c r="X538" s="2"/>
      <c r="Y538" s="2"/>
      <c r="Z538" s="2"/>
    </row>
    <row r="539">
      <c r="A539" s="2"/>
      <c r="B539" s="2"/>
      <c r="C539" s="2"/>
      <c r="D539" s="2"/>
      <c r="E539" s="2"/>
      <c r="F539" s="7"/>
      <c r="G539" s="2"/>
      <c r="H539" s="7"/>
      <c r="I539" s="2"/>
      <c r="J539" s="2"/>
      <c r="K539" s="2"/>
      <c r="L539" s="2"/>
      <c r="M539" s="2"/>
      <c r="N539" s="2"/>
      <c r="O539" s="2"/>
      <c r="P539" s="2"/>
      <c r="Q539" s="2"/>
      <c r="R539" s="2"/>
      <c r="S539" s="2"/>
      <c r="T539" s="2"/>
      <c r="U539" s="2"/>
      <c r="V539" s="2"/>
      <c r="W539" s="2"/>
      <c r="X539" s="2"/>
      <c r="Y539" s="2"/>
      <c r="Z539" s="2"/>
    </row>
    <row r="540">
      <c r="A540" s="2"/>
      <c r="B540" s="2"/>
      <c r="C540" s="2"/>
      <c r="D540" s="2"/>
      <c r="E540" s="2"/>
      <c r="F540" s="7"/>
      <c r="G540" s="2"/>
      <c r="H540" s="7"/>
      <c r="I540" s="2"/>
      <c r="J540" s="2"/>
      <c r="K540" s="2"/>
      <c r="L540" s="2"/>
      <c r="M540" s="2"/>
      <c r="N540" s="2"/>
      <c r="O540" s="2"/>
      <c r="P540" s="2"/>
      <c r="Q540" s="2"/>
      <c r="R540" s="2"/>
      <c r="S540" s="2"/>
      <c r="T540" s="2"/>
      <c r="U540" s="2"/>
      <c r="V540" s="2"/>
      <c r="W540" s="2"/>
      <c r="X540" s="2"/>
      <c r="Y540" s="2"/>
      <c r="Z540" s="2"/>
    </row>
    <row r="541">
      <c r="A541" s="2"/>
      <c r="B541" s="2"/>
      <c r="C541" s="2"/>
      <c r="D541" s="2"/>
      <c r="E541" s="2"/>
      <c r="F541" s="7"/>
      <c r="G541" s="2"/>
      <c r="H541" s="7"/>
      <c r="I541" s="2"/>
      <c r="J541" s="2"/>
      <c r="K541" s="2"/>
      <c r="L541" s="2"/>
      <c r="M541" s="2"/>
      <c r="N541" s="2"/>
      <c r="O541" s="2"/>
      <c r="P541" s="2"/>
      <c r="Q541" s="2"/>
      <c r="R541" s="2"/>
      <c r="S541" s="2"/>
      <c r="T541" s="2"/>
      <c r="U541" s="2"/>
      <c r="V541" s="2"/>
      <c r="W541" s="2"/>
      <c r="X541" s="2"/>
      <c r="Y541" s="2"/>
      <c r="Z541" s="2"/>
    </row>
    <row r="542">
      <c r="A542" s="2"/>
      <c r="B542" s="2"/>
      <c r="C542" s="2"/>
      <c r="D542" s="2"/>
      <c r="E542" s="2"/>
      <c r="F542" s="7"/>
      <c r="G542" s="2"/>
      <c r="H542" s="7"/>
      <c r="I542" s="2"/>
      <c r="J542" s="2"/>
      <c r="K542" s="2"/>
      <c r="L542" s="2"/>
      <c r="M542" s="2"/>
      <c r="N542" s="2"/>
      <c r="O542" s="2"/>
      <c r="P542" s="2"/>
      <c r="Q542" s="2"/>
      <c r="R542" s="2"/>
      <c r="S542" s="2"/>
      <c r="T542" s="2"/>
      <c r="U542" s="2"/>
      <c r="V542" s="2"/>
      <c r="W542" s="2"/>
      <c r="X542" s="2"/>
      <c r="Y542" s="2"/>
      <c r="Z542" s="2"/>
    </row>
    <row r="543">
      <c r="A543" s="2"/>
      <c r="B543" s="2"/>
      <c r="C543" s="2"/>
      <c r="D543" s="2"/>
      <c r="E543" s="2"/>
      <c r="F543" s="7"/>
      <c r="G543" s="2"/>
      <c r="H543" s="7"/>
      <c r="I543" s="2"/>
      <c r="J543" s="2"/>
      <c r="K543" s="2"/>
      <c r="L543" s="2"/>
      <c r="M543" s="2"/>
      <c r="N543" s="2"/>
      <c r="O543" s="2"/>
      <c r="P543" s="2"/>
      <c r="Q543" s="2"/>
      <c r="R543" s="2"/>
      <c r="S543" s="2"/>
      <c r="T543" s="2"/>
      <c r="U543" s="2"/>
      <c r="V543" s="2"/>
      <c r="W543" s="2"/>
      <c r="X543" s="2"/>
      <c r="Y543" s="2"/>
      <c r="Z543" s="2"/>
    </row>
    <row r="544">
      <c r="A544" s="2"/>
      <c r="B544" s="2"/>
      <c r="C544" s="2"/>
      <c r="D544" s="2"/>
      <c r="E544" s="2"/>
      <c r="F544" s="7"/>
      <c r="G544" s="2"/>
      <c r="H544" s="7"/>
      <c r="I544" s="2"/>
      <c r="J544" s="2"/>
      <c r="K544" s="2"/>
      <c r="L544" s="2"/>
      <c r="M544" s="2"/>
      <c r="N544" s="2"/>
      <c r="O544" s="2"/>
      <c r="P544" s="2"/>
      <c r="Q544" s="2"/>
      <c r="R544" s="2"/>
      <c r="S544" s="2"/>
      <c r="T544" s="2"/>
      <c r="U544" s="2"/>
      <c r="V544" s="2"/>
      <c r="W544" s="2"/>
      <c r="X544" s="2"/>
      <c r="Y544" s="2"/>
      <c r="Z544" s="2"/>
    </row>
    <row r="545">
      <c r="A545" s="2"/>
      <c r="B545" s="2"/>
      <c r="C545" s="2"/>
      <c r="D545" s="2"/>
      <c r="E545" s="2"/>
      <c r="F545" s="7"/>
      <c r="G545" s="2"/>
      <c r="H545" s="7"/>
      <c r="I545" s="2"/>
      <c r="J545" s="2"/>
      <c r="K545" s="2"/>
      <c r="L545" s="2"/>
      <c r="M545" s="2"/>
      <c r="N545" s="2"/>
      <c r="O545" s="2"/>
      <c r="P545" s="2"/>
      <c r="Q545" s="2"/>
      <c r="R545" s="2"/>
      <c r="S545" s="2"/>
      <c r="T545" s="2"/>
      <c r="U545" s="2"/>
      <c r="V545" s="2"/>
      <c r="W545" s="2"/>
      <c r="X545" s="2"/>
      <c r="Y545" s="2"/>
      <c r="Z545" s="2"/>
    </row>
    <row r="546">
      <c r="A546" s="2"/>
      <c r="B546" s="2"/>
      <c r="C546" s="2"/>
      <c r="D546" s="2"/>
      <c r="E546" s="2"/>
      <c r="F546" s="7"/>
      <c r="G546" s="2"/>
      <c r="H546" s="7"/>
      <c r="I546" s="2"/>
      <c r="J546" s="2"/>
      <c r="K546" s="2"/>
      <c r="L546" s="2"/>
      <c r="M546" s="2"/>
      <c r="N546" s="2"/>
      <c r="O546" s="2"/>
      <c r="P546" s="2"/>
      <c r="Q546" s="2"/>
      <c r="R546" s="2"/>
      <c r="S546" s="2"/>
      <c r="T546" s="2"/>
      <c r="U546" s="2"/>
      <c r="V546" s="2"/>
      <c r="W546" s="2"/>
      <c r="X546" s="2"/>
      <c r="Y546" s="2"/>
      <c r="Z546" s="2"/>
    </row>
    <row r="547">
      <c r="A547" s="2"/>
      <c r="B547" s="2"/>
      <c r="C547" s="2"/>
      <c r="D547" s="2"/>
      <c r="E547" s="2"/>
      <c r="F547" s="7"/>
      <c r="G547" s="2"/>
      <c r="H547" s="7"/>
      <c r="I547" s="2"/>
      <c r="J547" s="2"/>
      <c r="K547" s="2"/>
      <c r="L547" s="2"/>
      <c r="M547" s="2"/>
      <c r="N547" s="2"/>
      <c r="O547" s="2"/>
      <c r="P547" s="2"/>
      <c r="Q547" s="2"/>
      <c r="R547" s="2"/>
      <c r="S547" s="2"/>
      <c r="T547" s="2"/>
      <c r="U547" s="2"/>
      <c r="V547" s="2"/>
      <c r="W547" s="2"/>
      <c r="X547" s="2"/>
      <c r="Y547" s="2"/>
      <c r="Z547" s="2"/>
    </row>
    <row r="548">
      <c r="A548" s="2"/>
      <c r="B548" s="2"/>
      <c r="C548" s="2"/>
      <c r="D548" s="2"/>
      <c r="E548" s="2"/>
      <c r="F548" s="7"/>
      <c r="G548" s="2"/>
      <c r="H548" s="7"/>
      <c r="I548" s="2"/>
      <c r="J548" s="2"/>
      <c r="K548" s="2"/>
      <c r="L548" s="2"/>
      <c r="M548" s="2"/>
      <c r="N548" s="2"/>
      <c r="O548" s="2"/>
      <c r="P548" s="2"/>
      <c r="Q548" s="2"/>
      <c r="R548" s="2"/>
      <c r="S548" s="2"/>
      <c r="T548" s="2"/>
      <c r="U548" s="2"/>
      <c r="V548" s="2"/>
      <c r="W548" s="2"/>
      <c r="X548" s="2"/>
      <c r="Y548" s="2"/>
      <c r="Z548" s="2"/>
    </row>
    <row r="549">
      <c r="A549" s="2"/>
      <c r="B549" s="2"/>
      <c r="C549" s="2"/>
      <c r="D549" s="2"/>
      <c r="E549" s="2"/>
      <c r="F549" s="7"/>
      <c r="G549" s="2"/>
      <c r="H549" s="7"/>
      <c r="I549" s="2"/>
      <c r="J549" s="2"/>
      <c r="K549" s="2"/>
      <c r="L549" s="2"/>
      <c r="M549" s="2"/>
      <c r="N549" s="2"/>
      <c r="O549" s="2"/>
      <c r="P549" s="2"/>
      <c r="Q549" s="2"/>
      <c r="R549" s="2"/>
      <c r="S549" s="2"/>
      <c r="T549" s="2"/>
      <c r="U549" s="2"/>
      <c r="V549" s="2"/>
      <c r="W549" s="2"/>
      <c r="X549" s="2"/>
      <c r="Y549" s="2"/>
      <c r="Z549" s="2"/>
    </row>
    <row r="550">
      <c r="A550" s="2"/>
      <c r="B550" s="2"/>
      <c r="C550" s="2"/>
      <c r="D550" s="2"/>
      <c r="E550" s="2"/>
      <c r="F550" s="7"/>
      <c r="G550" s="2"/>
      <c r="H550" s="7"/>
      <c r="I550" s="2"/>
      <c r="J550" s="2"/>
      <c r="K550" s="2"/>
      <c r="L550" s="2"/>
      <c r="M550" s="2"/>
      <c r="N550" s="2"/>
      <c r="O550" s="2"/>
      <c r="P550" s="2"/>
      <c r="Q550" s="2"/>
      <c r="R550" s="2"/>
      <c r="S550" s="2"/>
      <c r="T550" s="2"/>
      <c r="U550" s="2"/>
      <c r="V550" s="2"/>
      <c r="W550" s="2"/>
      <c r="X550" s="2"/>
      <c r="Y550" s="2"/>
      <c r="Z550" s="2"/>
    </row>
    <row r="551">
      <c r="A551" s="2"/>
      <c r="B551" s="2"/>
      <c r="C551" s="2"/>
      <c r="D551" s="2"/>
      <c r="E551" s="2"/>
      <c r="F551" s="7"/>
      <c r="G551" s="2"/>
      <c r="H551" s="7"/>
      <c r="I551" s="2"/>
      <c r="J551" s="2"/>
      <c r="K551" s="2"/>
      <c r="L551" s="2"/>
      <c r="M551" s="2"/>
      <c r="N551" s="2"/>
      <c r="O551" s="2"/>
      <c r="P551" s="2"/>
      <c r="Q551" s="2"/>
      <c r="R551" s="2"/>
      <c r="S551" s="2"/>
      <c r="T551" s="2"/>
      <c r="U551" s="2"/>
      <c r="V551" s="2"/>
      <c r="W551" s="2"/>
      <c r="X551" s="2"/>
      <c r="Y551" s="2"/>
      <c r="Z551" s="2"/>
    </row>
    <row r="552">
      <c r="A552" s="2"/>
      <c r="B552" s="2"/>
      <c r="C552" s="2"/>
      <c r="D552" s="2"/>
      <c r="E552" s="2"/>
      <c r="F552" s="7"/>
      <c r="G552" s="2"/>
      <c r="H552" s="7"/>
      <c r="I552" s="2"/>
      <c r="J552" s="2"/>
      <c r="K552" s="2"/>
      <c r="L552" s="2"/>
      <c r="M552" s="2"/>
      <c r="N552" s="2"/>
      <c r="O552" s="2"/>
      <c r="P552" s="2"/>
      <c r="Q552" s="2"/>
      <c r="R552" s="2"/>
      <c r="S552" s="2"/>
      <c r="T552" s="2"/>
      <c r="U552" s="2"/>
      <c r="V552" s="2"/>
      <c r="W552" s="2"/>
      <c r="X552" s="2"/>
      <c r="Y552" s="2"/>
      <c r="Z552" s="2"/>
    </row>
    <row r="553">
      <c r="A553" s="2"/>
      <c r="B553" s="2"/>
      <c r="C553" s="2"/>
      <c r="D553" s="2"/>
      <c r="E553" s="2"/>
      <c r="F553" s="7"/>
      <c r="G553" s="2"/>
      <c r="H553" s="7"/>
      <c r="I553" s="2"/>
      <c r="J553" s="2"/>
      <c r="K553" s="2"/>
      <c r="L553" s="2"/>
      <c r="M553" s="2"/>
      <c r="N553" s="2"/>
      <c r="O553" s="2"/>
      <c r="P553" s="2"/>
      <c r="Q553" s="2"/>
      <c r="R553" s="2"/>
      <c r="S553" s="2"/>
      <c r="T553" s="2"/>
      <c r="U553" s="2"/>
      <c r="V553" s="2"/>
      <c r="W553" s="2"/>
      <c r="X553" s="2"/>
      <c r="Y553" s="2"/>
      <c r="Z553" s="2"/>
    </row>
    <row r="554">
      <c r="A554" s="2"/>
      <c r="B554" s="2"/>
      <c r="C554" s="2"/>
      <c r="D554" s="2"/>
      <c r="E554" s="2"/>
      <c r="F554" s="7"/>
      <c r="G554" s="2"/>
      <c r="H554" s="7"/>
      <c r="I554" s="2"/>
      <c r="J554" s="2"/>
      <c r="K554" s="2"/>
      <c r="L554" s="2"/>
      <c r="M554" s="2"/>
      <c r="N554" s="2"/>
      <c r="O554" s="2"/>
      <c r="P554" s="2"/>
      <c r="Q554" s="2"/>
      <c r="R554" s="2"/>
      <c r="S554" s="2"/>
      <c r="T554" s="2"/>
      <c r="U554" s="2"/>
      <c r="V554" s="2"/>
      <c r="W554" s="2"/>
      <c r="X554" s="2"/>
      <c r="Y554" s="2"/>
      <c r="Z554" s="2"/>
    </row>
    <row r="555">
      <c r="A555" s="2"/>
      <c r="B555" s="2"/>
      <c r="C555" s="2"/>
      <c r="D555" s="2"/>
      <c r="E555" s="2"/>
      <c r="F555" s="7"/>
      <c r="G555" s="2"/>
      <c r="H555" s="7"/>
      <c r="I555" s="2"/>
      <c r="J555" s="2"/>
      <c r="K555" s="2"/>
      <c r="L555" s="2"/>
      <c r="M555" s="2"/>
      <c r="N555" s="2"/>
      <c r="O555" s="2"/>
      <c r="P555" s="2"/>
      <c r="Q555" s="2"/>
      <c r="R555" s="2"/>
      <c r="S555" s="2"/>
      <c r="T555" s="2"/>
      <c r="U555" s="2"/>
      <c r="V555" s="2"/>
      <c r="W555" s="2"/>
      <c r="X555" s="2"/>
      <c r="Y555" s="2"/>
      <c r="Z555" s="2"/>
    </row>
    <row r="556">
      <c r="A556" s="2"/>
      <c r="B556" s="2"/>
      <c r="C556" s="2"/>
      <c r="D556" s="2"/>
      <c r="E556" s="2"/>
      <c r="F556" s="7"/>
      <c r="G556" s="2"/>
      <c r="H556" s="7"/>
      <c r="I556" s="2"/>
      <c r="J556" s="2"/>
      <c r="K556" s="2"/>
      <c r="L556" s="2"/>
      <c r="M556" s="2"/>
      <c r="N556" s="2"/>
      <c r="O556" s="2"/>
      <c r="P556" s="2"/>
      <c r="Q556" s="2"/>
      <c r="R556" s="2"/>
      <c r="S556" s="2"/>
      <c r="T556" s="2"/>
      <c r="U556" s="2"/>
      <c r="V556" s="2"/>
      <c r="W556" s="2"/>
      <c r="X556" s="2"/>
      <c r="Y556" s="2"/>
      <c r="Z556" s="2"/>
    </row>
    <row r="557">
      <c r="A557" s="2"/>
      <c r="B557" s="2"/>
      <c r="C557" s="2"/>
      <c r="D557" s="2"/>
      <c r="E557" s="2"/>
      <c r="F557" s="7"/>
      <c r="G557" s="2"/>
      <c r="H557" s="7"/>
      <c r="I557" s="2"/>
      <c r="J557" s="2"/>
      <c r="K557" s="2"/>
      <c r="L557" s="2"/>
      <c r="M557" s="2"/>
      <c r="N557" s="2"/>
      <c r="O557" s="2"/>
      <c r="P557" s="2"/>
      <c r="Q557" s="2"/>
      <c r="R557" s="2"/>
      <c r="S557" s="2"/>
      <c r="T557" s="2"/>
      <c r="U557" s="2"/>
      <c r="V557" s="2"/>
      <c r="W557" s="2"/>
      <c r="X557" s="2"/>
      <c r="Y557" s="2"/>
      <c r="Z557" s="2"/>
    </row>
    <row r="558">
      <c r="A558" s="2"/>
      <c r="B558" s="2"/>
      <c r="C558" s="2"/>
      <c r="D558" s="2"/>
      <c r="E558" s="2"/>
      <c r="F558" s="7"/>
      <c r="G558" s="2"/>
      <c r="H558" s="7"/>
      <c r="I558" s="2"/>
      <c r="J558" s="2"/>
      <c r="K558" s="2"/>
      <c r="L558" s="2"/>
      <c r="M558" s="2"/>
      <c r="N558" s="2"/>
      <c r="O558" s="2"/>
      <c r="P558" s="2"/>
      <c r="Q558" s="2"/>
      <c r="R558" s="2"/>
      <c r="S558" s="2"/>
      <c r="T558" s="2"/>
      <c r="U558" s="2"/>
      <c r="V558" s="2"/>
      <c r="W558" s="2"/>
      <c r="X558" s="2"/>
      <c r="Y558" s="2"/>
      <c r="Z558" s="2"/>
    </row>
    <row r="559">
      <c r="A559" s="2"/>
      <c r="B559" s="2"/>
      <c r="C559" s="2"/>
      <c r="D559" s="2"/>
      <c r="E559" s="2"/>
      <c r="F559" s="7"/>
      <c r="G559" s="2"/>
      <c r="H559" s="7"/>
      <c r="I559" s="2"/>
      <c r="J559" s="2"/>
      <c r="K559" s="2"/>
      <c r="L559" s="2"/>
      <c r="M559" s="2"/>
      <c r="N559" s="2"/>
      <c r="O559" s="2"/>
      <c r="P559" s="2"/>
      <c r="Q559" s="2"/>
      <c r="R559" s="2"/>
      <c r="S559" s="2"/>
      <c r="T559" s="2"/>
      <c r="U559" s="2"/>
      <c r="V559" s="2"/>
      <c r="W559" s="2"/>
      <c r="X559" s="2"/>
      <c r="Y559" s="2"/>
      <c r="Z559" s="2"/>
    </row>
    <row r="560">
      <c r="A560" s="2"/>
      <c r="B560" s="2"/>
      <c r="C560" s="2"/>
      <c r="D560" s="2"/>
      <c r="E560" s="2"/>
      <c r="F560" s="7"/>
      <c r="G560" s="2"/>
      <c r="H560" s="7"/>
      <c r="I560" s="2"/>
      <c r="J560" s="2"/>
      <c r="K560" s="2"/>
      <c r="L560" s="2"/>
      <c r="M560" s="2"/>
      <c r="N560" s="2"/>
      <c r="O560" s="2"/>
      <c r="P560" s="2"/>
      <c r="Q560" s="2"/>
      <c r="R560" s="2"/>
      <c r="S560" s="2"/>
      <c r="T560" s="2"/>
      <c r="U560" s="2"/>
      <c r="V560" s="2"/>
      <c r="W560" s="2"/>
      <c r="X560" s="2"/>
      <c r="Y560" s="2"/>
      <c r="Z560" s="2"/>
    </row>
    <row r="561">
      <c r="A561" s="2"/>
      <c r="B561" s="2"/>
      <c r="C561" s="2"/>
      <c r="D561" s="2"/>
      <c r="E561" s="2"/>
      <c r="F561" s="7"/>
      <c r="G561" s="2"/>
      <c r="H561" s="7"/>
      <c r="I561" s="2"/>
      <c r="J561" s="2"/>
      <c r="K561" s="2"/>
      <c r="L561" s="2"/>
      <c r="M561" s="2"/>
      <c r="N561" s="2"/>
      <c r="O561" s="2"/>
      <c r="P561" s="2"/>
      <c r="Q561" s="2"/>
      <c r="R561" s="2"/>
      <c r="S561" s="2"/>
      <c r="T561" s="2"/>
      <c r="U561" s="2"/>
      <c r="V561" s="2"/>
      <c r="W561" s="2"/>
      <c r="X561" s="2"/>
      <c r="Y561" s="2"/>
      <c r="Z561" s="2"/>
    </row>
    <row r="562">
      <c r="A562" s="2"/>
      <c r="B562" s="2"/>
      <c r="C562" s="2"/>
      <c r="D562" s="2"/>
      <c r="E562" s="2"/>
      <c r="F562" s="7"/>
      <c r="G562" s="2"/>
      <c r="H562" s="7"/>
      <c r="I562" s="2"/>
      <c r="J562" s="2"/>
      <c r="K562" s="2"/>
      <c r="L562" s="2"/>
      <c r="M562" s="2"/>
      <c r="N562" s="2"/>
      <c r="O562" s="2"/>
      <c r="P562" s="2"/>
      <c r="Q562" s="2"/>
      <c r="R562" s="2"/>
      <c r="S562" s="2"/>
      <c r="T562" s="2"/>
      <c r="U562" s="2"/>
      <c r="V562" s="2"/>
      <c r="W562" s="2"/>
      <c r="X562" s="2"/>
      <c r="Y562" s="2"/>
      <c r="Z562" s="2"/>
    </row>
    <row r="563">
      <c r="A563" s="2"/>
      <c r="B563" s="2"/>
      <c r="C563" s="2"/>
      <c r="D563" s="2"/>
      <c r="E563" s="2"/>
      <c r="F563" s="7"/>
      <c r="G563" s="2"/>
      <c r="H563" s="7"/>
      <c r="I563" s="2"/>
      <c r="J563" s="2"/>
      <c r="K563" s="2"/>
      <c r="L563" s="2"/>
      <c r="M563" s="2"/>
      <c r="N563" s="2"/>
      <c r="O563" s="2"/>
      <c r="P563" s="2"/>
      <c r="Q563" s="2"/>
      <c r="R563" s="2"/>
      <c r="S563" s="2"/>
      <c r="T563" s="2"/>
      <c r="U563" s="2"/>
      <c r="V563" s="2"/>
      <c r="W563" s="2"/>
      <c r="X563" s="2"/>
      <c r="Y563" s="2"/>
      <c r="Z563" s="2"/>
    </row>
    <row r="564">
      <c r="A564" s="2"/>
      <c r="B564" s="2"/>
      <c r="C564" s="2"/>
      <c r="D564" s="2"/>
      <c r="E564" s="2"/>
      <c r="F564" s="7"/>
      <c r="G564" s="2"/>
      <c r="H564" s="7"/>
      <c r="I564" s="2"/>
      <c r="J564" s="2"/>
      <c r="K564" s="2"/>
      <c r="L564" s="2"/>
      <c r="M564" s="2"/>
      <c r="N564" s="2"/>
      <c r="O564" s="2"/>
      <c r="P564" s="2"/>
      <c r="Q564" s="2"/>
      <c r="R564" s="2"/>
      <c r="S564" s="2"/>
      <c r="T564" s="2"/>
      <c r="U564" s="2"/>
      <c r="V564" s="2"/>
      <c r="W564" s="2"/>
      <c r="X564" s="2"/>
      <c r="Y564" s="2"/>
      <c r="Z564" s="2"/>
    </row>
    <row r="565">
      <c r="A565" s="2"/>
      <c r="B565" s="2"/>
      <c r="C565" s="2"/>
      <c r="D565" s="2"/>
      <c r="E565" s="2"/>
      <c r="F565" s="7"/>
      <c r="G565" s="2"/>
      <c r="H565" s="7"/>
      <c r="I565" s="2"/>
      <c r="J565" s="2"/>
      <c r="K565" s="2"/>
      <c r="L565" s="2"/>
      <c r="M565" s="2"/>
      <c r="N565" s="2"/>
      <c r="O565" s="2"/>
      <c r="P565" s="2"/>
      <c r="Q565" s="2"/>
      <c r="R565" s="2"/>
      <c r="S565" s="2"/>
      <c r="T565" s="2"/>
      <c r="U565" s="2"/>
      <c r="V565" s="2"/>
      <c r="W565" s="2"/>
      <c r="X565" s="2"/>
      <c r="Y565" s="2"/>
      <c r="Z565" s="2"/>
    </row>
    <row r="566">
      <c r="A566" s="2"/>
      <c r="B566" s="2"/>
      <c r="C566" s="2"/>
      <c r="D566" s="2"/>
      <c r="E566" s="2"/>
      <c r="F566" s="7"/>
      <c r="G566" s="2"/>
      <c r="H566" s="7"/>
      <c r="I566" s="2"/>
      <c r="J566" s="2"/>
      <c r="K566" s="2"/>
      <c r="L566" s="2"/>
      <c r="M566" s="2"/>
      <c r="N566" s="2"/>
      <c r="O566" s="2"/>
      <c r="P566" s="2"/>
      <c r="Q566" s="2"/>
      <c r="R566" s="2"/>
      <c r="S566" s="2"/>
      <c r="T566" s="2"/>
      <c r="U566" s="2"/>
      <c r="V566" s="2"/>
      <c r="W566" s="2"/>
      <c r="X566" s="2"/>
      <c r="Y566" s="2"/>
      <c r="Z566" s="2"/>
    </row>
    <row r="567">
      <c r="A567" s="2"/>
      <c r="B567" s="2"/>
      <c r="C567" s="2"/>
      <c r="D567" s="2"/>
      <c r="E567" s="2"/>
      <c r="F567" s="7"/>
      <c r="G567" s="2"/>
      <c r="H567" s="7"/>
      <c r="I567" s="2"/>
      <c r="J567" s="2"/>
      <c r="K567" s="2"/>
      <c r="L567" s="2"/>
      <c r="M567" s="2"/>
      <c r="N567" s="2"/>
      <c r="O567" s="2"/>
      <c r="P567" s="2"/>
      <c r="Q567" s="2"/>
      <c r="R567" s="2"/>
      <c r="S567" s="2"/>
      <c r="T567" s="2"/>
      <c r="U567" s="2"/>
      <c r="V567" s="2"/>
      <c r="W567" s="2"/>
      <c r="X567" s="2"/>
      <c r="Y567" s="2"/>
      <c r="Z567" s="2"/>
    </row>
    <row r="568">
      <c r="A568" s="2"/>
      <c r="B568" s="2"/>
      <c r="C568" s="2"/>
      <c r="D568" s="2"/>
      <c r="E568" s="2"/>
      <c r="F568" s="7"/>
      <c r="G568" s="2"/>
      <c r="H568" s="7"/>
      <c r="I568" s="2"/>
      <c r="J568" s="2"/>
      <c r="K568" s="2"/>
      <c r="L568" s="2"/>
      <c r="M568" s="2"/>
      <c r="N568" s="2"/>
      <c r="O568" s="2"/>
      <c r="P568" s="2"/>
      <c r="Q568" s="2"/>
      <c r="R568" s="2"/>
      <c r="S568" s="2"/>
      <c r="T568" s="2"/>
      <c r="U568" s="2"/>
      <c r="V568" s="2"/>
      <c r="W568" s="2"/>
      <c r="X568" s="2"/>
      <c r="Y568" s="2"/>
      <c r="Z568" s="2"/>
    </row>
    <row r="569">
      <c r="A569" s="2"/>
      <c r="B569" s="2"/>
      <c r="C569" s="2"/>
      <c r="D569" s="2"/>
      <c r="E569" s="2"/>
      <c r="F569" s="7"/>
      <c r="G569" s="2"/>
      <c r="H569" s="7"/>
      <c r="I569" s="2"/>
      <c r="J569" s="2"/>
      <c r="K569" s="2"/>
      <c r="L569" s="2"/>
      <c r="M569" s="2"/>
      <c r="N569" s="2"/>
      <c r="O569" s="2"/>
      <c r="P569" s="2"/>
      <c r="Q569" s="2"/>
      <c r="R569" s="2"/>
      <c r="S569" s="2"/>
      <c r="T569" s="2"/>
      <c r="U569" s="2"/>
      <c r="V569" s="2"/>
      <c r="W569" s="2"/>
      <c r="X569" s="2"/>
      <c r="Y569" s="2"/>
      <c r="Z569" s="2"/>
    </row>
    <row r="570">
      <c r="A570" s="2"/>
      <c r="B570" s="2"/>
      <c r="C570" s="2"/>
      <c r="D570" s="2"/>
      <c r="E570" s="2"/>
      <c r="F570" s="7"/>
      <c r="G570" s="2"/>
      <c r="H570" s="7"/>
      <c r="I570" s="2"/>
      <c r="J570" s="2"/>
      <c r="K570" s="2"/>
      <c r="L570" s="2"/>
      <c r="M570" s="2"/>
      <c r="N570" s="2"/>
      <c r="O570" s="2"/>
      <c r="P570" s="2"/>
      <c r="Q570" s="2"/>
      <c r="R570" s="2"/>
      <c r="S570" s="2"/>
      <c r="T570" s="2"/>
      <c r="U570" s="2"/>
      <c r="V570" s="2"/>
      <c r="W570" s="2"/>
      <c r="X570" s="2"/>
      <c r="Y570" s="2"/>
      <c r="Z570" s="2"/>
    </row>
    <row r="571">
      <c r="A571" s="2"/>
      <c r="B571" s="2"/>
      <c r="C571" s="2"/>
      <c r="D571" s="2"/>
      <c r="E571" s="2"/>
      <c r="F571" s="7"/>
      <c r="G571" s="2"/>
      <c r="H571" s="7"/>
      <c r="I571" s="2"/>
      <c r="J571" s="2"/>
      <c r="K571" s="2"/>
      <c r="L571" s="2"/>
      <c r="M571" s="2"/>
      <c r="N571" s="2"/>
      <c r="O571" s="2"/>
      <c r="P571" s="2"/>
      <c r="Q571" s="2"/>
      <c r="R571" s="2"/>
      <c r="S571" s="2"/>
      <c r="T571" s="2"/>
      <c r="U571" s="2"/>
      <c r="V571" s="2"/>
      <c r="W571" s="2"/>
      <c r="X571" s="2"/>
      <c r="Y571" s="2"/>
      <c r="Z571" s="2"/>
    </row>
    <row r="572">
      <c r="A572" s="2"/>
      <c r="B572" s="2"/>
      <c r="C572" s="2"/>
      <c r="D572" s="2"/>
      <c r="E572" s="2"/>
      <c r="F572" s="7"/>
      <c r="G572" s="2"/>
      <c r="H572" s="7"/>
      <c r="I572" s="2"/>
      <c r="J572" s="2"/>
      <c r="K572" s="2"/>
      <c r="L572" s="2"/>
      <c r="M572" s="2"/>
      <c r="N572" s="2"/>
      <c r="O572" s="2"/>
      <c r="P572" s="2"/>
      <c r="Q572" s="2"/>
      <c r="R572" s="2"/>
      <c r="S572" s="2"/>
      <c r="T572" s="2"/>
      <c r="U572" s="2"/>
      <c r="V572" s="2"/>
      <c r="W572" s="2"/>
      <c r="X572" s="2"/>
      <c r="Y572" s="2"/>
      <c r="Z572" s="2"/>
    </row>
    <row r="573">
      <c r="A573" s="2"/>
      <c r="B573" s="2"/>
      <c r="C573" s="2"/>
      <c r="D573" s="2"/>
      <c r="E573" s="2"/>
      <c r="F573" s="7"/>
      <c r="G573" s="2"/>
      <c r="H573" s="7"/>
      <c r="I573" s="2"/>
      <c r="J573" s="2"/>
      <c r="K573" s="2"/>
      <c r="L573" s="2"/>
      <c r="M573" s="2"/>
      <c r="N573" s="2"/>
      <c r="O573" s="2"/>
      <c r="P573" s="2"/>
      <c r="Q573" s="2"/>
      <c r="R573" s="2"/>
      <c r="S573" s="2"/>
      <c r="T573" s="2"/>
      <c r="U573" s="2"/>
      <c r="V573" s="2"/>
      <c r="W573" s="2"/>
      <c r="X573" s="2"/>
      <c r="Y573" s="2"/>
      <c r="Z573" s="2"/>
    </row>
    <row r="574">
      <c r="A574" s="2"/>
      <c r="B574" s="2"/>
      <c r="C574" s="2"/>
      <c r="D574" s="2"/>
      <c r="E574" s="2"/>
      <c r="F574" s="7"/>
      <c r="G574" s="2"/>
      <c r="H574" s="7"/>
      <c r="I574" s="2"/>
      <c r="J574" s="2"/>
      <c r="K574" s="2"/>
      <c r="L574" s="2"/>
      <c r="M574" s="2"/>
      <c r="N574" s="2"/>
      <c r="O574" s="2"/>
      <c r="P574" s="2"/>
      <c r="Q574" s="2"/>
      <c r="R574" s="2"/>
      <c r="S574" s="2"/>
      <c r="T574" s="2"/>
      <c r="U574" s="2"/>
      <c r="V574" s="2"/>
      <c r="W574" s="2"/>
      <c r="X574" s="2"/>
      <c r="Y574" s="2"/>
      <c r="Z574" s="2"/>
    </row>
    <row r="575">
      <c r="A575" s="2"/>
      <c r="B575" s="2"/>
      <c r="C575" s="2"/>
      <c r="D575" s="2"/>
      <c r="E575" s="2"/>
      <c r="F575" s="7"/>
      <c r="G575" s="2"/>
      <c r="H575" s="7"/>
      <c r="I575" s="2"/>
      <c r="J575" s="2"/>
      <c r="K575" s="2"/>
      <c r="L575" s="2"/>
      <c r="M575" s="2"/>
      <c r="N575" s="2"/>
      <c r="O575" s="2"/>
      <c r="P575" s="2"/>
      <c r="Q575" s="2"/>
      <c r="R575" s="2"/>
      <c r="S575" s="2"/>
      <c r="T575" s="2"/>
      <c r="U575" s="2"/>
      <c r="V575" s="2"/>
      <c r="W575" s="2"/>
      <c r="X575" s="2"/>
      <c r="Y575" s="2"/>
      <c r="Z575" s="2"/>
    </row>
    <row r="576">
      <c r="A576" s="2"/>
      <c r="B576" s="2"/>
      <c r="C576" s="2"/>
      <c r="D576" s="2"/>
      <c r="E576" s="2"/>
      <c r="F576" s="7"/>
      <c r="G576" s="2"/>
      <c r="H576" s="7"/>
      <c r="I576" s="2"/>
      <c r="J576" s="2"/>
      <c r="K576" s="2"/>
      <c r="L576" s="2"/>
      <c r="M576" s="2"/>
      <c r="N576" s="2"/>
      <c r="O576" s="2"/>
      <c r="P576" s="2"/>
      <c r="Q576" s="2"/>
      <c r="R576" s="2"/>
      <c r="S576" s="2"/>
      <c r="T576" s="2"/>
      <c r="U576" s="2"/>
      <c r="V576" s="2"/>
      <c r="W576" s="2"/>
      <c r="X576" s="2"/>
      <c r="Y576" s="2"/>
      <c r="Z576" s="2"/>
    </row>
    <row r="577">
      <c r="A577" s="2"/>
      <c r="B577" s="2"/>
      <c r="C577" s="2"/>
      <c r="D577" s="2"/>
      <c r="E577" s="2"/>
      <c r="F577" s="7"/>
      <c r="G577" s="2"/>
      <c r="H577" s="7"/>
      <c r="I577" s="2"/>
      <c r="J577" s="2"/>
      <c r="K577" s="2"/>
      <c r="L577" s="2"/>
      <c r="M577" s="2"/>
      <c r="N577" s="2"/>
      <c r="O577" s="2"/>
      <c r="P577" s="2"/>
      <c r="Q577" s="2"/>
      <c r="R577" s="2"/>
      <c r="S577" s="2"/>
      <c r="T577" s="2"/>
      <c r="U577" s="2"/>
      <c r="V577" s="2"/>
      <c r="W577" s="2"/>
      <c r="X577" s="2"/>
      <c r="Y577" s="2"/>
      <c r="Z577" s="2"/>
    </row>
    <row r="578">
      <c r="A578" s="2"/>
      <c r="B578" s="2"/>
      <c r="C578" s="2"/>
      <c r="D578" s="2"/>
      <c r="E578" s="2"/>
      <c r="F578" s="7"/>
      <c r="G578" s="2"/>
      <c r="H578" s="7"/>
      <c r="I578" s="2"/>
      <c r="J578" s="2"/>
      <c r="K578" s="2"/>
      <c r="L578" s="2"/>
      <c r="M578" s="2"/>
      <c r="N578" s="2"/>
      <c r="O578" s="2"/>
      <c r="P578" s="2"/>
      <c r="Q578" s="2"/>
      <c r="R578" s="2"/>
      <c r="S578" s="2"/>
      <c r="T578" s="2"/>
      <c r="U578" s="2"/>
      <c r="V578" s="2"/>
      <c r="W578" s="2"/>
      <c r="X578" s="2"/>
      <c r="Y578" s="2"/>
      <c r="Z578" s="2"/>
    </row>
    <row r="579">
      <c r="A579" s="2"/>
      <c r="B579" s="2"/>
      <c r="C579" s="2"/>
      <c r="D579" s="2"/>
      <c r="E579" s="2"/>
      <c r="F579" s="7"/>
      <c r="G579" s="2"/>
      <c r="H579" s="7"/>
      <c r="I579" s="2"/>
      <c r="J579" s="2"/>
      <c r="K579" s="2"/>
      <c r="L579" s="2"/>
      <c r="M579" s="2"/>
      <c r="N579" s="2"/>
      <c r="O579" s="2"/>
      <c r="P579" s="2"/>
      <c r="Q579" s="2"/>
      <c r="R579" s="2"/>
      <c r="S579" s="2"/>
      <c r="T579" s="2"/>
      <c r="U579" s="2"/>
      <c r="V579" s="2"/>
      <c r="W579" s="2"/>
      <c r="X579" s="2"/>
      <c r="Y579" s="2"/>
      <c r="Z579" s="2"/>
    </row>
    <row r="580">
      <c r="A580" s="2"/>
      <c r="B580" s="2"/>
      <c r="C580" s="2"/>
      <c r="D580" s="2"/>
      <c r="E580" s="2"/>
      <c r="F580" s="7"/>
      <c r="G580" s="2"/>
      <c r="H580" s="7"/>
      <c r="I580" s="2"/>
      <c r="J580" s="2"/>
      <c r="K580" s="2"/>
      <c r="L580" s="2"/>
      <c r="M580" s="2"/>
      <c r="N580" s="2"/>
      <c r="O580" s="2"/>
      <c r="P580" s="2"/>
      <c r="Q580" s="2"/>
      <c r="R580" s="2"/>
      <c r="S580" s="2"/>
      <c r="T580" s="2"/>
      <c r="U580" s="2"/>
      <c r="V580" s="2"/>
      <c r="W580" s="2"/>
      <c r="X580" s="2"/>
      <c r="Y580" s="2"/>
      <c r="Z580" s="2"/>
    </row>
    <row r="581">
      <c r="A581" s="2"/>
      <c r="B581" s="2"/>
      <c r="C581" s="2"/>
      <c r="D581" s="2"/>
      <c r="E581" s="2"/>
      <c r="F581" s="7"/>
      <c r="G581" s="2"/>
      <c r="H581" s="7"/>
      <c r="I581" s="2"/>
      <c r="J581" s="2"/>
      <c r="K581" s="2"/>
      <c r="L581" s="2"/>
      <c r="M581" s="2"/>
      <c r="N581" s="2"/>
      <c r="O581" s="2"/>
      <c r="P581" s="2"/>
      <c r="Q581" s="2"/>
      <c r="R581" s="2"/>
      <c r="S581" s="2"/>
      <c r="T581" s="2"/>
      <c r="U581" s="2"/>
      <c r="V581" s="2"/>
      <c r="W581" s="2"/>
      <c r="X581" s="2"/>
      <c r="Y581" s="2"/>
      <c r="Z581" s="2"/>
    </row>
    <row r="582">
      <c r="A582" s="2"/>
      <c r="B582" s="2"/>
      <c r="C582" s="2"/>
      <c r="D582" s="2"/>
      <c r="E582" s="2"/>
      <c r="F582" s="7"/>
      <c r="G582" s="2"/>
      <c r="H582" s="7"/>
      <c r="I582" s="2"/>
      <c r="J582" s="2"/>
      <c r="K582" s="2"/>
      <c r="L582" s="2"/>
      <c r="M582" s="2"/>
      <c r="N582" s="2"/>
      <c r="O582" s="2"/>
      <c r="P582" s="2"/>
      <c r="Q582" s="2"/>
      <c r="R582" s="2"/>
      <c r="S582" s="2"/>
      <c r="T582" s="2"/>
      <c r="U582" s="2"/>
      <c r="V582" s="2"/>
      <c r="W582" s="2"/>
      <c r="X582" s="2"/>
      <c r="Y582" s="2"/>
      <c r="Z582" s="2"/>
    </row>
    <row r="583">
      <c r="A583" s="2"/>
      <c r="B583" s="2"/>
      <c r="C583" s="2"/>
      <c r="D583" s="2"/>
      <c r="E583" s="2"/>
      <c r="F583" s="7"/>
      <c r="G583" s="2"/>
      <c r="H583" s="7"/>
      <c r="I583" s="2"/>
      <c r="J583" s="2"/>
      <c r="K583" s="2"/>
      <c r="L583" s="2"/>
      <c r="M583" s="2"/>
      <c r="N583" s="2"/>
      <c r="O583" s="2"/>
      <c r="P583" s="2"/>
      <c r="Q583" s="2"/>
      <c r="R583" s="2"/>
      <c r="S583" s="2"/>
      <c r="T583" s="2"/>
      <c r="U583" s="2"/>
      <c r="V583" s="2"/>
      <c r="W583" s="2"/>
      <c r="X583" s="2"/>
      <c r="Y583" s="2"/>
      <c r="Z583" s="2"/>
    </row>
    <row r="584">
      <c r="A584" s="2"/>
      <c r="B584" s="2"/>
      <c r="C584" s="2"/>
      <c r="D584" s="2"/>
      <c r="E584" s="2"/>
      <c r="F584" s="7"/>
      <c r="G584" s="2"/>
      <c r="H584" s="7"/>
      <c r="I584" s="2"/>
      <c r="J584" s="2"/>
      <c r="K584" s="2"/>
      <c r="L584" s="2"/>
      <c r="M584" s="2"/>
      <c r="N584" s="2"/>
      <c r="O584" s="2"/>
      <c r="P584" s="2"/>
      <c r="Q584" s="2"/>
      <c r="R584" s="2"/>
      <c r="S584" s="2"/>
      <c r="T584" s="2"/>
      <c r="U584" s="2"/>
      <c r="V584" s="2"/>
      <c r="W584" s="2"/>
      <c r="X584" s="2"/>
      <c r="Y584" s="2"/>
      <c r="Z584" s="2"/>
    </row>
    <row r="585">
      <c r="A585" s="2"/>
      <c r="B585" s="2"/>
      <c r="C585" s="2"/>
      <c r="D585" s="2"/>
      <c r="E585" s="2"/>
      <c r="F585" s="7"/>
      <c r="G585" s="2"/>
      <c r="H585" s="7"/>
      <c r="I585" s="2"/>
      <c r="J585" s="2"/>
      <c r="K585" s="2"/>
      <c r="L585" s="2"/>
      <c r="M585" s="2"/>
      <c r="N585" s="2"/>
      <c r="O585" s="2"/>
      <c r="P585" s="2"/>
      <c r="Q585" s="2"/>
      <c r="R585" s="2"/>
      <c r="S585" s="2"/>
      <c r="T585" s="2"/>
      <c r="U585" s="2"/>
      <c r="V585" s="2"/>
      <c r="W585" s="2"/>
      <c r="X585" s="2"/>
      <c r="Y585" s="2"/>
      <c r="Z585" s="2"/>
    </row>
    <row r="586">
      <c r="A586" s="2"/>
      <c r="B586" s="2"/>
      <c r="C586" s="2"/>
      <c r="D586" s="2"/>
      <c r="E586" s="2"/>
      <c r="F586" s="7"/>
      <c r="G586" s="2"/>
      <c r="H586" s="7"/>
      <c r="I586" s="2"/>
      <c r="J586" s="2"/>
      <c r="K586" s="2"/>
      <c r="L586" s="2"/>
      <c r="M586" s="2"/>
      <c r="N586" s="2"/>
      <c r="O586" s="2"/>
      <c r="P586" s="2"/>
      <c r="Q586" s="2"/>
      <c r="R586" s="2"/>
      <c r="S586" s="2"/>
      <c r="T586" s="2"/>
      <c r="U586" s="2"/>
      <c r="V586" s="2"/>
      <c r="W586" s="2"/>
      <c r="X586" s="2"/>
      <c r="Y586" s="2"/>
      <c r="Z586" s="2"/>
    </row>
    <row r="587">
      <c r="A587" s="2"/>
      <c r="B587" s="2"/>
      <c r="C587" s="2"/>
      <c r="D587" s="2"/>
      <c r="E587" s="2"/>
      <c r="F587" s="7"/>
      <c r="G587" s="2"/>
      <c r="H587" s="7"/>
      <c r="I587" s="2"/>
      <c r="J587" s="2"/>
      <c r="K587" s="2"/>
      <c r="L587" s="2"/>
      <c r="M587" s="2"/>
      <c r="N587" s="2"/>
      <c r="O587" s="2"/>
      <c r="P587" s="2"/>
      <c r="Q587" s="2"/>
      <c r="R587" s="2"/>
      <c r="S587" s="2"/>
      <c r="T587" s="2"/>
      <c r="U587" s="2"/>
      <c r="V587" s="2"/>
      <c r="W587" s="2"/>
      <c r="X587" s="2"/>
      <c r="Y587" s="2"/>
      <c r="Z587" s="2"/>
    </row>
    <row r="588">
      <c r="A588" s="2"/>
      <c r="B588" s="2"/>
      <c r="C588" s="2"/>
      <c r="D588" s="2"/>
      <c r="E588" s="2"/>
      <c r="F588" s="7"/>
      <c r="G588" s="2"/>
      <c r="H588" s="7"/>
      <c r="I588" s="2"/>
      <c r="J588" s="2"/>
      <c r="K588" s="2"/>
      <c r="L588" s="2"/>
      <c r="M588" s="2"/>
      <c r="N588" s="2"/>
      <c r="O588" s="2"/>
      <c r="P588" s="2"/>
      <c r="Q588" s="2"/>
      <c r="R588" s="2"/>
      <c r="S588" s="2"/>
      <c r="T588" s="2"/>
      <c r="U588" s="2"/>
      <c r="V588" s="2"/>
      <c r="W588" s="2"/>
      <c r="X588" s="2"/>
      <c r="Y588" s="2"/>
      <c r="Z588" s="2"/>
    </row>
    <row r="589">
      <c r="A589" s="2"/>
      <c r="B589" s="2"/>
      <c r="C589" s="2"/>
      <c r="D589" s="2"/>
      <c r="E589" s="2"/>
      <c r="F589" s="7"/>
      <c r="G589" s="2"/>
      <c r="H589" s="7"/>
      <c r="I589" s="2"/>
      <c r="J589" s="2"/>
      <c r="K589" s="2"/>
      <c r="L589" s="2"/>
      <c r="M589" s="2"/>
      <c r="N589" s="2"/>
      <c r="O589" s="2"/>
      <c r="P589" s="2"/>
      <c r="Q589" s="2"/>
      <c r="R589" s="2"/>
      <c r="S589" s="2"/>
      <c r="T589" s="2"/>
      <c r="U589" s="2"/>
      <c r="V589" s="2"/>
      <c r="W589" s="2"/>
      <c r="X589" s="2"/>
      <c r="Y589" s="2"/>
      <c r="Z589" s="2"/>
    </row>
    <row r="590">
      <c r="A590" s="2"/>
      <c r="B590" s="2"/>
      <c r="C590" s="2"/>
      <c r="D590" s="2"/>
      <c r="E590" s="2"/>
      <c r="F590" s="7"/>
      <c r="G590" s="2"/>
      <c r="H590" s="7"/>
      <c r="I590" s="2"/>
      <c r="J590" s="2"/>
      <c r="K590" s="2"/>
      <c r="L590" s="2"/>
      <c r="M590" s="2"/>
      <c r="N590" s="2"/>
      <c r="O590" s="2"/>
      <c r="P590" s="2"/>
      <c r="Q590" s="2"/>
      <c r="R590" s="2"/>
      <c r="S590" s="2"/>
      <c r="T590" s="2"/>
      <c r="U590" s="2"/>
      <c r="V590" s="2"/>
      <c r="W590" s="2"/>
      <c r="X590" s="2"/>
      <c r="Y590" s="2"/>
      <c r="Z590" s="2"/>
    </row>
    <row r="591">
      <c r="A591" s="2"/>
      <c r="B591" s="2"/>
      <c r="C591" s="2"/>
      <c r="D591" s="2"/>
      <c r="E591" s="2"/>
      <c r="F591" s="7"/>
      <c r="G591" s="2"/>
      <c r="H591" s="7"/>
      <c r="I591" s="2"/>
      <c r="J591" s="2"/>
      <c r="K591" s="2"/>
      <c r="L591" s="2"/>
      <c r="M591" s="2"/>
      <c r="N591" s="2"/>
      <c r="O591" s="2"/>
      <c r="P591" s="2"/>
      <c r="Q591" s="2"/>
      <c r="R591" s="2"/>
      <c r="S591" s="2"/>
      <c r="T591" s="2"/>
      <c r="U591" s="2"/>
      <c r="V591" s="2"/>
      <c r="W591" s="2"/>
      <c r="X591" s="2"/>
      <c r="Y591" s="2"/>
      <c r="Z591" s="2"/>
    </row>
    <row r="592">
      <c r="A592" s="2"/>
      <c r="B592" s="2"/>
      <c r="C592" s="2"/>
      <c r="D592" s="2"/>
      <c r="E592" s="2"/>
      <c r="F592" s="7"/>
      <c r="G592" s="2"/>
      <c r="H592" s="7"/>
      <c r="I592" s="2"/>
      <c r="J592" s="2"/>
      <c r="K592" s="2"/>
      <c r="L592" s="2"/>
      <c r="M592" s="2"/>
      <c r="N592" s="2"/>
      <c r="O592" s="2"/>
      <c r="P592" s="2"/>
      <c r="Q592" s="2"/>
      <c r="R592" s="2"/>
      <c r="S592" s="2"/>
      <c r="T592" s="2"/>
      <c r="U592" s="2"/>
      <c r="V592" s="2"/>
      <c r="W592" s="2"/>
      <c r="X592" s="2"/>
      <c r="Y592" s="2"/>
      <c r="Z592" s="2"/>
    </row>
    <row r="593">
      <c r="A593" s="2"/>
      <c r="B593" s="2"/>
      <c r="C593" s="2"/>
      <c r="D593" s="2"/>
      <c r="E593" s="2"/>
      <c r="F593" s="7"/>
      <c r="G593" s="2"/>
      <c r="H593" s="7"/>
      <c r="I593" s="2"/>
      <c r="J593" s="2"/>
      <c r="K593" s="2"/>
      <c r="L593" s="2"/>
      <c r="M593" s="2"/>
      <c r="N593" s="2"/>
      <c r="O593" s="2"/>
      <c r="P593" s="2"/>
      <c r="Q593" s="2"/>
      <c r="R593" s="2"/>
      <c r="S593" s="2"/>
      <c r="T593" s="2"/>
      <c r="U593" s="2"/>
      <c r="V593" s="2"/>
      <c r="W593" s="2"/>
      <c r="X593" s="2"/>
      <c r="Y593" s="2"/>
      <c r="Z593" s="2"/>
    </row>
    <row r="594">
      <c r="A594" s="2"/>
      <c r="B594" s="2"/>
      <c r="C594" s="2"/>
      <c r="D594" s="2"/>
      <c r="E594" s="2"/>
      <c r="F594" s="7"/>
      <c r="G594" s="2"/>
      <c r="H594" s="7"/>
      <c r="I594" s="2"/>
      <c r="J594" s="2"/>
      <c r="K594" s="2"/>
      <c r="L594" s="2"/>
      <c r="M594" s="2"/>
      <c r="N594" s="2"/>
      <c r="O594" s="2"/>
      <c r="P594" s="2"/>
      <c r="Q594" s="2"/>
      <c r="R594" s="2"/>
      <c r="S594" s="2"/>
      <c r="T594" s="2"/>
      <c r="U594" s="2"/>
      <c r="V594" s="2"/>
      <c r="W594" s="2"/>
      <c r="X594" s="2"/>
      <c r="Y594" s="2"/>
      <c r="Z594" s="2"/>
    </row>
    <row r="595">
      <c r="A595" s="2"/>
      <c r="B595" s="2"/>
      <c r="C595" s="2"/>
      <c r="D595" s="2"/>
      <c r="E595" s="2"/>
      <c r="F595" s="7"/>
      <c r="G595" s="2"/>
      <c r="H595" s="7"/>
      <c r="I595" s="2"/>
      <c r="J595" s="2"/>
      <c r="K595" s="2"/>
      <c r="L595" s="2"/>
      <c r="M595" s="2"/>
      <c r="N595" s="2"/>
      <c r="O595" s="2"/>
      <c r="P595" s="2"/>
      <c r="Q595" s="2"/>
      <c r="R595" s="2"/>
      <c r="S595" s="2"/>
      <c r="T595" s="2"/>
      <c r="U595" s="2"/>
      <c r="V595" s="2"/>
      <c r="W595" s="2"/>
      <c r="X595" s="2"/>
      <c r="Y595" s="2"/>
      <c r="Z595" s="2"/>
    </row>
    <row r="596">
      <c r="A596" s="2"/>
      <c r="B596" s="2"/>
      <c r="C596" s="2"/>
      <c r="D596" s="2"/>
      <c r="E596" s="2"/>
      <c r="F596" s="7"/>
      <c r="G596" s="2"/>
      <c r="H596" s="7"/>
      <c r="I596" s="2"/>
      <c r="J596" s="2"/>
      <c r="K596" s="2"/>
      <c r="L596" s="2"/>
      <c r="M596" s="2"/>
      <c r="N596" s="2"/>
      <c r="O596" s="2"/>
      <c r="P596" s="2"/>
      <c r="Q596" s="2"/>
      <c r="R596" s="2"/>
      <c r="S596" s="2"/>
      <c r="T596" s="2"/>
      <c r="U596" s="2"/>
      <c r="V596" s="2"/>
      <c r="W596" s="2"/>
      <c r="X596" s="2"/>
      <c r="Y596" s="2"/>
      <c r="Z596" s="2"/>
    </row>
    <row r="597">
      <c r="A597" s="2"/>
      <c r="B597" s="2"/>
      <c r="C597" s="2"/>
      <c r="D597" s="2"/>
      <c r="E597" s="2"/>
      <c r="F597" s="7"/>
      <c r="G597" s="2"/>
      <c r="H597" s="7"/>
      <c r="I597" s="2"/>
      <c r="J597" s="2"/>
      <c r="K597" s="2"/>
      <c r="L597" s="2"/>
      <c r="M597" s="2"/>
      <c r="N597" s="2"/>
      <c r="O597" s="2"/>
      <c r="P597" s="2"/>
      <c r="Q597" s="2"/>
      <c r="R597" s="2"/>
      <c r="S597" s="2"/>
      <c r="T597" s="2"/>
      <c r="U597" s="2"/>
      <c r="V597" s="2"/>
      <c r="W597" s="2"/>
      <c r="X597" s="2"/>
      <c r="Y597" s="2"/>
      <c r="Z597" s="2"/>
    </row>
    <row r="598">
      <c r="A598" s="2"/>
      <c r="B598" s="2"/>
      <c r="C598" s="2"/>
      <c r="D598" s="2"/>
      <c r="E598" s="2"/>
      <c r="F598" s="7"/>
      <c r="G598" s="2"/>
      <c r="H598" s="7"/>
      <c r="I598" s="2"/>
      <c r="J598" s="2"/>
      <c r="K598" s="2"/>
      <c r="L598" s="2"/>
      <c r="M598" s="2"/>
      <c r="N598" s="2"/>
      <c r="O598" s="2"/>
      <c r="P598" s="2"/>
      <c r="Q598" s="2"/>
      <c r="R598" s="2"/>
      <c r="S598" s="2"/>
      <c r="T598" s="2"/>
      <c r="U598" s="2"/>
      <c r="V598" s="2"/>
      <c r="W598" s="2"/>
      <c r="X598" s="2"/>
      <c r="Y598" s="2"/>
      <c r="Z598" s="2"/>
    </row>
    <row r="599">
      <c r="A599" s="2"/>
      <c r="B599" s="2"/>
      <c r="C599" s="2"/>
      <c r="D599" s="2"/>
      <c r="E599" s="2"/>
      <c r="F599" s="7"/>
      <c r="G599" s="2"/>
      <c r="H599" s="7"/>
      <c r="I599" s="2"/>
      <c r="J599" s="2"/>
      <c r="K599" s="2"/>
      <c r="L599" s="2"/>
      <c r="M599" s="2"/>
      <c r="N599" s="2"/>
      <c r="O599" s="2"/>
      <c r="P599" s="2"/>
      <c r="Q599" s="2"/>
      <c r="R599" s="2"/>
      <c r="S599" s="2"/>
      <c r="T599" s="2"/>
      <c r="U599" s="2"/>
      <c r="V599" s="2"/>
      <c r="W599" s="2"/>
      <c r="X599" s="2"/>
      <c r="Y599" s="2"/>
      <c r="Z599" s="2"/>
    </row>
    <row r="600">
      <c r="A600" s="2"/>
      <c r="B600" s="2"/>
      <c r="C600" s="2"/>
      <c r="D600" s="2"/>
      <c r="E600" s="2"/>
      <c r="F600" s="7"/>
      <c r="G600" s="2"/>
      <c r="H600" s="7"/>
      <c r="I600" s="2"/>
      <c r="J600" s="2"/>
      <c r="K600" s="2"/>
      <c r="L600" s="2"/>
      <c r="M600" s="2"/>
      <c r="N600" s="2"/>
      <c r="O600" s="2"/>
      <c r="P600" s="2"/>
      <c r="Q600" s="2"/>
      <c r="R600" s="2"/>
      <c r="S600" s="2"/>
      <c r="T600" s="2"/>
      <c r="U600" s="2"/>
      <c r="V600" s="2"/>
      <c r="W600" s="2"/>
      <c r="X600" s="2"/>
      <c r="Y600" s="2"/>
      <c r="Z600" s="2"/>
    </row>
    <row r="601">
      <c r="A601" s="2"/>
      <c r="B601" s="2"/>
      <c r="C601" s="2"/>
      <c r="D601" s="2"/>
      <c r="E601" s="2"/>
      <c r="F601" s="7"/>
      <c r="G601" s="2"/>
      <c r="H601" s="7"/>
      <c r="I601" s="2"/>
      <c r="J601" s="2"/>
      <c r="K601" s="2"/>
      <c r="L601" s="2"/>
      <c r="M601" s="2"/>
      <c r="N601" s="2"/>
      <c r="O601" s="2"/>
      <c r="P601" s="2"/>
      <c r="Q601" s="2"/>
      <c r="R601" s="2"/>
      <c r="S601" s="2"/>
      <c r="T601" s="2"/>
      <c r="U601" s="2"/>
      <c r="V601" s="2"/>
      <c r="W601" s="2"/>
      <c r="X601" s="2"/>
      <c r="Y601" s="2"/>
      <c r="Z601" s="2"/>
    </row>
    <row r="602">
      <c r="A602" s="2"/>
      <c r="B602" s="2"/>
      <c r="C602" s="2"/>
      <c r="D602" s="2"/>
      <c r="E602" s="2"/>
      <c r="F602" s="7"/>
      <c r="G602" s="2"/>
      <c r="H602" s="7"/>
      <c r="I602" s="2"/>
      <c r="J602" s="2"/>
      <c r="K602" s="2"/>
      <c r="L602" s="2"/>
      <c r="M602" s="2"/>
      <c r="N602" s="2"/>
      <c r="O602" s="2"/>
      <c r="P602" s="2"/>
      <c r="Q602" s="2"/>
      <c r="R602" s="2"/>
      <c r="S602" s="2"/>
      <c r="T602" s="2"/>
      <c r="U602" s="2"/>
      <c r="V602" s="2"/>
      <c r="W602" s="2"/>
      <c r="X602" s="2"/>
      <c r="Y602" s="2"/>
      <c r="Z602" s="2"/>
    </row>
    <row r="603">
      <c r="A603" s="2"/>
      <c r="B603" s="2"/>
      <c r="C603" s="2"/>
      <c r="D603" s="2"/>
      <c r="E603" s="2"/>
      <c r="F603" s="7"/>
      <c r="G603" s="2"/>
      <c r="H603" s="7"/>
      <c r="I603" s="2"/>
      <c r="J603" s="2"/>
      <c r="K603" s="2"/>
      <c r="L603" s="2"/>
      <c r="M603" s="2"/>
      <c r="N603" s="2"/>
      <c r="O603" s="2"/>
      <c r="P603" s="2"/>
      <c r="Q603" s="2"/>
      <c r="R603" s="2"/>
      <c r="S603" s="2"/>
      <c r="T603" s="2"/>
      <c r="U603" s="2"/>
      <c r="V603" s="2"/>
      <c r="W603" s="2"/>
      <c r="X603" s="2"/>
      <c r="Y603" s="2"/>
      <c r="Z603" s="2"/>
    </row>
    <row r="604">
      <c r="A604" s="2"/>
      <c r="B604" s="2"/>
      <c r="C604" s="2"/>
      <c r="D604" s="2"/>
      <c r="E604" s="2"/>
      <c r="F604" s="7"/>
      <c r="G604" s="2"/>
      <c r="H604" s="7"/>
      <c r="I604" s="2"/>
      <c r="J604" s="2"/>
      <c r="K604" s="2"/>
      <c r="L604" s="2"/>
      <c r="M604" s="2"/>
      <c r="N604" s="2"/>
      <c r="O604" s="2"/>
      <c r="P604" s="2"/>
      <c r="Q604" s="2"/>
      <c r="R604" s="2"/>
      <c r="S604" s="2"/>
      <c r="T604" s="2"/>
      <c r="U604" s="2"/>
      <c r="V604" s="2"/>
      <c r="W604" s="2"/>
      <c r="X604" s="2"/>
      <c r="Y604" s="2"/>
      <c r="Z604" s="2"/>
    </row>
    <row r="605">
      <c r="A605" s="2"/>
      <c r="B605" s="2"/>
      <c r="C605" s="2"/>
      <c r="D605" s="2"/>
      <c r="E605" s="2"/>
      <c r="F605" s="7"/>
      <c r="G605" s="2"/>
      <c r="H605" s="7"/>
      <c r="I605" s="2"/>
      <c r="J605" s="2"/>
      <c r="K605" s="2"/>
      <c r="L605" s="2"/>
      <c r="M605" s="2"/>
      <c r="N605" s="2"/>
      <c r="O605" s="2"/>
      <c r="P605" s="2"/>
      <c r="Q605" s="2"/>
      <c r="R605" s="2"/>
      <c r="S605" s="2"/>
      <c r="T605" s="2"/>
      <c r="U605" s="2"/>
      <c r="V605" s="2"/>
      <c r="W605" s="2"/>
      <c r="X605" s="2"/>
      <c r="Y605" s="2"/>
      <c r="Z605" s="2"/>
    </row>
    <row r="606">
      <c r="A606" s="2"/>
      <c r="B606" s="2"/>
      <c r="C606" s="2"/>
      <c r="D606" s="2"/>
      <c r="E606" s="2"/>
      <c r="F606" s="7"/>
      <c r="G606" s="2"/>
      <c r="H606" s="7"/>
      <c r="I606" s="2"/>
      <c r="J606" s="2"/>
      <c r="K606" s="2"/>
      <c r="L606" s="2"/>
      <c r="M606" s="2"/>
      <c r="N606" s="2"/>
      <c r="O606" s="2"/>
      <c r="P606" s="2"/>
      <c r="Q606" s="2"/>
      <c r="R606" s="2"/>
      <c r="S606" s="2"/>
      <c r="T606" s="2"/>
      <c r="U606" s="2"/>
      <c r="V606" s="2"/>
      <c r="W606" s="2"/>
      <c r="X606" s="2"/>
      <c r="Y606" s="2"/>
      <c r="Z606" s="2"/>
    </row>
    <row r="607">
      <c r="A607" s="2"/>
      <c r="B607" s="2"/>
      <c r="C607" s="2"/>
      <c r="D607" s="2"/>
      <c r="E607" s="2"/>
      <c r="F607" s="7"/>
      <c r="G607" s="2"/>
      <c r="H607" s="7"/>
      <c r="I607" s="2"/>
      <c r="J607" s="2"/>
      <c r="K607" s="2"/>
      <c r="L607" s="2"/>
      <c r="M607" s="2"/>
      <c r="N607" s="2"/>
      <c r="O607" s="2"/>
      <c r="P607" s="2"/>
      <c r="Q607" s="2"/>
      <c r="R607" s="2"/>
      <c r="S607" s="2"/>
      <c r="T607" s="2"/>
      <c r="U607" s="2"/>
      <c r="V607" s="2"/>
      <c r="W607" s="2"/>
      <c r="X607" s="2"/>
      <c r="Y607" s="2"/>
      <c r="Z607" s="2"/>
    </row>
    <row r="608">
      <c r="A608" s="2"/>
      <c r="B608" s="2"/>
      <c r="C608" s="2"/>
      <c r="D608" s="2"/>
      <c r="E608" s="2"/>
      <c r="F608" s="7"/>
      <c r="G608" s="2"/>
      <c r="H608" s="7"/>
      <c r="I608" s="2"/>
      <c r="J608" s="2"/>
      <c r="K608" s="2"/>
      <c r="L608" s="2"/>
      <c r="M608" s="2"/>
      <c r="N608" s="2"/>
      <c r="O608" s="2"/>
      <c r="P608" s="2"/>
      <c r="Q608" s="2"/>
      <c r="R608" s="2"/>
      <c r="S608" s="2"/>
      <c r="T608" s="2"/>
      <c r="U608" s="2"/>
      <c r="V608" s="2"/>
      <c r="W608" s="2"/>
      <c r="X608" s="2"/>
      <c r="Y608" s="2"/>
      <c r="Z608" s="2"/>
    </row>
    <row r="609">
      <c r="A609" s="2"/>
      <c r="B609" s="2"/>
      <c r="C609" s="2"/>
      <c r="D609" s="2"/>
      <c r="E609" s="2"/>
      <c r="F609" s="7"/>
      <c r="G609" s="2"/>
      <c r="H609" s="7"/>
      <c r="I609" s="2"/>
      <c r="J609" s="2"/>
      <c r="K609" s="2"/>
      <c r="L609" s="2"/>
      <c r="M609" s="2"/>
      <c r="N609" s="2"/>
      <c r="O609" s="2"/>
      <c r="P609" s="2"/>
      <c r="Q609" s="2"/>
      <c r="R609" s="2"/>
      <c r="S609" s="2"/>
      <c r="T609" s="2"/>
      <c r="U609" s="2"/>
      <c r="V609" s="2"/>
      <c r="W609" s="2"/>
      <c r="X609" s="2"/>
      <c r="Y609" s="2"/>
      <c r="Z609" s="2"/>
    </row>
    <row r="610">
      <c r="A610" s="2"/>
      <c r="B610" s="2"/>
      <c r="C610" s="2"/>
      <c r="D610" s="2"/>
      <c r="E610" s="2"/>
      <c r="F610" s="7"/>
      <c r="G610" s="2"/>
      <c r="H610" s="7"/>
      <c r="I610" s="2"/>
      <c r="J610" s="2"/>
      <c r="K610" s="2"/>
      <c r="L610" s="2"/>
      <c r="M610" s="2"/>
      <c r="N610" s="2"/>
      <c r="O610" s="2"/>
      <c r="P610" s="2"/>
      <c r="Q610" s="2"/>
      <c r="R610" s="2"/>
      <c r="S610" s="2"/>
      <c r="T610" s="2"/>
      <c r="U610" s="2"/>
      <c r="V610" s="2"/>
      <c r="W610" s="2"/>
      <c r="X610" s="2"/>
      <c r="Y610" s="2"/>
      <c r="Z610" s="2"/>
    </row>
    <row r="611">
      <c r="A611" s="2"/>
      <c r="B611" s="2"/>
      <c r="C611" s="2"/>
      <c r="D611" s="2"/>
      <c r="E611" s="2"/>
      <c r="F611" s="7"/>
      <c r="G611" s="2"/>
      <c r="H611" s="7"/>
      <c r="I611" s="2"/>
      <c r="J611" s="2"/>
      <c r="K611" s="2"/>
      <c r="L611" s="2"/>
      <c r="M611" s="2"/>
      <c r="N611" s="2"/>
      <c r="O611" s="2"/>
      <c r="P611" s="2"/>
      <c r="Q611" s="2"/>
      <c r="R611" s="2"/>
      <c r="S611" s="2"/>
      <c r="T611" s="2"/>
      <c r="U611" s="2"/>
      <c r="V611" s="2"/>
      <c r="W611" s="2"/>
      <c r="X611" s="2"/>
      <c r="Y611" s="2"/>
      <c r="Z611" s="2"/>
    </row>
    <row r="612">
      <c r="A612" s="2"/>
      <c r="B612" s="2"/>
      <c r="C612" s="2"/>
      <c r="D612" s="2"/>
      <c r="E612" s="2"/>
      <c r="F612" s="7"/>
      <c r="G612" s="2"/>
      <c r="H612" s="7"/>
      <c r="I612" s="2"/>
      <c r="J612" s="2"/>
      <c r="K612" s="2"/>
      <c r="L612" s="2"/>
      <c r="M612" s="2"/>
      <c r="N612" s="2"/>
      <c r="O612" s="2"/>
      <c r="P612" s="2"/>
      <c r="Q612" s="2"/>
      <c r="R612" s="2"/>
      <c r="S612" s="2"/>
      <c r="T612" s="2"/>
      <c r="U612" s="2"/>
      <c r="V612" s="2"/>
      <c r="W612" s="2"/>
      <c r="X612" s="2"/>
      <c r="Y612" s="2"/>
      <c r="Z612" s="2"/>
    </row>
    <row r="613">
      <c r="A613" s="2"/>
      <c r="B613" s="2"/>
      <c r="C613" s="2"/>
      <c r="D613" s="2"/>
      <c r="E613" s="2"/>
      <c r="F613" s="7"/>
      <c r="G613" s="2"/>
      <c r="H613" s="7"/>
      <c r="I613" s="2"/>
      <c r="J613" s="2"/>
      <c r="K613" s="2"/>
      <c r="L613" s="2"/>
      <c r="M613" s="2"/>
      <c r="N613" s="2"/>
      <c r="O613" s="2"/>
      <c r="P613" s="2"/>
      <c r="Q613" s="2"/>
      <c r="R613" s="2"/>
      <c r="S613" s="2"/>
      <c r="T613" s="2"/>
      <c r="U613" s="2"/>
      <c r="V613" s="2"/>
      <c r="W613" s="2"/>
      <c r="X613" s="2"/>
      <c r="Y613" s="2"/>
      <c r="Z613" s="2"/>
    </row>
    <row r="614">
      <c r="A614" s="2"/>
      <c r="B614" s="2"/>
      <c r="C614" s="2"/>
      <c r="D614" s="2"/>
      <c r="E614" s="2"/>
      <c r="F614" s="7"/>
      <c r="G614" s="2"/>
      <c r="H614" s="7"/>
      <c r="I614" s="2"/>
      <c r="J614" s="2"/>
      <c r="K614" s="2"/>
      <c r="L614" s="2"/>
      <c r="M614" s="2"/>
      <c r="N614" s="2"/>
      <c r="O614" s="2"/>
      <c r="P614" s="2"/>
      <c r="Q614" s="2"/>
      <c r="R614" s="2"/>
      <c r="S614" s="2"/>
      <c r="T614" s="2"/>
      <c r="U614" s="2"/>
      <c r="V614" s="2"/>
      <c r="W614" s="2"/>
      <c r="X614" s="2"/>
      <c r="Y614" s="2"/>
      <c r="Z614" s="2"/>
    </row>
    <row r="615">
      <c r="A615" s="2"/>
      <c r="B615" s="2"/>
      <c r="C615" s="2"/>
      <c r="D615" s="2"/>
      <c r="E615" s="2"/>
      <c r="F615" s="7"/>
      <c r="G615" s="2"/>
      <c r="H615" s="7"/>
      <c r="I615" s="2"/>
      <c r="J615" s="2"/>
      <c r="K615" s="2"/>
      <c r="L615" s="2"/>
      <c r="M615" s="2"/>
      <c r="N615" s="2"/>
      <c r="O615" s="2"/>
      <c r="P615" s="2"/>
      <c r="Q615" s="2"/>
      <c r="R615" s="2"/>
      <c r="S615" s="2"/>
      <c r="T615" s="2"/>
      <c r="U615" s="2"/>
      <c r="V615" s="2"/>
      <c r="W615" s="2"/>
      <c r="X615" s="2"/>
      <c r="Y615" s="2"/>
      <c r="Z615" s="2"/>
    </row>
    <row r="616">
      <c r="A616" s="2"/>
      <c r="B616" s="2"/>
      <c r="C616" s="2"/>
      <c r="D616" s="2"/>
      <c r="E616" s="2"/>
      <c r="F616" s="7"/>
      <c r="G616" s="2"/>
      <c r="H616" s="7"/>
      <c r="I616" s="2"/>
      <c r="J616" s="2"/>
      <c r="K616" s="2"/>
      <c r="L616" s="2"/>
      <c r="M616" s="2"/>
      <c r="N616" s="2"/>
      <c r="O616" s="2"/>
      <c r="P616" s="2"/>
      <c r="Q616" s="2"/>
      <c r="R616" s="2"/>
      <c r="S616" s="2"/>
      <c r="T616" s="2"/>
      <c r="U616" s="2"/>
      <c r="V616" s="2"/>
      <c r="W616" s="2"/>
      <c r="X616" s="2"/>
      <c r="Y616" s="2"/>
      <c r="Z616" s="2"/>
    </row>
    <row r="617">
      <c r="A617" s="2"/>
      <c r="B617" s="2"/>
      <c r="C617" s="2"/>
      <c r="D617" s="2"/>
      <c r="E617" s="2"/>
      <c r="F617" s="7"/>
      <c r="G617" s="2"/>
      <c r="H617" s="7"/>
      <c r="I617" s="2"/>
      <c r="J617" s="2"/>
      <c r="K617" s="2"/>
      <c r="L617" s="2"/>
      <c r="M617" s="2"/>
      <c r="N617" s="2"/>
      <c r="O617" s="2"/>
      <c r="P617" s="2"/>
      <c r="Q617" s="2"/>
      <c r="R617" s="2"/>
      <c r="S617" s="2"/>
      <c r="T617" s="2"/>
      <c r="U617" s="2"/>
      <c r="V617" s="2"/>
      <c r="W617" s="2"/>
      <c r="X617" s="2"/>
      <c r="Y617" s="2"/>
      <c r="Z617" s="2"/>
    </row>
    <row r="618">
      <c r="A618" s="2"/>
      <c r="B618" s="2"/>
      <c r="C618" s="2"/>
      <c r="D618" s="2"/>
      <c r="E618" s="2"/>
      <c r="F618" s="7"/>
      <c r="G618" s="2"/>
      <c r="H618" s="7"/>
      <c r="I618" s="2"/>
      <c r="J618" s="2"/>
      <c r="K618" s="2"/>
      <c r="L618" s="2"/>
      <c r="M618" s="2"/>
      <c r="N618" s="2"/>
      <c r="O618" s="2"/>
      <c r="P618" s="2"/>
      <c r="Q618" s="2"/>
      <c r="R618" s="2"/>
      <c r="S618" s="2"/>
      <c r="T618" s="2"/>
      <c r="U618" s="2"/>
      <c r="V618" s="2"/>
      <c r="W618" s="2"/>
      <c r="X618" s="2"/>
      <c r="Y618" s="2"/>
      <c r="Z618" s="2"/>
    </row>
    <row r="619">
      <c r="A619" s="2"/>
      <c r="B619" s="2"/>
      <c r="C619" s="2"/>
      <c r="D619" s="2"/>
      <c r="E619" s="2"/>
      <c r="F619" s="7"/>
      <c r="G619" s="2"/>
      <c r="H619" s="7"/>
      <c r="I619" s="2"/>
      <c r="J619" s="2"/>
      <c r="K619" s="2"/>
      <c r="L619" s="2"/>
      <c r="M619" s="2"/>
      <c r="N619" s="2"/>
      <c r="O619" s="2"/>
      <c r="P619" s="2"/>
      <c r="Q619" s="2"/>
      <c r="R619" s="2"/>
      <c r="S619" s="2"/>
      <c r="T619" s="2"/>
      <c r="U619" s="2"/>
      <c r="V619" s="2"/>
      <c r="W619" s="2"/>
      <c r="X619" s="2"/>
      <c r="Y619" s="2"/>
      <c r="Z619" s="2"/>
    </row>
    <row r="620">
      <c r="A620" s="2"/>
      <c r="B620" s="2"/>
      <c r="C620" s="2"/>
      <c r="D620" s="2"/>
      <c r="E620" s="2"/>
      <c r="F620" s="7"/>
      <c r="G620" s="2"/>
      <c r="H620" s="7"/>
      <c r="I620" s="2"/>
      <c r="J620" s="2"/>
      <c r="K620" s="2"/>
      <c r="L620" s="2"/>
      <c r="M620" s="2"/>
      <c r="N620" s="2"/>
      <c r="O620" s="2"/>
      <c r="P620" s="2"/>
      <c r="Q620" s="2"/>
      <c r="R620" s="2"/>
      <c r="S620" s="2"/>
      <c r="T620" s="2"/>
      <c r="U620" s="2"/>
      <c r="V620" s="2"/>
      <c r="W620" s="2"/>
      <c r="X620" s="2"/>
      <c r="Y620" s="2"/>
      <c r="Z620" s="2"/>
    </row>
    <row r="621">
      <c r="A621" s="2"/>
      <c r="B621" s="2"/>
      <c r="C621" s="2"/>
      <c r="D621" s="2"/>
      <c r="E621" s="2"/>
      <c r="F621" s="7"/>
      <c r="G621" s="2"/>
      <c r="H621" s="7"/>
      <c r="I621" s="2"/>
      <c r="J621" s="2"/>
      <c r="K621" s="2"/>
      <c r="L621" s="2"/>
      <c r="M621" s="2"/>
      <c r="N621" s="2"/>
      <c r="O621" s="2"/>
      <c r="P621" s="2"/>
      <c r="Q621" s="2"/>
      <c r="R621" s="2"/>
      <c r="S621" s="2"/>
      <c r="T621" s="2"/>
      <c r="U621" s="2"/>
      <c r="V621" s="2"/>
      <c r="W621" s="2"/>
      <c r="X621" s="2"/>
      <c r="Y621" s="2"/>
      <c r="Z621" s="2"/>
    </row>
    <row r="622">
      <c r="A622" s="2"/>
      <c r="B622" s="2"/>
      <c r="C622" s="2"/>
      <c r="D622" s="2"/>
      <c r="E622" s="2"/>
      <c r="F622" s="7"/>
      <c r="G622" s="2"/>
      <c r="H622" s="7"/>
      <c r="I622" s="2"/>
      <c r="J622" s="2"/>
      <c r="K622" s="2"/>
      <c r="L622" s="2"/>
      <c r="M622" s="2"/>
      <c r="N622" s="2"/>
      <c r="O622" s="2"/>
      <c r="P622" s="2"/>
      <c r="Q622" s="2"/>
      <c r="R622" s="2"/>
      <c r="S622" s="2"/>
      <c r="T622" s="2"/>
      <c r="U622" s="2"/>
      <c r="V622" s="2"/>
      <c r="W622" s="2"/>
      <c r="X622" s="2"/>
      <c r="Y622" s="2"/>
      <c r="Z622" s="2"/>
    </row>
    <row r="623">
      <c r="A623" s="2"/>
      <c r="B623" s="2"/>
      <c r="C623" s="2"/>
      <c r="D623" s="2"/>
      <c r="E623" s="2"/>
      <c r="F623" s="7"/>
      <c r="G623" s="2"/>
      <c r="H623" s="7"/>
      <c r="I623" s="2"/>
      <c r="J623" s="2"/>
      <c r="K623" s="2"/>
      <c r="L623" s="2"/>
      <c r="M623" s="2"/>
      <c r="N623" s="2"/>
      <c r="O623" s="2"/>
      <c r="P623" s="2"/>
      <c r="Q623" s="2"/>
      <c r="R623" s="2"/>
      <c r="S623" s="2"/>
      <c r="T623" s="2"/>
      <c r="U623" s="2"/>
      <c r="V623" s="2"/>
      <c r="W623" s="2"/>
      <c r="X623" s="2"/>
      <c r="Y623" s="2"/>
      <c r="Z623" s="2"/>
    </row>
    <row r="624">
      <c r="A624" s="2"/>
      <c r="B624" s="2"/>
      <c r="C624" s="2"/>
      <c r="D624" s="2"/>
      <c r="E624" s="2"/>
      <c r="F624" s="7"/>
      <c r="G624" s="2"/>
      <c r="H624" s="7"/>
      <c r="I624" s="2"/>
      <c r="J624" s="2"/>
      <c r="K624" s="2"/>
      <c r="L624" s="2"/>
      <c r="M624" s="2"/>
      <c r="N624" s="2"/>
      <c r="O624" s="2"/>
      <c r="P624" s="2"/>
      <c r="Q624" s="2"/>
      <c r="R624" s="2"/>
      <c r="S624" s="2"/>
      <c r="T624" s="2"/>
      <c r="U624" s="2"/>
      <c r="V624" s="2"/>
      <c r="W624" s="2"/>
      <c r="X624" s="2"/>
      <c r="Y624" s="2"/>
      <c r="Z624" s="2"/>
    </row>
    <row r="625">
      <c r="A625" s="2"/>
      <c r="B625" s="2"/>
      <c r="C625" s="2"/>
      <c r="D625" s="2"/>
      <c r="E625" s="2"/>
      <c r="F625" s="7"/>
      <c r="G625" s="2"/>
      <c r="H625" s="7"/>
      <c r="I625" s="2"/>
      <c r="J625" s="2"/>
      <c r="K625" s="2"/>
      <c r="L625" s="2"/>
      <c r="M625" s="2"/>
      <c r="N625" s="2"/>
      <c r="O625" s="2"/>
      <c r="P625" s="2"/>
      <c r="Q625" s="2"/>
      <c r="R625" s="2"/>
      <c r="S625" s="2"/>
      <c r="T625" s="2"/>
      <c r="U625" s="2"/>
      <c r="V625" s="2"/>
      <c r="W625" s="2"/>
      <c r="X625" s="2"/>
      <c r="Y625" s="2"/>
      <c r="Z625" s="2"/>
    </row>
    <row r="626">
      <c r="A626" s="2"/>
      <c r="B626" s="2"/>
      <c r="C626" s="2"/>
      <c r="D626" s="2"/>
      <c r="E626" s="2"/>
      <c r="F626" s="7"/>
      <c r="G626" s="2"/>
      <c r="H626" s="7"/>
      <c r="I626" s="2"/>
      <c r="J626" s="2"/>
      <c r="K626" s="2"/>
      <c r="L626" s="2"/>
      <c r="M626" s="2"/>
      <c r="N626" s="2"/>
      <c r="O626" s="2"/>
      <c r="P626" s="2"/>
      <c r="Q626" s="2"/>
      <c r="R626" s="2"/>
      <c r="S626" s="2"/>
      <c r="T626" s="2"/>
      <c r="U626" s="2"/>
      <c r="V626" s="2"/>
      <c r="W626" s="2"/>
      <c r="X626" s="2"/>
      <c r="Y626" s="2"/>
      <c r="Z626" s="2"/>
    </row>
    <row r="627">
      <c r="A627" s="2"/>
      <c r="B627" s="2"/>
      <c r="C627" s="2"/>
      <c r="D627" s="2"/>
      <c r="E627" s="2"/>
      <c r="F627" s="7"/>
      <c r="G627" s="2"/>
      <c r="H627" s="7"/>
      <c r="I627" s="2"/>
      <c r="J627" s="2"/>
      <c r="K627" s="2"/>
      <c r="L627" s="2"/>
      <c r="M627" s="2"/>
      <c r="N627" s="2"/>
      <c r="O627" s="2"/>
      <c r="P627" s="2"/>
      <c r="Q627" s="2"/>
      <c r="R627" s="2"/>
      <c r="S627" s="2"/>
      <c r="T627" s="2"/>
      <c r="U627" s="2"/>
      <c r="V627" s="2"/>
      <c r="W627" s="2"/>
      <c r="X627" s="2"/>
      <c r="Y627" s="2"/>
      <c r="Z627" s="2"/>
    </row>
    <row r="628">
      <c r="A628" s="2"/>
      <c r="B628" s="2"/>
      <c r="C628" s="2"/>
      <c r="D628" s="2"/>
      <c r="E628" s="2"/>
      <c r="F628" s="7"/>
      <c r="G628" s="2"/>
      <c r="H628" s="7"/>
      <c r="I628" s="2"/>
      <c r="J628" s="2"/>
      <c r="K628" s="2"/>
      <c r="L628" s="2"/>
      <c r="M628" s="2"/>
      <c r="N628" s="2"/>
      <c r="O628" s="2"/>
      <c r="P628" s="2"/>
      <c r="Q628" s="2"/>
      <c r="R628" s="2"/>
      <c r="S628" s="2"/>
      <c r="T628" s="2"/>
      <c r="U628" s="2"/>
      <c r="V628" s="2"/>
      <c r="W628" s="2"/>
      <c r="X628" s="2"/>
      <c r="Y628" s="2"/>
      <c r="Z628" s="2"/>
    </row>
    <row r="629">
      <c r="A629" s="2"/>
      <c r="B629" s="2"/>
      <c r="C629" s="2"/>
      <c r="D629" s="2"/>
      <c r="E629" s="2"/>
      <c r="F629" s="7"/>
      <c r="G629" s="2"/>
      <c r="H629" s="7"/>
      <c r="I629" s="2"/>
      <c r="J629" s="2"/>
      <c r="K629" s="2"/>
      <c r="L629" s="2"/>
      <c r="M629" s="2"/>
      <c r="N629" s="2"/>
      <c r="O629" s="2"/>
      <c r="P629" s="2"/>
      <c r="Q629" s="2"/>
      <c r="R629" s="2"/>
      <c r="S629" s="2"/>
      <c r="T629" s="2"/>
      <c r="U629" s="2"/>
      <c r="V629" s="2"/>
      <c r="W629" s="2"/>
      <c r="X629" s="2"/>
      <c r="Y629" s="2"/>
      <c r="Z629" s="2"/>
    </row>
    <row r="630">
      <c r="A630" s="2"/>
      <c r="B630" s="2"/>
      <c r="C630" s="2"/>
      <c r="D630" s="2"/>
      <c r="E630" s="2"/>
      <c r="F630" s="7"/>
      <c r="G630" s="2"/>
      <c r="H630" s="7"/>
      <c r="I630" s="2"/>
      <c r="J630" s="2"/>
      <c r="K630" s="2"/>
      <c r="L630" s="2"/>
      <c r="M630" s="2"/>
      <c r="N630" s="2"/>
      <c r="O630" s="2"/>
      <c r="P630" s="2"/>
      <c r="Q630" s="2"/>
      <c r="R630" s="2"/>
      <c r="S630" s="2"/>
      <c r="T630" s="2"/>
      <c r="U630" s="2"/>
      <c r="V630" s="2"/>
      <c r="W630" s="2"/>
      <c r="X630" s="2"/>
      <c r="Y630" s="2"/>
      <c r="Z630" s="2"/>
    </row>
    <row r="631">
      <c r="A631" s="2"/>
      <c r="B631" s="2"/>
      <c r="C631" s="2"/>
      <c r="D631" s="2"/>
      <c r="E631" s="2"/>
      <c r="F631" s="7"/>
      <c r="G631" s="2"/>
      <c r="H631" s="7"/>
      <c r="I631" s="2"/>
      <c r="J631" s="2"/>
      <c r="K631" s="2"/>
      <c r="L631" s="2"/>
      <c r="M631" s="2"/>
      <c r="N631" s="2"/>
      <c r="O631" s="2"/>
      <c r="P631" s="2"/>
      <c r="Q631" s="2"/>
      <c r="R631" s="2"/>
      <c r="S631" s="2"/>
      <c r="T631" s="2"/>
      <c r="U631" s="2"/>
      <c r="V631" s="2"/>
      <c r="W631" s="2"/>
      <c r="X631" s="2"/>
      <c r="Y631" s="2"/>
      <c r="Z631" s="2"/>
    </row>
    <row r="632">
      <c r="A632" s="2"/>
      <c r="B632" s="2"/>
      <c r="C632" s="2"/>
      <c r="D632" s="2"/>
      <c r="E632" s="2"/>
      <c r="F632" s="7"/>
      <c r="G632" s="2"/>
      <c r="H632" s="7"/>
      <c r="I632" s="2"/>
      <c r="J632" s="2"/>
      <c r="K632" s="2"/>
      <c r="L632" s="2"/>
      <c r="M632" s="2"/>
      <c r="N632" s="2"/>
      <c r="O632" s="2"/>
      <c r="P632" s="2"/>
      <c r="Q632" s="2"/>
      <c r="R632" s="2"/>
      <c r="S632" s="2"/>
      <c r="T632" s="2"/>
      <c r="U632" s="2"/>
      <c r="V632" s="2"/>
      <c r="W632" s="2"/>
      <c r="X632" s="2"/>
      <c r="Y632" s="2"/>
      <c r="Z632" s="2"/>
    </row>
    <row r="633">
      <c r="A633" s="2"/>
      <c r="B633" s="2"/>
      <c r="C633" s="2"/>
      <c r="D633" s="2"/>
      <c r="E633" s="2"/>
      <c r="F633" s="7"/>
      <c r="G633" s="2"/>
      <c r="H633" s="7"/>
      <c r="I633" s="2"/>
      <c r="J633" s="2"/>
      <c r="K633" s="2"/>
      <c r="L633" s="2"/>
      <c r="M633" s="2"/>
      <c r="N633" s="2"/>
      <c r="O633" s="2"/>
      <c r="P633" s="2"/>
      <c r="Q633" s="2"/>
      <c r="R633" s="2"/>
      <c r="S633" s="2"/>
      <c r="T633" s="2"/>
      <c r="U633" s="2"/>
      <c r="V633" s="2"/>
      <c r="W633" s="2"/>
      <c r="X633" s="2"/>
      <c r="Y633" s="2"/>
      <c r="Z633" s="2"/>
    </row>
    <row r="634">
      <c r="A634" s="2"/>
      <c r="B634" s="2"/>
      <c r="C634" s="2"/>
      <c r="D634" s="2"/>
      <c r="E634" s="2"/>
      <c r="F634" s="7"/>
      <c r="G634" s="2"/>
      <c r="H634" s="7"/>
      <c r="I634" s="2"/>
      <c r="J634" s="2"/>
      <c r="K634" s="2"/>
      <c r="L634" s="2"/>
      <c r="M634" s="2"/>
      <c r="N634" s="2"/>
      <c r="O634" s="2"/>
      <c r="P634" s="2"/>
      <c r="Q634" s="2"/>
      <c r="R634" s="2"/>
      <c r="S634" s="2"/>
      <c r="T634" s="2"/>
      <c r="U634" s="2"/>
      <c r="V634" s="2"/>
      <c r="W634" s="2"/>
      <c r="X634" s="2"/>
      <c r="Y634" s="2"/>
      <c r="Z634" s="2"/>
    </row>
    <row r="635">
      <c r="A635" s="2"/>
      <c r="B635" s="2"/>
      <c r="C635" s="2"/>
      <c r="D635" s="2"/>
      <c r="E635" s="2"/>
      <c r="F635" s="7"/>
      <c r="G635" s="2"/>
      <c r="H635" s="7"/>
      <c r="I635" s="2"/>
      <c r="J635" s="2"/>
      <c r="K635" s="2"/>
      <c r="L635" s="2"/>
      <c r="M635" s="2"/>
      <c r="N635" s="2"/>
      <c r="O635" s="2"/>
      <c r="P635" s="2"/>
      <c r="Q635" s="2"/>
      <c r="R635" s="2"/>
      <c r="S635" s="2"/>
      <c r="T635" s="2"/>
      <c r="U635" s="2"/>
      <c r="V635" s="2"/>
      <c r="W635" s="2"/>
      <c r="X635" s="2"/>
      <c r="Y635" s="2"/>
      <c r="Z635" s="2"/>
    </row>
    <row r="636">
      <c r="A636" s="2"/>
      <c r="B636" s="2"/>
      <c r="C636" s="2"/>
      <c r="D636" s="2"/>
      <c r="E636" s="2"/>
      <c r="F636" s="7"/>
      <c r="G636" s="2"/>
      <c r="H636" s="7"/>
      <c r="I636" s="2"/>
      <c r="J636" s="2"/>
      <c r="K636" s="2"/>
      <c r="L636" s="2"/>
      <c r="M636" s="2"/>
      <c r="N636" s="2"/>
      <c r="O636" s="2"/>
      <c r="P636" s="2"/>
      <c r="Q636" s="2"/>
      <c r="R636" s="2"/>
      <c r="S636" s="2"/>
      <c r="T636" s="2"/>
      <c r="U636" s="2"/>
      <c r="V636" s="2"/>
      <c r="W636" s="2"/>
      <c r="X636" s="2"/>
      <c r="Y636" s="2"/>
      <c r="Z636" s="2"/>
    </row>
    <row r="637">
      <c r="A637" s="2"/>
      <c r="B637" s="2"/>
      <c r="C637" s="2"/>
      <c r="D637" s="2"/>
      <c r="E637" s="2"/>
      <c r="F637" s="7"/>
      <c r="G637" s="2"/>
      <c r="H637" s="7"/>
      <c r="I637" s="2"/>
      <c r="J637" s="2"/>
      <c r="K637" s="2"/>
      <c r="L637" s="2"/>
      <c r="M637" s="2"/>
      <c r="N637" s="2"/>
      <c r="O637" s="2"/>
      <c r="P637" s="2"/>
      <c r="Q637" s="2"/>
      <c r="R637" s="2"/>
      <c r="S637" s="2"/>
      <c r="T637" s="2"/>
      <c r="U637" s="2"/>
      <c r="V637" s="2"/>
      <c r="W637" s="2"/>
      <c r="X637" s="2"/>
      <c r="Y637" s="2"/>
      <c r="Z637" s="2"/>
    </row>
    <row r="638">
      <c r="A638" s="2"/>
      <c r="B638" s="2"/>
      <c r="C638" s="2"/>
      <c r="D638" s="2"/>
      <c r="E638" s="2"/>
      <c r="F638" s="7"/>
      <c r="G638" s="2"/>
      <c r="H638" s="7"/>
      <c r="I638" s="2"/>
      <c r="J638" s="2"/>
      <c r="K638" s="2"/>
      <c r="L638" s="2"/>
      <c r="M638" s="2"/>
      <c r="N638" s="2"/>
      <c r="O638" s="2"/>
      <c r="P638" s="2"/>
      <c r="Q638" s="2"/>
      <c r="R638" s="2"/>
      <c r="S638" s="2"/>
      <c r="T638" s="2"/>
      <c r="U638" s="2"/>
      <c r="V638" s="2"/>
      <c r="W638" s="2"/>
      <c r="X638" s="2"/>
      <c r="Y638" s="2"/>
      <c r="Z638" s="2"/>
    </row>
    <row r="639">
      <c r="A639" s="2"/>
      <c r="B639" s="2"/>
      <c r="C639" s="2"/>
      <c r="D639" s="2"/>
      <c r="E639" s="2"/>
      <c r="F639" s="7"/>
      <c r="G639" s="2"/>
      <c r="H639" s="7"/>
      <c r="I639" s="2"/>
      <c r="J639" s="2"/>
      <c r="K639" s="2"/>
      <c r="L639" s="2"/>
      <c r="M639" s="2"/>
      <c r="N639" s="2"/>
      <c r="O639" s="2"/>
      <c r="P639" s="2"/>
      <c r="Q639" s="2"/>
      <c r="R639" s="2"/>
      <c r="S639" s="2"/>
      <c r="T639" s="2"/>
      <c r="U639" s="2"/>
      <c r="V639" s="2"/>
      <c r="W639" s="2"/>
      <c r="X639" s="2"/>
      <c r="Y639" s="2"/>
      <c r="Z639" s="2"/>
    </row>
    <row r="640">
      <c r="A640" s="2"/>
      <c r="B640" s="2"/>
      <c r="C640" s="2"/>
      <c r="D640" s="2"/>
      <c r="E640" s="2"/>
      <c r="F640" s="7"/>
      <c r="G640" s="2"/>
      <c r="H640" s="7"/>
      <c r="I640" s="2"/>
      <c r="J640" s="2"/>
      <c r="K640" s="2"/>
      <c r="L640" s="2"/>
      <c r="M640" s="2"/>
      <c r="N640" s="2"/>
      <c r="O640" s="2"/>
      <c r="P640" s="2"/>
      <c r="Q640" s="2"/>
      <c r="R640" s="2"/>
      <c r="S640" s="2"/>
      <c r="T640" s="2"/>
      <c r="U640" s="2"/>
      <c r="V640" s="2"/>
      <c r="W640" s="2"/>
      <c r="X640" s="2"/>
      <c r="Y640" s="2"/>
      <c r="Z640" s="2"/>
    </row>
    <row r="641">
      <c r="A641" s="2"/>
      <c r="B641" s="2"/>
      <c r="C641" s="2"/>
      <c r="D641" s="2"/>
      <c r="E641" s="2"/>
      <c r="F641" s="7"/>
      <c r="G641" s="2"/>
      <c r="H641" s="7"/>
      <c r="I641" s="2"/>
      <c r="J641" s="2"/>
      <c r="K641" s="2"/>
      <c r="L641" s="2"/>
      <c r="M641" s="2"/>
      <c r="N641" s="2"/>
      <c r="O641" s="2"/>
      <c r="P641" s="2"/>
      <c r="Q641" s="2"/>
      <c r="R641" s="2"/>
      <c r="S641" s="2"/>
      <c r="T641" s="2"/>
      <c r="U641" s="2"/>
      <c r="V641" s="2"/>
      <c r="W641" s="2"/>
      <c r="X641" s="2"/>
      <c r="Y641" s="2"/>
      <c r="Z641" s="2"/>
    </row>
    <row r="642">
      <c r="A642" s="2"/>
      <c r="B642" s="2"/>
      <c r="C642" s="2"/>
      <c r="D642" s="2"/>
      <c r="E642" s="2"/>
      <c r="F642" s="7"/>
      <c r="G642" s="2"/>
      <c r="H642" s="7"/>
      <c r="I642" s="2"/>
      <c r="J642" s="2"/>
      <c r="K642" s="2"/>
      <c r="L642" s="2"/>
      <c r="M642" s="2"/>
      <c r="N642" s="2"/>
      <c r="O642" s="2"/>
      <c r="P642" s="2"/>
      <c r="Q642" s="2"/>
      <c r="R642" s="2"/>
      <c r="S642" s="2"/>
      <c r="T642" s="2"/>
      <c r="U642" s="2"/>
      <c r="V642" s="2"/>
      <c r="W642" s="2"/>
      <c r="X642" s="2"/>
      <c r="Y642" s="2"/>
      <c r="Z642" s="2"/>
    </row>
    <row r="643">
      <c r="A643" s="2"/>
      <c r="B643" s="2"/>
      <c r="C643" s="2"/>
      <c r="D643" s="2"/>
      <c r="E643" s="2"/>
      <c r="F643" s="7"/>
      <c r="G643" s="2"/>
      <c r="H643" s="7"/>
      <c r="I643" s="2"/>
      <c r="J643" s="2"/>
      <c r="K643" s="2"/>
      <c r="L643" s="2"/>
      <c r="M643" s="2"/>
      <c r="N643" s="2"/>
      <c r="O643" s="2"/>
      <c r="P643" s="2"/>
      <c r="Q643" s="2"/>
      <c r="R643" s="2"/>
      <c r="S643" s="2"/>
      <c r="T643" s="2"/>
      <c r="U643" s="2"/>
      <c r="V643" s="2"/>
      <c r="W643" s="2"/>
      <c r="X643" s="2"/>
      <c r="Y643" s="2"/>
      <c r="Z643" s="2"/>
    </row>
    <row r="644">
      <c r="A644" s="2"/>
      <c r="B644" s="2"/>
      <c r="C644" s="2"/>
      <c r="D644" s="2"/>
      <c r="E644" s="2"/>
      <c r="F644" s="7"/>
      <c r="G644" s="2"/>
      <c r="H644" s="7"/>
      <c r="I644" s="2"/>
      <c r="J644" s="2"/>
      <c r="K644" s="2"/>
      <c r="L644" s="2"/>
      <c r="M644" s="2"/>
      <c r="N644" s="2"/>
      <c r="O644" s="2"/>
      <c r="P644" s="2"/>
      <c r="Q644" s="2"/>
      <c r="R644" s="2"/>
      <c r="S644" s="2"/>
      <c r="T644" s="2"/>
      <c r="U644" s="2"/>
      <c r="V644" s="2"/>
      <c r="W644" s="2"/>
      <c r="X644" s="2"/>
      <c r="Y644" s="2"/>
      <c r="Z644" s="2"/>
    </row>
    <row r="645">
      <c r="A645" s="2"/>
      <c r="B645" s="2"/>
      <c r="C645" s="2"/>
      <c r="D645" s="2"/>
      <c r="E645" s="2"/>
      <c r="F645" s="7"/>
      <c r="G645" s="2"/>
      <c r="H645" s="7"/>
      <c r="I645" s="2"/>
      <c r="J645" s="2"/>
      <c r="K645" s="2"/>
      <c r="L645" s="2"/>
      <c r="M645" s="2"/>
      <c r="N645" s="2"/>
      <c r="O645" s="2"/>
      <c r="P645" s="2"/>
      <c r="Q645" s="2"/>
      <c r="R645" s="2"/>
      <c r="S645" s="2"/>
      <c r="T645" s="2"/>
      <c r="U645" s="2"/>
      <c r="V645" s="2"/>
      <c r="W645" s="2"/>
      <c r="X645" s="2"/>
      <c r="Y645" s="2"/>
      <c r="Z645" s="2"/>
    </row>
    <row r="646">
      <c r="A646" s="2"/>
      <c r="B646" s="2"/>
      <c r="C646" s="2"/>
      <c r="D646" s="2"/>
      <c r="E646" s="2"/>
      <c r="F646" s="7"/>
      <c r="G646" s="2"/>
      <c r="H646" s="7"/>
      <c r="I646" s="2"/>
      <c r="J646" s="2"/>
      <c r="K646" s="2"/>
      <c r="L646" s="2"/>
      <c r="M646" s="2"/>
      <c r="N646" s="2"/>
      <c r="O646" s="2"/>
      <c r="P646" s="2"/>
      <c r="Q646" s="2"/>
      <c r="R646" s="2"/>
      <c r="S646" s="2"/>
      <c r="T646" s="2"/>
      <c r="U646" s="2"/>
      <c r="V646" s="2"/>
      <c r="W646" s="2"/>
      <c r="X646" s="2"/>
      <c r="Y646" s="2"/>
      <c r="Z646" s="2"/>
    </row>
    <row r="647">
      <c r="A647" s="2"/>
      <c r="B647" s="2"/>
      <c r="C647" s="2"/>
      <c r="D647" s="2"/>
      <c r="E647" s="2"/>
      <c r="F647" s="7"/>
      <c r="G647" s="2"/>
      <c r="H647" s="7"/>
      <c r="I647" s="2"/>
      <c r="J647" s="2"/>
      <c r="K647" s="2"/>
      <c r="L647" s="2"/>
      <c r="M647" s="2"/>
      <c r="N647" s="2"/>
      <c r="O647" s="2"/>
      <c r="P647" s="2"/>
      <c r="Q647" s="2"/>
      <c r="R647" s="2"/>
      <c r="S647" s="2"/>
      <c r="T647" s="2"/>
      <c r="U647" s="2"/>
      <c r="V647" s="2"/>
      <c r="W647" s="2"/>
      <c r="X647" s="2"/>
      <c r="Y647" s="2"/>
      <c r="Z647" s="2"/>
    </row>
    <row r="648">
      <c r="A648" s="2"/>
      <c r="B648" s="2"/>
      <c r="C648" s="2"/>
      <c r="D648" s="2"/>
      <c r="E648" s="2"/>
      <c r="F648" s="7"/>
      <c r="G648" s="2"/>
      <c r="H648" s="7"/>
      <c r="I648" s="2"/>
      <c r="J648" s="2"/>
      <c r="K648" s="2"/>
      <c r="L648" s="2"/>
      <c r="M648" s="2"/>
      <c r="N648" s="2"/>
      <c r="O648" s="2"/>
      <c r="P648" s="2"/>
      <c r="Q648" s="2"/>
      <c r="R648" s="2"/>
      <c r="S648" s="2"/>
      <c r="T648" s="2"/>
      <c r="U648" s="2"/>
      <c r="V648" s="2"/>
      <c r="W648" s="2"/>
      <c r="X648" s="2"/>
      <c r="Y648" s="2"/>
      <c r="Z648" s="2"/>
    </row>
    <row r="649">
      <c r="A649" s="2"/>
      <c r="B649" s="2"/>
      <c r="C649" s="2"/>
      <c r="D649" s="2"/>
      <c r="E649" s="2"/>
      <c r="F649" s="7"/>
      <c r="G649" s="2"/>
      <c r="H649" s="7"/>
      <c r="I649" s="2"/>
      <c r="J649" s="2"/>
      <c r="K649" s="2"/>
      <c r="L649" s="2"/>
      <c r="M649" s="2"/>
      <c r="N649" s="2"/>
      <c r="O649" s="2"/>
      <c r="P649" s="2"/>
      <c r="Q649" s="2"/>
      <c r="R649" s="2"/>
      <c r="S649" s="2"/>
      <c r="T649" s="2"/>
      <c r="U649" s="2"/>
      <c r="V649" s="2"/>
      <c r="W649" s="2"/>
      <c r="X649" s="2"/>
      <c r="Y649" s="2"/>
      <c r="Z649" s="2"/>
    </row>
    <row r="650">
      <c r="A650" s="2"/>
      <c r="B650" s="2"/>
      <c r="C650" s="2"/>
      <c r="D650" s="2"/>
      <c r="E650" s="2"/>
      <c r="F650" s="7"/>
      <c r="G650" s="2"/>
      <c r="H650" s="7"/>
      <c r="I650" s="2"/>
      <c r="J650" s="2"/>
      <c r="K650" s="2"/>
      <c r="L650" s="2"/>
      <c r="M650" s="2"/>
      <c r="N650" s="2"/>
      <c r="O650" s="2"/>
      <c r="P650" s="2"/>
      <c r="Q650" s="2"/>
      <c r="R650" s="2"/>
      <c r="S650" s="2"/>
      <c r="T650" s="2"/>
      <c r="U650" s="2"/>
      <c r="V650" s="2"/>
      <c r="W650" s="2"/>
      <c r="X650" s="2"/>
      <c r="Y650" s="2"/>
      <c r="Z650" s="2"/>
    </row>
    <row r="651">
      <c r="A651" s="2"/>
      <c r="B651" s="2"/>
      <c r="C651" s="2"/>
      <c r="D651" s="2"/>
      <c r="E651" s="2"/>
      <c r="F651" s="7"/>
      <c r="G651" s="2"/>
      <c r="H651" s="7"/>
      <c r="I651" s="2"/>
      <c r="J651" s="2"/>
      <c r="K651" s="2"/>
      <c r="L651" s="2"/>
      <c r="M651" s="2"/>
      <c r="N651" s="2"/>
      <c r="O651" s="2"/>
      <c r="P651" s="2"/>
      <c r="Q651" s="2"/>
      <c r="R651" s="2"/>
      <c r="S651" s="2"/>
      <c r="T651" s="2"/>
      <c r="U651" s="2"/>
      <c r="V651" s="2"/>
      <c r="W651" s="2"/>
      <c r="X651" s="2"/>
      <c r="Y651" s="2"/>
      <c r="Z651" s="2"/>
    </row>
    <row r="652">
      <c r="A652" s="2"/>
      <c r="B652" s="2"/>
      <c r="C652" s="2"/>
      <c r="D652" s="2"/>
      <c r="E652" s="2"/>
      <c r="F652" s="7"/>
      <c r="G652" s="2"/>
      <c r="H652" s="7"/>
      <c r="I652" s="2"/>
      <c r="J652" s="2"/>
      <c r="K652" s="2"/>
      <c r="L652" s="2"/>
      <c r="M652" s="2"/>
      <c r="N652" s="2"/>
      <c r="O652" s="2"/>
      <c r="P652" s="2"/>
      <c r="Q652" s="2"/>
      <c r="R652" s="2"/>
      <c r="S652" s="2"/>
      <c r="T652" s="2"/>
      <c r="U652" s="2"/>
      <c r="V652" s="2"/>
      <c r="W652" s="2"/>
      <c r="X652" s="2"/>
      <c r="Y652" s="2"/>
      <c r="Z652" s="2"/>
    </row>
    <row r="653">
      <c r="A653" s="2"/>
      <c r="B653" s="2"/>
      <c r="C653" s="2"/>
      <c r="D653" s="2"/>
      <c r="E653" s="2"/>
      <c r="F653" s="7"/>
      <c r="G653" s="2"/>
      <c r="H653" s="7"/>
      <c r="I653" s="2"/>
      <c r="J653" s="2"/>
      <c r="K653" s="2"/>
      <c r="L653" s="2"/>
      <c r="M653" s="2"/>
      <c r="N653" s="2"/>
      <c r="O653" s="2"/>
      <c r="P653" s="2"/>
      <c r="Q653" s="2"/>
      <c r="R653" s="2"/>
      <c r="S653" s="2"/>
      <c r="T653" s="2"/>
      <c r="U653" s="2"/>
      <c r="V653" s="2"/>
      <c r="W653" s="2"/>
      <c r="X653" s="2"/>
      <c r="Y653" s="2"/>
      <c r="Z653" s="2"/>
    </row>
    <row r="654">
      <c r="A654" s="2"/>
      <c r="B654" s="2"/>
      <c r="C654" s="2"/>
      <c r="D654" s="2"/>
      <c r="E654" s="2"/>
      <c r="F654" s="7"/>
      <c r="G654" s="2"/>
      <c r="H654" s="7"/>
      <c r="I654" s="2"/>
      <c r="J654" s="2"/>
      <c r="K654" s="2"/>
      <c r="L654" s="2"/>
      <c r="M654" s="2"/>
      <c r="N654" s="2"/>
      <c r="O654" s="2"/>
      <c r="P654" s="2"/>
      <c r="Q654" s="2"/>
      <c r="R654" s="2"/>
      <c r="S654" s="2"/>
      <c r="T654" s="2"/>
      <c r="U654" s="2"/>
      <c r="V654" s="2"/>
      <c r="W654" s="2"/>
      <c r="X654" s="2"/>
      <c r="Y654" s="2"/>
      <c r="Z654" s="2"/>
    </row>
    <row r="655">
      <c r="A655" s="2"/>
      <c r="B655" s="2"/>
      <c r="C655" s="2"/>
      <c r="D655" s="2"/>
      <c r="E655" s="2"/>
      <c r="F655" s="7"/>
      <c r="G655" s="2"/>
      <c r="H655" s="7"/>
      <c r="I655" s="2"/>
      <c r="J655" s="2"/>
      <c r="K655" s="2"/>
      <c r="L655" s="2"/>
      <c r="M655" s="2"/>
      <c r="N655" s="2"/>
      <c r="O655" s="2"/>
      <c r="P655" s="2"/>
      <c r="Q655" s="2"/>
      <c r="R655" s="2"/>
      <c r="S655" s="2"/>
      <c r="T655" s="2"/>
      <c r="U655" s="2"/>
      <c r="V655" s="2"/>
      <c r="W655" s="2"/>
      <c r="X655" s="2"/>
      <c r="Y655" s="2"/>
      <c r="Z655" s="2"/>
    </row>
    <row r="656">
      <c r="A656" s="2"/>
      <c r="B656" s="2"/>
      <c r="C656" s="2"/>
      <c r="D656" s="2"/>
      <c r="E656" s="2"/>
      <c r="F656" s="7"/>
      <c r="G656" s="2"/>
      <c r="H656" s="7"/>
      <c r="I656" s="2"/>
      <c r="J656" s="2"/>
      <c r="K656" s="2"/>
      <c r="L656" s="2"/>
      <c r="M656" s="2"/>
      <c r="N656" s="2"/>
      <c r="O656" s="2"/>
      <c r="P656" s="2"/>
      <c r="Q656" s="2"/>
      <c r="R656" s="2"/>
      <c r="S656" s="2"/>
      <c r="T656" s="2"/>
      <c r="U656" s="2"/>
      <c r="V656" s="2"/>
      <c r="W656" s="2"/>
      <c r="X656" s="2"/>
      <c r="Y656" s="2"/>
      <c r="Z656" s="2"/>
    </row>
    <row r="657">
      <c r="A657" s="2"/>
      <c r="B657" s="2"/>
      <c r="C657" s="2"/>
      <c r="D657" s="2"/>
      <c r="E657" s="2"/>
      <c r="F657" s="7"/>
      <c r="G657" s="2"/>
      <c r="H657" s="7"/>
      <c r="I657" s="2"/>
      <c r="J657" s="2"/>
      <c r="K657" s="2"/>
      <c r="L657" s="2"/>
      <c r="M657" s="2"/>
      <c r="N657" s="2"/>
      <c r="O657" s="2"/>
      <c r="P657" s="2"/>
      <c r="Q657" s="2"/>
      <c r="R657" s="2"/>
      <c r="S657" s="2"/>
      <c r="T657" s="2"/>
      <c r="U657" s="2"/>
      <c r="V657" s="2"/>
      <c r="W657" s="2"/>
      <c r="X657" s="2"/>
      <c r="Y657" s="2"/>
      <c r="Z657" s="2"/>
    </row>
    <row r="658">
      <c r="A658" s="2"/>
      <c r="B658" s="2"/>
      <c r="C658" s="2"/>
      <c r="D658" s="2"/>
      <c r="E658" s="2"/>
      <c r="F658" s="7"/>
      <c r="G658" s="2"/>
      <c r="H658" s="7"/>
      <c r="I658" s="2"/>
      <c r="J658" s="2"/>
      <c r="K658" s="2"/>
      <c r="L658" s="2"/>
      <c r="M658" s="2"/>
      <c r="N658" s="2"/>
      <c r="O658" s="2"/>
      <c r="P658" s="2"/>
      <c r="Q658" s="2"/>
      <c r="R658" s="2"/>
      <c r="S658" s="2"/>
      <c r="T658" s="2"/>
      <c r="U658" s="2"/>
      <c r="V658" s="2"/>
      <c r="W658" s="2"/>
      <c r="X658" s="2"/>
      <c r="Y658" s="2"/>
      <c r="Z658" s="2"/>
    </row>
    <row r="659">
      <c r="A659" s="2"/>
      <c r="B659" s="2"/>
      <c r="C659" s="2"/>
      <c r="D659" s="2"/>
      <c r="E659" s="2"/>
      <c r="F659" s="7"/>
      <c r="G659" s="2"/>
      <c r="H659" s="7"/>
      <c r="I659" s="2"/>
      <c r="J659" s="2"/>
      <c r="K659" s="2"/>
      <c r="L659" s="2"/>
      <c r="M659" s="2"/>
      <c r="N659" s="2"/>
      <c r="O659" s="2"/>
      <c r="P659" s="2"/>
      <c r="Q659" s="2"/>
      <c r="R659" s="2"/>
      <c r="S659" s="2"/>
      <c r="T659" s="2"/>
      <c r="U659" s="2"/>
      <c r="V659" s="2"/>
      <c r="W659" s="2"/>
      <c r="X659" s="2"/>
      <c r="Y659" s="2"/>
      <c r="Z659" s="2"/>
    </row>
    <row r="660">
      <c r="A660" s="2"/>
      <c r="B660" s="2"/>
      <c r="C660" s="2"/>
      <c r="D660" s="2"/>
      <c r="E660" s="2"/>
      <c r="F660" s="7"/>
      <c r="G660" s="2"/>
      <c r="H660" s="7"/>
      <c r="I660" s="2"/>
      <c r="J660" s="2"/>
      <c r="K660" s="2"/>
      <c r="L660" s="2"/>
      <c r="M660" s="2"/>
      <c r="N660" s="2"/>
      <c r="O660" s="2"/>
      <c r="P660" s="2"/>
      <c r="Q660" s="2"/>
      <c r="R660" s="2"/>
      <c r="S660" s="2"/>
      <c r="T660" s="2"/>
      <c r="U660" s="2"/>
      <c r="V660" s="2"/>
      <c r="W660" s="2"/>
      <c r="X660" s="2"/>
      <c r="Y660" s="2"/>
      <c r="Z660" s="2"/>
    </row>
    <row r="661">
      <c r="A661" s="2"/>
      <c r="B661" s="2"/>
      <c r="C661" s="2"/>
      <c r="D661" s="2"/>
      <c r="E661" s="2"/>
      <c r="F661" s="7"/>
      <c r="G661" s="2"/>
      <c r="H661" s="7"/>
      <c r="I661" s="2"/>
      <c r="J661" s="2"/>
      <c r="K661" s="2"/>
      <c r="L661" s="2"/>
      <c r="M661" s="2"/>
      <c r="N661" s="2"/>
      <c r="O661" s="2"/>
      <c r="P661" s="2"/>
      <c r="Q661" s="2"/>
      <c r="R661" s="2"/>
      <c r="S661" s="2"/>
      <c r="T661" s="2"/>
      <c r="U661" s="2"/>
      <c r="V661" s="2"/>
      <c r="W661" s="2"/>
      <c r="X661" s="2"/>
      <c r="Y661" s="2"/>
      <c r="Z661" s="2"/>
    </row>
    <row r="662">
      <c r="A662" s="2"/>
      <c r="B662" s="2"/>
      <c r="C662" s="2"/>
      <c r="D662" s="2"/>
      <c r="E662" s="2"/>
      <c r="F662" s="7"/>
      <c r="G662" s="2"/>
      <c r="H662" s="7"/>
      <c r="I662" s="2"/>
      <c r="J662" s="2"/>
      <c r="K662" s="2"/>
      <c r="L662" s="2"/>
      <c r="M662" s="2"/>
      <c r="N662" s="2"/>
      <c r="O662" s="2"/>
      <c r="P662" s="2"/>
      <c r="Q662" s="2"/>
      <c r="R662" s="2"/>
      <c r="S662" s="2"/>
      <c r="T662" s="2"/>
      <c r="U662" s="2"/>
      <c r="V662" s="2"/>
      <c r="W662" s="2"/>
      <c r="X662" s="2"/>
      <c r="Y662" s="2"/>
      <c r="Z662" s="2"/>
    </row>
    <row r="663">
      <c r="A663" s="2"/>
      <c r="B663" s="2"/>
      <c r="C663" s="2"/>
      <c r="D663" s="2"/>
      <c r="E663" s="2"/>
      <c r="F663" s="7"/>
      <c r="G663" s="2"/>
      <c r="H663" s="7"/>
      <c r="I663" s="2"/>
      <c r="J663" s="2"/>
      <c r="K663" s="2"/>
      <c r="L663" s="2"/>
      <c r="M663" s="2"/>
      <c r="N663" s="2"/>
      <c r="O663" s="2"/>
      <c r="P663" s="2"/>
      <c r="Q663" s="2"/>
      <c r="R663" s="2"/>
      <c r="S663" s="2"/>
      <c r="T663" s="2"/>
      <c r="U663" s="2"/>
      <c r="V663" s="2"/>
      <c r="W663" s="2"/>
      <c r="X663" s="2"/>
      <c r="Y663" s="2"/>
      <c r="Z663" s="2"/>
    </row>
    <row r="664">
      <c r="A664" s="2"/>
      <c r="B664" s="2"/>
      <c r="C664" s="2"/>
      <c r="D664" s="2"/>
      <c r="E664" s="2"/>
      <c r="F664" s="7"/>
      <c r="G664" s="2"/>
      <c r="H664" s="7"/>
      <c r="I664" s="2"/>
      <c r="J664" s="2"/>
      <c r="K664" s="2"/>
      <c r="L664" s="2"/>
      <c r="M664" s="2"/>
      <c r="N664" s="2"/>
      <c r="O664" s="2"/>
      <c r="P664" s="2"/>
      <c r="Q664" s="2"/>
      <c r="R664" s="2"/>
      <c r="S664" s="2"/>
      <c r="T664" s="2"/>
      <c r="U664" s="2"/>
      <c r="V664" s="2"/>
      <c r="W664" s="2"/>
      <c r="X664" s="2"/>
      <c r="Y664" s="2"/>
      <c r="Z664" s="2"/>
    </row>
    <row r="665">
      <c r="A665" s="2"/>
      <c r="B665" s="2"/>
      <c r="C665" s="2"/>
      <c r="D665" s="2"/>
      <c r="E665" s="2"/>
      <c r="F665" s="7"/>
      <c r="G665" s="2"/>
      <c r="H665" s="7"/>
      <c r="I665" s="2"/>
      <c r="J665" s="2"/>
      <c r="K665" s="2"/>
      <c r="L665" s="2"/>
      <c r="M665" s="2"/>
      <c r="N665" s="2"/>
      <c r="O665" s="2"/>
      <c r="P665" s="2"/>
      <c r="Q665" s="2"/>
      <c r="R665" s="2"/>
      <c r="S665" s="2"/>
      <c r="T665" s="2"/>
      <c r="U665" s="2"/>
      <c r="V665" s="2"/>
      <c r="W665" s="2"/>
      <c r="X665" s="2"/>
      <c r="Y665" s="2"/>
      <c r="Z665" s="2"/>
    </row>
    <row r="666">
      <c r="A666" s="2"/>
      <c r="B666" s="2"/>
      <c r="C666" s="2"/>
      <c r="D666" s="2"/>
      <c r="E666" s="2"/>
      <c r="F666" s="7"/>
      <c r="G666" s="2"/>
      <c r="H666" s="7"/>
      <c r="I666" s="2"/>
      <c r="J666" s="2"/>
      <c r="K666" s="2"/>
      <c r="L666" s="2"/>
      <c r="M666" s="2"/>
      <c r="N666" s="2"/>
      <c r="O666" s="2"/>
      <c r="P666" s="2"/>
      <c r="Q666" s="2"/>
      <c r="R666" s="2"/>
      <c r="S666" s="2"/>
      <c r="T666" s="2"/>
      <c r="U666" s="2"/>
      <c r="V666" s="2"/>
      <c r="W666" s="2"/>
      <c r="X666" s="2"/>
      <c r="Y666" s="2"/>
      <c r="Z666" s="2"/>
    </row>
    <row r="667">
      <c r="A667" s="2"/>
      <c r="B667" s="2"/>
      <c r="C667" s="2"/>
      <c r="D667" s="2"/>
      <c r="E667" s="2"/>
      <c r="F667" s="7"/>
      <c r="G667" s="2"/>
      <c r="H667" s="7"/>
      <c r="I667" s="2"/>
      <c r="J667" s="2"/>
      <c r="K667" s="2"/>
      <c r="L667" s="2"/>
      <c r="M667" s="2"/>
      <c r="N667" s="2"/>
      <c r="O667" s="2"/>
      <c r="P667" s="2"/>
      <c r="Q667" s="2"/>
      <c r="R667" s="2"/>
      <c r="S667" s="2"/>
      <c r="T667" s="2"/>
      <c r="U667" s="2"/>
      <c r="V667" s="2"/>
      <c r="W667" s="2"/>
      <c r="X667" s="2"/>
      <c r="Y667" s="2"/>
      <c r="Z667" s="2"/>
    </row>
    <row r="668">
      <c r="A668" s="2"/>
      <c r="B668" s="2"/>
      <c r="C668" s="2"/>
      <c r="D668" s="2"/>
      <c r="E668" s="2"/>
      <c r="F668" s="7"/>
      <c r="G668" s="2"/>
      <c r="H668" s="7"/>
      <c r="I668" s="2"/>
      <c r="J668" s="2"/>
      <c r="K668" s="2"/>
      <c r="L668" s="2"/>
      <c r="M668" s="2"/>
      <c r="N668" s="2"/>
      <c r="O668" s="2"/>
      <c r="P668" s="2"/>
      <c r="Q668" s="2"/>
      <c r="R668" s="2"/>
      <c r="S668" s="2"/>
      <c r="T668" s="2"/>
      <c r="U668" s="2"/>
      <c r="V668" s="2"/>
      <c r="W668" s="2"/>
      <c r="X668" s="2"/>
      <c r="Y668" s="2"/>
      <c r="Z668" s="2"/>
    </row>
    <row r="669">
      <c r="A669" s="2"/>
      <c r="B669" s="2"/>
      <c r="C669" s="2"/>
      <c r="D669" s="2"/>
      <c r="E669" s="2"/>
      <c r="F669" s="7"/>
      <c r="G669" s="2"/>
      <c r="H669" s="7"/>
      <c r="I669" s="2"/>
      <c r="J669" s="2"/>
      <c r="K669" s="2"/>
      <c r="L669" s="2"/>
      <c r="M669" s="2"/>
      <c r="N669" s="2"/>
      <c r="O669" s="2"/>
      <c r="P669" s="2"/>
      <c r="Q669" s="2"/>
      <c r="R669" s="2"/>
      <c r="S669" s="2"/>
      <c r="T669" s="2"/>
      <c r="U669" s="2"/>
      <c r="V669" s="2"/>
      <c r="W669" s="2"/>
      <c r="X669" s="2"/>
      <c r="Y669" s="2"/>
      <c r="Z669" s="2"/>
    </row>
    <row r="670">
      <c r="A670" s="2"/>
      <c r="B670" s="2"/>
      <c r="C670" s="2"/>
      <c r="D670" s="2"/>
      <c r="E670" s="2"/>
      <c r="F670" s="7"/>
      <c r="G670" s="2"/>
      <c r="H670" s="7"/>
      <c r="I670" s="2"/>
      <c r="J670" s="2"/>
      <c r="K670" s="2"/>
      <c r="L670" s="2"/>
      <c r="M670" s="2"/>
      <c r="N670" s="2"/>
      <c r="O670" s="2"/>
      <c r="P670" s="2"/>
      <c r="Q670" s="2"/>
      <c r="R670" s="2"/>
      <c r="S670" s="2"/>
      <c r="T670" s="2"/>
      <c r="U670" s="2"/>
      <c r="V670" s="2"/>
      <c r="W670" s="2"/>
      <c r="X670" s="2"/>
      <c r="Y670" s="2"/>
      <c r="Z670" s="2"/>
    </row>
    <row r="671">
      <c r="A671" s="2"/>
      <c r="B671" s="2"/>
      <c r="C671" s="2"/>
      <c r="D671" s="2"/>
      <c r="E671" s="2"/>
      <c r="F671" s="7"/>
      <c r="G671" s="2"/>
      <c r="H671" s="7"/>
      <c r="I671" s="2"/>
      <c r="J671" s="2"/>
      <c r="K671" s="2"/>
      <c r="L671" s="2"/>
      <c r="M671" s="2"/>
      <c r="N671" s="2"/>
      <c r="O671" s="2"/>
      <c r="P671" s="2"/>
      <c r="Q671" s="2"/>
      <c r="R671" s="2"/>
      <c r="S671" s="2"/>
      <c r="T671" s="2"/>
      <c r="U671" s="2"/>
      <c r="V671" s="2"/>
      <c r="W671" s="2"/>
      <c r="X671" s="2"/>
      <c r="Y671" s="2"/>
      <c r="Z671" s="2"/>
    </row>
    <row r="672">
      <c r="A672" s="2"/>
      <c r="B672" s="2"/>
      <c r="C672" s="2"/>
      <c r="D672" s="2"/>
      <c r="E672" s="2"/>
      <c r="F672" s="7"/>
      <c r="G672" s="2"/>
      <c r="H672" s="7"/>
      <c r="I672" s="2"/>
      <c r="J672" s="2"/>
      <c r="K672" s="2"/>
      <c r="L672" s="2"/>
      <c r="M672" s="2"/>
      <c r="N672" s="2"/>
      <c r="O672" s="2"/>
      <c r="P672" s="2"/>
      <c r="Q672" s="2"/>
      <c r="R672" s="2"/>
      <c r="S672" s="2"/>
      <c r="T672" s="2"/>
      <c r="U672" s="2"/>
      <c r="V672" s="2"/>
      <c r="W672" s="2"/>
      <c r="X672" s="2"/>
      <c r="Y672" s="2"/>
      <c r="Z672" s="2"/>
    </row>
    <row r="673">
      <c r="A673" s="2"/>
      <c r="B673" s="2"/>
      <c r="C673" s="2"/>
      <c r="D673" s="2"/>
      <c r="E673" s="2"/>
      <c r="F673" s="7"/>
      <c r="G673" s="2"/>
      <c r="H673" s="7"/>
      <c r="I673" s="2"/>
      <c r="J673" s="2"/>
      <c r="K673" s="2"/>
      <c r="L673" s="2"/>
      <c r="M673" s="2"/>
      <c r="N673" s="2"/>
      <c r="O673" s="2"/>
      <c r="P673" s="2"/>
      <c r="Q673" s="2"/>
      <c r="R673" s="2"/>
      <c r="S673" s="2"/>
      <c r="T673" s="2"/>
      <c r="U673" s="2"/>
      <c r="V673" s="2"/>
      <c r="W673" s="2"/>
      <c r="X673" s="2"/>
      <c r="Y673" s="2"/>
      <c r="Z673" s="2"/>
    </row>
    <row r="674">
      <c r="A674" s="2"/>
      <c r="B674" s="2"/>
      <c r="C674" s="2"/>
      <c r="D674" s="2"/>
      <c r="E674" s="2"/>
      <c r="F674" s="7"/>
      <c r="G674" s="2"/>
      <c r="H674" s="7"/>
      <c r="I674" s="2"/>
      <c r="J674" s="2"/>
      <c r="K674" s="2"/>
      <c r="L674" s="2"/>
      <c r="M674" s="2"/>
      <c r="N674" s="2"/>
      <c r="O674" s="2"/>
      <c r="P674" s="2"/>
      <c r="Q674" s="2"/>
      <c r="R674" s="2"/>
      <c r="S674" s="2"/>
      <c r="T674" s="2"/>
      <c r="U674" s="2"/>
      <c r="V674" s="2"/>
      <c r="W674" s="2"/>
      <c r="X674" s="2"/>
      <c r="Y674" s="2"/>
      <c r="Z674" s="2"/>
    </row>
    <row r="675">
      <c r="A675" s="2"/>
      <c r="B675" s="2"/>
      <c r="C675" s="2"/>
      <c r="D675" s="2"/>
      <c r="E675" s="2"/>
      <c r="F675" s="7"/>
      <c r="G675" s="2"/>
      <c r="H675" s="7"/>
      <c r="I675" s="2"/>
      <c r="J675" s="2"/>
      <c r="K675" s="2"/>
      <c r="L675" s="2"/>
      <c r="M675" s="2"/>
      <c r="N675" s="2"/>
      <c r="O675" s="2"/>
      <c r="P675" s="2"/>
      <c r="Q675" s="2"/>
      <c r="R675" s="2"/>
      <c r="S675" s="2"/>
      <c r="T675" s="2"/>
      <c r="U675" s="2"/>
      <c r="V675" s="2"/>
      <c r="W675" s="2"/>
      <c r="X675" s="2"/>
      <c r="Y675" s="2"/>
      <c r="Z675" s="2"/>
    </row>
    <row r="676">
      <c r="A676" s="2"/>
      <c r="B676" s="2"/>
      <c r="C676" s="2"/>
      <c r="D676" s="2"/>
      <c r="E676" s="2"/>
      <c r="F676" s="7"/>
      <c r="G676" s="2"/>
      <c r="H676" s="7"/>
      <c r="I676" s="2"/>
      <c r="J676" s="2"/>
      <c r="K676" s="2"/>
      <c r="L676" s="2"/>
      <c r="M676" s="2"/>
      <c r="N676" s="2"/>
      <c r="O676" s="2"/>
      <c r="P676" s="2"/>
      <c r="Q676" s="2"/>
      <c r="R676" s="2"/>
      <c r="S676" s="2"/>
      <c r="T676" s="2"/>
      <c r="U676" s="2"/>
      <c r="V676" s="2"/>
      <c r="W676" s="2"/>
      <c r="X676" s="2"/>
      <c r="Y676" s="2"/>
      <c r="Z676" s="2"/>
    </row>
    <row r="677">
      <c r="A677" s="2"/>
      <c r="B677" s="2"/>
      <c r="C677" s="2"/>
      <c r="D677" s="2"/>
      <c r="E677" s="2"/>
      <c r="F677" s="7"/>
      <c r="G677" s="2"/>
      <c r="H677" s="7"/>
      <c r="I677" s="2"/>
      <c r="J677" s="2"/>
      <c r="K677" s="2"/>
      <c r="L677" s="2"/>
      <c r="M677" s="2"/>
      <c r="N677" s="2"/>
      <c r="O677" s="2"/>
      <c r="P677" s="2"/>
      <c r="Q677" s="2"/>
      <c r="R677" s="2"/>
      <c r="S677" s="2"/>
      <c r="T677" s="2"/>
      <c r="U677" s="2"/>
      <c r="V677" s="2"/>
      <c r="W677" s="2"/>
      <c r="X677" s="2"/>
      <c r="Y677" s="2"/>
      <c r="Z677" s="2"/>
    </row>
    <row r="678">
      <c r="A678" s="2"/>
      <c r="B678" s="2"/>
      <c r="C678" s="2"/>
      <c r="D678" s="2"/>
      <c r="E678" s="2"/>
      <c r="F678" s="7"/>
      <c r="G678" s="2"/>
      <c r="H678" s="7"/>
      <c r="I678" s="2"/>
      <c r="J678" s="2"/>
      <c r="K678" s="2"/>
      <c r="L678" s="2"/>
      <c r="M678" s="2"/>
      <c r="N678" s="2"/>
      <c r="O678" s="2"/>
      <c r="P678" s="2"/>
      <c r="Q678" s="2"/>
      <c r="R678" s="2"/>
      <c r="S678" s="2"/>
      <c r="T678" s="2"/>
      <c r="U678" s="2"/>
      <c r="V678" s="2"/>
      <c r="W678" s="2"/>
      <c r="X678" s="2"/>
      <c r="Y678" s="2"/>
      <c r="Z678" s="2"/>
    </row>
    <row r="679">
      <c r="A679" s="2"/>
      <c r="B679" s="2"/>
      <c r="C679" s="2"/>
      <c r="D679" s="2"/>
      <c r="E679" s="2"/>
      <c r="F679" s="7"/>
      <c r="G679" s="2"/>
      <c r="H679" s="7"/>
      <c r="I679" s="2"/>
      <c r="J679" s="2"/>
      <c r="K679" s="2"/>
      <c r="L679" s="2"/>
      <c r="M679" s="2"/>
      <c r="N679" s="2"/>
      <c r="O679" s="2"/>
      <c r="P679" s="2"/>
      <c r="Q679" s="2"/>
      <c r="R679" s="2"/>
      <c r="S679" s="2"/>
      <c r="T679" s="2"/>
      <c r="U679" s="2"/>
      <c r="V679" s="2"/>
      <c r="W679" s="2"/>
      <c r="X679" s="2"/>
      <c r="Y679" s="2"/>
      <c r="Z679" s="2"/>
    </row>
    <row r="680">
      <c r="A680" s="2"/>
      <c r="B680" s="2"/>
      <c r="C680" s="2"/>
      <c r="D680" s="2"/>
      <c r="E680" s="2"/>
      <c r="F680" s="7"/>
      <c r="G680" s="2"/>
      <c r="H680" s="7"/>
      <c r="I680" s="2"/>
      <c r="J680" s="2"/>
      <c r="K680" s="2"/>
      <c r="L680" s="2"/>
      <c r="M680" s="2"/>
      <c r="N680" s="2"/>
      <c r="O680" s="2"/>
      <c r="P680" s="2"/>
      <c r="Q680" s="2"/>
      <c r="R680" s="2"/>
      <c r="S680" s="2"/>
      <c r="T680" s="2"/>
      <c r="U680" s="2"/>
      <c r="V680" s="2"/>
      <c r="W680" s="2"/>
      <c r="X680" s="2"/>
      <c r="Y680" s="2"/>
      <c r="Z680" s="2"/>
    </row>
    <row r="681">
      <c r="A681" s="2"/>
      <c r="B681" s="2"/>
      <c r="C681" s="2"/>
      <c r="D681" s="2"/>
      <c r="E681" s="2"/>
      <c r="F681" s="7"/>
      <c r="G681" s="2"/>
      <c r="H681" s="7"/>
      <c r="I681" s="2"/>
      <c r="J681" s="2"/>
      <c r="K681" s="2"/>
      <c r="L681" s="2"/>
      <c r="M681" s="2"/>
      <c r="N681" s="2"/>
      <c r="O681" s="2"/>
      <c r="P681" s="2"/>
      <c r="Q681" s="2"/>
      <c r="R681" s="2"/>
      <c r="S681" s="2"/>
      <c r="T681" s="2"/>
      <c r="U681" s="2"/>
      <c r="V681" s="2"/>
      <c r="W681" s="2"/>
      <c r="X681" s="2"/>
      <c r="Y681" s="2"/>
      <c r="Z681" s="2"/>
    </row>
    <row r="682">
      <c r="A682" s="2"/>
      <c r="B682" s="2"/>
      <c r="C682" s="2"/>
      <c r="D682" s="2"/>
      <c r="E682" s="2"/>
      <c r="F682" s="7"/>
      <c r="G682" s="2"/>
      <c r="H682" s="7"/>
      <c r="I682" s="2"/>
      <c r="J682" s="2"/>
      <c r="K682" s="2"/>
      <c r="L682" s="2"/>
      <c r="M682" s="2"/>
      <c r="N682" s="2"/>
      <c r="O682" s="2"/>
      <c r="P682" s="2"/>
      <c r="Q682" s="2"/>
      <c r="R682" s="2"/>
      <c r="S682" s="2"/>
      <c r="T682" s="2"/>
      <c r="U682" s="2"/>
      <c r="V682" s="2"/>
      <c r="W682" s="2"/>
      <c r="X682" s="2"/>
      <c r="Y682" s="2"/>
      <c r="Z682" s="2"/>
    </row>
    <row r="683">
      <c r="A683" s="2"/>
      <c r="B683" s="2"/>
      <c r="C683" s="2"/>
      <c r="D683" s="2"/>
      <c r="E683" s="2"/>
      <c r="F683" s="7"/>
      <c r="G683" s="2"/>
      <c r="H683" s="7"/>
      <c r="I683" s="2"/>
      <c r="J683" s="2"/>
      <c r="K683" s="2"/>
      <c r="L683" s="2"/>
      <c r="M683" s="2"/>
      <c r="N683" s="2"/>
      <c r="O683" s="2"/>
      <c r="P683" s="2"/>
      <c r="Q683" s="2"/>
      <c r="R683" s="2"/>
      <c r="S683" s="2"/>
      <c r="T683" s="2"/>
      <c r="U683" s="2"/>
      <c r="V683" s="2"/>
      <c r="W683" s="2"/>
      <c r="X683" s="2"/>
      <c r="Y683" s="2"/>
      <c r="Z683" s="2"/>
    </row>
    <row r="684">
      <c r="A684" s="2"/>
      <c r="B684" s="2"/>
      <c r="C684" s="2"/>
      <c r="D684" s="2"/>
      <c r="E684" s="2"/>
      <c r="F684" s="7"/>
      <c r="G684" s="2"/>
      <c r="H684" s="7"/>
      <c r="I684" s="2"/>
      <c r="J684" s="2"/>
      <c r="K684" s="2"/>
      <c r="L684" s="2"/>
      <c r="M684" s="2"/>
      <c r="N684" s="2"/>
      <c r="O684" s="2"/>
      <c r="P684" s="2"/>
      <c r="Q684" s="2"/>
      <c r="R684" s="2"/>
      <c r="S684" s="2"/>
      <c r="T684" s="2"/>
      <c r="U684" s="2"/>
      <c r="V684" s="2"/>
      <c r="W684" s="2"/>
      <c r="X684" s="2"/>
      <c r="Y684" s="2"/>
      <c r="Z684" s="2"/>
    </row>
    <row r="685">
      <c r="A685" s="2"/>
      <c r="B685" s="2"/>
      <c r="C685" s="2"/>
      <c r="D685" s="2"/>
      <c r="E685" s="2"/>
      <c r="F685" s="7"/>
      <c r="G685" s="2"/>
      <c r="H685" s="7"/>
      <c r="I685" s="2"/>
      <c r="J685" s="2"/>
      <c r="K685" s="2"/>
      <c r="L685" s="2"/>
      <c r="M685" s="2"/>
      <c r="N685" s="2"/>
      <c r="O685" s="2"/>
      <c r="P685" s="2"/>
      <c r="Q685" s="2"/>
      <c r="R685" s="2"/>
      <c r="S685" s="2"/>
      <c r="T685" s="2"/>
      <c r="U685" s="2"/>
      <c r="V685" s="2"/>
      <c r="W685" s="2"/>
      <c r="X685" s="2"/>
      <c r="Y685" s="2"/>
      <c r="Z685" s="2"/>
    </row>
    <row r="686">
      <c r="A686" s="2"/>
      <c r="B686" s="2"/>
      <c r="C686" s="2"/>
      <c r="D686" s="2"/>
      <c r="E686" s="2"/>
      <c r="F686" s="7"/>
      <c r="G686" s="2"/>
      <c r="H686" s="7"/>
      <c r="I686" s="2"/>
      <c r="J686" s="2"/>
      <c r="K686" s="2"/>
      <c r="L686" s="2"/>
      <c r="M686" s="2"/>
      <c r="N686" s="2"/>
      <c r="O686" s="2"/>
      <c r="P686" s="2"/>
      <c r="Q686" s="2"/>
      <c r="R686" s="2"/>
      <c r="S686" s="2"/>
      <c r="T686" s="2"/>
      <c r="U686" s="2"/>
      <c r="V686" s="2"/>
      <c r="W686" s="2"/>
      <c r="X686" s="2"/>
      <c r="Y686" s="2"/>
      <c r="Z686" s="2"/>
    </row>
    <row r="687">
      <c r="A687" s="2"/>
      <c r="B687" s="2"/>
      <c r="C687" s="2"/>
      <c r="D687" s="2"/>
      <c r="E687" s="2"/>
      <c r="F687" s="7"/>
      <c r="G687" s="2"/>
      <c r="H687" s="7"/>
      <c r="I687" s="2"/>
      <c r="J687" s="2"/>
      <c r="K687" s="2"/>
      <c r="L687" s="2"/>
      <c r="M687" s="2"/>
      <c r="N687" s="2"/>
      <c r="O687" s="2"/>
      <c r="P687" s="2"/>
      <c r="Q687" s="2"/>
      <c r="R687" s="2"/>
      <c r="S687" s="2"/>
      <c r="T687" s="2"/>
      <c r="U687" s="2"/>
      <c r="V687" s="2"/>
      <c r="W687" s="2"/>
      <c r="X687" s="2"/>
      <c r="Y687" s="2"/>
      <c r="Z687" s="2"/>
    </row>
    <row r="688">
      <c r="A688" s="2"/>
      <c r="B688" s="2"/>
      <c r="C688" s="2"/>
      <c r="D688" s="2"/>
      <c r="E688" s="2"/>
      <c r="F688" s="7"/>
      <c r="G688" s="2"/>
      <c r="H688" s="7"/>
      <c r="I688" s="2"/>
      <c r="J688" s="2"/>
      <c r="K688" s="2"/>
      <c r="L688" s="2"/>
      <c r="M688" s="2"/>
      <c r="N688" s="2"/>
      <c r="O688" s="2"/>
      <c r="P688" s="2"/>
      <c r="Q688" s="2"/>
      <c r="R688" s="2"/>
      <c r="S688" s="2"/>
      <c r="T688" s="2"/>
      <c r="U688" s="2"/>
      <c r="V688" s="2"/>
      <c r="W688" s="2"/>
      <c r="X688" s="2"/>
      <c r="Y688" s="2"/>
      <c r="Z688" s="2"/>
    </row>
    <row r="689">
      <c r="A689" s="2"/>
      <c r="B689" s="2"/>
      <c r="C689" s="2"/>
      <c r="D689" s="2"/>
      <c r="E689" s="2"/>
      <c r="F689" s="7"/>
      <c r="G689" s="2"/>
      <c r="H689" s="7"/>
      <c r="I689" s="2"/>
      <c r="J689" s="2"/>
      <c r="K689" s="2"/>
      <c r="L689" s="2"/>
      <c r="M689" s="2"/>
      <c r="N689" s="2"/>
      <c r="O689" s="2"/>
      <c r="P689" s="2"/>
      <c r="Q689" s="2"/>
      <c r="R689" s="2"/>
      <c r="S689" s="2"/>
      <c r="T689" s="2"/>
      <c r="U689" s="2"/>
      <c r="V689" s="2"/>
      <c r="W689" s="2"/>
      <c r="X689" s="2"/>
      <c r="Y689" s="2"/>
      <c r="Z689" s="2"/>
    </row>
    <row r="690">
      <c r="A690" s="2"/>
      <c r="B690" s="2"/>
      <c r="C690" s="2"/>
      <c r="D690" s="2"/>
      <c r="E690" s="2"/>
      <c r="F690" s="7"/>
      <c r="G690" s="2"/>
      <c r="H690" s="7"/>
      <c r="I690" s="2"/>
      <c r="J690" s="2"/>
      <c r="K690" s="2"/>
      <c r="L690" s="2"/>
      <c r="M690" s="2"/>
      <c r="N690" s="2"/>
      <c r="O690" s="2"/>
      <c r="P690" s="2"/>
      <c r="Q690" s="2"/>
      <c r="R690" s="2"/>
      <c r="S690" s="2"/>
      <c r="T690" s="2"/>
      <c r="U690" s="2"/>
      <c r="V690" s="2"/>
      <c r="W690" s="2"/>
      <c r="X690" s="2"/>
      <c r="Y690" s="2"/>
      <c r="Z690" s="2"/>
    </row>
    <row r="691">
      <c r="A691" s="2"/>
      <c r="B691" s="2"/>
      <c r="C691" s="2"/>
      <c r="D691" s="2"/>
      <c r="E691" s="2"/>
      <c r="F691" s="7"/>
      <c r="G691" s="2"/>
      <c r="H691" s="7"/>
      <c r="I691" s="2"/>
      <c r="J691" s="2"/>
      <c r="K691" s="2"/>
      <c r="L691" s="2"/>
      <c r="M691" s="2"/>
      <c r="N691" s="2"/>
      <c r="O691" s="2"/>
      <c r="P691" s="2"/>
      <c r="Q691" s="2"/>
      <c r="R691" s="2"/>
      <c r="S691" s="2"/>
      <c r="T691" s="2"/>
      <c r="U691" s="2"/>
      <c r="V691" s="2"/>
      <c r="W691" s="2"/>
      <c r="X691" s="2"/>
      <c r="Y691" s="2"/>
      <c r="Z691" s="2"/>
    </row>
    <row r="692">
      <c r="A692" s="2"/>
      <c r="B692" s="2"/>
      <c r="C692" s="2"/>
      <c r="D692" s="2"/>
      <c r="E692" s="2"/>
      <c r="F692" s="7"/>
      <c r="G692" s="2"/>
      <c r="H692" s="7"/>
      <c r="I692" s="2"/>
      <c r="J692" s="2"/>
      <c r="K692" s="2"/>
      <c r="L692" s="2"/>
      <c r="M692" s="2"/>
      <c r="N692" s="2"/>
      <c r="O692" s="2"/>
      <c r="P692" s="2"/>
      <c r="Q692" s="2"/>
      <c r="R692" s="2"/>
      <c r="S692" s="2"/>
      <c r="T692" s="2"/>
      <c r="U692" s="2"/>
      <c r="V692" s="2"/>
      <c r="W692" s="2"/>
      <c r="X692" s="2"/>
      <c r="Y692" s="2"/>
      <c r="Z692" s="2"/>
    </row>
    <row r="693">
      <c r="A693" s="2"/>
      <c r="B693" s="2"/>
      <c r="C693" s="2"/>
      <c r="D693" s="2"/>
      <c r="E693" s="2"/>
      <c r="F693" s="7"/>
      <c r="G693" s="2"/>
      <c r="H693" s="7"/>
      <c r="I693" s="2"/>
      <c r="J693" s="2"/>
      <c r="K693" s="2"/>
      <c r="L693" s="2"/>
      <c r="M693" s="2"/>
      <c r="N693" s="2"/>
      <c r="O693" s="2"/>
      <c r="P693" s="2"/>
      <c r="Q693" s="2"/>
      <c r="R693" s="2"/>
      <c r="S693" s="2"/>
      <c r="T693" s="2"/>
      <c r="U693" s="2"/>
      <c r="V693" s="2"/>
      <c r="W693" s="2"/>
      <c r="X693" s="2"/>
      <c r="Y693" s="2"/>
      <c r="Z693" s="2"/>
    </row>
    <row r="694">
      <c r="A694" s="2"/>
      <c r="B694" s="2"/>
      <c r="C694" s="2"/>
      <c r="D694" s="2"/>
      <c r="E694" s="2"/>
      <c r="F694" s="7"/>
      <c r="G694" s="2"/>
      <c r="H694" s="7"/>
      <c r="I694" s="2"/>
      <c r="J694" s="2"/>
      <c r="K694" s="2"/>
      <c r="L694" s="2"/>
      <c r="M694" s="2"/>
      <c r="N694" s="2"/>
      <c r="O694" s="2"/>
      <c r="P694" s="2"/>
      <c r="Q694" s="2"/>
      <c r="R694" s="2"/>
      <c r="S694" s="2"/>
      <c r="T694" s="2"/>
      <c r="U694" s="2"/>
      <c r="V694" s="2"/>
      <c r="W694" s="2"/>
      <c r="X694" s="2"/>
      <c r="Y694" s="2"/>
      <c r="Z694" s="2"/>
    </row>
    <row r="695">
      <c r="A695" s="2"/>
      <c r="B695" s="2"/>
      <c r="C695" s="2"/>
      <c r="D695" s="2"/>
      <c r="E695" s="2"/>
      <c r="F695" s="7"/>
      <c r="G695" s="2"/>
      <c r="H695" s="7"/>
      <c r="I695" s="2"/>
      <c r="J695" s="2"/>
      <c r="K695" s="2"/>
      <c r="L695" s="2"/>
      <c r="M695" s="2"/>
      <c r="N695" s="2"/>
      <c r="O695" s="2"/>
      <c r="P695" s="2"/>
      <c r="Q695" s="2"/>
      <c r="R695" s="2"/>
      <c r="S695" s="2"/>
      <c r="T695" s="2"/>
      <c r="U695" s="2"/>
      <c r="V695" s="2"/>
      <c r="W695" s="2"/>
      <c r="X695" s="2"/>
      <c r="Y695" s="2"/>
      <c r="Z695" s="2"/>
    </row>
    <row r="696">
      <c r="A696" s="2"/>
      <c r="B696" s="2"/>
      <c r="C696" s="2"/>
      <c r="D696" s="2"/>
      <c r="E696" s="2"/>
      <c r="F696" s="7"/>
      <c r="G696" s="2"/>
      <c r="H696" s="7"/>
      <c r="I696" s="2"/>
      <c r="J696" s="2"/>
      <c r="K696" s="2"/>
      <c r="L696" s="2"/>
      <c r="M696" s="2"/>
      <c r="N696" s="2"/>
      <c r="O696" s="2"/>
      <c r="P696" s="2"/>
      <c r="Q696" s="2"/>
      <c r="R696" s="2"/>
      <c r="S696" s="2"/>
      <c r="T696" s="2"/>
      <c r="U696" s="2"/>
      <c r="V696" s="2"/>
      <c r="W696" s="2"/>
      <c r="X696" s="2"/>
      <c r="Y696" s="2"/>
      <c r="Z696" s="2"/>
    </row>
    <row r="697">
      <c r="A697" s="2"/>
      <c r="B697" s="2"/>
      <c r="C697" s="2"/>
      <c r="D697" s="2"/>
      <c r="E697" s="2"/>
      <c r="F697" s="7"/>
      <c r="G697" s="2"/>
      <c r="H697" s="7"/>
      <c r="I697" s="2"/>
      <c r="J697" s="2"/>
      <c r="K697" s="2"/>
      <c r="L697" s="2"/>
      <c r="M697" s="2"/>
      <c r="N697" s="2"/>
      <c r="O697" s="2"/>
      <c r="P697" s="2"/>
      <c r="Q697" s="2"/>
      <c r="R697" s="2"/>
      <c r="S697" s="2"/>
      <c r="T697" s="2"/>
      <c r="U697" s="2"/>
      <c r="V697" s="2"/>
      <c r="W697" s="2"/>
      <c r="X697" s="2"/>
      <c r="Y697" s="2"/>
      <c r="Z697" s="2"/>
    </row>
    <row r="698">
      <c r="A698" s="2"/>
      <c r="B698" s="2"/>
      <c r="C698" s="2"/>
      <c r="D698" s="2"/>
      <c r="E698" s="2"/>
      <c r="F698" s="7"/>
      <c r="G698" s="2"/>
      <c r="H698" s="7"/>
      <c r="I698" s="2"/>
      <c r="J698" s="2"/>
      <c r="K698" s="2"/>
      <c r="L698" s="2"/>
      <c r="M698" s="2"/>
      <c r="N698" s="2"/>
      <c r="O698" s="2"/>
      <c r="P698" s="2"/>
      <c r="Q698" s="2"/>
      <c r="R698" s="2"/>
      <c r="S698" s="2"/>
      <c r="T698" s="2"/>
      <c r="U698" s="2"/>
      <c r="V698" s="2"/>
      <c r="W698" s="2"/>
      <c r="X698" s="2"/>
      <c r="Y698" s="2"/>
      <c r="Z698" s="2"/>
    </row>
    <row r="699">
      <c r="A699" s="2"/>
      <c r="B699" s="2"/>
      <c r="C699" s="2"/>
      <c r="D699" s="2"/>
      <c r="E699" s="2"/>
      <c r="F699" s="7"/>
      <c r="G699" s="2"/>
      <c r="H699" s="7"/>
      <c r="I699" s="2"/>
      <c r="J699" s="2"/>
      <c r="K699" s="2"/>
      <c r="L699" s="2"/>
      <c r="M699" s="2"/>
      <c r="N699" s="2"/>
      <c r="O699" s="2"/>
      <c r="P699" s="2"/>
      <c r="Q699" s="2"/>
      <c r="R699" s="2"/>
      <c r="S699" s="2"/>
      <c r="T699" s="2"/>
      <c r="U699" s="2"/>
      <c r="V699" s="2"/>
      <c r="W699" s="2"/>
      <c r="X699" s="2"/>
      <c r="Y699" s="2"/>
      <c r="Z699" s="2"/>
    </row>
    <row r="700">
      <c r="A700" s="2"/>
      <c r="B700" s="2"/>
      <c r="C700" s="2"/>
      <c r="D700" s="2"/>
      <c r="E700" s="2"/>
      <c r="F700" s="7"/>
      <c r="G700" s="2"/>
      <c r="H700" s="7"/>
      <c r="I700" s="2"/>
      <c r="J700" s="2"/>
      <c r="K700" s="2"/>
      <c r="L700" s="2"/>
      <c r="M700" s="2"/>
      <c r="N700" s="2"/>
      <c r="O700" s="2"/>
      <c r="P700" s="2"/>
      <c r="Q700" s="2"/>
      <c r="R700" s="2"/>
      <c r="S700" s="2"/>
      <c r="T700" s="2"/>
      <c r="U700" s="2"/>
      <c r="V700" s="2"/>
      <c r="W700" s="2"/>
      <c r="X700" s="2"/>
      <c r="Y700" s="2"/>
      <c r="Z700" s="2"/>
    </row>
    <row r="701">
      <c r="A701" s="2"/>
      <c r="B701" s="2"/>
      <c r="C701" s="2"/>
      <c r="D701" s="2"/>
      <c r="E701" s="2"/>
      <c r="F701" s="7"/>
      <c r="G701" s="2"/>
      <c r="H701" s="7"/>
      <c r="I701" s="2"/>
      <c r="J701" s="2"/>
      <c r="K701" s="2"/>
      <c r="L701" s="2"/>
      <c r="M701" s="2"/>
      <c r="N701" s="2"/>
      <c r="O701" s="2"/>
      <c r="P701" s="2"/>
      <c r="Q701" s="2"/>
      <c r="R701" s="2"/>
      <c r="S701" s="2"/>
      <c r="T701" s="2"/>
      <c r="U701" s="2"/>
      <c r="V701" s="2"/>
      <c r="W701" s="2"/>
      <c r="X701" s="2"/>
      <c r="Y701" s="2"/>
      <c r="Z701" s="2"/>
    </row>
    <row r="702">
      <c r="A702" s="2"/>
      <c r="B702" s="2"/>
      <c r="C702" s="2"/>
      <c r="D702" s="2"/>
      <c r="E702" s="2"/>
      <c r="F702" s="7"/>
      <c r="G702" s="2"/>
      <c r="H702" s="7"/>
      <c r="I702" s="2"/>
      <c r="J702" s="2"/>
      <c r="K702" s="2"/>
      <c r="L702" s="2"/>
      <c r="M702" s="2"/>
      <c r="N702" s="2"/>
      <c r="O702" s="2"/>
      <c r="P702" s="2"/>
      <c r="Q702" s="2"/>
      <c r="R702" s="2"/>
      <c r="S702" s="2"/>
      <c r="T702" s="2"/>
      <c r="U702" s="2"/>
      <c r="V702" s="2"/>
      <c r="W702" s="2"/>
      <c r="X702" s="2"/>
      <c r="Y702" s="2"/>
      <c r="Z702" s="2"/>
    </row>
    <row r="703">
      <c r="A703" s="2"/>
      <c r="B703" s="2"/>
      <c r="C703" s="2"/>
      <c r="D703" s="2"/>
      <c r="E703" s="2"/>
      <c r="F703" s="7"/>
      <c r="G703" s="2"/>
      <c r="H703" s="7"/>
      <c r="I703" s="2"/>
      <c r="J703" s="2"/>
      <c r="K703" s="2"/>
      <c r="L703" s="2"/>
      <c r="M703" s="2"/>
      <c r="N703" s="2"/>
      <c r="O703" s="2"/>
      <c r="P703" s="2"/>
      <c r="Q703" s="2"/>
      <c r="R703" s="2"/>
      <c r="S703" s="2"/>
      <c r="T703" s="2"/>
      <c r="U703" s="2"/>
      <c r="V703" s="2"/>
      <c r="W703" s="2"/>
      <c r="X703" s="2"/>
      <c r="Y703" s="2"/>
      <c r="Z703" s="2"/>
    </row>
    <row r="704">
      <c r="A704" s="2"/>
      <c r="B704" s="2"/>
      <c r="C704" s="2"/>
      <c r="D704" s="2"/>
      <c r="E704" s="2"/>
      <c r="F704" s="7"/>
      <c r="G704" s="2"/>
      <c r="H704" s="7"/>
      <c r="I704" s="2"/>
      <c r="J704" s="2"/>
      <c r="K704" s="2"/>
      <c r="L704" s="2"/>
      <c r="M704" s="2"/>
      <c r="N704" s="2"/>
      <c r="O704" s="2"/>
      <c r="P704" s="2"/>
      <c r="Q704" s="2"/>
      <c r="R704" s="2"/>
      <c r="S704" s="2"/>
      <c r="T704" s="2"/>
      <c r="U704" s="2"/>
      <c r="V704" s="2"/>
      <c r="W704" s="2"/>
      <c r="X704" s="2"/>
      <c r="Y704" s="2"/>
      <c r="Z704" s="2"/>
    </row>
    <row r="705">
      <c r="A705" s="2"/>
      <c r="B705" s="2"/>
      <c r="C705" s="2"/>
      <c r="D705" s="2"/>
      <c r="E705" s="2"/>
      <c r="F705" s="7"/>
      <c r="G705" s="2"/>
      <c r="H705" s="7"/>
      <c r="I705" s="2"/>
      <c r="J705" s="2"/>
      <c r="K705" s="2"/>
      <c r="L705" s="2"/>
      <c r="M705" s="2"/>
      <c r="N705" s="2"/>
      <c r="O705" s="2"/>
      <c r="P705" s="2"/>
      <c r="Q705" s="2"/>
      <c r="R705" s="2"/>
      <c r="S705" s="2"/>
      <c r="T705" s="2"/>
      <c r="U705" s="2"/>
      <c r="V705" s="2"/>
      <c r="W705" s="2"/>
      <c r="X705" s="2"/>
      <c r="Y705" s="2"/>
      <c r="Z705" s="2"/>
    </row>
    <row r="706">
      <c r="A706" s="2"/>
      <c r="B706" s="2"/>
      <c r="C706" s="2"/>
      <c r="D706" s="2"/>
      <c r="E706" s="2"/>
      <c r="F706" s="7"/>
      <c r="G706" s="2"/>
      <c r="H706" s="7"/>
      <c r="I706" s="2"/>
      <c r="J706" s="2"/>
      <c r="K706" s="2"/>
      <c r="L706" s="2"/>
      <c r="M706" s="2"/>
      <c r="N706" s="2"/>
      <c r="O706" s="2"/>
      <c r="P706" s="2"/>
      <c r="Q706" s="2"/>
      <c r="R706" s="2"/>
      <c r="S706" s="2"/>
      <c r="T706" s="2"/>
      <c r="U706" s="2"/>
      <c r="V706" s="2"/>
      <c r="W706" s="2"/>
      <c r="X706" s="2"/>
      <c r="Y706" s="2"/>
      <c r="Z706" s="2"/>
    </row>
    <row r="707">
      <c r="A707" s="2"/>
      <c r="B707" s="2"/>
      <c r="C707" s="2"/>
      <c r="D707" s="2"/>
      <c r="E707" s="2"/>
      <c r="F707" s="7"/>
      <c r="G707" s="2"/>
      <c r="H707" s="7"/>
      <c r="I707" s="2"/>
      <c r="J707" s="2"/>
      <c r="K707" s="2"/>
      <c r="L707" s="2"/>
      <c r="M707" s="2"/>
      <c r="N707" s="2"/>
      <c r="O707" s="2"/>
      <c r="P707" s="2"/>
      <c r="Q707" s="2"/>
      <c r="R707" s="2"/>
      <c r="S707" s="2"/>
      <c r="T707" s="2"/>
      <c r="U707" s="2"/>
      <c r="V707" s="2"/>
      <c r="W707" s="2"/>
      <c r="X707" s="2"/>
      <c r="Y707" s="2"/>
      <c r="Z707" s="2"/>
    </row>
    <row r="708">
      <c r="A708" s="2"/>
      <c r="B708" s="2"/>
      <c r="C708" s="2"/>
      <c r="D708" s="2"/>
      <c r="E708" s="2"/>
      <c r="F708" s="7"/>
      <c r="G708" s="2"/>
      <c r="H708" s="7"/>
      <c r="I708" s="2"/>
      <c r="J708" s="2"/>
      <c r="K708" s="2"/>
      <c r="L708" s="2"/>
      <c r="M708" s="2"/>
      <c r="N708" s="2"/>
      <c r="O708" s="2"/>
      <c r="P708" s="2"/>
      <c r="Q708" s="2"/>
      <c r="R708" s="2"/>
      <c r="S708" s="2"/>
      <c r="T708" s="2"/>
      <c r="U708" s="2"/>
      <c r="V708" s="2"/>
      <c r="W708" s="2"/>
      <c r="X708" s="2"/>
      <c r="Y708" s="2"/>
      <c r="Z708" s="2"/>
    </row>
    <row r="709">
      <c r="A709" s="2"/>
      <c r="B709" s="2"/>
      <c r="C709" s="2"/>
      <c r="D709" s="2"/>
      <c r="E709" s="2"/>
      <c r="F709" s="7"/>
      <c r="G709" s="2"/>
      <c r="H709" s="7"/>
      <c r="I709" s="2"/>
      <c r="J709" s="2"/>
      <c r="K709" s="2"/>
      <c r="L709" s="2"/>
      <c r="M709" s="2"/>
      <c r="N709" s="2"/>
      <c r="O709" s="2"/>
      <c r="P709" s="2"/>
      <c r="Q709" s="2"/>
      <c r="R709" s="2"/>
      <c r="S709" s="2"/>
      <c r="T709" s="2"/>
      <c r="U709" s="2"/>
      <c r="V709" s="2"/>
      <c r="W709" s="2"/>
      <c r="X709" s="2"/>
      <c r="Y709" s="2"/>
      <c r="Z709" s="2"/>
    </row>
    <row r="710">
      <c r="A710" s="2"/>
      <c r="B710" s="2"/>
      <c r="C710" s="2"/>
      <c r="D710" s="2"/>
      <c r="E710" s="2"/>
      <c r="F710" s="7"/>
      <c r="G710" s="2"/>
      <c r="H710" s="7"/>
      <c r="I710" s="2"/>
      <c r="J710" s="2"/>
      <c r="K710" s="2"/>
      <c r="L710" s="2"/>
      <c r="M710" s="2"/>
      <c r="N710" s="2"/>
      <c r="O710" s="2"/>
      <c r="P710" s="2"/>
      <c r="Q710" s="2"/>
      <c r="R710" s="2"/>
      <c r="S710" s="2"/>
      <c r="T710" s="2"/>
      <c r="U710" s="2"/>
      <c r="V710" s="2"/>
      <c r="W710" s="2"/>
      <c r="X710" s="2"/>
      <c r="Y710" s="2"/>
      <c r="Z710" s="2"/>
    </row>
    <row r="711">
      <c r="A711" s="2"/>
      <c r="B711" s="2"/>
      <c r="C711" s="2"/>
      <c r="D711" s="2"/>
      <c r="E711" s="2"/>
      <c r="F711" s="7"/>
      <c r="G711" s="2"/>
      <c r="H711" s="7"/>
      <c r="I711" s="2"/>
      <c r="J711" s="2"/>
      <c r="K711" s="2"/>
      <c r="L711" s="2"/>
      <c r="M711" s="2"/>
      <c r="N711" s="2"/>
      <c r="O711" s="2"/>
      <c r="P711" s="2"/>
      <c r="Q711" s="2"/>
      <c r="R711" s="2"/>
      <c r="S711" s="2"/>
      <c r="T711" s="2"/>
      <c r="U711" s="2"/>
      <c r="V711" s="2"/>
      <c r="W711" s="2"/>
      <c r="X711" s="2"/>
      <c r="Y711" s="2"/>
      <c r="Z711" s="2"/>
    </row>
    <row r="712">
      <c r="A712" s="2"/>
      <c r="B712" s="2"/>
      <c r="C712" s="2"/>
      <c r="D712" s="2"/>
      <c r="E712" s="2"/>
      <c r="F712" s="7"/>
      <c r="G712" s="2"/>
      <c r="H712" s="7"/>
      <c r="I712" s="2"/>
      <c r="J712" s="2"/>
      <c r="K712" s="2"/>
      <c r="L712" s="2"/>
      <c r="M712" s="2"/>
      <c r="N712" s="2"/>
      <c r="O712" s="2"/>
      <c r="P712" s="2"/>
      <c r="Q712" s="2"/>
      <c r="R712" s="2"/>
      <c r="S712" s="2"/>
      <c r="T712" s="2"/>
      <c r="U712" s="2"/>
      <c r="V712" s="2"/>
      <c r="W712" s="2"/>
      <c r="X712" s="2"/>
      <c r="Y712" s="2"/>
      <c r="Z712" s="2"/>
    </row>
    <row r="713">
      <c r="A713" s="2"/>
      <c r="B713" s="2"/>
      <c r="C713" s="2"/>
      <c r="D713" s="2"/>
      <c r="E713" s="2"/>
      <c r="F713" s="7"/>
      <c r="G713" s="2"/>
      <c r="H713" s="7"/>
      <c r="I713" s="2"/>
      <c r="J713" s="2"/>
      <c r="K713" s="2"/>
      <c r="L713" s="2"/>
      <c r="M713" s="2"/>
      <c r="N713" s="2"/>
      <c r="O713" s="2"/>
      <c r="P713" s="2"/>
      <c r="Q713" s="2"/>
      <c r="R713" s="2"/>
      <c r="S713" s="2"/>
      <c r="T713" s="2"/>
      <c r="U713" s="2"/>
      <c r="V713" s="2"/>
      <c r="W713" s="2"/>
      <c r="X713" s="2"/>
      <c r="Y713" s="2"/>
      <c r="Z713" s="2"/>
    </row>
    <row r="714">
      <c r="A714" s="2"/>
      <c r="B714" s="2"/>
      <c r="C714" s="2"/>
      <c r="D714" s="2"/>
      <c r="E714" s="2"/>
      <c r="F714" s="7"/>
      <c r="G714" s="2"/>
      <c r="H714" s="7"/>
      <c r="I714" s="2"/>
      <c r="J714" s="2"/>
      <c r="K714" s="2"/>
      <c r="L714" s="2"/>
      <c r="M714" s="2"/>
      <c r="N714" s="2"/>
      <c r="O714" s="2"/>
      <c r="P714" s="2"/>
      <c r="Q714" s="2"/>
      <c r="R714" s="2"/>
      <c r="S714" s="2"/>
      <c r="T714" s="2"/>
      <c r="U714" s="2"/>
      <c r="V714" s="2"/>
      <c r="W714" s="2"/>
      <c r="X714" s="2"/>
      <c r="Y714" s="2"/>
      <c r="Z714" s="2"/>
    </row>
    <row r="715">
      <c r="A715" s="2"/>
      <c r="B715" s="2"/>
      <c r="C715" s="2"/>
      <c r="D715" s="2"/>
      <c r="E715" s="2"/>
      <c r="F715" s="7"/>
      <c r="G715" s="2"/>
      <c r="H715" s="7"/>
      <c r="I715" s="2"/>
      <c r="J715" s="2"/>
      <c r="K715" s="2"/>
      <c r="L715" s="2"/>
      <c r="M715" s="2"/>
      <c r="N715" s="2"/>
      <c r="O715" s="2"/>
      <c r="P715" s="2"/>
      <c r="Q715" s="2"/>
      <c r="R715" s="2"/>
      <c r="S715" s="2"/>
      <c r="T715" s="2"/>
      <c r="U715" s="2"/>
      <c r="V715" s="2"/>
      <c r="W715" s="2"/>
      <c r="X715" s="2"/>
      <c r="Y715" s="2"/>
      <c r="Z715" s="2"/>
    </row>
    <row r="716">
      <c r="A716" s="2"/>
      <c r="B716" s="2"/>
      <c r="C716" s="2"/>
      <c r="D716" s="2"/>
      <c r="E716" s="2"/>
      <c r="F716" s="7"/>
      <c r="G716" s="2"/>
      <c r="H716" s="7"/>
      <c r="I716" s="2"/>
      <c r="J716" s="2"/>
      <c r="K716" s="2"/>
      <c r="L716" s="2"/>
      <c r="M716" s="2"/>
      <c r="N716" s="2"/>
      <c r="O716" s="2"/>
      <c r="P716" s="2"/>
      <c r="Q716" s="2"/>
      <c r="R716" s="2"/>
      <c r="S716" s="2"/>
      <c r="T716" s="2"/>
      <c r="U716" s="2"/>
      <c r="V716" s="2"/>
      <c r="W716" s="2"/>
      <c r="X716" s="2"/>
      <c r="Y716" s="2"/>
      <c r="Z716" s="2"/>
    </row>
    <row r="717">
      <c r="A717" s="2"/>
      <c r="B717" s="2"/>
      <c r="C717" s="2"/>
      <c r="D717" s="2"/>
      <c r="E717" s="2"/>
      <c r="F717" s="7"/>
      <c r="G717" s="2"/>
      <c r="H717" s="7"/>
      <c r="I717" s="2"/>
      <c r="J717" s="2"/>
      <c r="K717" s="2"/>
      <c r="L717" s="2"/>
      <c r="M717" s="2"/>
      <c r="N717" s="2"/>
      <c r="O717" s="2"/>
      <c r="P717" s="2"/>
      <c r="Q717" s="2"/>
      <c r="R717" s="2"/>
      <c r="S717" s="2"/>
      <c r="T717" s="2"/>
      <c r="U717" s="2"/>
      <c r="V717" s="2"/>
      <c r="W717" s="2"/>
      <c r="X717" s="2"/>
      <c r="Y717" s="2"/>
      <c r="Z717" s="2"/>
    </row>
    <row r="718">
      <c r="A718" s="2"/>
      <c r="B718" s="2"/>
      <c r="C718" s="2"/>
      <c r="D718" s="2"/>
      <c r="E718" s="2"/>
      <c r="F718" s="7"/>
      <c r="G718" s="2"/>
      <c r="H718" s="7"/>
      <c r="I718" s="2"/>
      <c r="J718" s="2"/>
      <c r="K718" s="2"/>
      <c r="L718" s="2"/>
      <c r="M718" s="2"/>
      <c r="N718" s="2"/>
      <c r="O718" s="2"/>
      <c r="P718" s="2"/>
      <c r="Q718" s="2"/>
      <c r="R718" s="2"/>
      <c r="S718" s="2"/>
      <c r="T718" s="2"/>
      <c r="U718" s="2"/>
      <c r="V718" s="2"/>
      <c r="W718" s="2"/>
      <c r="X718" s="2"/>
      <c r="Y718" s="2"/>
      <c r="Z718" s="2"/>
    </row>
    <row r="719">
      <c r="A719" s="2"/>
      <c r="B719" s="2"/>
      <c r="C719" s="2"/>
      <c r="D719" s="2"/>
      <c r="E719" s="2"/>
      <c r="F719" s="7"/>
      <c r="G719" s="2"/>
      <c r="H719" s="7"/>
      <c r="I719" s="2"/>
      <c r="J719" s="2"/>
      <c r="K719" s="2"/>
      <c r="L719" s="2"/>
      <c r="M719" s="2"/>
      <c r="N719" s="2"/>
      <c r="O719" s="2"/>
      <c r="P719" s="2"/>
      <c r="Q719" s="2"/>
      <c r="R719" s="2"/>
      <c r="S719" s="2"/>
      <c r="T719" s="2"/>
      <c r="U719" s="2"/>
      <c r="V719" s="2"/>
      <c r="W719" s="2"/>
      <c r="X719" s="2"/>
      <c r="Y719" s="2"/>
      <c r="Z719" s="2"/>
    </row>
    <row r="720">
      <c r="A720" s="2"/>
      <c r="B720" s="2"/>
      <c r="C720" s="2"/>
      <c r="D720" s="2"/>
      <c r="E720" s="2"/>
      <c r="F720" s="7"/>
      <c r="G720" s="2"/>
      <c r="H720" s="7"/>
      <c r="I720" s="2"/>
      <c r="J720" s="2"/>
      <c r="K720" s="2"/>
      <c r="L720" s="2"/>
      <c r="M720" s="2"/>
      <c r="N720" s="2"/>
      <c r="O720" s="2"/>
      <c r="P720" s="2"/>
      <c r="Q720" s="2"/>
      <c r="R720" s="2"/>
      <c r="S720" s="2"/>
      <c r="T720" s="2"/>
      <c r="U720" s="2"/>
      <c r="V720" s="2"/>
      <c r="W720" s="2"/>
      <c r="X720" s="2"/>
      <c r="Y720" s="2"/>
      <c r="Z720" s="2"/>
    </row>
    <row r="721">
      <c r="A721" s="2"/>
      <c r="B721" s="2"/>
      <c r="C721" s="2"/>
      <c r="D721" s="2"/>
      <c r="E721" s="2"/>
      <c r="F721" s="7"/>
      <c r="G721" s="2"/>
      <c r="H721" s="7"/>
      <c r="I721" s="2"/>
      <c r="J721" s="2"/>
      <c r="K721" s="2"/>
      <c r="L721" s="2"/>
      <c r="M721" s="2"/>
      <c r="N721" s="2"/>
      <c r="O721" s="2"/>
      <c r="P721" s="2"/>
      <c r="Q721" s="2"/>
      <c r="R721" s="2"/>
      <c r="S721" s="2"/>
      <c r="T721" s="2"/>
      <c r="U721" s="2"/>
      <c r="V721" s="2"/>
      <c r="W721" s="2"/>
      <c r="X721" s="2"/>
      <c r="Y721" s="2"/>
      <c r="Z721" s="2"/>
    </row>
    <row r="722">
      <c r="A722" s="2"/>
      <c r="B722" s="2"/>
      <c r="C722" s="2"/>
      <c r="D722" s="2"/>
      <c r="E722" s="2"/>
      <c r="F722" s="7"/>
      <c r="G722" s="2"/>
      <c r="H722" s="7"/>
      <c r="I722" s="2"/>
      <c r="J722" s="2"/>
      <c r="K722" s="2"/>
      <c r="L722" s="2"/>
      <c r="M722" s="2"/>
      <c r="N722" s="2"/>
      <c r="O722" s="2"/>
      <c r="P722" s="2"/>
      <c r="Q722" s="2"/>
      <c r="R722" s="2"/>
      <c r="S722" s="2"/>
      <c r="T722" s="2"/>
      <c r="U722" s="2"/>
      <c r="V722" s="2"/>
      <c r="W722" s="2"/>
      <c r="X722" s="2"/>
      <c r="Y722" s="2"/>
      <c r="Z722" s="2"/>
    </row>
    <row r="723">
      <c r="A723" s="2"/>
      <c r="B723" s="2"/>
      <c r="C723" s="2"/>
      <c r="D723" s="2"/>
      <c r="E723" s="2"/>
      <c r="F723" s="7"/>
      <c r="G723" s="2"/>
      <c r="H723" s="7"/>
      <c r="I723" s="2"/>
      <c r="J723" s="2"/>
      <c r="K723" s="2"/>
      <c r="L723" s="2"/>
      <c r="M723" s="2"/>
      <c r="N723" s="2"/>
      <c r="O723" s="2"/>
      <c r="P723" s="2"/>
      <c r="Q723" s="2"/>
      <c r="R723" s="2"/>
      <c r="S723" s="2"/>
      <c r="T723" s="2"/>
      <c r="U723" s="2"/>
      <c r="V723" s="2"/>
      <c r="W723" s="2"/>
      <c r="X723" s="2"/>
      <c r="Y723" s="2"/>
      <c r="Z723" s="2"/>
    </row>
    <row r="724">
      <c r="A724" s="2"/>
      <c r="B724" s="2"/>
      <c r="C724" s="2"/>
      <c r="D724" s="2"/>
      <c r="E724" s="2"/>
      <c r="F724" s="7"/>
      <c r="G724" s="2"/>
      <c r="H724" s="7"/>
      <c r="I724" s="2"/>
      <c r="J724" s="2"/>
      <c r="K724" s="2"/>
      <c r="L724" s="2"/>
      <c r="M724" s="2"/>
      <c r="N724" s="2"/>
      <c r="O724" s="2"/>
      <c r="P724" s="2"/>
      <c r="Q724" s="2"/>
      <c r="R724" s="2"/>
      <c r="S724" s="2"/>
      <c r="T724" s="2"/>
      <c r="U724" s="2"/>
      <c r="V724" s="2"/>
      <c r="W724" s="2"/>
      <c r="X724" s="2"/>
      <c r="Y724" s="2"/>
      <c r="Z724" s="2"/>
    </row>
    <row r="725">
      <c r="A725" s="2"/>
      <c r="B725" s="2"/>
      <c r="C725" s="2"/>
      <c r="D725" s="2"/>
      <c r="E725" s="2"/>
      <c r="F725" s="7"/>
      <c r="G725" s="2"/>
      <c r="H725" s="7"/>
      <c r="I725" s="2"/>
      <c r="J725" s="2"/>
      <c r="K725" s="2"/>
      <c r="L725" s="2"/>
      <c r="M725" s="2"/>
      <c r="N725" s="2"/>
      <c r="O725" s="2"/>
      <c r="P725" s="2"/>
      <c r="Q725" s="2"/>
      <c r="R725" s="2"/>
      <c r="S725" s="2"/>
      <c r="T725" s="2"/>
      <c r="U725" s="2"/>
      <c r="V725" s="2"/>
      <c r="W725" s="2"/>
      <c r="X725" s="2"/>
      <c r="Y725" s="2"/>
      <c r="Z725" s="2"/>
    </row>
    <row r="726">
      <c r="A726" s="2"/>
      <c r="B726" s="2"/>
      <c r="C726" s="2"/>
      <c r="D726" s="2"/>
      <c r="E726" s="2"/>
      <c r="F726" s="7"/>
      <c r="G726" s="2"/>
      <c r="H726" s="7"/>
      <c r="I726" s="2"/>
      <c r="J726" s="2"/>
      <c r="K726" s="2"/>
      <c r="L726" s="2"/>
      <c r="M726" s="2"/>
      <c r="N726" s="2"/>
      <c r="O726" s="2"/>
      <c r="P726" s="2"/>
      <c r="Q726" s="2"/>
      <c r="R726" s="2"/>
      <c r="S726" s="2"/>
      <c r="T726" s="2"/>
      <c r="U726" s="2"/>
      <c r="V726" s="2"/>
      <c r="W726" s="2"/>
      <c r="X726" s="2"/>
      <c r="Y726" s="2"/>
      <c r="Z726" s="2"/>
    </row>
    <row r="727">
      <c r="A727" s="2"/>
      <c r="B727" s="2"/>
      <c r="C727" s="2"/>
      <c r="D727" s="2"/>
      <c r="E727" s="2"/>
      <c r="F727" s="7"/>
      <c r="G727" s="2"/>
      <c r="H727" s="7"/>
      <c r="I727" s="2"/>
      <c r="J727" s="2"/>
      <c r="K727" s="2"/>
      <c r="L727" s="2"/>
      <c r="M727" s="2"/>
      <c r="N727" s="2"/>
      <c r="O727" s="2"/>
      <c r="P727" s="2"/>
      <c r="Q727" s="2"/>
      <c r="R727" s="2"/>
      <c r="S727" s="2"/>
      <c r="T727" s="2"/>
      <c r="U727" s="2"/>
      <c r="V727" s="2"/>
      <c r="W727" s="2"/>
      <c r="X727" s="2"/>
      <c r="Y727" s="2"/>
      <c r="Z727" s="2"/>
    </row>
    <row r="728">
      <c r="A728" s="2"/>
      <c r="B728" s="2"/>
      <c r="C728" s="2"/>
      <c r="D728" s="2"/>
      <c r="E728" s="2"/>
      <c r="F728" s="7"/>
      <c r="G728" s="2"/>
      <c r="H728" s="7"/>
      <c r="I728" s="2"/>
      <c r="J728" s="2"/>
      <c r="K728" s="2"/>
      <c r="L728" s="2"/>
      <c r="M728" s="2"/>
      <c r="N728" s="2"/>
      <c r="O728" s="2"/>
      <c r="P728" s="2"/>
      <c r="Q728" s="2"/>
      <c r="R728" s="2"/>
      <c r="S728" s="2"/>
      <c r="T728" s="2"/>
      <c r="U728" s="2"/>
      <c r="V728" s="2"/>
      <c r="W728" s="2"/>
      <c r="X728" s="2"/>
      <c r="Y728" s="2"/>
      <c r="Z728" s="2"/>
    </row>
    <row r="729">
      <c r="A729" s="2"/>
      <c r="B729" s="2"/>
      <c r="C729" s="2"/>
      <c r="D729" s="2"/>
      <c r="E729" s="2"/>
      <c r="F729" s="7"/>
      <c r="G729" s="2"/>
      <c r="H729" s="7"/>
      <c r="I729" s="2"/>
      <c r="J729" s="2"/>
      <c r="K729" s="2"/>
      <c r="L729" s="2"/>
      <c r="M729" s="2"/>
      <c r="N729" s="2"/>
      <c r="O729" s="2"/>
      <c r="P729" s="2"/>
      <c r="Q729" s="2"/>
      <c r="R729" s="2"/>
      <c r="S729" s="2"/>
      <c r="T729" s="2"/>
      <c r="U729" s="2"/>
      <c r="V729" s="2"/>
      <c r="W729" s="2"/>
      <c r="X729" s="2"/>
      <c r="Y729" s="2"/>
      <c r="Z729" s="2"/>
    </row>
    <row r="730">
      <c r="A730" s="2"/>
      <c r="B730" s="2"/>
      <c r="C730" s="2"/>
      <c r="D730" s="2"/>
      <c r="E730" s="2"/>
      <c r="F730" s="7"/>
      <c r="G730" s="2"/>
      <c r="H730" s="7"/>
      <c r="I730" s="2"/>
      <c r="J730" s="2"/>
      <c r="K730" s="2"/>
      <c r="L730" s="2"/>
      <c r="M730" s="2"/>
      <c r="N730" s="2"/>
      <c r="O730" s="2"/>
      <c r="P730" s="2"/>
      <c r="Q730" s="2"/>
      <c r="R730" s="2"/>
      <c r="S730" s="2"/>
      <c r="T730" s="2"/>
      <c r="U730" s="2"/>
      <c r="V730" s="2"/>
      <c r="W730" s="2"/>
      <c r="X730" s="2"/>
      <c r="Y730" s="2"/>
      <c r="Z730" s="2"/>
    </row>
    <row r="731">
      <c r="A731" s="2"/>
      <c r="B731" s="2"/>
      <c r="C731" s="2"/>
      <c r="D731" s="2"/>
      <c r="E731" s="2"/>
      <c r="F731" s="7"/>
      <c r="G731" s="2"/>
      <c r="H731" s="7"/>
      <c r="I731" s="2"/>
      <c r="J731" s="2"/>
      <c r="K731" s="2"/>
      <c r="L731" s="2"/>
      <c r="M731" s="2"/>
      <c r="N731" s="2"/>
      <c r="O731" s="2"/>
      <c r="P731" s="2"/>
      <c r="Q731" s="2"/>
      <c r="R731" s="2"/>
      <c r="S731" s="2"/>
      <c r="T731" s="2"/>
      <c r="U731" s="2"/>
      <c r="V731" s="2"/>
      <c r="W731" s="2"/>
      <c r="X731" s="2"/>
      <c r="Y731" s="2"/>
      <c r="Z731" s="2"/>
    </row>
    <row r="732">
      <c r="A732" s="2"/>
      <c r="B732" s="2"/>
      <c r="C732" s="2"/>
      <c r="D732" s="2"/>
      <c r="E732" s="2"/>
      <c r="F732" s="7"/>
      <c r="G732" s="2"/>
      <c r="H732" s="7"/>
      <c r="I732" s="2"/>
      <c r="J732" s="2"/>
      <c r="K732" s="2"/>
      <c r="L732" s="2"/>
      <c r="M732" s="2"/>
      <c r="N732" s="2"/>
      <c r="O732" s="2"/>
      <c r="P732" s="2"/>
      <c r="Q732" s="2"/>
      <c r="R732" s="2"/>
      <c r="S732" s="2"/>
      <c r="T732" s="2"/>
      <c r="U732" s="2"/>
      <c r="V732" s="2"/>
      <c r="W732" s="2"/>
      <c r="X732" s="2"/>
      <c r="Y732" s="2"/>
      <c r="Z732" s="2"/>
    </row>
    <row r="733">
      <c r="A733" s="2"/>
      <c r="B733" s="2"/>
      <c r="C733" s="2"/>
      <c r="D733" s="2"/>
      <c r="E733" s="2"/>
      <c r="F733" s="7"/>
      <c r="G733" s="2"/>
      <c r="H733" s="7"/>
      <c r="I733" s="2"/>
      <c r="J733" s="2"/>
      <c r="K733" s="2"/>
      <c r="L733" s="2"/>
      <c r="M733" s="2"/>
      <c r="N733" s="2"/>
      <c r="O733" s="2"/>
      <c r="P733" s="2"/>
      <c r="Q733" s="2"/>
      <c r="R733" s="2"/>
      <c r="S733" s="2"/>
      <c r="T733" s="2"/>
      <c r="U733" s="2"/>
      <c r="V733" s="2"/>
      <c r="W733" s="2"/>
      <c r="X733" s="2"/>
      <c r="Y733" s="2"/>
      <c r="Z733" s="2"/>
    </row>
    <row r="734">
      <c r="A734" s="2"/>
      <c r="B734" s="2"/>
      <c r="C734" s="2"/>
      <c r="D734" s="2"/>
      <c r="E734" s="2"/>
      <c r="F734" s="7"/>
      <c r="G734" s="2"/>
      <c r="H734" s="7"/>
      <c r="I734" s="2"/>
      <c r="J734" s="2"/>
      <c r="K734" s="2"/>
      <c r="L734" s="2"/>
      <c r="M734" s="2"/>
      <c r="N734" s="2"/>
      <c r="O734" s="2"/>
      <c r="P734" s="2"/>
      <c r="Q734" s="2"/>
      <c r="R734" s="2"/>
      <c r="S734" s="2"/>
      <c r="T734" s="2"/>
      <c r="U734" s="2"/>
      <c r="V734" s="2"/>
      <c r="W734" s="2"/>
      <c r="X734" s="2"/>
      <c r="Y734" s="2"/>
      <c r="Z734" s="2"/>
    </row>
    <row r="735">
      <c r="A735" s="2"/>
      <c r="B735" s="2"/>
      <c r="C735" s="2"/>
      <c r="D735" s="2"/>
      <c r="E735" s="2"/>
      <c r="F735" s="7"/>
      <c r="G735" s="2"/>
      <c r="H735" s="7"/>
      <c r="I735" s="2"/>
      <c r="J735" s="2"/>
      <c r="K735" s="2"/>
      <c r="L735" s="2"/>
      <c r="M735" s="2"/>
      <c r="N735" s="2"/>
      <c r="O735" s="2"/>
      <c r="P735" s="2"/>
      <c r="Q735" s="2"/>
      <c r="R735" s="2"/>
      <c r="S735" s="2"/>
      <c r="T735" s="2"/>
      <c r="U735" s="2"/>
      <c r="V735" s="2"/>
      <c r="W735" s="2"/>
      <c r="X735" s="2"/>
      <c r="Y735" s="2"/>
      <c r="Z735" s="2"/>
    </row>
    <row r="736">
      <c r="A736" s="2"/>
      <c r="B736" s="2"/>
      <c r="C736" s="2"/>
      <c r="D736" s="2"/>
      <c r="E736" s="2"/>
      <c r="F736" s="7"/>
      <c r="G736" s="2"/>
      <c r="H736" s="7"/>
      <c r="I736" s="2"/>
      <c r="J736" s="2"/>
      <c r="K736" s="2"/>
      <c r="L736" s="2"/>
      <c r="M736" s="2"/>
      <c r="N736" s="2"/>
      <c r="O736" s="2"/>
      <c r="P736" s="2"/>
      <c r="Q736" s="2"/>
      <c r="R736" s="2"/>
      <c r="S736" s="2"/>
      <c r="T736" s="2"/>
      <c r="U736" s="2"/>
      <c r="V736" s="2"/>
      <c r="W736" s="2"/>
      <c r="X736" s="2"/>
      <c r="Y736" s="2"/>
      <c r="Z736" s="2"/>
    </row>
    <row r="737">
      <c r="A737" s="2"/>
      <c r="B737" s="2"/>
      <c r="C737" s="2"/>
      <c r="D737" s="2"/>
      <c r="E737" s="2"/>
      <c r="F737" s="7"/>
      <c r="G737" s="2"/>
      <c r="H737" s="7"/>
      <c r="I737" s="2"/>
      <c r="J737" s="2"/>
      <c r="K737" s="2"/>
      <c r="L737" s="2"/>
      <c r="M737" s="2"/>
      <c r="N737" s="2"/>
      <c r="O737" s="2"/>
      <c r="P737" s="2"/>
      <c r="Q737" s="2"/>
      <c r="R737" s="2"/>
      <c r="S737" s="2"/>
      <c r="T737" s="2"/>
      <c r="U737" s="2"/>
      <c r="V737" s="2"/>
      <c r="W737" s="2"/>
      <c r="X737" s="2"/>
      <c r="Y737" s="2"/>
      <c r="Z737" s="2"/>
    </row>
    <row r="738">
      <c r="A738" s="2"/>
      <c r="B738" s="2"/>
      <c r="C738" s="2"/>
      <c r="D738" s="2"/>
      <c r="E738" s="2"/>
      <c r="F738" s="7"/>
      <c r="G738" s="2"/>
      <c r="H738" s="7"/>
      <c r="I738" s="2"/>
      <c r="J738" s="2"/>
      <c r="K738" s="2"/>
      <c r="L738" s="2"/>
      <c r="M738" s="2"/>
      <c r="N738" s="2"/>
      <c r="O738" s="2"/>
      <c r="P738" s="2"/>
      <c r="Q738" s="2"/>
      <c r="R738" s="2"/>
      <c r="S738" s="2"/>
      <c r="T738" s="2"/>
      <c r="U738" s="2"/>
      <c r="V738" s="2"/>
      <c r="W738" s="2"/>
      <c r="X738" s="2"/>
      <c r="Y738" s="2"/>
      <c r="Z738" s="2"/>
    </row>
    <row r="739">
      <c r="A739" s="2"/>
      <c r="B739" s="2"/>
      <c r="C739" s="2"/>
      <c r="D739" s="2"/>
      <c r="E739" s="2"/>
      <c r="F739" s="7"/>
      <c r="G739" s="2"/>
      <c r="H739" s="7"/>
      <c r="I739" s="2"/>
      <c r="J739" s="2"/>
      <c r="K739" s="2"/>
      <c r="L739" s="2"/>
      <c r="M739" s="2"/>
      <c r="N739" s="2"/>
      <c r="O739" s="2"/>
      <c r="P739" s="2"/>
      <c r="Q739" s="2"/>
      <c r="R739" s="2"/>
      <c r="S739" s="2"/>
      <c r="T739" s="2"/>
      <c r="U739" s="2"/>
      <c r="V739" s="2"/>
      <c r="W739" s="2"/>
      <c r="X739" s="2"/>
      <c r="Y739" s="2"/>
      <c r="Z739" s="2"/>
    </row>
    <row r="740">
      <c r="A740" s="2"/>
      <c r="B740" s="2"/>
      <c r="C740" s="2"/>
      <c r="D740" s="2"/>
      <c r="E740" s="2"/>
      <c r="F740" s="7"/>
      <c r="G740" s="2"/>
      <c r="H740" s="7"/>
      <c r="I740" s="2"/>
      <c r="J740" s="2"/>
      <c r="K740" s="2"/>
      <c r="L740" s="2"/>
      <c r="M740" s="2"/>
      <c r="N740" s="2"/>
      <c r="O740" s="2"/>
      <c r="P740" s="2"/>
      <c r="Q740" s="2"/>
      <c r="R740" s="2"/>
      <c r="S740" s="2"/>
      <c r="T740" s="2"/>
      <c r="U740" s="2"/>
      <c r="V740" s="2"/>
      <c r="W740" s="2"/>
      <c r="X740" s="2"/>
      <c r="Y740" s="2"/>
      <c r="Z740" s="2"/>
    </row>
    <row r="741">
      <c r="A741" s="2"/>
      <c r="B741" s="2"/>
      <c r="C741" s="2"/>
      <c r="D741" s="2"/>
      <c r="E741" s="2"/>
      <c r="F741" s="7"/>
      <c r="G741" s="2"/>
      <c r="H741" s="7"/>
      <c r="I741" s="2"/>
      <c r="J741" s="2"/>
      <c r="K741" s="2"/>
      <c r="L741" s="2"/>
      <c r="M741" s="2"/>
      <c r="N741" s="2"/>
      <c r="O741" s="2"/>
      <c r="P741" s="2"/>
      <c r="Q741" s="2"/>
      <c r="R741" s="2"/>
      <c r="S741" s="2"/>
      <c r="T741" s="2"/>
      <c r="U741" s="2"/>
      <c r="V741" s="2"/>
      <c r="W741" s="2"/>
      <c r="X741" s="2"/>
      <c r="Y741" s="2"/>
      <c r="Z741" s="2"/>
    </row>
    <row r="742">
      <c r="A742" s="2"/>
      <c r="B742" s="2"/>
      <c r="C742" s="2"/>
      <c r="D742" s="2"/>
      <c r="E742" s="2"/>
      <c r="F742" s="7"/>
      <c r="G742" s="2"/>
      <c r="H742" s="7"/>
      <c r="I742" s="2"/>
      <c r="J742" s="2"/>
      <c r="K742" s="2"/>
      <c r="L742" s="2"/>
      <c r="M742" s="2"/>
      <c r="N742" s="2"/>
      <c r="O742" s="2"/>
      <c r="P742" s="2"/>
      <c r="Q742" s="2"/>
      <c r="R742" s="2"/>
      <c r="S742" s="2"/>
      <c r="T742" s="2"/>
      <c r="U742" s="2"/>
      <c r="V742" s="2"/>
      <c r="W742" s="2"/>
      <c r="X742" s="2"/>
      <c r="Y742" s="2"/>
      <c r="Z742" s="2"/>
    </row>
    <row r="743">
      <c r="A743" s="2"/>
      <c r="B743" s="2"/>
      <c r="C743" s="2"/>
      <c r="D743" s="2"/>
      <c r="E743" s="2"/>
      <c r="F743" s="7"/>
      <c r="G743" s="2"/>
      <c r="H743" s="7"/>
      <c r="I743" s="2"/>
      <c r="J743" s="2"/>
      <c r="K743" s="2"/>
      <c r="L743" s="2"/>
      <c r="M743" s="2"/>
      <c r="N743" s="2"/>
      <c r="O743" s="2"/>
      <c r="P743" s="2"/>
      <c r="Q743" s="2"/>
      <c r="R743" s="2"/>
      <c r="S743" s="2"/>
      <c r="T743" s="2"/>
      <c r="U743" s="2"/>
      <c r="V743" s="2"/>
      <c r="W743" s="2"/>
      <c r="X743" s="2"/>
      <c r="Y743" s="2"/>
      <c r="Z743" s="2"/>
    </row>
    <row r="744">
      <c r="A744" s="2"/>
      <c r="B744" s="2"/>
      <c r="C744" s="2"/>
      <c r="D744" s="2"/>
      <c r="E744" s="2"/>
      <c r="F744" s="7"/>
      <c r="G744" s="2"/>
      <c r="H744" s="7"/>
      <c r="I744" s="2"/>
      <c r="J744" s="2"/>
      <c r="K744" s="2"/>
      <c r="L744" s="2"/>
      <c r="M744" s="2"/>
      <c r="N744" s="2"/>
      <c r="O744" s="2"/>
      <c r="P744" s="2"/>
      <c r="Q744" s="2"/>
      <c r="R744" s="2"/>
      <c r="S744" s="2"/>
      <c r="T744" s="2"/>
      <c r="U744" s="2"/>
      <c r="V744" s="2"/>
      <c r="W744" s="2"/>
      <c r="X744" s="2"/>
      <c r="Y744" s="2"/>
      <c r="Z744" s="2"/>
    </row>
    <row r="745">
      <c r="A745" s="2"/>
      <c r="B745" s="2"/>
      <c r="C745" s="2"/>
      <c r="D745" s="2"/>
      <c r="E745" s="2"/>
      <c r="F745" s="7"/>
      <c r="G745" s="2"/>
      <c r="H745" s="7"/>
      <c r="I745" s="2"/>
      <c r="J745" s="2"/>
      <c r="K745" s="2"/>
      <c r="L745" s="2"/>
      <c r="M745" s="2"/>
      <c r="N745" s="2"/>
      <c r="O745" s="2"/>
      <c r="P745" s="2"/>
      <c r="Q745" s="2"/>
      <c r="R745" s="2"/>
      <c r="S745" s="2"/>
      <c r="T745" s="2"/>
      <c r="U745" s="2"/>
      <c r="V745" s="2"/>
      <c r="W745" s="2"/>
      <c r="X745" s="2"/>
      <c r="Y745" s="2"/>
      <c r="Z745" s="2"/>
    </row>
    <row r="746">
      <c r="A746" s="2"/>
      <c r="B746" s="2"/>
      <c r="C746" s="2"/>
      <c r="D746" s="2"/>
      <c r="E746" s="2"/>
      <c r="F746" s="7"/>
      <c r="G746" s="2"/>
      <c r="H746" s="7"/>
      <c r="I746" s="2"/>
      <c r="J746" s="2"/>
      <c r="K746" s="2"/>
      <c r="L746" s="2"/>
      <c r="M746" s="2"/>
      <c r="N746" s="2"/>
      <c r="O746" s="2"/>
      <c r="P746" s="2"/>
      <c r="Q746" s="2"/>
      <c r="R746" s="2"/>
      <c r="S746" s="2"/>
      <c r="T746" s="2"/>
      <c r="U746" s="2"/>
      <c r="V746" s="2"/>
      <c r="W746" s="2"/>
      <c r="X746" s="2"/>
      <c r="Y746" s="2"/>
      <c r="Z746" s="2"/>
    </row>
    <row r="747">
      <c r="A747" s="2"/>
      <c r="B747" s="2"/>
      <c r="C747" s="2"/>
      <c r="D747" s="2"/>
      <c r="E747" s="2"/>
      <c r="F747" s="7"/>
      <c r="G747" s="2"/>
      <c r="H747" s="7"/>
      <c r="I747" s="2"/>
      <c r="J747" s="2"/>
      <c r="K747" s="2"/>
      <c r="L747" s="2"/>
      <c r="M747" s="2"/>
      <c r="N747" s="2"/>
      <c r="O747" s="2"/>
      <c r="P747" s="2"/>
      <c r="Q747" s="2"/>
      <c r="R747" s="2"/>
      <c r="S747" s="2"/>
      <c r="T747" s="2"/>
      <c r="U747" s="2"/>
      <c r="V747" s="2"/>
      <c r="W747" s="2"/>
      <c r="X747" s="2"/>
      <c r="Y747" s="2"/>
      <c r="Z747" s="2"/>
    </row>
    <row r="748">
      <c r="A748" s="2"/>
      <c r="B748" s="2"/>
      <c r="C748" s="2"/>
      <c r="D748" s="2"/>
      <c r="E748" s="2"/>
      <c r="F748" s="7"/>
      <c r="G748" s="2"/>
      <c r="H748" s="7"/>
      <c r="I748" s="2"/>
      <c r="J748" s="2"/>
      <c r="K748" s="2"/>
      <c r="L748" s="2"/>
      <c r="M748" s="2"/>
      <c r="N748" s="2"/>
      <c r="O748" s="2"/>
      <c r="P748" s="2"/>
      <c r="Q748" s="2"/>
      <c r="R748" s="2"/>
      <c r="S748" s="2"/>
      <c r="T748" s="2"/>
      <c r="U748" s="2"/>
      <c r="V748" s="2"/>
      <c r="W748" s="2"/>
      <c r="X748" s="2"/>
      <c r="Y748" s="2"/>
      <c r="Z748" s="2"/>
    </row>
    <row r="749">
      <c r="A749" s="2"/>
      <c r="B749" s="2"/>
      <c r="C749" s="2"/>
      <c r="D749" s="2"/>
      <c r="E749" s="2"/>
      <c r="F749" s="7"/>
      <c r="G749" s="2"/>
      <c r="H749" s="7"/>
      <c r="I749" s="2"/>
      <c r="J749" s="2"/>
      <c r="K749" s="2"/>
      <c r="L749" s="2"/>
      <c r="M749" s="2"/>
      <c r="N749" s="2"/>
      <c r="O749" s="2"/>
      <c r="P749" s="2"/>
      <c r="Q749" s="2"/>
      <c r="R749" s="2"/>
      <c r="S749" s="2"/>
      <c r="T749" s="2"/>
      <c r="U749" s="2"/>
      <c r="V749" s="2"/>
      <c r="W749" s="2"/>
      <c r="X749" s="2"/>
      <c r="Y749" s="2"/>
      <c r="Z749" s="2"/>
    </row>
    <row r="750">
      <c r="A750" s="2"/>
      <c r="B750" s="2"/>
      <c r="C750" s="2"/>
      <c r="D750" s="2"/>
      <c r="E750" s="2"/>
      <c r="F750" s="7"/>
      <c r="G750" s="2"/>
      <c r="H750" s="7"/>
      <c r="I750" s="2"/>
      <c r="J750" s="2"/>
      <c r="K750" s="2"/>
      <c r="L750" s="2"/>
      <c r="M750" s="2"/>
      <c r="N750" s="2"/>
      <c r="O750" s="2"/>
      <c r="P750" s="2"/>
      <c r="Q750" s="2"/>
      <c r="R750" s="2"/>
      <c r="S750" s="2"/>
      <c r="T750" s="2"/>
      <c r="U750" s="2"/>
      <c r="V750" s="2"/>
      <c r="W750" s="2"/>
      <c r="X750" s="2"/>
      <c r="Y750" s="2"/>
      <c r="Z750" s="2"/>
    </row>
    <row r="751">
      <c r="A751" s="2"/>
      <c r="B751" s="2"/>
      <c r="C751" s="2"/>
      <c r="D751" s="2"/>
      <c r="E751" s="2"/>
      <c r="F751" s="7"/>
      <c r="G751" s="2"/>
      <c r="H751" s="7"/>
      <c r="I751" s="2"/>
      <c r="J751" s="2"/>
      <c r="K751" s="2"/>
      <c r="L751" s="2"/>
      <c r="M751" s="2"/>
      <c r="N751" s="2"/>
      <c r="O751" s="2"/>
      <c r="P751" s="2"/>
      <c r="Q751" s="2"/>
      <c r="R751" s="2"/>
      <c r="S751" s="2"/>
      <c r="T751" s="2"/>
      <c r="U751" s="2"/>
      <c r="V751" s="2"/>
      <c r="W751" s="2"/>
      <c r="X751" s="2"/>
      <c r="Y751" s="2"/>
      <c r="Z751" s="2"/>
    </row>
    <row r="752">
      <c r="A752" s="2"/>
      <c r="B752" s="2"/>
      <c r="C752" s="2"/>
      <c r="D752" s="2"/>
      <c r="E752" s="2"/>
      <c r="F752" s="7"/>
      <c r="G752" s="2"/>
      <c r="H752" s="7"/>
      <c r="I752" s="2"/>
      <c r="J752" s="2"/>
      <c r="K752" s="2"/>
      <c r="L752" s="2"/>
      <c r="M752" s="2"/>
      <c r="N752" s="2"/>
      <c r="O752" s="2"/>
      <c r="P752" s="2"/>
      <c r="Q752" s="2"/>
      <c r="R752" s="2"/>
      <c r="S752" s="2"/>
      <c r="T752" s="2"/>
      <c r="U752" s="2"/>
      <c r="V752" s="2"/>
      <c r="W752" s="2"/>
      <c r="X752" s="2"/>
      <c r="Y752" s="2"/>
      <c r="Z752" s="2"/>
    </row>
    <row r="753">
      <c r="A753" s="2"/>
      <c r="B753" s="2"/>
      <c r="C753" s="2"/>
      <c r="D753" s="2"/>
      <c r="E753" s="2"/>
      <c r="F753" s="7"/>
      <c r="G753" s="2"/>
      <c r="H753" s="7"/>
      <c r="I753" s="2"/>
      <c r="J753" s="2"/>
      <c r="K753" s="2"/>
      <c r="L753" s="2"/>
      <c r="M753" s="2"/>
      <c r="N753" s="2"/>
      <c r="O753" s="2"/>
      <c r="P753" s="2"/>
      <c r="Q753" s="2"/>
      <c r="R753" s="2"/>
      <c r="S753" s="2"/>
      <c r="T753" s="2"/>
      <c r="U753" s="2"/>
      <c r="V753" s="2"/>
      <c r="W753" s="2"/>
      <c r="X753" s="2"/>
      <c r="Y753" s="2"/>
      <c r="Z753" s="2"/>
    </row>
    <row r="754">
      <c r="A754" s="2"/>
      <c r="B754" s="2"/>
      <c r="C754" s="2"/>
      <c r="D754" s="2"/>
      <c r="E754" s="2"/>
      <c r="F754" s="7"/>
      <c r="G754" s="2"/>
      <c r="H754" s="7"/>
      <c r="I754" s="2"/>
      <c r="J754" s="2"/>
      <c r="K754" s="2"/>
      <c r="L754" s="2"/>
      <c r="M754" s="2"/>
      <c r="N754" s="2"/>
      <c r="O754" s="2"/>
      <c r="P754" s="2"/>
      <c r="Q754" s="2"/>
      <c r="R754" s="2"/>
      <c r="S754" s="2"/>
      <c r="T754" s="2"/>
      <c r="U754" s="2"/>
      <c r="V754" s="2"/>
      <c r="W754" s="2"/>
      <c r="X754" s="2"/>
      <c r="Y754" s="2"/>
      <c r="Z754" s="2"/>
    </row>
    <row r="755">
      <c r="A755" s="2"/>
      <c r="B755" s="2"/>
      <c r="C755" s="2"/>
      <c r="D755" s="2"/>
      <c r="E755" s="2"/>
      <c r="F755" s="7"/>
      <c r="G755" s="2"/>
      <c r="H755" s="7"/>
      <c r="I755" s="2"/>
      <c r="J755" s="2"/>
      <c r="K755" s="2"/>
      <c r="L755" s="2"/>
      <c r="M755" s="2"/>
      <c r="N755" s="2"/>
      <c r="O755" s="2"/>
      <c r="P755" s="2"/>
      <c r="Q755" s="2"/>
      <c r="R755" s="2"/>
      <c r="S755" s="2"/>
      <c r="T755" s="2"/>
      <c r="U755" s="2"/>
      <c r="V755" s="2"/>
      <c r="W755" s="2"/>
      <c r="X755" s="2"/>
      <c r="Y755" s="2"/>
      <c r="Z755" s="2"/>
    </row>
    <row r="756">
      <c r="A756" s="2"/>
      <c r="B756" s="2"/>
      <c r="C756" s="2"/>
      <c r="D756" s="2"/>
      <c r="E756" s="2"/>
      <c r="F756" s="7"/>
      <c r="G756" s="2"/>
      <c r="H756" s="7"/>
      <c r="I756" s="2"/>
      <c r="J756" s="2"/>
      <c r="K756" s="2"/>
      <c r="L756" s="2"/>
      <c r="M756" s="2"/>
      <c r="N756" s="2"/>
      <c r="O756" s="2"/>
      <c r="P756" s="2"/>
      <c r="Q756" s="2"/>
      <c r="R756" s="2"/>
      <c r="S756" s="2"/>
      <c r="T756" s="2"/>
      <c r="U756" s="2"/>
      <c r="V756" s="2"/>
      <c r="W756" s="2"/>
      <c r="X756" s="2"/>
      <c r="Y756" s="2"/>
      <c r="Z756" s="2"/>
    </row>
    <row r="757">
      <c r="A757" s="2"/>
      <c r="B757" s="2"/>
      <c r="C757" s="2"/>
      <c r="D757" s="2"/>
      <c r="E757" s="2"/>
      <c r="F757" s="7"/>
      <c r="G757" s="2"/>
      <c r="H757" s="7"/>
      <c r="I757" s="2"/>
      <c r="J757" s="2"/>
      <c r="K757" s="2"/>
      <c r="L757" s="2"/>
      <c r="M757" s="2"/>
      <c r="N757" s="2"/>
      <c r="O757" s="2"/>
      <c r="P757" s="2"/>
      <c r="Q757" s="2"/>
      <c r="R757" s="2"/>
      <c r="S757" s="2"/>
      <c r="T757" s="2"/>
      <c r="U757" s="2"/>
      <c r="V757" s="2"/>
      <c r="W757" s="2"/>
      <c r="X757" s="2"/>
      <c r="Y757" s="2"/>
      <c r="Z757" s="2"/>
    </row>
    <row r="758">
      <c r="A758" s="2"/>
      <c r="B758" s="2"/>
      <c r="C758" s="2"/>
      <c r="D758" s="2"/>
      <c r="E758" s="2"/>
      <c r="F758" s="7"/>
      <c r="G758" s="2"/>
      <c r="H758" s="7"/>
      <c r="I758" s="2"/>
      <c r="J758" s="2"/>
      <c r="K758" s="2"/>
      <c r="L758" s="2"/>
      <c r="M758" s="2"/>
      <c r="N758" s="2"/>
      <c r="O758" s="2"/>
      <c r="P758" s="2"/>
      <c r="Q758" s="2"/>
      <c r="R758" s="2"/>
      <c r="S758" s="2"/>
      <c r="T758" s="2"/>
      <c r="U758" s="2"/>
      <c r="V758" s="2"/>
      <c r="W758" s="2"/>
      <c r="X758" s="2"/>
      <c r="Y758" s="2"/>
      <c r="Z758" s="2"/>
    </row>
    <row r="759">
      <c r="A759" s="2"/>
      <c r="B759" s="2"/>
      <c r="C759" s="2"/>
      <c r="D759" s="2"/>
      <c r="E759" s="2"/>
      <c r="F759" s="7"/>
      <c r="G759" s="2"/>
      <c r="H759" s="7"/>
      <c r="I759" s="2"/>
      <c r="J759" s="2"/>
      <c r="K759" s="2"/>
      <c r="L759" s="2"/>
      <c r="M759" s="2"/>
      <c r="N759" s="2"/>
      <c r="O759" s="2"/>
      <c r="P759" s="2"/>
      <c r="Q759" s="2"/>
      <c r="R759" s="2"/>
      <c r="S759" s="2"/>
      <c r="T759" s="2"/>
      <c r="U759" s="2"/>
      <c r="V759" s="2"/>
      <c r="W759" s="2"/>
      <c r="X759" s="2"/>
      <c r="Y759" s="2"/>
      <c r="Z759" s="2"/>
    </row>
    <row r="760">
      <c r="A760" s="2"/>
      <c r="B760" s="2"/>
      <c r="C760" s="2"/>
      <c r="D760" s="2"/>
      <c r="E760" s="2"/>
      <c r="F760" s="7"/>
      <c r="G760" s="2"/>
      <c r="H760" s="7"/>
      <c r="I760" s="2"/>
      <c r="J760" s="2"/>
      <c r="K760" s="2"/>
      <c r="L760" s="2"/>
      <c r="M760" s="2"/>
      <c r="N760" s="2"/>
      <c r="O760" s="2"/>
      <c r="P760" s="2"/>
      <c r="Q760" s="2"/>
      <c r="R760" s="2"/>
      <c r="S760" s="2"/>
      <c r="T760" s="2"/>
      <c r="U760" s="2"/>
      <c r="V760" s="2"/>
      <c r="W760" s="2"/>
      <c r="X760" s="2"/>
      <c r="Y760" s="2"/>
      <c r="Z760" s="2"/>
    </row>
    <row r="761">
      <c r="A761" s="2"/>
      <c r="B761" s="2"/>
      <c r="C761" s="2"/>
      <c r="D761" s="2"/>
      <c r="E761" s="2"/>
      <c r="F761" s="7"/>
      <c r="G761" s="2"/>
      <c r="H761" s="7"/>
      <c r="I761" s="2"/>
      <c r="J761" s="2"/>
      <c r="K761" s="2"/>
      <c r="L761" s="2"/>
      <c r="M761" s="2"/>
      <c r="N761" s="2"/>
      <c r="O761" s="2"/>
      <c r="P761" s="2"/>
      <c r="Q761" s="2"/>
      <c r="R761" s="2"/>
      <c r="S761" s="2"/>
      <c r="T761" s="2"/>
      <c r="U761" s="2"/>
      <c r="V761" s="2"/>
      <c r="W761" s="2"/>
      <c r="X761" s="2"/>
      <c r="Y761" s="2"/>
      <c r="Z761" s="2"/>
    </row>
    <row r="762">
      <c r="A762" s="2"/>
      <c r="B762" s="2"/>
      <c r="C762" s="2"/>
      <c r="D762" s="2"/>
      <c r="E762" s="2"/>
      <c r="F762" s="7"/>
      <c r="G762" s="2"/>
      <c r="H762" s="7"/>
      <c r="I762" s="2"/>
      <c r="J762" s="2"/>
      <c r="K762" s="2"/>
      <c r="L762" s="2"/>
      <c r="M762" s="2"/>
      <c r="N762" s="2"/>
      <c r="O762" s="2"/>
      <c r="P762" s="2"/>
      <c r="Q762" s="2"/>
      <c r="R762" s="2"/>
      <c r="S762" s="2"/>
      <c r="T762" s="2"/>
      <c r="U762" s="2"/>
      <c r="V762" s="2"/>
      <c r="W762" s="2"/>
      <c r="X762" s="2"/>
      <c r="Y762" s="2"/>
      <c r="Z762" s="2"/>
    </row>
    <row r="763">
      <c r="A763" s="2"/>
      <c r="B763" s="2"/>
      <c r="C763" s="2"/>
      <c r="D763" s="2"/>
      <c r="E763" s="2"/>
      <c r="F763" s="7"/>
      <c r="G763" s="2"/>
      <c r="H763" s="7"/>
      <c r="I763" s="2"/>
      <c r="J763" s="2"/>
      <c r="K763" s="2"/>
      <c r="L763" s="2"/>
      <c r="M763" s="2"/>
      <c r="N763" s="2"/>
      <c r="O763" s="2"/>
      <c r="P763" s="2"/>
      <c r="Q763" s="2"/>
      <c r="R763" s="2"/>
      <c r="S763" s="2"/>
      <c r="T763" s="2"/>
      <c r="U763" s="2"/>
      <c r="V763" s="2"/>
      <c r="W763" s="2"/>
      <c r="X763" s="2"/>
      <c r="Y763" s="2"/>
      <c r="Z763" s="2"/>
    </row>
    <row r="764">
      <c r="A764" s="2"/>
      <c r="B764" s="2"/>
      <c r="C764" s="2"/>
      <c r="D764" s="2"/>
      <c r="E764" s="2"/>
      <c r="F764" s="7"/>
      <c r="G764" s="2"/>
      <c r="H764" s="7"/>
      <c r="I764" s="2"/>
      <c r="J764" s="2"/>
      <c r="K764" s="2"/>
      <c r="L764" s="2"/>
      <c r="M764" s="2"/>
      <c r="N764" s="2"/>
      <c r="O764" s="2"/>
      <c r="P764" s="2"/>
      <c r="Q764" s="2"/>
      <c r="R764" s="2"/>
      <c r="S764" s="2"/>
      <c r="T764" s="2"/>
      <c r="U764" s="2"/>
      <c r="V764" s="2"/>
      <c r="W764" s="2"/>
      <c r="X764" s="2"/>
      <c r="Y764" s="2"/>
      <c r="Z764" s="2"/>
    </row>
    <row r="765">
      <c r="A765" s="2"/>
      <c r="B765" s="2"/>
      <c r="C765" s="2"/>
      <c r="D765" s="2"/>
      <c r="E765" s="2"/>
      <c r="F765" s="7"/>
      <c r="G765" s="2"/>
      <c r="H765" s="7"/>
      <c r="I765" s="2"/>
      <c r="J765" s="2"/>
      <c r="K765" s="2"/>
      <c r="L765" s="2"/>
      <c r="M765" s="2"/>
      <c r="N765" s="2"/>
      <c r="O765" s="2"/>
      <c r="P765" s="2"/>
      <c r="Q765" s="2"/>
      <c r="R765" s="2"/>
      <c r="S765" s="2"/>
      <c r="T765" s="2"/>
      <c r="U765" s="2"/>
      <c r="V765" s="2"/>
      <c r="W765" s="2"/>
      <c r="X765" s="2"/>
      <c r="Y765" s="2"/>
      <c r="Z765" s="2"/>
    </row>
    <row r="766">
      <c r="A766" s="2"/>
      <c r="B766" s="2"/>
      <c r="C766" s="2"/>
      <c r="D766" s="2"/>
      <c r="E766" s="2"/>
      <c r="F766" s="7"/>
      <c r="G766" s="2"/>
      <c r="H766" s="7"/>
      <c r="I766" s="2"/>
      <c r="J766" s="2"/>
      <c r="K766" s="2"/>
      <c r="L766" s="2"/>
      <c r="M766" s="2"/>
      <c r="N766" s="2"/>
      <c r="O766" s="2"/>
      <c r="P766" s="2"/>
      <c r="Q766" s="2"/>
      <c r="R766" s="2"/>
      <c r="S766" s="2"/>
      <c r="T766" s="2"/>
      <c r="U766" s="2"/>
      <c r="V766" s="2"/>
      <c r="W766" s="2"/>
      <c r="X766" s="2"/>
      <c r="Y766" s="2"/>
      <c r="Z766" s="2"/>
    </row>
    <row r="767">
      <c r="A767" s="2"/>
      <c r="B767" s="2"/>
      <c r="C767" s="2"/>
      <c r="D767" s="2"/>
      <c r="E767" s="2"/>
      <c r="F767" s="7"/>
      <c r="G767" s="2"/>
      <c r="H767" s="7"/>
      <c r="I767" s="2"/>
      <c r="J767" s="2"/>
      <c r="K767" s="2"/>
      <c r="L767" s="2"/>
      <c r="M767" s="2"/>
      <c r="N767" s="2"/>
      <c r="O767" s="2"/>
      <c r="P767" s="2"/>
      <c r="Q767" s="2"/>
      <c r="R767" s="2"/>
      <c r="S767" s="2"/>
      <c r="T767" s="2"/>
      <c r="U767" s="2"/>
      <c r="V767" s="2"/>
      <c r="W767" s="2"/>
      <c r="X767" s="2"/>
      <c r="Y767" s="2"/>
      <c r="Z767" s="2"/>
    </row>
    <row r="768">
      <c r="A768" s="2"/>
      <c r="B768" s="2"/>
      <c r="C768" s="2"/>
      <c r="D768" s="2"/>
      <c r="E768" s="2"/>
      <c r="F768" s="7"/>
      <c r="G768" s="2"/>
      <c r="H768" s="7"/>
      <c r="I768" s="2"/>
      <c r="J768" s="2"/>
      <c r="K768" s="2"/>
      <c r="L768" s="2"/>
      <c r="M768" s="2"/>
      <c r="N768" s="2"/>
      <c r="O768" s="2"/>
      <c r="P768" s="2"/>
      <c r="Q768" s="2"/>
      <c r="R768" s="2"/>
      <c r="S768" s="2"/>
      <c r="T768" s="2"/>
      <c r="U768" s="2"/>
      <c r="V768" s="2"/>
      <c r="W768" s="2"/>
      <c r="X768" s="2"/>
      <c r="Y768" s="2"/>
      <c r="Z768" s="2"/>
    </row>
    <row r="769">
      <c r="A769" s="2"/>
      <c r="B769" s="2"/>
      <c r="C769" s="2"/>
      <c r="D769" s="2"/>
      <c r="E769" s="2"/>
      <c r="F769" s="7"/>
      <c r="G769" s="2"/>
      <c r="H769" s="7"/>
      <c r="I769" s="2"/>
      <c r="J769" s="2"/>
      <c r="K769" s="2"/>
      <c r="L769" s="2"/>
      <c r="M769" s="2"/>
      <c r="N769" s="2"/>
      <c r="O769" s="2"/>
      <c r="P769" s="2"/>
      <c r="Q769" s="2"/>
      <c r="R769" s="2"/>
      <c r="S769" s="2"/>
      <c r="T769" s="2"/>
      <c r="U769" s="2"/>
      <c r="V769" s="2"/>
      <c r="W769" s="2"/>
      <c r="X769" s="2"/>
      <c r="Y769" s="2"/>
      <c r="Z769" s="2"/>
    </row>
    <row r="770">
      <c r="A770" s="2"/>
      <c r="B770" s="2"/>
      <c r="C770" s="2"/>
      <c r="D770" s="2"/>
      <c r="E770" s="2"/>
      <c r="F770" s="7"/>
      <c r="G770" s="2"/>
      <c r="H770" s="7"/>
      <c r="I770" s="2"/>
      <c r="J770" s="2"/>
      <c r="K770" s="2"/>
      <c r="L770" s="2"/>
      <c r="M770" s="2"/>
      <c r="N770" s="2"/>
      <c r="O770" s="2"/>
      <c r="P770" s="2"/>
      <c r="Q770" s="2"/>
      <c r="R770" s="2"/>
      <c r="S770" s="2"/>
      <c r="T770" s="2"/>
      <c r="U770" s="2"/>
      <c r="V770" s="2"/>
      <c r="W770" s="2"/>
      <c r="X770" s="2"/>
      <c r="Y770" s="2"/>
      <c r="Z770" s="2"/>
    </row>
    <row r="771">
      <c r="A771" s="2"/>
      <c r="B771" s="2"/>
      <c r="C771" s="2"/>
      <c r="D771" s="2"/>
      <c r="E771" s="2"/>
      <c r="F771" s="7"/>
      <c r="G771" s="2"/>
      <c r="H771" s="7"/>
      <c r="I771" s="2"/>
      <c r="J771" s="2"/>
      <c r="K771" s="2"/>
      <c r="L771" s="2"/>
      <c r="M771" s="2"/>
      <c r="N771" s="2"/>
      <c r="O771" s="2"/>
      <c r="P771" s="2"/>
      <c r="Q771" s="2"/>
      <c r="R771" s="2"/>
      <c r="S771" s="2"/>
      <c r="T771" s="2"/>
      <c r="U771" s="2"/>
      <c r="V771" s="2"/>
      <c r="W771" s="2"/>
      <c r="X771" s="2"/>
      <c r="Y771" s="2"/>
      <c r="Z771" s="2"/>
    </row>
    <row r="772">
      <c r="A772" s="2"/>
      <c r="B772" s="2"/>
      <c r="C772" s="2"/>
      <c r="D772" s="2"/>
      <c r="E772" s="2"/>
      <c r="F772" s="7"/>
      <c r="G772" s="2"/>
      <c r="H772" s="7"/>
      <c r="I772" s="2"/>
      <c r="J772" s="2"/>
      <c r="K772" s="2"/>
      <c r="L772" s="2"/>
      <c r="M772" s="2"/>
      <c r="N772" s="2"/>
      <c r="O772" s="2"/>
      <c r="P772" s="2"/>
      <c r="Q772" s="2"/>
      <c r="R772" s="2"/>
      <c r="S772" s="2"/>
      <c r="T772" s="2"/>
      <c r="U772" s="2"/>
      <c r="V772" s="2"/>
      <c r="W772" s="2"/>
      <c r="X772" s="2"/>
      <c r="Y772" s="2"/>
      <c r="Z772" s="2"/>
    </row>
    <row r="773">
      <c r="A773" s="2"/>
      <c r="B773" s="2"/>
      <c r="C773" s="2"/>
      <c r="D773" s="2"/>
      <c r="E773" s="2"/>
      <c r="F773" s="7"/>
      <c r="G773" s="2"/>
      <c r="H773" s="7"/>
      <c r="I773" s="2"/>
      <c r="J773" s="2"/>
      <c r="K773" s="2"/>
      <c r="L773" s="2"/>
      <c r="M773" s="2"/>
      <c r="N773" s="2"/>
      <c r="O773" s="2"/>
      <c r="P773" s="2"/>
      <c r="Q773" s="2"/>
      <c r="R773" s="2"/>
      <c r="S773" s="2"/>
      <c r="T773" s="2"/>
      <c r="U773" s="2"/>
      <c r="V773" s="2"/>
      <c r="W773" s="2"/>
      <c r="X773" s="2"/>
      <c r="Y773" s="2"/>
      <c r="Z773" s="2"/>
    </row>
    <row r="774">
      <c r="A774" s="2"/>
      <c r="B774" s="2"/>
      <c r="C774" s="2"/>
      <c r="D774" s="2"/>
      <c r="E774" s="2"/>
      <c r="F774" s="7"/>
      <c r="G774" s="2"/>
      <c r="H774" s="7"/>
      <c r="I774" s="2"/>
      <c r="J774" s="2"/>
      <c r="K774" s="2"/>
      <c r="L774" s="2"/>
      <c r="M774" s="2"/>
      <c r="N774" s="2"/>
      <c r="O774" s="2"/>
      <c r="P774" s="2"/>
      <c r="Q774" s="2"/>
      <c r="R774" s="2"/>
      <c r="S774" s="2"/>
      <c r="T774" s="2"/>
      <c r="U774" s="2"/>
      <c r="V774" s="2"/>
      <c r="W774" s="2"/>
      <c r="X774" s="2"/>
      <c r="Y774" s="2"/>
      <c r="Z774" s="2"/>
    </row>
    <row r="775">
      <c r="A775" s="2"/>
      <c r="B775" s="2"/>
      <c r="C775" s="2"/>
      <c r="D775" s="2"/>
      <c r="E775" s="2"/>
      <c r="F775" s="7"/>
      <c r="G775" s="2"/>
      <c r="H775" s="7"/>
      <c r="I775" s="2"/>
      <c r="J775" s="2"/>
      <c r="K775" s="2"/>
      <c r="L775" s="2"/>
      <c r="M775" s="2"/>
      <c r="N775" s="2"/>
      <c r="O775" s="2"/>
      <c r="P775" s="2"/>
      <c r="Q775" s="2"/>
      <c r="R775" s="2"/>
      <c r="S775" s="2"/>
      <c r="T775" s="2"/>
      <c r="U775" s="2"/>
      <c r="V775" s="2"/>
      <c r="W775" s="2"/>
      <c r="X775" s="2"/>
      <c r="Y775" s="2"/>
      <c r="Z775" s="2"/>
    </row>
    <row r="776">
      <c r="A776" s="2"/>
      <c r="B776" s="2"/>
      <c r="C776" s="2"/>
      <c r="D776" s="2"/>
      <c r="E776" s="2"/>
      <c r="F776" s="7"/>
      <c r="G776" s="2"/>
      <c r="H776" s="7"/>
      <c r="I776" s="2"/>
      <c r="J776" s="2"/>
      <c r="K776" s="2"/>
      <c r="L776" s="2"/>
      <c r="M776" s="2"/>
      <c r="N776" s="2"/>
      <c r="O776" s="2"/>
      <c r="P776" s="2"/>
      <c r="Q776" s="2"/>
      <c r="R776" s="2"/>
      <c r="S776" s="2"/>
      <c r="T776" s="2"/>
      <c r="U776" s="2"/>
      <c r="V776" s="2"/>
      <c r="W776" s="2"/>
      <c r="X776" s="2"/>
      <c r="Y776" s="2"/>
      <c r="Z776" s="2"/>
    </row>
    <row r="777">
      <c r="A777" s="2"/>
      <c r="B777" s="2"/>
      <c r="C777" s="2"/>
      <c r="D777" s="2"/>
      <c r="E777" s="2"/>
      <c r="F777" s="7"/>
      <c r="G777" s="2"/>
      <c r="H777" s="7"/>
      <c r="I777" s="2"/>
      <c r="J777" s="2"/>
      <c r="K777" s="2"/>
      <c r="L777" s="2"/>
      <c r="M777" s="2"/>
      <c r="N777" s="2"/>
      <c r="O777" s="2"/>
      <c r="P777" s="2"/>
      <c r="Q777" s="2"/>
      <c r="R777" s="2"/>
      <c r="S777" s="2"/>
      <c r="T777" s="2"/>
      <c r="U777" s="2"/>
      <c r="V777" s="2"/>
      <c r="W777" s="2"/>
      <c r="X777" s="2"/>
      <c r="Y777" s="2"/>
      <c r="Z777" s="2"/>
    </row>
    <row r="778">
      <c r="A778" s="2"/>
      <c r="B778" s="2"/>
      <c r="C778" s="2"/>
      <c r="D778" s="2"/>
      <c r="E778" s="2"/>
      <c r="F778" s="7"/>
      <c r="G778" s="2"/>
      <c r="H778" s="7"/>
      <c r="I778" s="2"/>
      <c r="J778" s="2"/>
      <c r="K778" s="2"/>
      <c r="L778" s="2"/>
      <c r="M778" s="2"/>
      <c r="N778" s="2"/>
      <c r="O778" s="2"/>
      <c r="P778" s="2"/>
      <c r="Q778" s="2"/>
      <c r="R778" s="2"/>
      <c r="S778" s="2"/>
      <c r="T778" s="2"/>
      <c r="U778" s="2"/>
      <c r="V778" s="2"/>
      <c r="W778" s="2"/>
      <c r="X778" s="2"/>
      <c r="Y778" s="2"/>
      <c r="Z778" s="2"/>
    </row>
    <row r="779">
      <c r="A779" s="2"/>
      <c r="B779" s="2"/>
      <c r="C779" s="2"/>
      <c r="D779" s="2"/>
      <c r="E779" s="2"/>
      <c r="F779" s="7"/>
      <c r="G779" s="2"/>
      <c r="H779" s="7"/>
      <c r="I779" s="2"/>
      <c r="J779" s="2"/>
      <c r="K779" s="2"/>
      <c r="L779" s="2"/>
      <c r="M779" s="2"/>
      <c r="N779" s="2"/>
      <c r="O779" s="2"/>
      <c r="P779" s="2"/>
      <c r="Q779" s="2"/>
      <c r="R779" s="2"/>
      <c r="S779" s="2"/>
      <c r="T779" s="2"/>
      <c r="U779" s="2"/>
      <c r="V779" s="2"/>
      <c r="W779" s="2"/>
      <c r="X779" s="2"/>
      <c r="Y779" s="2"/>
      <c r="Z779" s="2"/>
    </row>
    <row r="780">
      <c r="A780" s="2"/>
      <c r="B780" s="2"/>
      <c r="C780" s="2"/>
      <c r="D780" s="2"/>
      <c r="E780" s="2"/>
      <c r="F780" s="7"/>
      <c r="G780" s="2"/>
      <c r="H780" s="7"/>
      <c r="I780" s="2"/>
      <c r="J780" s="2"/>
      <c r="K780" s="2"/>
      <c r="L780" s="2"/>
      <c r="M780" s="2"/>
      <c r="N780" s="2"/>
      <c r="O780" s="2"/>
      <c r="P780" s="2"/>
      <c r="Q780" s="2"/>
      <c r="R780" s="2"/>
      <c r="S780" s="2"/>
      <c r="T780" s="2"/>
      <c r="U780" s="2"/>
      <c r="V780" s="2"/>
      <c r="W780" s="2"/>
      <c r="X780" s="2"/>
      <c r="Y780" s="2"/>
      <c r="Z780" s="2"/>
    </row>
    <row r="781">
      <c r="A781" s="2"/>
      <c r="B781" s="2"/>
      <c r="C781" s="2"/>
      <c r="D781" s="2"/>
      <c r="E781" s="2"/>
      <c r="F781" s="7"/>
      <c r="G781" s="2"/>
      <c r="H781" s="7"/>
      <c r="I781" s="2"/>
      <c r="J781" s="2"/>
      <c r="K781" s="2"/>
      <c r="L781" s="2"/>
      <c r="M781" s="2"/>
      <c r="N781" s="2"/>
      <c r="O781" s="2"/>
      <c r="P781" s="2"/>
      <c r="Q781" s="2"/>
      <c r="R781" s="2"/>
      <c r="S781" s="2"/>
      <c r="T781" s="2"/>
      <c r="U781" s="2"/>
      <c r="V781" s="2"/>
      <c r="W781" s="2"/>
      <c r="X781" s="2"/>
      <c r="Y781" s="2"/>
      <c r="Z781" s="2"/>
    </row>
    <row r="782">
      <c r="A782" s="2"/>
      <c r="B782" s="2"/>
      <c r="C782" s="2"/>
      <c r="D782" s="2"/>
      <c r="E782" s="2"/>
      <c r="F782" s="7"/>
      <c r="G782" s="2"/>
      <c r="H782" s="7"/>
      <c r="I782" s="2"/>
      <c r="J782" s="2"/>
      <c r="K782" s="2"/>
      <c r="L782" s="2"/>
      <c r="M782" s="2"/>
      <c r="N782" s="2"/>
      <c r="O782" s="2"/>
      <c r="P782" s="2"/>
      <c r="Q782" s="2"/>
      <c r="R782" s="2"/>
      <c r="S782" s="2"/>
      <c r="T782" s="2"/>
      <c r="U782" s="2"/>
      <c r="V782" s="2"/>
      <c r="W782" s="2"/>
      <c r="X782" s="2"/>
      <c r="Y782" s="2"/>
      <c r="Z782" s="2"/>
    </row>
    <row r="783">
      <c r="A783" s="2"/>
      <c r="B783" s="2"/>
      <c r="C783" s="2"/>
      <c r="D783" s="2"/>
      <c r="E783" s="2"/>
      <c r="F783" s="7"/>
      <c r="G783" s="2"/>
      <c r="H783" s="7"/>
      <c r="I783" s="2"/>
      <c r="J783" s="2"/>
      <c r="K783" s="2"/>
      <c r="L783" s="2"/>
      <c r="M783" s="2"/>
      <c r="N783" s="2"/>
      <c r="O783" s="2"/>
      <c r="P783" s="2"/>
      <c r="Q783" s="2"/>
      <c r="R783" s="2"/>
      <c r="S783" s="2"/>
      <c r="T783" s="2"/>
      <c r="U783" s="2"/>
      <c r="V783" s="2"/>
      <c r="W783" s="2"/>
      <c r="X783" s="2"/>
      <c r="Y783" s="2"/>
      <c r="Z783" s="2"/>
    </row>
    <row r="784">
      <c r="A784" s="2"/>
      <c r="B784" s="2"/>
      <c r="C784" s="2"/>
      <c r="D784" s="2"/>
      <c r="E784" s="2"/>
      <c r="F784" s="7"/>
      <c r="G784" s="2"/>
      <c r="H784" s="7"/>
      <c r="I784" s="2"/>
      <c r="J784" s="2"/>
      <c r="K784" s="2"/>
      <c r="L784" s="2"/>
      <c r="M784" s="2"/>
      <c r="N784" s="2"/>
      <c r="O784" s="2"/>
      <c r="P784" s="2"/>
      <c r="Q784" s="2"/>
      <c r="R784" s="2"/>
      <c r="S784" s="2"/>
      <c r="T784" s="2"/>
      <c r="U784" s="2"/>
      <c r="V784" s="2"/>
      <c r="W784" s="2"/>
      <c r="X784" s="2"/>
      <c r="Y784" s="2"/>
      <c r="Z784" s="2"/>
    </row>
    <row r="785">
      <c r="A785" s="2"/>
      <c r="B785" s="2"/>
      <c r="C785" s="2"/>
      <c r="D785" s="2"/>
      <c r="E785" s="2"/>
      <c r="F785" s="7"/>
      <c r="G785" s="2"/>
      <c r="H785" s="7"/>
      <c r="I785" s="2"/>
      <c r="J785" s="2"/>
      <c r="K785" s="2"/>
      <c r="L785" s="2"/>
      <c r="M785" s="2"/>
      <c r="N785" s="2"/>
      <c r="O785" s="2"/>
      <c r="P785" s="2"/>
      <c r="Q785" s="2"/>
      <c r="R785" s="2"/>
      <c r="S785" s="2"/>
      <c r="T785" s="2"/>
      <c r="U785" s="2"/>
      <c r="V785" s="2"/>
      <c r="W785" s="2"/>
      <c r="X785" s="2"/>
      <c r="Y785" s="2"/>
      <c r="Z785" s="2"/>
    </row>
    <row r="786">
      <c r="A786" s="2"/>
      <c r="B786" s="2"/>
      <c r="C786" s="2"/>
      <c r="D786" s="2"/>
      <c r="E786" s="2"/>
      <c r="F786" s="7"/>
      <c r="G786" s="2"/>
      <c r="H786" s="7"/>
      <c r="I786" s="2"/>
      <c r="J786" s="2"/>
      <c r="K786" s="2"/>
      <c r="L786" s="2"/>
      <c r="M786" s="2"/>
      <c r="N786" s="2"/>
      <c r="O786" s="2"/>
      <c r="P786" s="2"/>
      <c r="Q786" s="2"/>
      <c r="R786" s="2"/>
      <c r="S786" s="2"/>
      <c r="T786" s="2"/>
      <c r="U786" s="2"/>
      <c r="V786" s="2"/>
      <c r="W786" s="2"/>
      <c r="X786" s="2"/>
      <c r="Y786" s="2"/>
      <c r="Z786" s="2"/>
    </row>
    <row r="787">
      <c r="A787" s="2"/>
      <c r="B787" s="2"/>
      <c r="C787" s="2"/>
      <c r="D787" s="2"/>
      <c r="E787" s="2"/>
      <c r="F787" s="7"/>
      <c r="G787" s="2"/>
      <c r="H787" s="7"/>
      <c r="I787" s="2"/>
      <c r="J787" s="2"/>
      <c r="K787" s="2"/>
      <c r="L787" s="2"/>
      <c r="M787" s="2"/>
      <c r="N787" s="2"/>
      <c r="O787" s="2"/>
      <c r="P787" s="2"/>
      <c r="Q787" s="2"/>
      <c r="R787" s="2"/>
      <c r="S787" s="2"/>
      <c r="T787" s="2"/>
      <c r="U787" s="2"/>
      <c r="V787" s="2"/>
      <c r="W787" s="2"/>
      <c r="X787" s="2"/>
      <c r="Y787" s="2"/>
      <c r="Z787" s="2"/>
    </row>
    <row r="788">
      <c r="A788" s="2"/>
      <c r="B788" s="2"/>
      <c r="C788" s="2"/>
      <c r="D788" s="2"/>
      <c r="E788" s="2"/>
      <c r="F788" s="7"/>
      <c r="G788" s="2"/>
      <c r="H788" s="7"/>
      <c r="I788" s="2"/>
      <c r="J788" s="2"/>
      <c r="K788" s="2"/>
      <c r="L788" s="2"/>
      <c r="M788" s="2"/>
      <c r="N788" s="2"/>
      <c r="O788" s="2"/>
      <c r="P788" s="2"/>
      <c r="Q788" s="2"/>
      <c r="R788" s="2"/>
      <c r="S788" s="2"/>
      <c r="T788" s="2"/>
      <c r="U788" s="2"/>
      <c r="V788" s="2"/>
      <c r="W788" s="2"/>
      <c r="X788" s="2"/>
      <c r="Y788" s="2"/>
      <c r="Z788" s="2"/>
    </row>
    <row r="789">
      <c r="A789" s="2"/>
      <c r="B789" s="2"/>
      <c r="C789" s="2"/>
      <c r="D789" s="2"/>
      <c r="E789" s="2"/>
      <c r="F789" s="7"/>
      <c r="G789" s="2"/>
      <c r="H789" s="7"/>
      <c r="I789" s="2"/>
      <c r="J789" s="2"/>
      <c r="K789" s="2"/>
      <c r="L789" s="2"/>
      <c r="M789" s="2"/>
      <c r="N789" s="2"/>
      <c r="O789" s="2"/>
      <c r="P789" s="2"/>
      <c r="Q789" s="2"/>
      <c r="R789" s="2"/>
      <c r="S789" s="2"/>
      <c r="T789" s="2"/>
      <c r="U789" s="2"/>
      <c r="V789" s="2"/>
      <c r="W789" s="2"/>
      <c r="X789" s="2"/>
      <c r="Y789" s="2"/>
      <c r="Z789" s="2"/>
    </row>
    <row r="790">
      <c r="A790" s="2"/>
      <c r="B790" s="2"/>
      <c r="C790" s="2"/>
      <c r="D790" s="2"/>
      <c r="E790" s="2"/>
      <c r="F790" s="7"/>
      <c r="G790" s="2"/>
      <c r="H790" s="7"/>
      <c r="I790" s="2"/>
      <c r="J790" s="2"/>
      <c r="K790" s="2"/>
      <c r="L790" s="2"/>
      <c r="M790" s="2"/>
      <c r="N790" s="2"/>
      <c r="O790" s="2"/>
      <c r="P790" s="2"/>
      <c r="Q790" s="2"/>
      <c r="R790" s="2"/>
      <c r="S790" s="2"/>
      <c r="T790" s="2"/>
      <c r="U790" s="2"/>
      <c r="V790" s="2"/>
      <c r="W790" s="2"/>
      <c r="X790" s="2"/>
      <c r="Y790" s="2"/>
      <c r="Z790" s="2"/>
    </row>
    <row r="791">
      <c r="A791" s="2"/>
      <c r="B791" s="2"/>
      <c r="C791" s="2"/>
      <c r="D791" s="2"/>
      <c r="E791" s="2"/>
      <c r="F791" s="7"/>
      <c r="G791" s="2"/>
      <c r="H791" s="7"/>
      <c r="I791" s="2"/>
      <c r="J791" s="2"/>
      <c r="K791" s="2"/>
      <c r="L791" s="2"/>
      <c r="M791" s="2"/>
      <c r="N791" s="2"/>
      <c r="O791" s="2"/>
      <c r="P791" s="2"/>
      <c r="Q791" s="2"/>
      <c r="R791" s="2"/>
      <c r="S791" s="2"/>
      <c r="T791" s="2"/>
      <c r="U791" s="2"/>
      <c r="V791" s="2"/>
      <c r="W791" s="2"/>
      <c r="X791" s="2"/>
      <c r="Y791" s="2"/>
      <c r="Z791" s="2"/>
    </row>
    <row r="792">
      <c r="A792" s="2"/>
      <c r="B792" s="2"/>
      <c r="C792" s="2"/>
      <c r="D792" s="2"/>
      <c r="E792" s="2"/>
      <c r="F792" s="7"/>
      <c r="G792" s="2"/>
      <c r="H792" s="7"/>
      <c r="I792" s="2"/>
      <c r="J792" s="2"/>
      <c r="K792" s="2"/>
      <c r="L792" s="2"/>
      <c r="M792" s="2"/>
      <c r="N792" s="2"/>
      <c r="O792" s="2"/>
      <c r="P792" s="2"/>
      <c r="Q792" s="2"/>
      <c r="R792" s="2"/>
      <c r="S792" s="2"/>
      <c r="T792" s="2"/>
      <c r="U792" s="2"/>
      <c r="V792" s="2"/>
      <c r="W792" s="2"/>
      <c r="X792" s="2"/>
      <c r="Y792" s="2"/>
      <c r="Z792" s="2"/>
    </row>
    <row r="793">
      <c r="A793" s="2"/>
      <c r="B793" s="2"/>
      <c r="C793" s="2"/>
      <c r="D793" s="2"/>
      <c r="E793" s="2"/>
      <c r="F793" s="7"/>
      <c r="G793" s="2"/>
      <c r="H793" s="7"/>
      <c r="I793" s="2"/>
      <c r="J793" s="2"/>
      <c r="K793" s="2"/>
      <c r="L793" s="2"/>
      <c r="M793" s="2"/>
      <c r="N793" s="2"/>
      <c r="O793" s="2"/>
      <c r="P793" s="2"/>
      <c r="Q793" s="2"/>
      <c r="R793" s="2"/>
      <c r="S793" s="2"/>
      <c r="T793" s="2"/>
      <c r="U793" s="2"/>
      <c r="V793" s="2"/>
      <c r="W793" s="2"/>
      <c r="X793" s="2"/>
      <c r="Y793" s="2"/>
      <c r="Z793" s="2"/>
    </row>
    <row r="794">
      <c r="A794" s="2"/>
      <c r="B794" s="2"/>
      <c r="C794" s="2"/>
      <c r="D794" s="2"/>
      <c r="E794" s="2"/>
      <c r="F794" s="7"/>
      <c r="G794" s="2"/>
      <c r="H794" s="7"/>
      <c r="I794" s="2"/>
      <c r="J794" s="2"/>
      <c r="K794" s="2"/>
      <c r="L794" s="2"/>
      <c r="M794" s="2"/>
      <c r="N794" s="2"/>
      <c r="O794" s="2"/>
      <c r="P794" s="2"/>
      <c r="Q794" s="2"/>
      <c r="R794" s="2"/>
      <c r="S794" s="2"/>
      <c r="T794" s="2"/>
      <c r="U794" s="2"/>
      <c r="V794" s="2"/>
      <c r="W794" s="2"/>
      <c r="X794" s="2"/>
      <c r="Y794" s="2"/>
      <c r="Z794" s="2"/>
    </row>
    <row r="795">
      <c r="A795" s="2"/>
      <c r="B795" s="2"/>
      <c r="C795" s="2"/>
      <c r="D795" s="2"/>
      <c r="E795" s="2"/>
      <c r="F795" s="7"/>
      <c r="G795" s="2"/>
      <c r="H795" s="7"/>
      <c r="I795" s="2"/>
      <c r="J795" s="2"/>
      <c r="K795" s="2"/>
      <c r="L795" s="2"/>
      <c r="M795" s="2"/>
      <c r="N795" s="2"/>
      <c r="O795" s="2"/>
      <c r="P795" s="2"/>
      <c r="Q795" s="2"/>
      <c r="R795" s="2"/>
      <c r="S795" s="2"/>
      <c r="T795" s="2"/>
      <c r="U795" s="2"/>
      <c r="V795" s="2"/>
      <c r="W795" s="2"/>
      <c r="X795" s="2"/>
      <c r="Y795" s="2"/>
      <c r="Z795" s="2"/>
    </row>
    <row r="796">
      <c r="A796" s="2"/>
      <c r="B796" s="2"/>
      <c r="C796" s="2"/>
      <c r="D796" s="2"/>
      <c r="E796" s="2"/>
      <c r="F796" s="7"/>
      <c r="G796" s="2"/>
      <c r="H796" s="7"/>
      <c r="I796" s="2"/>
      <c r="J796" s="2"/>
      <c r="K796" s="2"/>
      <c r="L796" s="2"/>
      <c r="M796" s="2"/>
      <c r="N796" s="2"/>
      <c r="O796" s="2"/>
      <c r="P796" s="2"/>
      <c r="Q796" s="2"/>
      <c r="R796" s="2"/>
      <c r="S796" s="2"/>
      <c r="T796" s="2"/>
      <c r="U796" s="2"/>
      <c r="V796" s="2"/>
      <c r="W796" s="2"/>
      <c r="X796" s="2"/>
      <c r="Y796" s="2"/>
      <c r="Z796" s="2"/>
    </row>
    <row r="797">
      <c r="A797" s="2"/>
      <c r="B797" s="2"/>
      <c r="C797" s="2"/>
      <c r="D797" s="2"/>
      <c r="E797" s="2"/>
      <c r="F797" s="7"/>
      <c r="G797" s="2"/>
      <c r="H797" s="7"/>
      <c r="I797" s="2"/>
      <c r="J797" s="2"/>
      <c r="K797" s="2"/>
      <c r="L797" s="2"/>
      <c r="M797" s="2"/>
      <c r="N797" s="2"/>
      <c r="O797" s="2"/>
      <c r="P797" s="2"/>
      <c r="Q797" s="2"/>
      <c r="R797" s="2"/>
      <c r="S797" s="2"/>
      <c r="T797" s="2"/>
      <c r="U797" s="2"/>
      <c r="V797" s="2"/>
      <c r="W797" s="2"/>
      <c r="X797" s="2"/>
      <c r="Y797" s="2"/>
      <c r="Z797" s="2"/>
    </row>
    <row r="798">
      <c r="A798" s="2"/>
      <c r="B798" s="2"/>
      <c r="C798" s="2"/>
      <c r="D798" s="2"/>
      <c r="E798" s="2"/>
      <c r="F798" s="7"/>
      <c r="G798" s="2"/>
      <c r="H798" s="7"/>
      <c r="I798" s="2"/>
      <c r="J798" s="2"/>
      <c r="K798" s="2"/>
      <c r="L798" s="2"/>
      <c r="M798" s="2"/>
      <c r="N798" s="2"/>
      <c r="O798" s="2"/>
      <c r="P798" s="2"/>
      <c r="Q798" s="2"/>
      <c r="R798" s="2"/>
      <c r="S798" s="2"/>
      <c r="T798" s="2"/>
      <c r="U798" s="2"/>
      <c r="V798" s="2"/>
      <c r="W798" s="2"/>
      <c r="X798" s="2"/>
      <c r="Y798" s="2"/>
      <c r="Z798" s="2"/>
    </row>
    <row r="799">
      <c r="A799" s="2"/>
      <c r="B799" s="2"/>
      <c r="C799" s="2"/>
      <c r="D799" s="2"/>
      <c r="E799" s="2"/>
      <c r="F799" s="7"/>
      <c r="G799" s="2"/>
      <c r="H799" s="7"/>
      <c r="I799" s="2"/>
      <c r="J799" s="2"/>
      <c r="K799" s="2"/>
      <c r="L799" s="2"/>
      <c r="M799" s="2"/>
      <c r="N799" s="2"/>
      <c r="O799" s="2"/>
      <c r="P799" s="2"/>
      <c r="Q799" s="2"/>
      <c r="R799" s="2"/>
      <c r="S799" s="2"/>
      <c r="T799" s="2"/>
      <c r="U799" s="2"/>
      <c r="V799" s="2"/>
      <c r="W799" s="2"/>
      <c r="X799" s="2"/>
      <c r="Y799" s="2"/>
      <c r="Z799" s="2"/>
    </row>
    <row r="800">
      <c r="A800" s="2"/>
      <c r="B800" s="2"/>
      <c r="C800" s="2"/>
      <c r="D800" s="2"/>
      <c r="E800" s="2"/>
      <c r="F800" s="7"/>
      <c r="G800" s="2"/>
      <c r="H800" s="7"/>
      <c r="I800" s="2"/>
      <c r="J800" s="2"/>
      <c r="K800" s="2"/>
      <c r="L800" s="2"/>
      <c r="M800" s="2"/>
      <c r="N800" s="2"/>
      <c r="O800" s="2"/>
      <c r="P800" s="2"/>
      <c r="Q800" s="2"/>
      <c r="R800" s="2"/>
      <c r="S800" s="2"/>
      <c r="T800" s="2"/>
      <c r="U800" s="2"/>
      <c r="V800" s="2"/>
      <c r="W800" s="2"/>
      <c r="X800" s="2"/>
      <c r="Y800" s="2"/>
      <c r="Z800" s="2"/>
    </row>
    <row r="801">
      <c r="A801" s="2"/>
      <c r="B801" s="2"/>
      <c r="C801" s="2"/>
      <c r="D801" s="2"/>
      <c r="E801" s="2"/>
      <c r="F801" s="7"/>
      <c r="G801" s="2"/>
      <c r="H801" s="7"/>
      <c r="I801" s="2"/>
      <c r="J801" s="2"/>
      <c r="K801" s="2"/>
      <c r="L801" s="2"/>
      <c r="M801" s="2"/>
      <c r="N801" s="2"/>
      <c r="O801" s="2"/>
      <c r="P801" s="2"/>
      <c r="Q801" s="2"/>
      <c r="R801" s="2"/>
      <c r="S801" s="2"/>
      <c r="T801" s="2"/>
      <c r="U801" s="2"/>
      <c r="V801" s="2"/>
      <c r="W801" s="2"/>
      <c r="X801" s="2"/>
      <c r="Y801" s="2"/>
      <c r="Z801" s="2"/>
    </row>
    <row r="802">
      <c r="A802" s="2"/>
      <c r="B802" s="2"/>
      <c r="C802" s="2"/>
      <c r="D802" s="2"/>
      <c r="E802" s="2"/>
      <c r="F802" s="7"/>
      <c r="G802" s="2"/>
      <c r="H802" s="7"/>
      <c r="I802" s="2"/>
      <c r="J802" s="2"/>
      <c r="K802" s="2"/>
      <c r="L802" s="2"/>
      <c r="M802" s="2"/>
      <c r="N802" s="2"/>
      <c r="O802" s="2"/>
      <c r="P802" s="2"/>
      <c r="Q802" s="2"/>
      <c r="R802" s="2"/>
      <c r="S802" s="2"/>
      <c r="T802" s="2"/>
      <c r="U802" s="2"/>
      <c r="V802" s="2"/>
      <c r="W802" s="2"/>
      <c r="X802" s="2"/>
      <c r="Y802" s="2"/>
      <c r="Z802" s="2"/>
    </row>
    <row r="803">
      <c r="A803" s="2"/>
      <c r="B803" s="2"/>
      <c r="C803" s="2"/>
      <c r="D803" s="2"/>
      <c r="E803" s="2"/>
      <c r="F803" s="7"/>
      <c r="G803" s="2"/>
      <c r="H803" s="7"/>
      <c r="I803" s="2"/>
      <c r="J803" s="2"/>
      <c r="K803" s="2"/>
      <c r="L803" s="2"/>
      <c r="M803" s="2"/>
      <c r="N803" s="2"/>
      <c r="O803" s="2"/>
      <c r="P803" s="2"/>
      <c r="Q803" s="2"/>
      <c r="R803" s="2"/>
      <c r="S803" s="2"/>
      <c r="T803" s="2"/>
      <c r="U803" s="2"/>
      <c r="V803" s="2"/>
      <c r="W803" s="2"/>
      <c r="X803" s="2"/>
      <c r="Y803" s="2"/>
      <c r="Z803" s="2"/>
    </row>
    <row r="804">
      <c r="A804" s="2"/>
      <c r="B804" s="2"/>
      <c r="C804" s="2"/>
      <c r="D804" s="2"/>
      <c r="E804" s="2"/>
      <c r="F804" s="7"/>
      <c r="G804" s="2"/>
      <c r="H804" s="7"/>
      <c r="I804" s="2"/>
      <c r="J804" s="2"/>
      <c r="K804" s="2"/>
      <c r="L804" s="2"/>
      <c r="M804" s="2"/>
      <c r="N804" s="2"/>
      <c r="O804" s="2"/>
      <c r="P804" s="2"/>
      <c r="Q804" s="2"/>
      <c r="R804" s="2"/>
      <c r="S804" s="2"/>
      <c r="T804" s="2"/>
      <c r="U804" s="2"/>
      <c r="V804" s="2"/>
      <c r="W804" s="2"/>
      <c r="X804" s="2"/>
      <c r="Y804" s="2"/>
      <c r="Z804" s="2"/>
    </row>
    <row r="805">
      <c r="A805" s="2"/>
      <c r="B805" s="2"/>
      <c r="C805" s="2"/>
      <c r="D805" s="2"/>
      <c r="E805" s="2"/>
      <c r="F805" s="7"/>
      <c r="G805" s="2"/>
      <c r="H805" s="7"/>
      <c r="I805" s="2"/>
      <c r="J805" s="2"/>
      <c r="K805" s="2"/>
      <c r="L805" s="2"/>
      <c r="M805" s="2"/>
      <c r="N805" s="2"/>
      <c r="O805" s="2"/>
      <c r="P805" s="2"/>
      <c r="Q805" s="2"/>
      <c r="R805" s="2"/>
      <c r="S805" s="2"/>
      <c r="T805" s="2"/>
      <c r="U805" s="2"/>
      <c r="V805" s="2"/>
      <c r="W805" s="2"/>
      <c r="X805" s="2"/>
      <c r="Y805" s="2"/>
      <c r="Z805" s="2"/>
    </row>
    <row r="806">
      <c r="A806" s="2"/>
      <c r="B806" s="2"/>
      <c r="C806" s="2"/>
      <c r="D806" s="2"/>
      <c r="E806" s="2"/>
      <c r="F806" s="7"/>
      <c r="G806" s="2"/>
      <c r="H806" s="7"/>
      <c r="I806" s="2"/>
      <c r="J806" s="2"/>
      <c r="K806" s="2"/>
      <c r="L806" s="2"/>
      <c r="M806" s="2"/>
      <c r="N806" s="2"/>
      <c r="O806" s="2"/>
      <c r="P806" s="2"/>
      <c r="Q806" s="2"/>
      <c r="R806" s="2"/>
      <c r="S806" s="2"/>
      <c r="T806" s="2"/>
      <c r="U806" s="2"/>
      <c r="V806" s="2"/>
      <c r="W806" s="2"/>
      <c r="X806" s="2"/>
      <c r="Y806" s="2"/>
      <c r="Z806" s="2"/>
    </row>
    <row r="807">
      <c r="A807" s="2"/>
      <c r="B807" s="2"/>
      <c r="C807" s="2"/>
      <c r="D807" s="2"/>
      <c r="E807" s="2"/>
      <c r="F807" s="7"/>
      <c r="G807" s="2"/>
      <c r="H807" s="7"/>
      <c r="I807" s="2"/>
      <c r="J807" s="2"/>
      <c r="K807" s="2"/>
      <c r="L807" s="2"/>
      <c r="M807" s="2"/>
      <c r="N807" s="2"/>
      <c r="O807" s="2"/>
      <c r="P807" s="2"/>
      <c r="Q807" s="2"/>
      <c r="R807" s="2"/>
      <c r="S807" s="2"/>
      <c r="T807" s="2"/>
      <c r="U807" s="2"/>
      <c r="V807" s="2"/>
      <c r="W807" s="2"/>
      <c r="X807" s="2"/>
      <c r="Y807" s="2"/>
      <c r="Z807" s="2"/>
    </row>
    <row r="808">
      <c r="A808" s="2"/>
      <c r="B808" s="2"/>
      <c r="C808" s="2"/>
      <c r="D808" s="2"/>
      <c r="E808" s="2"/>
      <c r="F808" s="7"/>
      <c r="G808" s="2"/>
      <c r="H808" s="7"/>
      <c r="I808" s="2"/>
      <c r="J808" s="2"/>
      <c r="K808" s="2"/>
      <c r="L808" s="2"/>
      <c r="M808" s="2"/>
      <c r="N808" s="2"/>
      <c r="O808" s="2"/>
      <c r="P808" s="2"/>
      <c r="Q808" s="2"/>
      <c r="R808" s="2"/>
      <c r="S808" s="2"/>
      <c r="T808" s="2"/>
      <c r="U808" s="2"/>
      <c r="V808" s="2"/>
      <c r="W808" s="2"/>
      <c r="X808" s="2"/>
      <c r="Y808" s="2"/>
      <c r="Z808" s="2"/>
    </row>
    <row r="809">
      <c r="A809" s="2"/>
      <c r="B809" s="2"/>
      <c r="C809" s="2"/>
      <c r="D809" s="2"/>
      <c r="E809" s="2"/>
      <c r="F809" s="7"/>
      <c r="G809" s="2"/>
      <c r="H809" s="7"/>
      <c r="I809" s="2"/>
      <c r="J809" s="2"/>
      <c r="K809" s="2"/>
      <c r="L809" s="2"/>
      <c r="M809" s="2"/>
      <c r="N809" s="2"/>
      <c r="O809" s="2"/>
      <c r="P809" s="2"/>
      <c r="Q809" s="2"/>
      <c r="R809" s="2"/>
      <c r="S809" s="2"/>
      <c r="T809" s="2"/>
      <c r="U809" s="2"/>
      <c r="V809" s="2"/>
      <c r="W809" s="2"/>
      <c r="X809" s="2"/>
      <c r="Y809" s="2"/>
      <c r="Z809" s="2"/>
    </row>
    <row r="810">
      <c r="A810" s="2"/>
      <c r="B810" s="2"/>
      <c r="C810" s="2"/>
      <c r="D810" s="2"/>
      <c r="E810" s="2"/>
      <c r="F810" s="7"/>
      <c r="G810" s="2"/>
      <c r="H810" s="7"/>
      <c r="I810" s="2"/>
      <c r="J810" s="2"/>
      <c r="K810" s="2"/>
      <c r="L810" s="2"/>
      <c r="M810" s="2"/>
      <c r="N810" s="2"/>
      <c r="O810" s="2"/>
      <c r="P810" s="2"/>
      <c r="Q810" s="2"/>
      <c r="R810" s="2"/>
      <c r="S810" s="2"/>
      <c r="T810" s="2"/>
      <c r="U810" s="2"/>
      <c r="V810" s="2"/>
      <c r="W810" s="2"/>
      <c r="X810" s="2"/>
      <c r="Y810" s="2"/>
      <c r="Z810" s="2"/>
    </row>
    <row r="811">
      <c r="A811" s="2"/>
      <c r="B811" s="2"/>
      <c r="C811" s="2"/>
      <c r="D811" s="2"/>
      <c r="E811" s="2"/>
      <c r="F811" s="7"/>
      <c r="G811" s="2"/>
      <c r="H811" s="7"/>
      <c r="I811" s="2"/>
      <c r="J811" s="2"/>
      <c r="K811" s="2"/>
      <c r="L811" s="2"/>
      <c r="M811" s="2"/>
      <c r="N811" s="2"/>
      <c r="O811" s="2"/>
      <c r="P811" s="2"/>
      <c r="Q811" s="2"/>
      <c r="R811" s="2"/>
      <c r="S811" s="2"/>
      <c r="T811" s="2"/>
      <c r="U811" s="2"/>
      <c r="V811" s="2"/>
      <c r="W811" s="2"/>
      <c r="X811" s="2"/>
      <c r="Y811" s="2"/>
      <c r="Z811" s="2"/>
    </row>
    <row r="812">
      <c r="A812" s="2"/>
      <c r="B812" s="2"/>
      <c r="C812" s="2"/>
      <c r="D812" s="2"/>
      <c r="E812" s="2"/>
      <c r="F812" s="7"/>
      <c r="G812" s="2"/>
      <c r="H812" s="7"/>
      <c r="I812" s="2"/>
      <c r="J812" s="2"/>
      <c r="K812" s="2"/>
      <c r="L812" s="2"/>
      <c r="M812" s="2"/>
      <c r="N812" s="2"/>
      <c r="O812" s="2"/>
      <c r="P812" s="2"/>
      <c r="Q812" s="2"/>
      <c r="R812" s="2"/>
      <c r="S812" s="2"/>
      <c r="T812" s="2"/>
      <c r="U812" s="2"/>
      <c r="V812" s="2"/>
      <c r="W812" s="2"/>
      <c r="X812" s="2"/>
      <c r="Y812" s="2"/>
      <c r="Z812" s="2"/>
    </row>
    <row r="813">
      <c r="A813" s="2"/>
      <c r="B813" s="2"/>
      <c r="C813" s="2"/>
      <c r="D813" s="2"/>
      <c r="E813" s="2"/>
      <c r="F813" s="7"/>
      <c r="G813" s="2"/>
      <c r="H813" s="7"/>
      <c r="I813" s="2"/>
      <c r="J813" s="2"/>
      <c r="K813" s="2"/>
      <c r="L813" s="2"/>
      <c r="M813" s="2"/>
      <c r="N813" s="2"/>
      <c r="O813" s="2"/>
      <c r="P813" s="2"/>
      <c r="Q813" s="2"/>
      <c r="R813" s="2"/>
      <c r="S813" s="2"/>
      <c r="T813" s="2"/>
      <c r="U813" s="2"/>
      <c r="V813" s="2"/>
      <c r="W813" s="2"/>
      <c r="X813" s="2"/>
      <c r="Y813" s="2"/>
      <c r="Z813" s="2"/>
    </row>
    <row r="814">
      <c r="A814" s="2"/>
      <c r="B814" s="2"/>
      <c r="C814" s="2"/>
      <c r="D814" s="2"/>
      <c r="E814" s="2"/>
      <c r="F814" s="7"/>
      <c r="G814" s="2"/>
      <c r="H814" s="7"/>
      <c r="I814" s="2"/>
      <c r="J814" s="2"/>
      <c r="K814" s="2"/>
      <c r="L814" s="2"/>
      <c r="M814" s="2"/>
      <c r="N814" s="2"/>
      <c r="O814" s="2"/>
      <c r="P814" s="2"/>
      <c r="Q814" s="2"/>
      <c r="R814" s="2"/>
      <c r="S814" s="2"/>
      <c r="T814" s="2"/>
      <c r="U814" s="2"/>
      <c r="V814" s="2"/>
      <c r="W814" s="2"/>
      <c r="X814" s="2"/>
      <c r="Y814" s="2"/>
      <c r="Z814" s="2"/>
    </row>
    <row r="815">
      <c r="A815" s="2"/>
      <c r="B815" s="2"/>
      <c r="C815" s="2"/>
      <c r="D815" s="2"/>
      <c r="E815" s="2"/>
      <c r="F815" s="7"/>
      <c r="G815" s="2"/>
      <c r="H815" s="7"/>
      <c r="I815" s="2"/>
      <c r="J815" s="2"/>
      <c r="K815" s="2"/>
      <c r="L815" s="2"/>
      <c r="M815" s="2"/>
      <c r="N815" s="2"/>
      <c r="O815" s="2"/>
      <c r="P815" s="2"/>
      <c r="Q815" s="2"/>
      <c r="R815" s="2"/>
      <c r="S815" s="2"/>
      <c r="T815" s="2"/>
      <c r="U815" s="2"/>
      <c r="V815" s="2"/>
      <c r="W815" s="2"/>
      <c r="X815" s="2"/>
      <c r="Y815" s="2"/>
      <c r="Z815" s="2"/>
    </row>
    <row r="816">
      <c r="A816" s="2"/>
      <c r="B816" s="2"/>
      <c r="C816" s="2"/>
      <c r="D816" s="2"/>
      <c r="E816" s="2"/>
      <c r="F816" s="7"/>
      <c r="G816" s="2"/>
      <c r="H816" s="7"/>
      <c r="I816" s="2"/>
      <c r="J816" s="2"/>
      <c r="K816" s="2"/>
      <c r="L816" s="2"/>
      <c r="M816" s="2"/>
      <c r="N816" s="2"/>
      <c r="O816" s="2"/>
      <c r="P816" s="2"/>
      <c r="Q816" s="2"/>
      <c r="R816" s="2"/>
      <c r="S816" s="2"/>
      <c r="T816" s="2"/>
      <c r="U816" s="2"/>
      <c r="V816" s="2"/>
      <c r="W816" s="2"/>
      <c r="X816" s="2"/>
      <c r="Y816" s="2"/>
      <c r="Z816" s="2"/>
    </row>
    <row r="817">
      <c r="A817" s="2"/>
      <c r="B817" s="2"/>
      <c r="C817" s="2"/>
      <c r="D817" s="2"/>
      <c r="E817" s="2"/>
      <c r="F817" s="7"/>
      <c r="G817" s="2"/>
      <c r="H817" s="7"/>
      <c r="I817" s="2"/>
      <c r="J817" s="2"/>
      <c r="K817" s="2"/>
      <c r="L817" s="2"/>
      <c r="M817" s="2"/>
      <c r="N817" s="2"/>
      <c r="O817" s="2"/>
      <c r="P817" s="2"/>
      <c r="Q817" s="2"/>
      <c r="R817" s="2"/>
      <c r="S817" s="2"/>
      <c r="T817" s="2"/>
      <c r="U817" s="2"/>
      <c r="V817" s="2"/>
      <c r="W817" s="2"/>
      <c r="X817" s="2"/>
      <c r="Y817" s="2"/>
      <c r="Z817" s="2"/>
    </row>
    <row r="818">
      <c r="A818" s="2"/>
      <c r="B818" s="2"/>
      <c r="C818" s="2"/>
      <c r="D818" s="2"/>
      <c r="E818" s="2"/>
      <c r="F818" s="7"/>
      <c r="G818" s="2"/>
      <c r="H818" s="7"/>
      <c r="I818" s="2"/>
      <c r="J818" s="2"/>
      <c r="K818" s="2"/>
      <c r="L818" s="2"/>
      <c r="M818" s="2"/>
      <c r="N818" s="2"/>
      <c r="O818" s="2"/>
      <c r="P818" s="2"/>
      <c r="Q818" s="2"/>
      <c r="R818" s="2"/>
      <c r="S818" s="2"/>
      <c r="T818" s="2"/>
      <c r="U818" s="2"/>
      <c r="V818" s="2"/>
      <c r="W818" s="2"/>
      <c r="X818" s="2"/>
      <c r="Y818" s="2"/>
      <c r="Z818" s="2"/>
    </row>
    <row r="819">
      <c r="A819" s="2"/>
      <c r="B819" s="2"/>
      <c r="C819" s="2"/>
      <c r="D819" s="2"/>
      <c r="E819" s="2"/>
      <c r="F819" s="7"/>
      <c r="G819" s="2"/>
      <c r="H819" s="7"/>
      <c r="I819" s="2"/>
      <c r="J819" s="2"/>
      <c r="K819" s="2"/>
      <c r="L819" s="2"/>
      <c r="M819" s="2"/>
      <c r="N819" s="2"/>
      <c r="O819" s="2"/>
      <c r="P819" s="2"/>
      <c r="Q819" s="2"/>
      <c r="R819" s="2"/>
      <c r="S819" s="2"/>
      <c r="T819" s="2"/>
      <c r="U819" s="2"/>
      <c r="V819" s="2"/>
      <c r="W819" s="2"/>
      <c r="X819" s="2"/>
      <c r="Y819" s="2"/>
      <c r="Z819" s="2"/>
    </row>
    <row r="820">
      <c r="A820" s="2"/>
      <c r="B820" s="2"/>
      <c r="C820" s="2"/>
      <c r="D820" s="2"/>
      <c r="E820" s="2"/>
      <c r="F820" s="7"/>
      <c r="G820" s="2"/>
      <c r="H820" s="7"/>
      <c r="I820" s="2"/>
      <c r="J820" s="2"/>
      <c r="K820" s="2"/>
      <c r="L820" s="2"/>
      <c r="M820" s="2"/>
      <c r="N820" s="2"/>
      <c r="O820" s="2"/>
      <c r="P820" s="2"/>
      <c r="Q820" s="2"/>
      <c r="R820" s="2"/>
      <c r="S820" s="2"/>
      <c r="T820" s="2"/>
      <c r="U820" s="2"/>
      <c r="V820" s="2"/>
      <c r="W820" s="2"/>
      <c r="X820" s="2"/>
      <c r="Y820" s="2"/>
      <c r="Z820" s="2"/>
    </row>
    <row r="821">
      <c r="A821" s="2"/>
      <c r="B821" s="2"/>
      <c r="C821" s="2"/>
      <c r="D821" s="2"/>
      <c r="E821" s="2"/>
      <c r="F821" s="7"/>
      <c r="G821" s="2"/>
      <c r="H821" s="7"/>
      <c r="I821" s="2"/>
      <c r="J821" s="2"/>
      <c r="K821" s="2"/>
      <c r="L821" s="2"/>
      <c r="M821" s="2"/>
      <c r="N821" s="2"/>
      <c r="O821" s="2"/>
      <c r="P821" s="2"/>
      <c r="Q821" s="2"/>
      <c r="R821" s="2"/>
      <c r="S821" s="2"/>
      <c r="T821" s="2"/>
      <c r="U821" s="2"/>
      <c r="V821" s="2"/>
      <c r="W821" s="2"/>
      <c r="X821" s="2"/>
      <c r="Y821" s="2"/>
      <c r="Z821" s="2"/>
    </row>
    <row r="822">
      <c r="A822" s="2"/>
      <c r="B822" s="2"/>
      <c r="C822" s="2"/>
      <c r="D822" s="2"/>
      <c r="E822" s="2"/>
      <c r="F822" s="7"/>
      <c r="G822" s="2"/>
      <c r="H822" s="7"/>
      <c r="I822" s="2"/>
      <c r="J822" s="2"/>
      <c r="K822" s="2"/>
      <c r="L822" s="2"/>
      <c r="M822" s="2"/>
      <c r="N822" s="2"/>
      <c r="O822" s="2"/>
      <c r="P822" s="2"/>
      <c r="Q822" s="2"/>
      <c r="R822" s="2"/>
      <c r="S822" s="2"/>
      <c r="T822" s="2"/>
      <c r="U822" s="2"/>
      <c r="V822" s="2"/>
      <c r="W822" s="2"/>
      <c r="X822" s="2"/>
      <c r="Y822" s="2"/>
      <c r="Z822" s="2"/>
    </row>
    <row r="823">
      <c r="A823" s="2"/>
      <c r="B823" s="2"/>
      <c r="C823" s="2"/>
      <c r="D823" s="2"/>
      <c r="E823" s="2"/>
      <c r="F823" s="7"/>
      <c r="G823" s="2"/>
      <c r="H823" s="7"/>
      <c r="I823" s="2"/>
      <c r="J823" s="2"/>
      <c r="K823" s="2"/>
      <c r="L823" s="2"/>
      <c r="M823" s="2"/>
      <c r="N823" s="2"/>
      <c r="O823" s="2"/>
      <c r="P823" s="2"/>
      <c r="Q823" s="2"/>
      <c r="R823" s="2"/>
      <c r="S823" s="2"/>
      <c r="T823" s="2"/>
      <c r="U823" s="2"/>
      <c r="V823" s="2"/>
      <c r="W823" s="2"/>
      <c r="X823" s="2"/>
      <c r="Y823" s="2"/>
      <c r="Z823" s="2"/>
    </row>
    <row r="824">
      <c r="A824" s="2"/>
      <c r="B824" s="2"/>
      <c r="C824" s="2"/>
      <c r="D824" s="2"/>
      <c r="E824" s="2"/>
      <c r="F824" s="7"/>
      <c r="G824" s="2"/>
      <c r="H824" s="7"/>
      <c r="I824" s="2"/>
      <c r="J824" s="2"/>
      <c r="K824" s="2"/>
      <c r="L824" s="2"/>
      <c r="M824" s="2"/>
      <c r="N824" s="2"/>
      <c r="O824" s="2"/>
      <c r="P824" s="2"/>
      <c r="Q824" s="2"/>
      <c r="R824" s="2"/>
      <c r="S824" s="2"/>
      <c r="T824" s="2"/>
      <c r="U824" s="2"/>
      <c r="V824" s="2"/>
      <c r="W824" s="2"/>
      <c r="X824" s="2"/>
      <c r="Y824" s="2"/>
      <c r="Z824" s="2"/>
    </row>
    <row r="825">
      <c r="A825" s="2"/>
      <c r="B825" s="2"/>
      <c r="C825" s="2"/>
      <c r="D825" s="2"/>
      <c r="E825" s="2"/>
      <c r="F825" s="7"/>
      <c r="G825" s="2"/>
      <c r="H825" s="7"/>
      <c r="I825" s="2"/>
      <c r="J825" s="2"/>
      <c r="K825" s="2"/>
      <c r="L825" s="2"/>
      <c r="M825" s="2"/>
      <c r="N825" s="2"/>
      <c r="O825" s="2"/>
      <c r="P825" s="2"/>
      <c r="Q825" s="2"/>
      <c r="R825" s="2"/>
      <c r="S825" s="2"/>
      <c r="T825" s="2"/>
      <c r="U825" s="2"/>
      <c r="V825" s="2"/>
      <c r="W825" s="2"/>
      <c r="X825" s="2"/>
      <c r="Y825" s="2"/>
      <c r="Z825" s="2"/>
    </row>
    <row r="826">
      <c r="A826" s="2"/>
      <c r="B826" s="2"/>
      <c r="C826" s="2"/>
      <c r="D826" s="2"/>
      <c r="E826" s="2"/>
      <c r="F826" s="7"/>
      <c r="G826" s="2"/>
      <c r="H826" s="7"/>
      <c r="I826" s="2"/>
      <c r="J826" s="2"/>
      <c r="K826" s="2"/>
      <c r="L826" s="2"/>
      <c r="M826" s="2"/>
      <c r="N826" s="2"/>
      <c r="O826" s="2"/>
      <c r="P826" s="2"/>
      <c r="Q826" s="2"/>
      <c r="R826" s="2"/>
      <c r="S826" s="2"/>
      <c r="T826" s="2"/>
      <c r="U826" s="2"/>
      <c r="V826" s="2"/>
      <c r="W826" s="2"/>
      <c r="X826" s="2"/>
      <c r="Y826" s="2"/>
      <c r="Z826" s="2"/>
    </row>
    <row r="827">
      <c r="A827" s="2"/>
      <c r="B827" s="2"/>
      <c r="C827" s="2"/>
      <c r="D827" s="2"/>
      <c r="E827" s="2"/>
      <c r="F827" s="7"/>
      <c r="G827" s="2"/>
      <c r="H827" s="7"/>
      <c r="I827" s="2"/>
      <c r="J827" s="2"/>
      <c r="K827" s="2"/>
      <c r="L827" s="2"/>
      <c r="M827" s="2"/>
      <c r="N827" s="2"/>
      <c r="O827" s="2"/>
      <c r="P827" s="2"/>
      <c r="Q827" s="2"/>
      <c r="R827" s="2"/>
      <c r="S827" s="2"/>
      <c r="T827" s="2"/>
      <c r="U827" s="2"/>
      <c r="V827" s="2"/>
      <c r="W827" s="2"/>
      <c r="X827" s="2"/>
      <c r="Y827" s="2"/>
      <c r="Z827" s="2"/>
    </row>
    <row r="828">
      <c r="A828" s="2"/>
      <c r="B828" s="2"/>
      <c r="C828" s="2"/>
      <c r="D828" s="2"/>
      <c r="E828" s="2"/>
      <c r="F828" s="7"/>
      <c r="G828" s="2"/>
      <c r="H828" s="7"/>
      <c r="I828" s="2"/>
      <c r="J828" s="2"/>
      <c r="K828" s="2"/>
      <c r="L828" s="2"/>
      <c r="M828" s="2"/>
      <c r="N828" s="2"/>
      <c r="O828" s="2"/>
      <c r="P828" s="2"/>
      <c r="Q828" s="2"/>
      <c r="R828" s="2"/>
      <c r="S828" s="2"/>
      <c r="T828" s="2"/>
      <c r="U828" s="2"/>
      <c r="V828" s="2"/>
      <c r="W828" s="2"/>
      <c r="X828" s="2"/>
      <c r="Y828" s="2"/>
      <c r="Z828" s="2"/>
    </row>
    <row r="829">
      <c r="A829" s="2"/>
      <c r="B829" s="2"/>
      <c r="C829" s="2"/>
      <c r="D829" s="2"/>
      <c r="E829" s="2"/>
      <c r="F829" s="7"/>
      <c r="G829" s="2"/>
      <c r="H829" s="7"/>
      <c r="I829" s="2"/>
      <c r="J829" s="2"/>
      <c r="K829" s="2"/>
      <c r="L829" s="2"/>
      <c r="M829" s="2"/>
      <c r="N829" s="2"/>
      <c r="O829" s="2"/>
      <c r="P829" s="2"/>
      <c r="Q829" s="2"/>
      <c r="R829" s="2"/>
      <c r="S829" s="2"/>
      <c r="T829" s="2"/>
      <c r="U829" s="2"/>
      <c r="V829" s="2"/>
      <c r="W829" s="2"/>
      <c r="X829" s="2"/>
      <c r="Y829" s="2"/>
      <c r="Z829" s="2"/>
    </row>
    <row r="830">
      <c r="A830" s="2"/>
      <c r="B830" s="2"/>
      <c r="C830" s="2"/>
      <c r="D830" s="2"/>
      <c r="E830" s="2"/>
      <c r="F830" s="7"/>
      <c r="G830" s="2"/>
      <c r="H830" s="7"/>
      <c r="I830" s="2"/>
      <c r="J830" s="2"/>
      <c r="K830" s="2"/>
      <c r="L830" s="2"/>
      <c r="M830" s="2"/>
      <c r="N830" s="2"/>
      <c r="O830" s="2"/>
      <c r="P830" s="2"/>
      <c r="Q830" s="2"/>
      <c r="R830" s="2"/>
      <c r="S830" s="2"/>
      <c r="T830" s="2"/>
      <c r="U830" s="2"/>
      <c r="V830" s="2"/>
      <c r="W830" s="2"/>
      <c r="X830" s="2"/>
      <c r="Y830" s="2"/>
      <c r="Z830" s="2"/>
    </row>
    <row r="831">
      <c r="A831" s="2"/>
      <c r="B831" s="2"/>
      <c r="C831" s="2"/>
      <c r="D831" s="2"/>
      <c r="E831" s="2"/>
      <c r="F831" s="7"/>
      <c r="G831" s="2"/>
      <c r="H831" s="7"/>
      <c r="I831" s="2"/>
      <c r="J831" s="2"/>
      <c r="K831" s="2"/>
      <c r="L831" s="2"/>
      <c r="M831" s="2"/>
      <c r="N831" s="2"/>
      <c r="O831" s="2"/>
      <c r="P831" s="2"/>
      <c r="Q831" s="2"/>
      <c r="R831" s="2"/>
      <c r="S831" s="2"/>
      <c r="T831" s="2"/>
      <c r="U831" s="2"/>
      <c r="V831" s="2"/>
      <c r="W831" s="2"/>
      <c r="X831" s="2"/>
      <c r="Y831" s="2"/>
      <c r="Z831" s="2"/>
    </row>
    <row r="832">
      <c r="A832" s="2"/>
      <c r="B832" s="2"/>
      <c r="C832" s="2"/>
      <c r="D832" s="2"/>
      <c r="E832" s="2"/>
      <c r="F832" s="7"/>
      <c r="G832" s="2"/>
      <c r="H832" s="7"/>
      <c r="I832" s="2"/>
      <c r="J832" s="2"/>
      <c r="K832" s="2"/>
      <c r="L832" s="2"/>
      <c r="M832" s="2"/>
      <c r="N832" s="2"/>
      <c r="O832" s="2"/>
      <c r="P832" s="2"/>
      <c r="Q832" s="2"/>
      <c r="R832" s="2"/>
      <c r="S832" s="2"/>
      <c r="T832" s="2"/>
      <c r="U832" s="2"/>
      <c r="V832" s="2"/>
      <c r="W832" s="2"/>
      <c r="X832" s="2"/>
      <c r="Y832" s="2"/>
      <c r="Z832" s="2"/>
    </row>
    <row r="833">
      <c r="A833" s="2"/>
      <c r="B833" s="2"/>
      <c r="C833" s="2"/>
      <c r="D833" s="2"/>
      <c r="E833" s="2"/>
      <c r="F833" s="7"/>
      <c r="G833" s="2"/>
      <c r="H833" s="7"/>
      <c r="I833" s="2"/>
      <c r="J833" s="2"/>
      <c r="K833" s="2"/>
      <c r="L833" s="2"/>
      <c r="M833" s="2"/>
      <c r="N833" s="2"/>
      <c r="O833" s="2"/>
      <c r="P833" s="2"/>
      <c r="Q833" s="2"/>
      <c r="R833" s="2"/>
      <c r="S833" s="2"/>
      <c r="T833" s="2"/>
      <c r="U833" s="2"/>
      <c r="V833" s="2"/>
      <c r="W833" s="2"/>
      <c r="X833" s="2"/>
      <c r="Y833" s="2"/>
      <c r="Z833" s="2"/>
    </row>
    <row r="834">
      <c r="A834" s="2"/>
      <c r="B834" s="2"/>
      <c r="C834" s="2"/>
      <c r="D834" s="2"/>
      <c r="E834" s="2"/>
      <c r="F834" s="7"/>
      <c r="G834" s="2"/>
      <c r="H834" s="7"/>
      <c r="I834" s="2"/>
      <c r="J834" s="2"/>
      <c r="K834" s="2"/>
      <c r="L834" s="2"/>
      <c r="M834" s="2"/>
      <c r="N834" s="2"/>
      <c r="O834" s="2"/>
      <c r="P834" s="2"/>
      <c r="Q834" s="2"/>
      <c r="R834" s="2"/>
      <c r="S834" s="2"/>
      <c r="T834" s="2"/>
      <c r="U834" s="2"/>
      <c r="V834" s="2"/>
      <c r="W834" s="2"/>
      <c r="X834" s="2"/>
      <c r="Y834" s="2"/>
      <c r="Z834" s="2"/>
    </row>
    <row r="835">
      <c r="A835" s="2"/>
      <c r="B835" s="2"/>
      <c r="C835" s="2"/>
      <c r="D835" s="2"/>
      <c r="E835" s="2"/>
      <c r="F835" s="7"/>
      <c r="G835" s="2"/>
      <c r="H835" s="7"/>
      <c r="I835" s="2"/>
      <c r="J835" s="2"/>
      <c r="K835" s="2"/>
      <c r="L835" s="2"/>
      <c r="M835" s="2"/>
      <c r="N835" s="2"/>
      <c r="O835" s="2"/>
      <c r="P835" s="2"/>
      <c r="Q835" s="2"/>
      <c r="R835" s="2"/>
      <c r="S835" s="2"/>
      <c r="T835" s="2"/>
      <c r="U835" s="2"/>
      <c r="V835" s="2"/>
      <c r="W835" s="2"/>
      <c r="X835" s="2"/>
      <c r="Y835" s="2"/>
      <c r="Z835" s="2"/>
    </row>
    <row r="836">
      <c r="A836" s="2"/>
      <c r="B836" s="2"/>
      <c r="C836" s="2"/>
      <c r="D836" s="2"/>
      <c r="E836" s="2"/>
      <c r="F836" s="7"/>
      <c r="G836" s="2"/>
      <c r="H836" s="7"/>
      <c r="I836" s="2"/>
      <c r="J836" s="2"/>
      <c r="K836" s="2"/>
      <c r="L836" s="2"/>
      <c r="M836" s="2"/>
      <c r="N836" s="2"/>
      <c r="O836" s="2"/>
      <c r="P836" s="2"/>
      <c r="Q836" s="2"/>
      <c r="R836" s="2"/>
      <c r="S836" s="2"/>
      <c r="T836" s="2"/>
      <c r="U836" s="2"/>
      <c r="V836" s="2"/>
      <c r="W836" s="2"/>
      <c r="X836" s="2"/>
      <c r="Y836" s="2"/>
      <c r="Z836" s="2"/>
    </row>
    <row r="837">
      <c r="A837" s="2"/>
      <c r="B837" s="2"/>
      <c r="C837" s="2"/>
      <c r="D837" s="2"/>
      <c r="E837" s="2"/>
      <c r="F837" s="7"/>
      <c r="G837" s="2"/>
      <c r="H837" s="7"/>
      <c r="I837" s="2"/>
      <c r="J837" s="2"/>
      <c r="K837" s="2"/>
      <c r="L837" s="2"/>
      <c r="M837" s="2"/>
      <c r="N837" s="2"/>
      <c r="O837" s="2"/>
      <c r="P837" s="2"/>
      <c r="Q837" s="2"/>
      <c r="R837" s="2"/>
      <c r="S837" s="2"/>
      <c r="T837" s="2"/>
      <c r="U837" s="2"/>
      <c r="V837" s="2"/>
      <c r="W837" s="2"/>
      <c r="X837" s="2"/>
      <c r="Y837" s="2"/>
      <c r="Z837" s="2"/>
    </row>
    <row r="838">
      <c r="A838" s="2"/>
      <c r="B838" s="2"/>
      <c r="C838" s="2"/>
      <c r="D838" s="2"/>
      <c r="E838" s="2"/>
      <c r="F838" s="7"/>
      <c r="G838" s="2"/>
      <c r="H838" s="7"/>
      <c r="I838" s="2"/>
      <c r="J838" s="2"/>
      <c r="K838" s="2"/>
      <c r="L838" s="2"/>
      <c r="M838" s="2"/>
      <c r="N838" s="2"/>
      <c r="O838" s="2"/>
      <c r="P838" s="2"/>
      <c r="Q838" s="2"/>
      <c r="R838" s="2"/>
      <c r="S838" s="2"/>
      <c r="T838" s="2"/>
      <c r="U838" s="2"/>
      <c r="V838" s="2"/>
      <c r="W838" s="2"/>
      <c r="X838" s="2"/>
      <c r="Y838" s="2"/>
      <c r="Z838" s="2"/>
    </row>
    <row r="839">
      <c r="A839" s="2"/>
      <c r="B839" s="2"/>
      <c r="C839" s="2"/>
      <c r="D839" s="2"/>
      <c r="E839" s="2"/>
      <c r="F839" s="7"/>
      <c r="G839" s="2"/>
      <c r="H839" s="7"/>
      <c r="I839" s="2"/>
      <c r="J839" s="2"/>
      <c r="K839" s="2"/>
      <c r="L839" s="2"/>
      <c r="M839" s="2"/>
      <c r="N839" s="2"/>
      <c r="O839" s="2"/>
      <c r="P839" s="2"/>
      <c r="Q839" s="2"/>
      <c r="R839" s="2"/>
      <c r="S839" s="2"/>
      <c r="T839" s="2"/>
      <c r="U839" s="2"/>
      <c r="V839" s="2"/>
      <c r="W839" s="2"/>
      <c r="X839" s="2"/>
      <c r="Y839" s="2"/>
      <c r="Z839" s="2"/>
    </row>
    <row r="840">
      <c r="A840" s="2"/>
      <c r="B840" s="2"/>
      <c r="C840" s="2"/>
      <c r="D840" s="2"/>
      <c r="E840" s="2"/>
      <c r="F840" s="7"/>
      <c r="G840" s="2"/>
      <c r="H840" s="7"/>
      <c r="I840" s="2"/>
      <c r="J840" s="2"/>
      <c r="K840" s="2"/>
      <c r="L840" s="2"/>
      <c r="M840" s="2"/>
      <c r="N840" s="2"/>
      <c r="O840" s="2"/>
      <c r="P840" s="2"/>
      <c r="Q840" s="2"/>
      <c r="R840" s="2"/>
      <c r="S840" s="2"/>
      <c r="T840" s="2"/>
      <c r="U840" s="2"/>
      <c r="V840" s="2"/>
      <c r="W840" s="2"/>
      <c r="X840" s="2"/>
      <c r="Y840" s="2"/>
      <c r="Z840" s="2"/>
    </row>
    <row r="841">
      <c r="A841" s="2"/>
      <c r="B841" s="2"/>
      <c r="C841" s="2"/>
      <c r="D841" s="2"/>
      <c r="E841" s="2"/>
      <c r="F841" s="7"/>
      <c r="G841" s="2"/>
      <c r="H841" s="7"/>
      <c r="I841" s="2"/>
      <c r="J841" s="2"/>
      <c r="K841" s="2"/>
      <c r="L841" s="2"/>
      <c r="M841" s="2"/>
      <c r="N841" s="2"/>
      <c r="O841" s="2"/>
      <c r="P841" s="2"/>
      <c r="Q841" s="2"/>
      <c r="R841" s="2"/>
      <c r="S841" s="2"/>
      <c r="T841" s="2"/>
      <c r="U841" s="2"/>
      <c r="V841" s="2"/>
      <c r="W841" s="2"/>
      <c r="X841" s="2"/>
      <c r="Y841" s="2"/>
      <c r="Z841" s="2"/>
    </row>
    <row r="842">
      <c r="A842" s="2"/>
      <c r="B842" s="2"/>
      <c r="C842" s="2"/>
      <c r="D842" s="2"/>
      <c r="E842" s="2"/>
      <c r="F842" s="7"/>
      <c r="G842" s="2"/>
      <c r="H842" s="7"/>
      <c r="I842" s="2"/>
      <c r="J842" s="2"/>
      <c r="K842" s="2"/>
      <c r="L842" s="2"/>
      <c r="M842" s="2"/>
      <c r="N842" s="2"/>
      <c r="O842" s="2"/>
      <c r="P842" s="2"/>
      <c r="Q842" s="2"/>
      <c r="R842" s="2"/>
      <c r="S842" s="2"/>
      <c r="T842" s="2"/>
      <c r="U842" s="2"/>
      <c r="V842" s="2"/>
      <c r="W842" s="2"/>
      <c r="X842" s="2"/>
      <c r="Y842" s="2"/>
      <c r="Z842" s="2"/>
    </row>
    <row r="843">
      <c r="A843" s="2"/>
      <c r="B843" s="2"/>
      <c r="C843" s="2"/>
      <c r="D843" s="2"/>
      <c r="E843" s="2"/>
      <c r="F843" s="7"/>
      <c r="G843" s="2"/>
      <c r="H843" s="7"/>
      <c r="I843" s="2"/>
      <c r="J843" s="2"/>
      <c r="K843" s="2"/>
      <c r="L843" s="2"/>
      <c r="M843" s="2"/>
      <c r="N843" s="2"/>
      <c r="O843" s="2"/>
      <c r="P843" s="2"/>
      <c r="Q843" s="2"/>
      <c r="R843" s="2"/>
      <c r="S843" s="2"/>
      <c r="T843" s="2"/>
      <c r="U843" s="2"/>
      <c r="V843" s="2"/>
      <c r="W843" s="2"/>
      <c r="X843" s="2"/>
      <c r="Y843" s="2"/>
      <c r="Z843" s="2"/>
    </row>
    <row r="844">
      <c r="A844" s="2"/>
      <c r="B844" s="2"/>
      <c r="C844" s="2"/>
      <c r="D844" s="2"/>
      <c r="E844" s="2"/>
      <c r="F844" s="7"/>
      <c r="G844" s="2"/>
      <c r="H844" s="7"/>
      <c r="I844" s="2"/>
      <c r="J844" s="2"/>
      <c r="K844" s="2"/>
      <c r="L844" s="2"/>
      <c r="M844" s="2"/>
      <c r="N844" s="2"/>
      <c r="O844" s="2"/>
      <c r="P844" s="2"/>
      <c r="Q844" s="2"/>
      <c r="R844" s="2"/>
      <c r="S844" s="2"/>
      <c r="T844" s="2"/>
      <c r="U844" s="2"/>
      <c r="V844" s="2"/>
      <c r="W844" s="2"/>
      <c r="X844" s="2"/>
      <c r="Y844" s="2"/>
      <c r="Z844" s="2"/>
    </row>
    <row r="845">
      <c r="A845" s="2"/>
      <c r="B845" s="2"/>
      <c r="C845" s="2"/>
      <c r="D845" s="2"/>
      <c r="E845" s="2"/>
      <c r="F845" s="7"/>
      <c r="G845" s="2"/>
      <c r="H845" s="7"/>
      <c r="I845" s="2"/>
      <c r="J845" s="2"/>
      <c r="K845" s="2"/>
      <c r="L845" s="2"/>
      <c r="M845" s="2"/>
      <c r="N845" s="2"/>
      <c r="O845" s="2"/>
      <c r="P845" s="2"/>
      <c r="Q845" s="2"/>
      <c r="R845" s="2"/>
      <c r="S845" s="2"/>
      <c r="T845" s="2"/>
      <c r="U845" s="2"/>
      <c r="V845" s="2"/>
      <c r="W845" s="2"/>
      <c r="X845" s="2"/>
      <c r="Y845" s="2"/>
      <c r="Z845" s="2"/>
    </row>
    <row r="846">
      <c r="A846" s="2"/>
      <c r="B846" s="2"/>
      <c r="C846" s="2"/>
      <c r="D846" s="2"/>
      <c r="E846" s="2"/>
      <c r="F846" s="7"/>
      <c r="G846" s="2"/>
      <c r="H846" s="7"/>
      <c r="I846" s="2"/>
      <c r="J846" s="2"/>
      <c r="K846" s="2"/>
      <c r="L846" s="2"/>
      <c r="M846" s="2"/>
      <c r="N846" s="2"/>
      <c r="O846" s="2"/>
      <c r="P846" s="2"/>
      <c r="Q846" s="2"/>
      <c r="R846" s="2"/>
      <c r="S846" s="2"/>
      <c r="T846" s="2"/>
      <c r="U846" s="2"/>
      <c r="V846" s="2"/>
      <c r="W846" s="2"/>
      <c r="X846" s="2"/>
      <c r="Y846" s="2"/>
      <c r="Z846" s="2"/>
    </row>
    <row r="847">
      <c r="A847" s="2"/>
      <c r="B847" s="2"/>
      <c r="C847" s="2"/>
      <c r="D847" s="2"/>
      <c r="E847" s="2"/>
      <c r="F847" s="7"/>
      <c r="G847" s="2"/>
      <c r="H847" s="7"/>
      <c r="I847" s="2"/>
      <c r="J847" s="2"/>
      <c r="K847" s="2"/>
      <c r="L847" s="2"/>
      <c r="M847" s="2"/>
      <c r="N847" s="2"/>
      <c r="O847" s="2"/>
      <c r="P847" s="2"/>
      <c r="Q847" s="2"/>
      <c r="R847" s="2"/>
      <c r="S847" s="2"/>
      <c r="T847" s="2"/>
      <c r="U847" s="2"/>
      <c r="V847" s="2"/>
      <c r="W847" s="2"/>
      <c r="X847" s="2"/>
      <c r="Y847" s="2"/>
      <c r="Z847" s="2"/>
    </row>
    <row r="848">
      <c r="A848" s="2"/>
      <c r="B848" s="2"/>
      <c r="C848" s="2"/>
      <c r="D848" s="2"/>
      <c r="E848" s="2"/>
      <c r="F848" s="7"/>
      <c r="G848" s="2"/>
      <c r="H848" s="7"/>
      <c r="I848" s="2"/>
      <c r="J848" s="2"/>
      <c r="K848" s="2"/>
      <c r="L848" s="2"/>
      <c r="M848" s="2"/>
      <c r="N848" s="2"/>
      <c r="O848" s="2"/>
      <c r="P848" s="2"/>
      <c r="Q848" s="2"/>
      <c r="R848" s="2"/>
      <c r="S848" s="2"/>
      <c r="T848" s="2"/>
      <c r="U848" s="2"/>
      <c r="V848" s="2"/>
      <c r="W848" s="2"/>
      <c r="X848" s="2"/>
      <c r="Y848" s="2"/>
      <c r="Z848" s="2"/>
    </row>
    <row r="849">
      <c r="A849" s="2"/>
      <c r="B849" s="2"/>
      <c r="C849" s="2"/>
      <c r="D849" s="2"/>
      <c r="E849" s="2"/>
      <c r="F849" s="7"/>
      <c r="G849" s="2"/>
      <c r="H849" s="7"/>
      <c r="I849" s="2"/>
      <c r="J849" s="2"/>
      <c r="K849" s="2"/>
      <c r="L849" s="2"/>
      <c r="M849" s="2"/>
      <c r="N849" s="2"/>
      <c r="O849" s="2"/>
      <c r="P849" s="2"/>
      <c r="Q849" s="2"/>
      <c r="R849" s="2"/>
      <c r="S849" s="2"/>
      <c r="T849" s="2"/>
      <c r="U849" s="2"/>
      <c r="V849" s="2"/>
      <c r="W849" s="2"/>
      <c r="X849" s="2"/>
      <c r="Y849" s="2"/>
      <c r="Z849" s="2"/>
    </row>
    <row r="850">
      <c r="A850" s="2"/>
      <c r="B850" s="2"/>
      <c r="C850" s="2"/>
      <c r="D850" s="2"/>
      <c r="E850" s="2"/>
      <c r="F850" s="7"/>
      <c r="G850" s="2"/>
      <c r="H850" s="7"/>
      <c r="I850" s="2"/>
      <c r="J850" s="2"/>
      <c r="K850" s="2"/>
      <c r="L850" s="2"/>
      <c r="M850" s="2"/>
      <c r="N850" s="2"/>
      <c r="O850" s="2"/>
      <c r="P850" s="2"/>
      <c r="Q850" s="2"/>
      <c r="R850" s="2"/>
      <c r="S850" s="2"/>
      <c r="T850" s="2"/>
      <c r="U850" s="2"/>
      <c r="V850" s="2"/>
      <c r="W850" s="2"/>
      <c r="X850" s="2"/>
      <c r="Y850" s="2"/>
      <c r="Z850" s="2"/>
    </row>
    <row r="851">
      <c r="A851" s="2"/>
      <c r="B851" s="2"/>
      <c r="C851" s="2"/>
      <c r="D851" s="2"/>
      <c r="E851" s="2"/>
      <c r="F851" s="7"/>
      <c r="G851" s="2"/>
      <c r="H851" s="7"/>
      <c r="I851" s="2"/>
      <c r="J851" s="2"/>
      <c r="K851" s="2"/>
      <c r="L851" s="2"/>
      <c r="M851" s="2"/>
      <c r="N851" s="2"/>
      <c r="O851" s="2"/>
      <c r="P851" s="2"/>
      <c r="Q851" s="2"/>
      <c r="R851" s="2"/>
      <c r="S851" s="2"/>
      <c r="T851" s="2"/>
      <c r="U851" s="2"/>
      <c r="V851" s="2"/>
      <c r="W851" s="2"/>
      <c r="X851" s="2"/>
      <c r="Y851" s="2"/>
      <c r="Z851" s="2"/>
    </row>
    <row r="852">
      <c r="A852" s="2"/>
      <c r="B852" s="2"/>
      <c r="C852" s="2"/>
      <c r="D852" s="2"/>
      <c r="E852" s="2"/>
      <c r="F852" s="7"/>
      <c r="G852" s="2"/>
      <c r="H852" s="7"/>
      <c r="I852" s="2"/>
      <c r="J852" s="2"/>
      <c r="K852" s="2"/>
      <c r="L852" s="2"/>
      <c r="M852" s="2"/>
      <c r="N852" s="2"/>
      <c r="O852" s="2"/>
      <c r="P852" s="2"/>
      <c r="Q852" s="2"/>
      <c r="R852" s="2"/>
      <c r="S852" s="2"/>
      <c r="T852" s="2"/>
      <c r="U852" s="2"/>
      <c r="V852" s="2"/>
      <c r="W852" s="2"/>
      <c r="X852" s="2"/>
      <c r="Y852" s="2"/>
      <c r="Z852" s="2"/>
    </row>
    <row r="853">
      <c r="A853" s="2"/>
      <c r="B853" s="2"/>
      <c r="C853" s="2"/>
      <c r="D853" s="2"/>
      <c r="E853" s="2"/>
      <c r="F853" s="7"/>
      <c r="G853" s="2"/>
      <c r="H853" s="7"/>
      <c r="I853" s="2"/>
      <c r="J853" s="2"/>
      <c r="K853" s="2"/>
      <c r="L853" s="2"/>
      <c r="M853" s="2"/>
      <c r="N853" s="2"/>
      <c r="O853" s="2"/>
      <c r="P853" s="2"/>
      <c r="Q853" s="2"/>
      <c r="R853" s="2"/>
      <c r="S853" s="2"/>
      <c r="T853" s="2"/>
      <c r="U853" s="2"/>
      <c r="V853" s="2"/>
      <c r="W853" s="2"/>
      <c r="X853" s="2"/>
      <c r="Y853" s="2"/>
      <c r="Z853" s="2"/>
    </row>
    <row r="854">
      <c r="A854" s="2"/>
      <c r="B854" s="2"/>
      <c r="C854" s="2"/>
      <c r="D854" s="2"/>
      <c r="E854" s="2"/>
      <c r="F854" s="7"/>
      <c r="G854" s="2"/>
      <c r="H854" s="7"/>
      <c r="I854" s="2"/>
      <c r="J854" s="2"/>
      <c r="K854" s="2"/>
      <c r="L854" s="2"/>
      <c r="M854" s="2"/>
      <c r="N854" s="2"/>
      <c r="O854" s="2"/>
      <c r="P854" s="2"/>
      <c r="Q854" s="2"/>
      <c r="R854" s="2"/>
      <c r="S854" s="2"/>
      <c r="T854" s="2"/>
      <c r="U854" s="2"/>
      <c r="V854" s="2"/>
      <c r="W854" s="2"/>
      <c r="X854" s="2"/>
      <c r="Y854" s="2"/>
      <c r="Z854" s="2"/>
    </row>
    <row r="855">
      <c r="A855" s="2"/>
      <c r="B855" s="2"/>
      <c r="C855" s="2"/>
      <c r="D855" s="2"/>
      <c r="E855" s="2"/>
      <c r="F855" s="7"/>
      <c r="G855" s="2"/>
      <c r="H855" s="7"/>
      <c r="I855" s="2"/>
      <c r="J855" s="2"/>
      <c r="K855" s="2"/>
      <c r="L855" s="2"/>
      <c r="M855" s="2"/>
      <c r="N855" s="2"/>
      <c r="O855" s="2"/>
      <c r="P855" s="2"/>
      <c r="Q855" s="2"/>
      <c r="R855" s="2"/>
      <c r="S855" s="2"/>
      <c r="T855" s="2"/>
      <c r="U855" s="2"/>
      <c r="V855" s="2"/>
      <c r="W855" s="2"/>
      <c r="X855" s="2"/>
      <c r="Y855" s="2"/>
      <c r="Z855" s="2"/>
    </row>
    <row r="856">
      <c r="A856" s="2"/>
      <c r="B856" s="2"/>
      <c r="C856" s="2"/>
      <c r="D856" s="2"/>
      <c r="E856" s="2"/>
      <c r="F856" s="7"/>
      <c r="G856" s="2"/>
      <c r="H856" s="7"/>
      <c r="I856" s="2"/>
      <c r="J856" s="2"/>
      <c r="K856" s="2"/>
      <c r="L856" s="2"/>
      <c r="M856" s="2"/>
      <c r="N856" s="2"/>
      <c r="O856" s="2"/>
      <c r="P856" s="2"/>
      <c r="Q856" s="2"/>
      <c r="R856" s="2"/>
      <c r="S856" s="2"/>
      <c r="T856" s="2"/>
      <c r="U856" s="2"/>
      <c r="V856" s="2"/>
      <c r="W856" s="2"/>
      <c r="X856" s="2"/>
      <c r="Y856" s="2"/>
      <c r="Z856" s="2"/>
    </row>
    <row r="857">
      <c r="A857" s="2"/>
      <c r="B857" s="2"/>
      <c r="C857" s="2"/>
      <c r="D857" s="2"/>
      <c r="E857" s="2"/>
      <c r="F857" s="7"/>
      <c r="G857" s="2"/>
      <c r="H857" s="7"/>
      <c r="I857" s="2"/>
      <c r="J857" s="2"/>
      <c r="K857" s="2"/>
      <c r="L857" s="2"/>
      <c r="M857" s="2"/>
      <c r="N857" s="2"/>
      <c r="O857" s="2"/>
      <c r="P857" s="2"/>
      <c r="Q857" s="2"/>
      <c r="R857" s="2"/>
      <c r="S857" s="2"/>
      <c r="T857" s="2"/>
      <c r="U857" s="2"/>
      <c r="V857" s="2"/>
      <c r="W857" s="2"/>
      <c r="X857" s="2"/>
      <c r="Y857" s="2"/>
      <c r="Z857" s="2"/>
    </row>
    <row r="858">
      <c r="A858" s="2"/>
      <c r="B858" s="2"/>
      <c r="C858" s="2"/>
      <c r="D858" s="2"/>
      <c r="E858" s="2"/>
      <c r="F858" s="7"/>
      <c r="G858" s="2"/>
      <c r="H858" s="7"/>
      <c r="I858" s="2"/>
      <c r="J858" s="2"/>
      <c r="K858" s="2"/>
      <c r="L858" s="2"/>
      <c r="M858" s="2"/>
      <c r="N858" s="2"/>
      <c r="O858" s="2"/>
      <c r="P858" s="2"/>
      <c r="Q858" s="2"/>
      <c r="R858" s="2"/>
      <c r="S858" s="2"/>
      <c r="T858" s="2"/>
      <c r="U858" s="2"/>
      <c r="V858" s="2"/>
      <c r="W858" s="2"/>
      <c r="X858" s="2"/>
      <c r="Y858" s="2"/>
      <c r="Z858" s="2"/>
    </row>
    <row r="859">
      <c r="A859" s="2"/>
      <c r="B859" s="2"/>
      <c r="C859" s="2"/>
      <c r="D859" s="2"/>
      <c r="E859" s="2"/>
      <c r="F859" s="7"/>
      <c r="G859" s="2"/>
      <c r="H859" s="7"/>
      <c r="I859" s="2"/>
      <c r="J859" s="2"/>
      <c r="K859" s="2"/>
      <c r="L859" s="2"/>
      <c r="M859" s="2"/>
      <c r="N859" s="2"/>
      <c r="O859" s="2"/>
      <c r="P859" s="2"/>
      <c r="Q859" s="2"/>
      <c r="R859" s="2"/>
      <c r="S859" s="2"/>
      <c r="T859" s="2"/>
      <c r="U859" s="2"/>
      <c r="V859" s="2"/>
      <c r="W859" s="2"/>
      <c r="X859" s="2"/>
      <c r="Y859" s="2"/>
      <c r="Z859" s="2"/>
    </row>
    <row r="860">
      <c r="A860" s="2"/>
      <c r="B860" s="2"/>
      <c r="C860" s="2"/>
      <c r="D860" s="2"/>
      <c r="E860" s="2"/>
      <c r="F860" s="7"/>
      <c r="G860" s="2"/>
      <c r="H860" s="7"/>
      <c r="I860" s="2"/>
      <c r="J860" s="2"/>
      <c r="K860" s="2"/>
      <c r="L860" s="2"/>
      <c r="M860" s="2"/>
      <c r="N860" s="2"/>
      <c r="O860" s="2"/>
      <c r="P860" s="2"/>
      <c r="Q860" s="2"/>
      <c r="R860" s="2"/>
      <c r="S860" s="2"/>
      <c r="T860" s="2"/>
      <c r="U860" s="2"/>
      <c r="V860" s="2"/>
      <c r="W860" s="2"/>
      <c r="X860" s="2"/>
      <c r="Y860" s="2"/>
      <c r="Z860" s="2"/>
    </row>
    <row r="861">
      <c r="A861" s="2"/>
      <c r="B861" s="2"/>
      <c r="C861" s="2"/>
      <c r="D861" s="2"/>
      <c r="E861" s="2"/>
      <c r="F861" s="7"/>
      <c r="G861" s="2"/>
      <c r="H861" s="7"/>
      <c r="I861" s="2"/>
      <c r="J861" s="2"/>
      <c r="K861" s="2"/>
      <c r="L861" s="2"/>
      <c r="M861" s="2"/>
      <c r="N861" s="2"/>
      <c r="O861" s="2"/>
      <c r="P861" s="2"/>
      <c r="Q861" s="2"/>
      <c r="R861" s="2"/>
      <c r="S861" s="2"/>
      <c r="T861" s="2"/>
      <c r="U861" s="2"/>
      <c r="V861" s="2"/>
      <c r="W861" s="2"/>
      <c r="X861" s="2"/>
      <c r="Y861" s="2"/>
      <c r="Z861" s="2"/>
    </row>
    <row r="862">
      <c r="A862" s="2"/>
      <c r="B862" s="2"/>
      <c r="C862" s="2"/>
      <c r="D862" s="2"/>
      <c r="E862" s="2"/>
      <c r="F862" s="7"/>
      <c r="G862" s="2"/>
      <c r="H862" s="7"/>
      <c r="I862" s="2"/>
      <c r="J862" s="2"/>
      <c r="K862" s="2"/>
      <c r="L862" s="2"/>
      <c r="M862" s="2"/>
      <c r="N862" s="2"/>
      <c r="O862" s="2"/>
      <c r="P862" s="2"/>
      <c r="Q862" s="2"/>
      <c r="R862" s="2"/>
      <c r="S862" s="2"/>
      <c r="T862" s="2"/>
      <c r="U862" s="2"/>
      <c r="V862" s="2"/>
      <c r="W862" s="2"/>
      <c r="X862" s="2"/>
      <c r="Y862" s="2"/>
      <c r="Z862" s="2"/>
    </row>
    <row r="863">
      <c r="A863" s="2"/>
      <c r="B863" s="2"/>
      <c r="C863" s="2"/>
      <c r="D863" s="2"/>
      <c r="E863" s="2"/>
      <c r="F863" s="7"/>
      <c r="G863" s="2"/>
      <c r="H863" s="7"/>
      <c r="I863" s="2"/>
      <c r="J863" s="2"/>
      <c r="K863" s="2"/>
      <c r="L863" s="2"/>
      <c r="M863" s="2"/>
      <c r="N863" s="2"/>
      <c r="O863" s="2"/>
      <c r="P863" s="2"/>
      <c r="Q863" s="2"/>
      <c r="R863" s="2"/>
      <c r="S863" s="2"/>
      <c r="T863" s="2"/>
      <c r="U863" s="2"/>
      <c r="V863" s="2"/>
      <c r="W863" s="2"/>
      <c r="X863" s="2"/>
      <c r="Y863" s="2"/>
      <c r="Z863" s="2"/>
    </row>
    <row r="864">
      <c r="A864" s="2"/>
      <c r="B864" s="2"/>
      <c r="C864" s="2"/>
      <c r="D864" s="2"/>
      <c r="E864" s="2"/>
      <c r="F864" s="7"/>
      <c r="G864" s="2"/>
      <c r="H864" s="7"/>
      <c r="I864" s="2"/>
      <c r="J864" s="2"/>
      <c r="K864" s="2"/>
      <c r="L864" s="2"/>
      <c r="M864" s="2"/>
      <c r="N864" s="2"/>
      <c r="O864" s="2"/>
      <c r="P864" s="2"/>
      <c r="Q864" s="2"/>
      <c r="R864" s="2"/>
      <c r="S864" s="2"/>
      <c r="T864" s="2"/>
      <c r="U864" s="2"/>
      <c r="V864" s="2"/>
      <c r="W864" s="2"/>
      <c r="X864" s="2"/>
      <c r="Y864" s="2"/>
      <c r="Z864" s="2"/>
    </row>
    <row r="865">
      <c r="A865" s="2"/>
      <c r="B865" s="2"/>
      <c r="C865" s="2"/>
      <c r="D865" s="2"/>
      <c r="E865" s="2"/>
      <c r="F865" s="7"/>
      <c r="G865" s="2"/>
      <c r="H865" s="7"/>
      <c r="I865" s="2"/>
      <c r="J865" s="2"/>
      <c r="K865" s="2"/>
      <c r="L865" s="2"/>
      <c r="M865" s="2"/>
      <c r="N865" s="2"/>
      <c r="O865" s="2"/>
      <c r="P865" s="2"/>
      <c r="Q865" s="2"/>
      <c r="R865" s="2"/>
      <c r="S865" s="2"/>
      <c r="T865" s="2"/>
      <c r="U865" s="2"/>
      <c r="V865" s="2"/>
      <c r="W865" s="2"/>
      <c r="X865" s="2"/>
      <c r="Y865" s="2"/>
      <c r="Z865" s="2"/>
    </row>
    <row r="866">
      <c r="A866" s="2"/>
      <c r="B866" s="2"/>
      <c r="C866" s="2"/>
      <c r="D866" s="2"/>
      <c r="E866" s="2"/>
      <c r="F866" s="7"/>
      <c r="G866" s="2"/>
      <c r="H866" s="7"/>
      <c r="I866" s="2"/>
      <c r="J866" s="2"/>
      <c r="K866" s="2"/>
      <c r="L866" s="2"/>
      <c r="M866" s="2"/>
      <c r="N866" s="2"/>
      <c r="O866" s="2"/>
      <c r="P866" s="2"/>
      <c r="Q866" s="2"/>
      <c r="R866" s="2"/>
      <c r="S866" s="2"/>
      <c r="T866" s="2"/>
      <c r="U866" s="2"/>
      <c r="V866" s="2"/>
      <c r="W866" s="2"/>
      <c r="X866" s="2"/>
      <c r="Y866" s="2"/>
      <c r="Z866" s="2"/>
    </row>
    <row r="867">
      <c r="A867" s="2"/>
      <c r="B867" s="2"/>
      <c r="C867" s="2"/>
      <c r="D867" s="2"/>
      <c r="E867" s="2"/>
      <c r="F867" s="7"/>
      <c r="G867" s="2"/>
      <c r="H867" s="7"/>
      <c r="I867" s="2"/>
      <c r="J867" s="2"/>
      <c r="K867" s="2"/>
      <c r="L867" s="2"/>
      <c r="M867" s="2"/>
      <c r="N867" s="2"/>
      <c r="O867" s="2"/>
      <c r="P867" s="2"/>
      <c r="Q867" s="2"/>
      <c r="R867" s="2"/>
      <c r="S867" s="2"/>
      <c r="T867" s="2"/>
      <c r="U867" s="2"/>
      <c r="V867" s="2"/>
      <c r="W867" s="2"/>
      <c r="X867" s="2"/>
      <c r="Y867" s="2"/>
      <c r="Z867" s="2"/>
    </row>
    <row r="868">
      <c r="A868" s="2"/>
      <c r="B868" s="2"/>
      <c r="C868" s="2"/>
      <c r="D868" s="2"/>
      <c r="E868" s="2"/>
      <c r="F868" s="7"/>
      <c r="G868" s="2"/>
      <c r="H868" s="7"/>
      <c r="I868" s="2"/>
      <c r="J868" s="2"/>
      <c r="K868" s="2"/>
      <c r="L868" s="2"/>
      <c r="M868" s="2"/>
      <c r="N868" s="2"/>
      <c r="O868" s="2"/>
      <c r="P868" s="2"/>
      <c r="Q868" s="2"/>
      <c r="R868" s="2"/>
      <c r="S868" s="2"/>
      <c r="T868" s="2"/>
      <c r="U868" s="2"/>
      <c r="V868" s="2"/>
      <c r="W868" s="2"/>
      <c r="X868" s="2"/>
      <c r="Y868" s="2"/>
      <c r="Z868" s="2"/>
    </row>
    <row r="869">
      <c r="A869" s="2"/>
      <c r="B869" s="2"/>
      <c r="C869" s="2"/>
      <c r="D869" s="2"/>
      <c r="E869" s="2"/>
      <c r="F869" s="7"/>
      <c r="G869" s="2"/>
      <c r="H869" s="7"/>
      <c r="I869" s="2"/>
      <c r="J869" s="2"/>
      <c r="K869" s="2"/>
      <c r="L869" s="2"/>
      <c r="M869" s="2"/>
      <c r="N869" s="2"/>
      <c r="O869" s="2"/>
      <c r="P869" s="2"/>
      <c r="Q869" s="2"/>
      <c r="R869" s="2"/>
      <c r="S869" s="2"/>
      <c r="T869" s="2"/>
      <c r="U869" s="2"/>
      <c r="V869" s="2"/>
      <c r="W869" s="2"/>
      <c r="X869" s="2"/>
      <c r="Y869" s="2"/>
      <c r="Z869" s="2"/>
    </row>
    <row r="870">
      <c r="A870" s="2"/>
      <c r="B870" s="2"/>
      <c r="C870" s="2"/>
      <c r="D870" s="2"/>
      <c r="E870" s="2"/>
      <c r="F870" s="7"/>
      <c r="G870" s="2"/>
      <c r="H870" s="7"/>
      <c r="I870" s="2"/>
      <c r="J870" s="2"/>
      <c r="K870" s="2"/>
      <c r="L870" s="2"/>
      <c r="M870" s="2"/>
      <c r="N870" s="2"/>
      <c r="O870" s="2"/>
      <c r="P870" s="2"/>
      <c r="Q870" s="2"/>
      <c r="R870" s="2"/>
      <c r="S870" s="2"/>
      <c r="T870" s="2"/>
      <c r="U870" s="2"/>
      <c r="V870" s="2"/>
      <c r="W870" s="2"/>
      <c r="X870" s="2"/>
      <c r="Y870" s="2"/>
      <c r="Z870" s="2"/>
    </row>
    <row r="871">
      <c r="A871" s="2"/>
      <c r="B871" s="2"/>
      <c r="C871" s="2"/>
      <c r="D871" s="2"/>
      <c r="E871" s="2"/>
      <c r="F871" s="7"/>
      <c r="G871" s="2"/>
      <c r="H871" s="7"/>
      <c r="I871" s="2"/>
      <c r="J871" s="2"/>
      <c r="K871" s="2"/>
      <c r="L871" s="2"/>
      <c r="M871" s="2"/>
      <c r="N871" s="2"/>
      <c r="O871" s="2"/>
      <c r="P871" s="2"/>
      <c r="Q871" s="2"/>
      <c r="R871" s="2"/>
      <c r="S871" s="2"/>
      <c r="T871" s="2"/>
      <c r="U871" s="2"/>
      <c r="V871" s="2"/>
      <c r="W871" s="2"/>
      <c r="X871" s="2"/>
      <c r="Y871" s="2"/>
      <c r="Z871" s="2"/>
    </row>
    <row r="872">
      <c r="A872" s="2"/>
      <c r="B872" s="2"/>
      <c r="C872" s="2"/>
      <c r="D872" s="2"/>
      <c r="E872" s="2"/>
      <c r="F872" s="7"/>
      <c r="G872" s="2"/>
      <c r="H872" s="7"/>
      <c r="I872" s="2"/>
      <c r="J872" s="2"/>
      <c r="K872" s="2"/>
      <c r="L872" s="2"/>
      <c r="M872" s="2"/>
      <c r="N872" s="2"/>
      <c r="O872" s="2"/>
      <c r="P872" s="2"/>
      <c r="Q872" s="2"/>
      <c r="R872" s="2"/>
      <c r="S872" s="2"/>
      <c r="T872" s="2"/>
      <c r="U872" s="2"/>
      <c r="V872" s="2"/>
      <c r="W872" s="2"/>
      <c r="X872" s="2"/>
      <c r="Y872" s="2"/>
      <c r="Z872" s="2"/>
    </row>
    <row r="873">
      <c r="A873" s="2"/>
      <c r="B873" s="2"/>
      <c r="C873" s="2"/>
      <c r="D873" s="2"/>
      <c r="E873" s="2"/>
      <c r="F873" s="7"/>
      <c r="G873" s="2"/>
      <c r="H873" s="7"/>
      <c r="I873" s="2"/>
      <c r="J873" s="2"/>
      <c r="K873" s="2"/>
      <c r="L873" s="2"/>
      <c r="M873" s="2"/>
      <c r="N873" s="2"/>
      <c r="O873" s="2"/>
      <c r="P873" s="2"/>
      <c r="Q873" s="2"/>
      <c r="R873" s="2"/>
      <c r="S873" s="2"/>
      <c r="T873" s="2"/>
      <c r="U873" s="2"/>
      <c r="V873" s="2"/>
      <c r="W873" s="2"/>
      <c r="X873" s="2"/>
      <c r="Y873" s="2"/>
      <c r="Z873" s="2"/>
    </row>
    <row r="874">
      <c r="A874" s="2"/>
      <c r="B874" s="2"/>
      <c r="C874" s="2"/>
      <c r="D874" s="2"/>
      <c r="E874" s="2"/>
      <c r="F874" s="7"/>
      <c r="G874" s="2"/>
      <c r="H874" s="7"/>
      <c r="I874" s="2"/>
      <c r="J874" s="2"/>
      <c r="K874" s="2"/>
      <c r="L874" s="2"/>
      <c r="M874" s="2"/>
      <c r="N874" s="2"/>
      <c r="O874" s="2"/>
      <c r="P874" s="2"/>
      <c r="Q874" s="2"/>
      <c r="R874" s="2"/>
      <c r="S874" s="2"/>
      <c r="T874" s="2"/>
      <c r="U874" s="2"/>
      <c r="V874" s="2"/>
      <c r="W874" s="2"/>
      <c r="X874" s="2"/>
      <c r="Y874" s="2"/>
      <c r="Z874" s="2"/>
    </row>
    <row r="875">
      <c r="A875" s="2"/>
      <c r="B875" s="2"/>
      <c r="C875" s="2"/>
      <c r="D875" s="2"/>
      <c r="E875" s="2"/>
      <c r="F875" s="7"/>
      <c r="G875" s="2"/>
      <c r="H875" s="7"/>
      <c r="I875" s="2"/>
      <c r="J875" s="2"/>
      <c r="K875" s="2"/>
      <c r="L875" s="2"/>
      <c r="M875" s="2"/>
      <c r="N875" s="2"/>
      <c r="O875" s="2"/>
      <c r="P875" s="2"/>
      <c r="Q875" s="2"/>
      <c r="R875" s="2"/>
      <c r="S875" s="2"/>
      <c r="T875" s="2"/>
      <c r="U875" s="2"/>
      <c r="V875" s="2"/>
      <c r="W875" s="2"/>
      <c r="X875" s="2"/>
      <c r="Y875" s="2"/>
      <c r="Z875" s="2"/>
    </row>
    <row r="876">
      <c r="A876" s="2"/>
      <c r="B876" s="2"/>
      <c r="C876" s="2"/>
      <c r="D876" s="2"/>
      <c r="E876" s="2"/>
      <c r="F876" s="7"/>
      <c r="G876" s="2"/>
      <c r="H876" s="7"/>
      <c r="I876" s="2"/>
      <c r="J876" s="2"/>
      <c r="K876" s="2"/>
      <c r="L876" s="2"/>
      <c r="M876" s="2"/>
      <c r="N876" s="2"/>
      <c r="O876" s="2"/>
      <c r="P876" s="2"/>
      <c r="Q876" s="2"/>
      <c r="R876" s="2"/>
      <c r="S876" s="2"/>
      <c r="T876" s="2"/>
      <c r="U876" s="2"/>
      <c r="V876" s="2"/>
      <c r="W876" s="2"/>
      <c r="X876" s="2"/>
      <c r="Y876" s="2"/>
      <c r="Z876" s="2"/>
    </row>
    <row r="877">
      <c r="A877" s="2"/>
      <c r="B877" s="2"/>
      <c r="C877" s="2"/>
      <c r="D877" s="2"/>
      <c r="E877" s="2"/>
      <c r="F877" s="7"/>
      <c r="G877" s="2"/>
      <c r="H877" s="7"/>
      <c r="I877" s="2"/>
      <c r="J877" s="2"/>
      <c r="K877" s="2"/>
      <c r="L877" s="2"/>
      <c r="M877" s="2"/>
      <c r="N877" s="2"/>
      <c r="O877" s="2"/>
      <c r="P877" s="2"/>
      <c r="Q877" s="2"/>
      <c r="R877" s="2"/>
      <c r="S877" s="2"/>
      <c r="T877" s="2"/>
      <c r="U877" s="2"/>
      <c r="V877" s="2"/>
      <c r="W877" s="2"/>
      <c r="X877" s="2"/>
      <c r="Y877" s="2"/>
      <c r="Z877" s="2"/>
    </row>
    <row r="878">
      <c r="A878" s="2"/>
      <c r="B878" s="2"/>
      <c r="C878" s="2"/>
      <c r="D878" s="2"/>
      <c r="E878" s="2"/>
      <c r="F878" s="7"/>
      <c r="G878" s="2"/>
      <c r="H878" s="7"/>
      <c r="I878" s="2"/>
      <c r="J878" s="2"/>
      <c r="K878" s="2"/>
      <c r="L878" s="2"/>
      <c r="M878" s="2"/>
      <c r="N878" s="2"/>
      <c r="O878" s="2"/>
      <c r="P878" s="2"/>
      <c r="Q878" s="2"/>
      <c r="R878" s="2"/>
      <c r="S878" s="2"/>
      <c r="T878" s="2"/>
      <c r="U878" s="2"/>
      <c r="V878" s="2"/>
      <c r="W878" s="2"/>
      <c r="X878" s="2"/>
      <c r="Y878" s="2"/>
      <c r="Z878" s="2"/>
    </row>
    <row r="879">
      <c r="A879" s="2"/>
      <c r="B879" s="2"/>
      <c r="C879" s="2"/>
      <c r="D879" s="2"/>
      <c r="E879" s="2"/>
      <c r="F879" s="7"/>
      <c r="G879" s="2"/>
      <c r="H879" s="7"/>
      <c r="I879" s="2"/>
      <c r="J879" s="2"/>
      <c r="K879" s="2"/>
      <c r="L879" s="2"/>
      <c r="M879" s="2"/>
      <c r="N879" s="2"/>
      <c r="O879" s="2"/>
      <c r="P879" s="2"/>
      <c r="Q879" s="2"/>
      <c r="R879" s="2"/>
      <c r="S879" s="2"/>
      <c r="T879" s="2"/>
      <c r="U879" s="2"/>
      <c r="V879" s="2"/>
      <c r="W879" s="2"/>
      <c r="X879" s="2"/>
      <c r="Y879" s="2"/>
      <c r="Z879" s="2"/>
    </row>
    <row r="880">
      <c r="A880" s="2"/>
      <c r="B880" s="2"/>
      <c r="C880" s="2"/>
      <c r="D880" s="2"/>
      <c r="E880" s="2"/>
      <c r="F880" s="7"/>
      <c r="G880" s="2"/>
      <c r="H880" s="7"/>
      <c r="I880" s="2"/>
      <c r="J880" s="2"/>
      <c r="K880" s="2"/>
      <c r="L880" s="2"/>
      <c r="M880" s="2"/>
      <c r="N880" s="2"/>
      <c r="O880" s="2"/>
      <c r="P880" s="2"/>
      <c r="Q880" s="2"/>
      <c r="R880" s="2"/>
      <c r="S880" s="2"/>
      <c r="T880" s="2"/>
      <c r="U880" s="2"/>
      <c r="V880" s="2"/>
      <c r="W880" s="2"/>
      <c r="X880" s="2"/>
      <c r="Y880" s="2"/>
      <c r="Z880" s="2"/>
    </row>
    <row r="881">
      <c r="A881" s="2"/>
      <c r="B881" s="2"/>
      <c r="C881" s="2"/>
      <c r="D881" s="2"/>
      <c r="E881" s="2"/>
      <c r="F881" s="7"/>
      <c r="G881" s="2"/>
      <c r="H881" s="7"/>
      <c r="I881" s="2"/>
      <c r="J881" s="2"/>
      <c r="K881" s="2"/>
      <c r="L881" s="2"/>
      <c r="M881" s="2"/>
      <c r="N881" s="2"/>
      <c r="O881" s="2"/>
      <c r="P881" s="2"/>
      <c r="Q881" s="2"/>
      <c r="R881" s="2"/>
      <c r="S881" s="2"/>
      <c r="T881" s="2"/>
      <c r="U881" s="2"/>
      <c r="V881" s="2"/>
      <c r="W881" s="2"/>
      <c r="X881" s="2"/>
      <c r="Y881" s="2"/>
      <c r="Z881" s="2"/>
    </row>
    <row r="882">
      <c r="A882" s="2"/>
      <c r="B882" s="2"/>
      <c r="C882" s="2"/>
      <c r="D882" s="2"/>
      <c r="E882" s="2"/>
      <c r="F882" s="7"/>
      <c r="G882" s="2"/>
      <c r="H882" s="7"/>
      <c r="I882" s="2"/>
      <c r="J882" s="2"/>
      <c r="K882" s="2"/>
      <c r="L882" s="2"/>
      <c r="M882" s="2"/>
      <c r="N882" s="2"/>
      <c r="O882" s="2"/>
      <c r="P882" s="2"/>
      <c r="Q882" s="2"/>
      <c r="R882" s="2"/>
      <c r="S882" s="2"/>
      <c r="T882" s="2"/>
      <c r="U882" s="2"/>
      <c r="V882" s="2"/>
      <c r="W882" s="2"/>
      <c r="X882" s="2"/>
      <c r="Y882" s="2"/>
      <c r="Z882" s="2"/>
    </row>
    <row r="883">
      <c r="A883" s="2"/>
      <c r="B883" s="2"/>
      <c r="C883" s="2"/>
      <c r="D883" s="2"/>
      <c r="E883" s="2"/>
      <c r="F883" s="7"/>
      <c r="G883" s="2"/>
      <c r="H883" s="7"/>
      <c r="I883" s="2"/>
      <c r="J883" s="2"/>
      <c r="K883" s="2"/>
      <c r="L883" s="2"/>
      <c r="M883" s="2"/>
      <c r="N883" s="2"/>
      <c r="O883" s="2"/>
      <c r="P883" s="2"/>
      <c r="Q883" s="2"/>
      <c r="R883" s="2"/>
      <c r="S883" s="2"/>
      <c r="T883" s="2"/>
      <c r="U883" s="2"/>
      <c r="V883" s="2"/>
      <c r="W883" s="2"/>
      <c r="X883" s="2"/>
      <c r="Y883" s="2"/>
      <c r="Z883" s="2"/>
    </row>
    <row r="884">
      <c r="A884" s="2"/>
      <c r="B884" s="2"/>
      <c r="C884" s="2"/>
      <c r="D884" s="2"/>
      <c r="E884" s="2"/>
      <c r="F884" s="7"/>
      <c r="G884" s="2"/>
      <c r="H884" s="7"/>
      <c r="I884" s="2"/>
      <c r="J884" s="2"/>
      <c r="K884" s="2"/>
      <c r="L884" s="2"/>
      <c r="M884" s="2"/>
      <c r="N884" s="2"/>
      <c r="O884" s="2"/>
      <c r="P884" s="2"/>
      <c r="Q884" s="2"/>
      <c r="R884" s="2"/>
      <c r="S884" s="2"/>
      <c r="T884" s="2"/>
      <c r="U884" s="2"/>
      <c r="V884" s="2"/>
      <c r="W884" s="2"/>
      <c r="X884" s="2"/>
      <c r="Y884" s="2"/>
      <c r="Z884" s="2"/>
    </row>
    <row r="885">
      <c r="A885" s="2"/>
      <c r="B885" s="2"/>
      <c r="C885" s="2"/>
      <c r="D885" s="2"/>
      <c r="E885" s="2"/>
      <c r="F885" s="7"/>
      <c r="G885" s="2"/>
      <c r="H885" s="7"/>
      <c r="I885" s="2"/>
      <c r="J885" s="2"/>
      <c r="K885" s="2"/>
      <c r="L885" s="2"/>
      <c r="M885" s="2"/>
      <c r="N885" s="2"/>
      <c r="O885" s="2"/>
      <c r="P885" s="2"/>
      <c r="Q885" s="2"/>
      <c r="R885" s="2"/>
      <c r="S885" s="2"/>
      <c r="T885" s="2"/>
      <c r="U885" s="2"/>
      <c r="V885" s="2"/>
      <c r="W885" s="2"/>
      <c r="X885" s="2"/>
      <c r="Y885" s="2"/>
      <c r="Z885" s="2"/>
    </row>
    <row r="886">
      <c r="A886" s="2"/>
      <c r="B886" s="2"/>
      <c r="C886" s="2"/>
      <c r="D886" s="2"/>
      <c r="E886" s="2"/>
      <c r="F886" s="7"/>
      <c r="G886" s="2"/>
      <c r="H886" s="7"/>
      <c r="I886" s="2"/>
      <c r="J886" s="2"/>
      <c r="K886" s="2"/>
      <c r="L886" s="2"/>
      <c r="M886" s="2"/>
      <c r="N886" s="2"/>
      <c r="O886" s="2"/>
      <c r="P886" s="2"/>
      <c r="Q886" s="2"/>
      <c r="R886" s="2"/>
      <c r="S886" s="2"/>
      <c r="T886" s="2"/>
      <c r="U886" s="2"/>
      <c r="V886" s="2"/>
      <c r="W886" s="2"/>
      <c r="X886" s="2"/>
      <c r="Y886" s="2"/>
      <c r="Z886" s="2"/>
    </row>
    <row r="887">
      <c r="A887" s="2"/>
      <c r="B887" s="2"/>
      <c r="C887" s="2"/>
      <c r="D887" s="2"/>
      <c r="E887" s="2"/>
      <c r="F887" s="7"/>
      <c r="G887" s="2"/>
      <c r="H887" s="7"/>
      <c r="I887" s="2"/>
      <c r="J887" s="2"/>
      <c r="K887" s="2"/>
      <c r="L887" s="2"/>
      <c r="M887" s="2"/>
      <c r="N887" s="2"/>
      <c r="O887" s="2"/>
      <c r="P887" s="2"/>
      <c r="Q887" s="2"/>
      <c r="R887" s="2"/>
      <c r="S887" s="2"/>
      <c r="T887" s="2"/>
      <c r="U887" s="2"/>
      <c r="V887" s="2"/>
      <c r="W887" s="2"/>
      <c r="X887" s="2"/>
      <c r="Y887" s="2"/>
      <c r="Z887" s="2"/>
    </row>
    <row r="888">
      <c r="A888" s="2"/>
      <c r="B888" s="2"/>
      <c r="C888" s="2"/>
      <c r="D888" s="2"/>
      <c r="E888" s="2"/>
      <c r="F888" s="7"/>
      <c r="G888" s="2"/>
      <c r="H888" s="7"/>
      <c r="I888" s="2"/>
      <c r="J888" s="2"/>
      <c r="K888" s="2"/>
      <c r="L888" s="2"/>
      <c r="M888" s="2"/>
      <c r="N888" s="2"/>
      <c r="O888" s="2"/>
      <c r="P888" s="2"/>
      <c r="Q888" s="2"/>
      <c r="R888" s="2"/>
      <c r="S888" s="2"/>
      <c r="T888" s="2"/>
      <c r="U888" s="2"/>
      <c r="V888" s="2"/>
      <c r="W888" s="2"/>
      <c r="X888" s="2"/>
      <c r="Y888" s="2"/>
      <c r="Z888" s="2"/>
    </row>
    <row r="889">
      <c r="A889" s="2"/>
      <c r="B889" s="2"/>
      <c r="C889" s="2"/>
      <c r="D889" s="2"/>
      <c r="E889" s="2"/>
      <c r="F889" s="7"/>
      <c r="G889" s="2"/>
      <c r="H889" s="7"/>
      <c r="I889" s="2"/>
      <c r="J889" s="2"/>
      <c r="K889" s="2"/>
      <c r="L889" s="2"/>
      <c r="M889" s="2"/>
      <c r="N889" s="2"/>
      <c r="O889" s="2"/>
      <c r="P889" s="2"/>
      <c r="Q889" s="2"/>
      <c r="R889" s="2"/>
      <c r="S889" s="2"/>
      <c r="T889" s="2"/>
      <c r="U889" s="2"/>
      <c r="V889" s="2"/>
      <c r="W889" s="2"/>
      <c r="X889" s="2"/>
      <c r="Y889" s="2"/>
      <c r="Z889" s="2"/>
    </row>
    <row r="890">
      <c r="A890" s="2"/>
      <c r="B890" s="2"/>
      <c r="C890" s="2"/>
      <c r="D890" s="2"/>
      <c r="E890" s="2"/>
      <c r="F890" s="7"/>
      <c r="G890" s="2"/>
      <c r="H890" s="7"/>
      <c r="I890" s="2"/>
      <c r="J890" s="2"/>
      <c r="K890" s="2"/>
      <c r="L890" s="2"/>
      <c r="M890" s="2"/>
      <c r="N890" s="2"/>
      <c r="O890" s="2"/>
      <c r="P890" s="2"/>
      <c r="Q890" s="2"/>
      <c r="R890" s="2"/>
      <c r="S890" s="2"/>
      <c r="T890" s="2"/>
      <c r="U890" s="2"/>
      <c r="V890" s="2"/>
      <c r="W890" s="2"/>
      <c r="X890" s="2"/>
      <c r="Y890" s="2"/>
      <c r="Z890" s="2"/>
    </row>
    <row r="891">
      <c r="A891" s="2"/>
      <c r="B891" s="2"/>
      <c r="C891" s="2"/>
      <c r="D891" s="2"/>
      <c r="E891" s="2"/>
      <c r="F891" s="7"/>
      <c r="G891" s="2"/>
      <c r="H891" s="7"/>
      <c r="I891" s="2"/>
      <c r="J891" s="2"/>
      <c r="K891" s="2"/>
      <c r="L891" s="2"/>
      <c r="M891" s="2"/>
      <c r="N891" s="2"/>
      <c r="O891" s="2"/>
      <c r="P891" s="2"/>
      <c r="Q891" s="2"/>
      <c r="R891" s="2"/>
      <c r="S891" s="2"/>
      <c r="T891" s="2"/>
      <c r="U891" s="2"/>
      <c r="V891" s="2"/>
      <c r="W891" s="2"/>
      <c r="X891" s="2"/>
      <c r="Y891" s="2"/>
      <c r="Z891" s="2"/>
    </row>
    <row r="892">
      <c r="A892" s="2"/>
      <c r="B892" s="2"/>
      <c r="C892" s="2"/>
      <c r="D892" s="2"/>
      <c r="E892" s="2"/>
      <c r="F892" s="7"/>
      <c r="G892" s="2"/>
      <c r="H892" s="7"/>
      <c r="I892" s="2"/>
      <c r="J892" s="2"/>
      <c r="K892" s="2"/>
      <c r="L892" s="2"/>
      <c r="M892" s="2"/>
      <c r="N892" s="2"/>
      <c r="O892" s="2"/>
      <c r="P892" s="2"/>
      <c r="Q892" s="2"/>
      <c r="R892" s="2"/>
      <c r="S892" s="2"/>
      <c r="T892" s="2"/>
      <c r="U892" s="2"/>
      <c r="V892" s="2"/>
      <c r="W892" s="2"/>
      <c r="X892" s="2"/>
      <c r="Y892" s="2"/>
      <c r="Z892" s="2"/>
    </row>
    <row r="893">
      <c r="A893" s="2"/>
      <c r="B893" s="2"/>
      <c r="C893" s="2"/>
      <c r="D893" s="2"/>
      <c r="E893" s="2"/>
      <c r="F893" s="7"/>
      <c r="G893" s="2"/>
      <c r="H893" s="7"/>
      <c r="I893" s="2"/>
      <c r="J893" s="2"/>
      <c r="K893" s="2"/>
      <c r="L893" s="2"/>
      <c r="M893" s="2"/>
      <c r="N893" s="2"/>
      <c r="O893" s="2"/>
      <c r="P893" s="2"/>
      <c r="Q893" s="2"/>
      <c r="R893" s="2"/>
      <c r="S893" s="2"/>
      <c r="T893" s="2"/>
      <c r="U893" s="2"/>
      <c r="V893" s="2"/>
      <c r="W893" s="2"/>
      <c r="X893" s="2"/>
      <c r="Y893" s="2"/>
      <c r="Z893" s="2"/>
    </row>
    <row r="894">
      <c r="A894" s="2"/>
      <c r="B894" s="2"/>
      <c r="C894" s="2"/>
      <c r="D894" s="2"/>
      <c r="E894" s="2"/>
      <c r="F894" s="7"/>
      <c r="G894" s="2"/>
      <c r="H894" s="7"/>
      <c r="I894" s="2"/>
      <c r="J894" s="2"/>
      <c r="K894" s="2"/>
      <c r="L894" s="2"/>
      <c r="M894" s="2"/>
      <c r="N894" s="2"/>
      <c r="O894" s="2"/>
      <c r="P894" s="2"/>
      <c r="Q894" s="2"/>
      <c r="R894" s="2"/>
      <c r="S894" s="2"/>
      <c r="T894" s="2"/>
      <c r="U894" s="2"/>
      <c r="V894" s="2"/>
      <c r="W894" s="2"/>
      <c r="X894" s="2"/>
      <c r="Y894" s="2"/>
      <c r="Z894" s="2"/>
    </row>
    <row r="895">
      <c r="A895" s="2"/>
      <c r="B895" s="2"/>
      <c r="C895" s="2"/>
      <c r="D895" s="2"/>
      <c r="E895" s="2"/>
      <c r="F895" s="7"/>
      <c r="G895" s="2"/>
      <c r="H895" s="7"/>
      <c r="I895" s="2"/>
      <c r="J895" s="2"/>
      <c r="K895" s="2"/>
      <c r="L895" s="2"/>
      <c r="M895" s="2"/>
      <c r="N895" s="2"/>
      <c r="O895" s="2"/>
      <c r="P895" s="2"/>
      <c r="Q895" s="2"/>
      <c r="R895" s="2"/>
      <c r="S895" s="2"/>
      <c r="T895" s="2"/>
      <c r="U895" s="2"/>
      <c r="V895" s="2"/>
      <c r="W895" s="2"/>
      <c r="X895" s="2"/>
      <c r="Y895" s="2"/>
      <c r="Z895" s="2"/>
    </row>
    <row r="896">
      <c r="A896" s="2"/>
      <c r="B896" s="2"/>
      <c r="C896" s="2"/>
      <c r="D896" s="2"/>
      <c r="E896" s="2"/>
      <c r="F896" s="7"/>
      <c r="G896" s="2"/>
      <c r="H896" s="7"/>
      <c r="I896" s="2"/>
      <c r="J896" s="2"/>
      <c r="K896" s="2"/>
      <c r="L896" s="2"/>
      <c r="M896" s="2"/>
      <c r="N896" s="2"/>
      <c r="O896" s="2"/>
      <c r="P896" s="2"/>
      <c r="Q896" s="2"/>
      <c r="R896" s="2"/>
      <c r="S896" s="2"/>
      <c r="T896" s="2"/>
      <c r="U896" s="2"/>
      <c r="V896" s="2"/>
      <c r="W896" s="2"/>
      <c r="X896" s="2"/>
      <c r="Y896" s="2"/>
      <c r="Z896" s="2"/>
    </row>
    <row r="897">
      <c r="A897" s="2"/>
      <c r="B897" s="2"/>
      <c r="C897" s="2"/>
      <c r="D897" s="2"/>
      <c r="E897" s="2"/>
      <c r="F897" s="7"/>
      <c r="G897" s="2"/>
      <c r="H897" s="7"/>
      <c r="I897" s="2"/>
      <c r="J897" s="2"/>
      <c r="K897" s="2"/>
      <c r="L897" s="2"/>
      <c r="M897" s="2"/>
      <c r="N897" s="2"/>
      <c r="O897" s="2"/>
      <c r="P897" s="2"/>
      <c r="Q897" s="2"/>
      <c r="R897" s="2"/>
      <c r="S897" s="2"/>
      <c r="T897" s="2"/>
      <c r="U897" s="2"/>
      <c r="V897" s="2"/>
      <c r="W897" s="2"/>
      <c r="X897" s="2"/>
      <c r="Y897" s="2"/>
      <c r="Z897" s="2"/>
    </row>
    <row r="898">
      <c r="A898" s="2"/>
      <c r="B898" s="2"/>
      <c r="C898" s="2"/>
      <c r="D898" s="2"/>
      <c r="E898" s="2"/>
      <c r="F898" s="7"/>
      <c r="G898" s="2"/>
      <c r="H898" s="7"/>
      <c r="I898" s="2"/>
      <c r="J898" s="2"/>
      <c r="K898" s="2"/>
      <c r="L898" s="2"/>
      <c r="M898" s="2"/>
      <c r="N898" s="2"/>
      <c r="O898" s="2"/>
      <c r="P898" s="2"/>
      <c r="Q898" s="2"/>
      <c r="R898" s="2"/>
      <c r="S898" s="2"/>
      <c r="T898" s="2"/>
      <c r="U898" s="2"/>
      <c r="V898" s="2"/>
      <c r="W898" s="2"/>
      <c r="X898" s="2"/>
      <c r="Y898" s="2"/>
      <c r="Z898" s="2"/>
    </row>
    <row r="899">
      <c r="A899" s="2"/>
      <c r="B899" s="2"/>
      <c r="C899" s="2"/>
      <c r="D899" s="2"/>
      <c r="E899" s="2"/>
      <c r="F899" s="7"/>
      <c r="G899" s="2"/>
      <c r="H899" s="7"/>
      <c r="I899" s="2"/>
      <c r="J899" s="2"/>
      <c r="K899" s="2"/>
      <c r="L899" s="2"/>
      <c r="M899" s="2"/>
      <c r="N899" s="2"/>
      <c r="O899" s="2"/>
      <c r="P899" s="2"/>
      <c r="Q899" s="2"/>
      <c r="R899" s="2"/>
      <c r="S899" s="2"/>
      <c r="T899" s="2"/>
      <c r="U899" s="2"/>
      <c r="V899" s="2"/>
      <c r="W899" s="2"/>
      <c r="X899" s="2"/>
      <c r="Y899" s="2"/>
      <c r="Z899" s="2"/>
    </row>
    <row r="900">
      <c r="A900" s="2"/>
      <c r="B900" s="2"/>
      <c r="C900" s="2"/>
      <c r="D900" s="2"/>
      <c r="E900" s="2"/>
      <c r="F900" s="7"/>
      <c r="G900" s="2"/>
      <c r="H900" s="7"/>
      <c r="I900" s="2"/>
      <c r="J900" s="2"/>
      <c r="K900" s="2"/>
      <c r="L900" s="2"/>
      <c r="M900" s="2"/>
      <c r="N900" s="2"/>
      <c r="O900" s="2"/>
      <c r="P900" s="2"/>
      <c r="Q900" s="2"/>
      <c r="R900" s="2"/>
      <c r="S900" s="2"/>
      <c r="T900" s="2"/>
      <c r="U900" s="2"/>
      <c r="V900" s="2"/>
      <c r="W900" s="2"/>
      <c r="X900" s="2"/>
      <c r="Y900" s="2"/>
      <c r="Z900" s="2"/>
    </row>
    <row r="901">
      <c r="A901" s="2"/>
      <c r="B901" s="2"/>
      <c r="C901" s="2"/>
      <c r="D901" s="2"/>
      <c r="E901" s="2"/>
      <c r="F901" s="7"/>
      <c r="G901" s="2"/>
      <c r="H901" s="7"/>
      <c r="I901" s="2"/>
      <c r="J901" s="2"/>
      <c r="K901" s="2"/>
      <c r="L901" s="2"/>
      <c r="M901" s="2"/>
      <c r="N901" s="2"/>
      <c r="O901" s="2"/>
      <c r="P901" s="2"/>
      <c r="Q901" s="2"/>
      <c r="R901" s="2"/>
      <c r="S901" s="2"/>
      <c r="T901" s="2"/>
      <c r="U901" s="2"/>
      <c r="V901" s="2"/>
      <c r="W901" s="2"/>
      <c r="X901" s="2"/>
      <c r="Y901" s="2"/>
      <c r="Z901" s="2"/>
    </row>
    <row r="902">
      <c r="A902" s="2"/>
      <c r="B902" s="2"/>
      <c r="C902" s="2"/>
      <c r="D902" s="2"/>
      <c r="E902" s="2"/>
      <c r="F902" s="7"/>
      <c r="G902" s="2"/>
      <c r="H902" s="7"/>
      <c r="I902" s="2"/>
      <c r="J902" s="2"/>
      <c r="K902" s="2"/>
      <c r="L902" s="2"/>
      <c r="M902" s="2"/>
      <c r="N902" s="2"/>
      <c r="O902" s="2"/>
      <c r="P902" s="2"/>
      <c r="Q902" s="2"/>
      <c r="R902" s="2"/>
      <c r="S902" s="2"/>
      <c r="T902" s="2"/>
      <c r="U902" s="2"/>
      <c r="V902" s="2"/>
      <c r="W902" s="2"/>
      <c r="X902" s="2"/>
      <c r="Y902" s="2"/>
      <c r="Z902" s="2"/>
    </row>
    <row r="903">
      <c r="A903" s="2"/>
      <c r="B903" s="2"/>
      <c r="C903" s="2"/>
      <c r="D903" s="2"/>
      <c r="E903" s="2"/>
      <c r="F903" s="7"/>
      <c r="G903" s="2"/>
      <c r="H903" s="7"/>
      <c r="I903" s="2"/>
      <c r="J903" s="2"/>
      <c r="K903" s="2"/>
      <c r="L903" s="2"/>
      <c r="M903" s="2"/>
      <c r="N903" s="2"/>
      <c r="O903" s="2"/>
      <c r="P903" s="2"/>
      <c r="Q903" s="2"/>
      <c r="R903" s="2"/>
      <c r="S903" s="2"/>
      <c r="T903" s="2"/>
      <c r="U903" s="2"/>
      <c r="V903" s="2"/>
      <c r="W903" s="2"/>
      <c r="X903" s="2"/>
      <c r="Y903" s="2"/>
      <c r="Z903" s="2"/>
    </row>
    <row r="904">
      <c r="A904" s="2"/>
      <c r="B904" s="2"/>
      <c r="C904" s="2"/>
      <c r="D904" s="2"/>
      <c r="E904" s="2"/>
      <c r="F904" s="7"/>
      <c r="G904" s="2"/>
      <c r="H904" s="7"/>
      <c r="I904" s="2"/>
      <c r="J904" s="2"/>
      <c r="K904" s="2"/>
      <c r="L904" s="2"/>
      <c r="M904" s="2"/>
      <c r="N904" s="2"/>
      <c r="O904" s="2"/>
      <c r="P904" s="2"/>
      <c r="Q904" s="2"/>
      <c r="R904" s="2"/>
      <c r="S904" s="2"/>
      <c r="T904" s="2"/>
      <c r="U904" s="2"/>
      <c r="V904" s="2"/>
      <c r="W904" s="2"/>
      <c r="X904" s="2"/>
      <c r="Y904" s="2"/>
      <c r="Z904" s="2"/>
    </row>
    <row r="905">
      <c r="A905" s="2"/>
      <c r="B905" s="2"/>
      <c r="C905" s="2"/>
      <c r="D905" s="2"/>
      <c r="E905" s="2"/>
      <c r="F905" s="7"/>
      <c r="G905" s="2"/>
      <c r="H905" s="7"/>
      <c r="I905" s="2"/>
      <c r="J905" s="2"/>
      <c r="K905" s="2"/>
      <c r="L905" s="2"/>
      <c r="M905" s="2"/>
      <c r="N905" s="2"/>
      <c r="O905" s="2"/>
      <c r="P905" s="2"/>
      <c r="Q905" s="2"/>
      <c r="R905" s="2"/>
      <c r="S905" s="2"/>
      <c r="T905" s="2"/>
      <c r="U905" s="2"/>
      <c r="V905" s="2"/>
      <c r="W905" s="2"/>
      <c r="X905" s="2"/>
      <c r="Y905" s="2"/>
      <c r="Z905" s="2"/>
    </row>
    <row r="906">
      <c r="A906" s="2"/>
      <c r="B906" s="2"/>
      <c r="C906" s="2"/>
      <c r="D906" s="2"/>
      <c r="E906" s="2"/>
      <c r="F906" s="7"/>
      <c r="G906" s="2"/>
      <c r="H906" s="7"/>
      <c r="I906" s="2"/>
      <c r="J906" s="2"/>
      <c r="K906" s="2"/>
      <c r="L906" s="2"/>
      <c r="M906" s="2"/>
      <c r="N906" s="2"/>
      <c r="O906" s="2"/>
      <c r="P906" s="2"/>
      <c r="Q906" s="2"/>
      <c r="R906" s="2"/>
      <c r="S906" s="2"/>
      <c r="T906" s="2"/>
      <c r="U906" s="2"/>
      <c r="V906" s="2"/>
      <c r="W906" s="2"/>
      <c r="X906" s="2"/>
      <c r="Y906" s="2"/>
      <c r="Z906" s="2"/>
    </row>
    <row r="907">
      <c r="A907" s="2"/>
      <c r="B907" s="2"/>
      <c r="C907" s="2"/>
      <c r="D907" s="2"/>
      <c r="E907" s="2"/>
      <c r="F907" s="7"/>
      <c r="G907" s="2"/>
      <c r="H907" s="7"/>
      <c r="I907" s="2"/>
      <c r="J907" s="2"/>
      <c r="K907" s="2"/>
      <c r="L907" s="2"/>
      <c r="M907" s="2"/>
      <c r="N907" s="2"/>
      <c r="O907" s="2"/>
      <c r="P907" s="2"/>
      <c r="Q907" s="2"/>
      <c r="R907" s="2"/>
      <c r="S907" s="2"/>
      <c r="T907" s="2"/>
      <c r="U907" s="2"/>
      <c r="V907" s="2"/>
      <c r="W907" s="2"/>
      <c r="X907" s="2"/>
      <c r="Y907" s="2"/>
      <c r="Z907" s="2"/>
    </row>
    <row r="908">
      <c r="A908" s="2"/>
      <c r="B908" s="2"/>
      <c r="C908" s="2"/>
      <c r="D908" s="2"/>
      <c r="E908" s="2"/>
      <c r="F908" s="7"/>
      <c r="G908" s="2"/>
      <c r="H908" s="7"/>
      <c r="I908" s="2"/>
      <c r="J908" s="2"/>
      <c r="K908" s="2"/>
      <c r="L908" s="2"/>
      <c r="M908" s="2"/>
      <c r="N908" s="2"/>
      <c r="O908" s="2"/>
      <c r="P908" s="2"/>
      <c r="Q908" s="2"/>
      <c r="R908" s="2"/>
      <c r="S908" s="2"/>
      <c r="T908" s="2"/>
      <c r="U908" s="2"/>
      <c r="V908" s="2"/>
      <c r="W908" s="2"/>
      <c r="X908" s="2"/>
      <c r="Y908" s="2"/>
      <c r="Z908" s="2"/>
    </row>
    <row r="909">
      <c r="A909" s="2"/>
      <c r="B909" s="2"/>
      <c r="C909" s="2"/>
      <c r="D909" s="2"/>
      <c r="E909" s="2"/>
      <c r="F909" s="7"/>
      <c r="G909" s="2"/>
      <c r="H909" s="7"/>
      <c r="I909" s="2"/>
      <c r="J909" s="2"/>
      <c r="K909" s="2"/>
      <c r="L909" s="2"/>
      <c r="M909" s="2"/>
      <c r="N909" s="2"/>
      <c r="O909" s="2"/>
      <c r="P909" s="2"/>
      <c r="Q909" s="2"/>
      <c r="R909" s="2"/>
      <c r="S909" s="2"/>
      <c r="T909" s="2"/>
      <c r="U909" s="2"/>
      <c r="V909" s="2"/>
      <c r="W909" s="2"/>
      <c r="X909" s="2"/>
      <c r="Y909" s="2"/>
      <c r="Z909" s="2"/>
    </row>
    <row r="910">
      <c r="A910" s="2"/>
      <c r="B910" s="2"/>
      <c r="C910" s="2"/>
      <c r="D910" s="2"/>
      <c r="E910" s="2"/>
      <c r="F910" s="7"/>
      <c r="G910" s="2"/>
      <c r="H910" s="7"/>
      <c r="I910" s="2"/>
      <c r="J910" s="2"/>
      <c r="K910" s="2"/>
      <c r="L910" s="2"/>
      <c r="M910" s="2"/>
      <c r="N910" s="2"/>
      <c r="O910" s="2"/>
      <c r="P910" s="2"/>
      <c r="Q910" s="2"/>
      <c r="R910" s="2"/>
      <c r="S910" s="2"/>
      <c r="T910" s="2"/>
      <c r="U910" s="2"/>
      <c r="V910" s="2"/>
      <c r="W910" s="2"/>
      <c r="X910" s="2"/>
      <c r="Y910" s="2"/>
      <c r="Z910" s="2"/>
    </row>
    <row r="911">
      <c r="A911" s="2"/>
      <c r="B911" s="2"/>
      <c r="C911" s="2"/>
      <c r="D911" s="2"/>
      <c r="E911" s="2"/>
      <c r="F911" s="7"/>
      <c r="G911" s="2"/>
      <c r="H911" s="7"/>
      <c r="I911" s="2"/>
      <c r="J911" s="2"/>
      <c r="K911" s="2"/>
      <c r="L911" s="2"/>
      <c r="M911" s="2"/>
      <c r="N911" s="2"/>
      <c r="O911" s="2"/>
      <c r="P911" s="2"/>
      <c r="Q911" s="2"/>
      <c r="R911" s="2"/>
      <c r="S911" s="2"/>
      <c r="T911" s="2"/>
      <c r="U911" s="2"/>
      <c r="V911" s="2"/>
      <c r="W911" s="2"/>
      <c r="X911" s="2"/>
      <c r="Y911" s="2"/>
      <c r="Z911" s="2"/>
    </row>
    <row r="912">
      <c r="A912" s="2"/>
      <c r="B912" s="2"/>
      <c r="C912" s="2"/>
      <c r="D912" s="2"/>
      <c r="E912" s="2"/>
      <c r="F912" s="7"/>
      <c r="G912" s="2"/>
      <c r="H912" s="7"/>
      <c r="I912" s="2"/>
      <c r="J912" s="2"/>
      <c r="K912" s="2"/>
      <c r="L912" s="2"/>
      <c r="M912" s="2"/>
      <c r="N912" s="2"/>
      <c r="O912" s="2"/>
      <c r="P912" s="2"/>
      <c r="Q912" s="2"/>
      <c r="R912" s="2"/>
      <c r="S912" s="2"/>
      <c r="T912" s="2"/>
      <c r="U912" s="2"/>
      <c r="V912" s="2"/>
      <c r="W912" s="2"/>
      <c r="X912" s="2"/>
      <c r="Y912" s="2"/>
      <c r="Z912" s="2"/>
    </row>
    <row r="913">
      <c r="A913" s="2"/>
      <c r="B913" s="2"/>
      <c r="C913" s="2"/>
      <c r="D913" s="2"/>
      <c r="E913" s="2"/>
      <c r="F913" s="7"/>
      <c r="G913" s="2"/>
      <c r="H913" s="7"/>
      <c r="I913" s="2"/>
      <c r="J913" s="2"/>
      <c r="K913" s="2"/>
      <c r="L913" s="2"/>
      <c r="M913" s="2"/>
      <c r="N913" s="2"/>
      <c r="O913" s="2"/>
      <c r="P913" s="2"/>
      <c r="Q913" s="2"/>
      <c r="R913" s="2"/>
      <c r="S913" s="2"/>
      <c r="T913" s="2"/>
      <c r="U913" s="2"/>
      <c r="V913" s="2"/>
      <c r="W913" s="2"/>
      <c r="X913" s="2"/>
      <c r="Y913" s="2"/>
      <c r="Z913" s="2"/>
    </row>
    <row r="914">
      <c r="A914" s="2"/>
      <c r="B914" s="2"/>
      <c r="C914" s="2"/>
      <c r="D914" s="2"/>
      <c r="E914" s="2"/>
      <c r="F914" s="7"/>
      <c r="G914" s="2"/>
      <c r="H914" s="7"/>
      <c r="I914" s="2"/>
      <c r="J914" s="2"/>
      <c r="K914" s="2"/>
      <c r="L914" s="2"/>
      <c r="M914" s="2"/>
      <c r="N914" s="2"/>
      <c r="O914" s="2"/>
      <c r="P914" s="2"/>
      <c r="Q914" s="2"/>
      <c r="R914" s="2"/>
      <c r="S914" s="2"/>
      <c r="T914" s="2"/>
      <c r="U914" s="2"/>
      <c r="V914" s="2"/>
      <c r="W914" s="2"/>
      <c r="X914" s="2"/>
      <c r="Y914" s="2"/>
      <c r="Z914" s="2"/>
    </row>
    <row r="915">
      <c r="A915" s="2"/>
      <c r="B915" s="2"/>
      <c r="C915" s="2"/>
      <c r="D915" s="2"/>
      <c r="E915" s="2"/>
      <c r="F915" s="7"/>
      <c r="G915" s="2"/>
      <c r="H915" s="7"/>
      <c r="I915" s="2"/>
      <c r="J915" s="2"/>
      <c r="K915" s="2"/>
      <c r="L915" s="2"/>
      <c r="M915" s="2"/>
      <c r="N915" s="2"/>
      <c r="O915" s="2"/>
      <c r="P915" s="2"/>
      <c r="Q915" s="2"/>
      <c r="R915" s="2"/>
      <c r="S915" s="2"/>
      <c r="T915" s="2"/>
      <c r="U915" s="2"/>
      <c r="V915" s="2"/>
      <c r="W915" s="2"/>
      <c r="X915" s="2"/>
      <c r="Y915" s="2"/>
      <c r="Z915" s="2"/>
    </row>
    <row r="916">
      <c r="A916" s="2"/>
      <c r="B916" s="2"/>
      <c r="C916" s="2"/>
      <c r="D916" s="2"/>
      <c r="E916" s="2"/>
      <c r="F916" s="7"/>
      <c r="G916" s="2"/>
      <c r="H916" s="7"/>
      <c r="I916" s="2"/>
      <c r="J916" s="2"/>
      <c r="K916" s="2"/>
      <c r="L916" s="2"/>
      <c r="M916" s="2"/>
      <c r="N916" s="2"/>
      <c r="O916" s="2"/>
      <c r="P916" s="2"/>
      <c r="Q916" s="2"/>
      <c r="R916" s="2"/>
      <c r="S916" s="2"/>
      <c r="T916" s="2"/>
      <c r="U916" s="2"/>
      <c r="V916" s="2"/>
      <c r="W916" s="2"/>
      <c r="X916" s="2"/>
      <c r="Y916" s="2"/>
      <c r="Z916" s="2"/>
    </row>
    <row r="917">
      <c r="A917" s="2"/>
      <c r="B917" s="2"/>
      <c r="C917" s="2"/>
      <c r="D917" s="2"/>
      <c r="E917" s="2"/>
      <c r="F917" s="7"/>
      <c r="G917" s="2"/>
      <c r="H917" s="7"/>
      <c r="I917" s="2"/>
      <c r="J917" s="2"/>
      <c r="K917" s="2"/>
      <c r="L917" s="2"/>
      <c r="M917" s="2"/>
      <c r="N917" s="2"/>
      <c r="O917" s="2"/>
      <c r="P917" s="2"/>
      <c r="Q917" s="2"/>
      <c r="R917" s="2"/>
      <c r="S917" s="2"/>
      <c r="T917" s="2"/>
      <c r="U917" s="2"/>
      <c r="V917" s="2"/>
      <c r="W917" s="2"/>
      <c r="X917" s="2"/>
      <c r="Y917" s="2"/>
      <c r="Z917" s="2"/>
    </row>
    <row r="918">
      <c r="A918" s="2"/>
      <c r="B918" s="2"/>
      <c r="C918" s="2"/>
      <c r="D918" s="2"/>
      <c r="E918" s="2"/>
      <c r="F918" s="7"/>
      <c r="G918" s="2"/>
      <c r="H918" s="7"/>
      <c r="I918" s="2"/>
      <c r="J918" s="2"/>
      <c r="K918" s="2"/>
      <c r="L918" s="2"/>
      <c r="M918" s="2"/>
      <c r="N918" s="2"/>
      <c r="O918" s="2"/>
      <c r="P918" s="2"/>
      <c r="Q918" s="2"/>
      <c r="R918" s="2"/>
      <c r="S918" s="2"/>
      <c r="T918" s="2"/>
      <c r="U918" s="2"/>
      <c r="V918" s="2"/>
      <c r="W918" s="2"/>
      <c r="X918" s="2"/>
      <c r="Y918" s="2"/>
      <c r="Z918" s="2"/>
    </row>
    <row r="919">
      <c r="A919" s="2"/>
      <c r="B919" s="2"/>
      <c r="C919" s="2"/>
      <c r="D919" s="2"/>
      <c r="E919" s="2"/>
      <c r="F919" s="7"/>
      <c r="G919" s="2"/>
      <c r="H919" s="7"/>
      <c r="I919" s="2"/>
      <c r="J919" s="2"/>
      <c r="K919" s="2"/>
      <c r="L919" s="2"/>
      <c r="M919" s="2"/>
      <c r="N919" s="2"/>
      <c r="O919" s="2"/>
      <c r="P919" s="2"/>
      <c r="Q919" s="2"/>
      <c r="R919" s="2"/>
      <c r="S919" s="2"/>
      <c r="T919" s="2"/>
      <c r="U919" s="2"/>
      <c r="V919" s="2"/>
      <c r="W919" s="2"/>
      <c r="X919" s="2"/>
      <c r="Y919" s="2"/>
      <c r="Z919" s="2"/>
    </row>
    <row r="920">
      <c r="A920" s="2"/>
      <c r="B920" s="2"/>
      <c r="C920" s="2"/>
      <c r="D920" s="2"/>
      <c r="E920" s="2"/>
      <c r="F920" s="7"/>
      <c r="G920" s="2"/>
      <c r="H920" s="7"/>
      <c r="I920" s="2"/>
      <c r="J920" s="2"/>
      <c r="K920" s="2"/>
      <c r="L920" s="2"/>
      <c r="M920" s="2"/>
      <c r="N920" s="2"/>
      <c r="O920" s="2"/>
      <c r="P920" s="2"/>
      <c r="Q920" s="2"/>
      <c r="R920" s="2"/>
      <c r="S920" s="2"/>
      <c r="T920" s="2"/>
      <c r="U920" s="2"/>
      <c r="V920" s="2"/>
      <c r="W920" s="2"/>
      <c r="X920" s="2"/>
      <c r="Y920" s="2"/>
      <c r="Z920" s="2"/>
    </row>
    <row r="921">
      <c r="A921" s="2"/>
      <c r="B921" s="2"/>
      <c r="C921" s="2"/>
      <c r="D921" s="2"/>
      <c r="E921" s="2"/>
      <c r="F921" s="7"/>
      <c r="G921" s="2"/>
      <c r="H921" s="7"/>
      <c r="I921" s="2"/>
      <c r="J921" s="2"/>
      <c r="K921" s="2"/>
      <c r="L921" s="2"/>
      <c r="M921" s="2"/>
      <c r="N921" s="2"/>
      <c r="O921" s="2"/>
      <c r="P921" s="2"/>
      <c r="Q921" s="2"/>
      <c r="R921" s="2"/>
      <c r="S921" s="2"/>
      <c r="T921" s="2"/>
      <c r="U921" s="2"/>
      <c r="V921" s="2"/>
      <c r="W921" s="2"/>
      <c r="X921" s="2"/>
      <c r="Y921" s="2"/>
      <c r="Z921" s="2"/>
    </row>
    <row r="922">
      <c r="A922" s="2"/>
      <c r="B922" s="2"/>
      <c r="C922" s="2"/>
      <c r="D922" s="2"/>
      <c r="E922" s="2"/>
      <c r="F922" s="7"/>
      <c r="G922" s="2"/>
      <c r="H922" s="7"/>
      <c r="I922" s="2"/>
      <c r="J922" s="2"/>
      <c r="K922" s="2"/>
      <c r="L922" s="2"/>
      <c r="M922" s="2"/>
      <c r="N922" s="2"/>
      <c r="O922" s="2"/>
      <c r="P922" s="2"/>
      <c r="Q922" s="2"/>
      <c r="R922" s="2"/>
      <c r="S922" s="2"/>
      <c r="T922" s="2"/>
      <c r="U922" s="2"/>
      <c r="V922" s="2"/>
      <c r="W922" s="2"/>
      <c r="X922" s="2"/>
      <c r="Y922" s="2"/>
      <c r="Z922" s="2"/>
    </row>
    <row r="923">
      <c r="A923" s="2"/>
      <c r="B923" s="2"/>
      <c r="C923" s="2"/>
      <c r="D923" s="2"/>
      <c r="E923" s="2"/>
      <c r="F923" s="7"/>
      <c r="G923" s="2"/>
      <c r="H923" s="7"/>
      <c r="I923" s="2"/>
      <c r="J923" s="2"/>
      <c r="K923" s="2"/>
      <c r="L923" s="2"/>
      <c r="M923" s="2"/>
      <c r="N923" s="2"/>
      <c r="O923" s="2"/>
      <c r="P923" s="2"/>
      <c r="Q923" s="2"/>
      <c r="R923" s="2"/>
      <c r="S923" s="2"/>
      <c r="T923" s="2"/>
      <c r="U923" s="2"/>
      <c r="V923" s="2"/>
      <c r="W923" s="2"/>
      <c r="X923" s="2"/>
      <c r="Y923" s="2"/>
      <c r="Z923" s="2"/>
    </row>
    <row r="924">
      <c r="A924" s="2"/>
      <c r="B924" s="2"/>
      <c r="C924" s="2"/>
      <c r="D924" s="2"/>
      <c r="E924" s="2"/>
      <c r="F924" s="7"/>
      <c r="G924" s="2"/>
      <c r="H924" s="7"/>
      <c r="I924" s="2"/>
      <c r="J924" s="2"/>
      <c r="K924" s="2"/>
      <c r="L924" s="2"/>
      <c r="M924" s="2"/>
      <c r="N924" s="2"/>
      <c r="O924" s="2"/>
      <c r="P924" s="2"/>
      <c r="Q924" s="2"/>
      <c r="R924" s="2"/>
      <c r="S924" s="2"/>
      <c r="T924" s="2"/>
      <c r="U924" s="2"/>
      <c r="V924" s="2"/>
      <c r="W924" s="2"/>
      <c r="X924" s="2"/>
      <c r="Y924" s="2"/>
      <c r="Z924" s="2"/>
    </row>
    <row r="925">
      <c r="A925" s="2"/>
      <c r="B925" s="2"/>
      <c r="C925" s="2"/>
      <c r="D925" s="2"/>
      <c r="E925" s="2"/>
      <c r="F925" s="7"/>
      <c r="G925" s="2"/>
      <c r="H925" s="7"/>
      <c r="I925" s="2"/>
      <c r="J925" s="2"/>
      <c r="K925" s="2"/>
      <c r="L925" s="2"/>
      <c r="M925" s="2"/>
      <c r="N925" s="2"/>
      <c r="O925" s="2"/>
      <c r="P925" s="2"/>
      <c r="Q925" s="2"/>
      <c r="R925" s="2"/>
      <c r="S925" s="2"/>
      <c r="T925" s="2"/>
      <c r="U925" s="2"/>
      <c r="V925" s="2"/>
      <c r="W925" s="2"/>
      <c r="X925" s="2"/>
      <c r="Y925" s="2"/>
      <c r="Z925" s="2"/>
    </row>
    <row r="926">
      <c r="A926" s="2"/>
      <c r="B926" s="2"/>
      <c r="C926" s="2"/>
      <c r="D926" s="2"/>
      <c r="E926" s="2"/>
      <c r="F926" s="7"/>
      <c r="G926" s="2"/>
      <c r="H926" s="7"/>
      <c r="I926" s="2"/>
      <c r="J926" s="2"/>
      <c r="K926" s="2"/>
      <c r="L926" s="2"/>
      <c r="M926" s="2"/>
      <c r="N926" s="2"/>
      <c r="O926" s="2"/>
      <c r="P926" s="2"/>
      <c r="Q926" s="2"/>
      <c r="R926" s="2"/>
      <c r="S926" s="2"/>
      <c r="T926" s="2"/>
      <c r="U926" s="2"/>
      <c r="V926" s="2"/>
      <c r="W926" s="2"/>
      <c r="X926" s="2"/>
      <c r="Y926" s="2"/>
      <c r="Z926" s="2"/>
    </row>
    <row r="927">
      <c r="A927" s="2"/>
      <c r="B927" s="2"/>
      <c r="C927" s="2"/>
      <c r="D927" s="2"/>
      <c r="E927" s="2"/>
      <c r="F927" s="7"/>
      <c r="G927" s="2"/>
      <c r="H927" s="7"/>
      <c r="I927" s="2"/>
      <c r="J927" s="2"/>
      <c r="K927" s="2"/>
      <c r="L927" s="2"/>
      <c r="M927" s="2"/>
      <c r="N927" s="2"/>
      <c r="O927" s="2"/>
      <c r="P927" s="2"/>
      <c r="Q927" s="2"/>
      <c r="R927" s="2"/>
      <c r="S927" s="2"/>
      <c r="T927" s="2"/>
      <c r="U927" s="2"/>
      <c r="V927" s="2"/>
      <c r="W927" s="2"/>
      <c r="X927" s="2"/>
      <c r="Y927" s="2"/>
      <c r="Z927" s="2"/>
    </row>
    <row r="928">
      <c r="A928" s="2"/>
      <c r="B928" s="2"/>
      <c r="C928" s="2"/>
      <c r="D928" s="2"/>
      <c r="E928" s="2"/>
      <c r="F928" s="7"/>
      <c r="G928" s="2"/>
      <c r="H928" s="7"/>
      <c r="I928" s="2"/>
      <c r="J928" s="2"/>
      <c r="K928" s="2"/>
      <c r="L928" s="2"/>
      <c r="M928" s="2"/>
      <c r="N928" s="2"/>
      <c r="O928" s="2"/>
      <c r="P928" s="2"/>
      <c r="Q928" s="2"/>
      <c r="R928" s="2"/>
      <c r="S928" s="2"/>
      <c r="T928" s="2"/>
      <c r="U928" s="2"/>
      <c r="V928" s="2"/>
      <c r="W928" s="2"/>
      <c r="X928" s="2"/>
      <c r="Y928" s="2"/>
      <c r="Z928" s="2"/>
    </row>
    <row r="929">
      <c r="A929" s="2"/>
      <c r="B929" s="2"/>
      <c r="C929" s="2"/>
      <c r="D929" s="2"/>
      <c r="E929" s="2"/>
      <c r="F929" s="7"/>
      <c r="G929" s="2"/>
      <c r="H929" s="7"/>
      <c r="I929" s="2"/>
      <c r="J929" s="2"/>
      <c r="K929" s="2"/>
      <c r="L929" s="2"/>
      <c r="M929" s="2"/>
      <c r="N929" s="2"/>
      <c r="O929" s="2"/>
      <c r="P929" s="2"/>
      <c r="Q929" s="2"/>
      <c r="R929" s="2"/>
      <c r="S929" s="2"/>
      <c r="T929" s="2"/>
      <c r="U929" s="2"/>
      <c r="V929" s="2"/>
      <c r="W929" s="2"/>
      <c r="X929" s="2"/>
      <c r="Y929" s="2"/>
      <c r="Z929" s="2"/>
    </row>
    <row r="930">
      <c r="A930" s="2"/>
      <c r="B930" s="2"/>
      <c r="C930" s="2"/>
      <c r="D930" s="2"/>
      <c r="E930" s="2"/>
      <c r="F930" s="7"/>
      <c r="G930" s="2"/>
      <c r="H930" s="7"/>
      <c r="I930" s="2"/>
      <c r="J930" s="2"/>
      <c r="K930" s="2"/>
      <c r="L930" s="2"/>
      <c r="M930" s="2"/>
      <c r="N930" s="2"/>
      <c r="O930" s="2"/>
      <c r="P930" s="2"/>
      <c r="Q930" s="2"/>
      <c r="R930" s="2"/>
      <c r="S930" s="2"/>
      <c r="T930" s="2"/>
      <c r="U930" s="2"/>
      <c r="V930" s="2"/>
      <c r="W930" s="2"/>
      <c r="X930" s="2"/>
      <c r="Y930" s="2"/>
      <c r="Z930" s="2"/>
    </row>
    <row r="931">
      <c r="A931" s="2"/>
      <c r="B931" s="2"/>
      <c r="C931" s="2"/>
      <c r="D931" s="2"/>
      <c r="E931" s="2"/>
      <c r="F931" s="7"/>
      <c r="G931" s="2"/>
      <c r="H931" s="7"/>
      <c r="I931" s="2"/>
      <c r="J931" s="2"/>
      <c r="K931" s="2"/>
      <c r="L931" s="2"/>
      <c r="M931" s="2"/>
      <c r="N931" s="2"/>
      <c r="O931" s="2"/>
      <c r="P931" s="2"/>
      <c r="Q931" s="2"/>
      <c r="R931" s="2"/>
      <c r="S931" s="2"/>
      <c r="T931" s="2"/>
      <c r="U931" s="2"/>
      <c r="V931" s="2"/>
      <c r="W931" s="2"/>
      <c r="X931" s="2"/>
      <c r="Y931" s="2"/>
      <c r="Z931" s="2"/>
    </row>
    <row r="932">
      <c r="A932" s="2"/>
      <c r="B932" s="2"/>
      <c r="C932" s="2"/>
      <c r="D932" s="2"/>
      <c r="E932" s="2"/>
      <c r="F932" s="7"/>
      <c r="G932" s="2"/>
      <c r="H932" s="7"/>
      <c r="I932" s="2"/>
      <c r="J932" s="2"/>
      <c r="K932" s="2"/>
      <c r="L932" s="2"/>
      <c r="M932" s="2"/>
      <c r="N932" s="2"/>
      <c r="O932" s="2"/>
      <c r="P932" s="2"/>
      <c r="Q932" s="2"/>
      <c r="R932" s="2"/>
      <c r="S932" s="2"/>
      <c r="T932" s="2"/>
      <c r="U932" s="2"/>
      <c r="V932" s="2"/>
      <c r="W932" s="2"/>
      <c r="X932" s="2"/>
      <c r="Y932" s="2"/>
      <c r="Z932" s="2"/>
    </row>
    <row r="933">
      <c r="A933" s="2"/>
      <c r="B933" s="2"/>
      <c r="C933" s="2"/>
      <c r="D933" s="2"/>
      <c r="E933" s="2"/>
      <c r="F933" s="7"/>
      <c r="G933" s="2"/>
      <c r="H933" s="7"/>
      <c r="I933" s="2"/>
      <c r="J933" s="2"/>
      <c r="K933" s="2"/>
      <c r="L933" s="2"/>
      <c r="M933" s="2"/>
      <c r="N933" s="2"/>
      <c r="O933" s="2"/>
      <c r="P933" s="2"/>
      <c r="Q933" s="2"/>
      <c r="R933" s="2"/>
      <c r="S933" s="2"/>
      <c r="T933" s="2"/>
      <c r="U933" s="2"/>
      <c r="V933" s="2"/>
      <c r="W933" s="2"/>
      <c r="X933" s="2"/>
      <c r="Y933" s="2"/>
      <c r="Z933" s="2"/>
    </row>
    <row r="934">
      <c r="A934" s="2"/>
      <c r="B934" s="2"/>
      <c r="C934" s="2"/>
      <c r="D934" s="2"/>
      <c r="E934" s="2"/>
      <c r="F934" s="7"/>
      <c r="G934" s="2"/>
      <c r="H934" s="7"/>
      <c r="I934" s="2"/>
      <c r="J934" s="2"/>
      <c r="K934" s="2"/>
      <c r="L934" s="2"/>
      <c r="M934" s="2"/>
      <c r="N934" s="2"/>
      <c r="O934" s="2"/>
      <c r="P934" s="2"/>
      <c r="Q934" s="2"/>
      <c r="R934" s="2"/>
      <c r="S934" s="2"/>
      <c r="T934" s="2"/>
      <c r="U934" s="2"/>
      <c r="V934" s="2"/>
      <c r="W934" s="2"/>
      <c r="X934" s="2"/>
      <c r="Y934" s="2"/>
      <c r="Z934" s="2"/>
    </row>
    <row r="935">
      <c r="A935" s="2"/>
      <c r="B935" s="2"/>
      <c r="C935" s="2"/>
      <c r="D935" s="2"/>
      <c r="E935" s="2"/>
      <c r="F935" s="7"/>
      <c r="G935" s="2"/>
      <c r="H935" s="7"/>
      <c r="I935" s="2"/>
      <c r="J935" s="2"/>
      <c r="K935" s="2"/>
      <c r="L935" s="2"/>
      <c r="M935" s="2"/>
      <c r="N935" s="2"/>
      <c r="O935" s="2"/>
      <c r="P935" s="2"/>
      <c r="Q935" s="2"/>
      <c r="R935" s="2"/>
      <c r="S935" s="2"/>
      <c r="T935" s="2"/>
      <c r="U935" s="2"/>
      <c r="V935" s="2"/>
      <c r="W935" s="2"/>
      <c r="X935" s="2"/>
      <c r="Y935" s="2"/>
      <c r="Z935" s="2"/>
    </row>
    <row r="936">
      <c r="A936" s="2"/>
      <c r="B936" s="2"/>
      <c r="C936" s="2"/>
      <c r="D936" s="2"/>
      <c r="E936" s="2"/>
      <c r="F936" s="7"/>
      <c r="G936" s="2"/>
      <c r="H936" s="7"/>
      <c r="I936" s="2"/>
      <c r="J936" s="2"/>
      <c r="K936" s="2"/>
      <c r="L936" s="2"/>
      <c r="M936" s="2"/>
      <c r="N936" s="2"/>
      <c r="O936" s="2"/>
      <c r="P936" s="2"/>
      <c r="Q936" s="2"/>
      <c r="R936" s="2"/>
      <c r="S936" s="2"/>
      <c r="T936" s="2"/>
      <c r="U936" s="2"/>
      <c r="V936" s="2"/>
      <c r="W936" s="2"/>
      <c r="X936" s="2"/>
      <c r="Y936" s="2"/>
      <c r="Z936" s="2"/>
    </row>
    <row r="937">
      <c r="A937" s="2"/>
      <c r="B937" s="2"/>
      <c r="C937" s="2"/>
      <c r="D937" s="2"/>
      <c r="E937" s="2"/>
      <c r="F937" s="7"/>
      <c r="G937" s="2"/>
      <c r="H937" s="7"/>
      <c r="I937" s="2"/>
      <c r="J937" s="2"/>
      <c r="K937" s="2"/>
      <c r="L937" s="2"/>
      <c r="M937" s="2"/>
      <c r="N937" s="2"/>
      <c r="O937" s="2"/>
      <c r="P937" s="2"/>
      <c r="Q937" s="2"/>
      <c r="R937" s="2"/>
      <c r="S937" s="2"/>
      <c r="T937" s="2"/>
      <c r="U937" s="2"/>
      <c r="V937" s="2"/>
      <c r="W937" s="2"/>
      <c r="X937" s="2"/>
      <c r="Y937" s="2"/>
      <c r="Z937" s="2"/>
    </row>
    <row r="938">
      <c r="A938" s="2"/>
      <c r="B938" s="2"/>
      <c r="C938" s="2"/>
      <c r="D938" s="2"/>
      <c r="E938" s="2"/>
      <c r="F938" s="7"/>
      <c r="G938" s="2"/>
      <c r="H938" s="7"/>
      <c r="I938" s="2"/>
      <c r="J938" s="2"/>
      <c r="K938" s="2"/>
      <c r="L938" s="2"/>
      <c r="M938" s="2"/>
      <c r="N938" s="2"/>
      <c r="O938" s="2"/>
      <c r="P938" s="2"/>
      <c r="Q938" s="2"/>
      <c r="R938" s="2"/>
      <c r="S938" s="2"/>
      <c r="T938" s="2"/>
      <c r="U938" s="2"/>
      <c r="V938" s="2"/>
      <c r="W938" s="2"/>
      <c r="X938" s="2"/>
      <c r="Y938" s="2"/>
      <c r="Z938" s="2"/>
    </row>
    <row r="939">
      <c r="A939" s="2"/>
      <c r="B939" s="2"/>
      <c r="C939" s="2"/>
      <c r="D939" s="2"/>
      <c r="E939" s="2"/>
      <c r="F939" s="7"/>
      <c r="G939" s="2"/>
      <c r="H939" s="7"/>
      <c r="I939" s="2"/>
      <c r="J939" s="2"/>
      <c r="K939" s="2"/>
      <c r="L939" s="2"/>
      <c r="M939" s="2"/>
      <c r="N939" s="2"/>
      <c r="O939" s="2"/>
      <c r="P939" s="2"/>
      <c r="Q939" s="2"/>
      <c r="R939" s="2"/>
      <c r="S939" s="2"/>
      <c r="T939" s="2"/>
      <c r="U939" s="2"/>
      <c r="V939" s="2"/>
      <c r="W939" s="2"/>
      <c r="X939" s="2"/>
      <c r="Y939" s="2"/>
      <c r="Z939" s="2"/>
    </row>
    <row r="940">
      <c r="A940" s="2"/>
      <c r="B940" s="2"/>
      <c r="C940" s="2"/>
      <c r="D940" s="2"/>
      <c r="E940" s="2"/>
      <c r="F940" s="7"/>
      <c r="G940" s="2"/>
      <c r="H940" s="7"/>
      <c r="I940" s="2"/>
      <c r="J940" s="2"/>
      <c r="K940" s="2"/>
      <c r="L940" s="2"/>
      <c r="M940" s="2"/>
      <c r="N940" s="2"/>
      <c r="O940" s="2"/>
      <c r="P940" s="2"/>
      <c r="Q940" s="2"/>
      <c r="R940" s="2"/>
      <c r="S940" s="2"/>
      <c r="T940" s="2"/>
      <c r="U940" s="2"/>
      <c r="V940" s="2"/>
      <c r="W940" s="2"/>
      <c r="X940" s="2"/>
      <c r="Y940" s="2"/>
      <c r="Z940" s="2"/>
    </row>
    <row r="941">
      <c r="A941" s="2"/>
      <c r="B941" s="2"/>
      <c r="C941" s="2"/>
      <c r="D941" s="2"/>
      <c r="E941" s="2"/>
      <c r="F941" s="7"/>
      <c r="G941" s="2"/>
      <c r="H941" s="7"/>
      <c r="I941" s="2"/>
      <c r="J941" s="2"/>
      <c r="K941" s="2"/>
      <c r="L941" s="2"/>
      <c r="M941" s="2"/>
      <c r="N941" s="2"/>
      <c r="O941" s="2"/>
      <c r="P941" s="2"/>
      <c r="Q941" s="2"/>
      <c r="R941" s="2"/>
      <c r="S941" s="2"/>
      <c r="T941" s="2"/>
      <c r="U941" s="2"/>
      <c r="V941" s="2"/>
      <c r="W941" s="2"/>
      <c r="X941" s="2"/>
      <c r="Y941" s="2"/>
      <c r="Z941" s="2"/>
    </row>
    <row r="942">
      <c r="A942" s="2"/>
      <c r="B942" s="2"/>
      <c r="C942" s="2"/>
      <c r="D942" s="2"/>
      <c r="E942" s="2"/>
      <c r="F942" s="7"/>
      <c r="G942" s="2"/>
      <c r="H942" s="7"/>
      <c r="I942" s="2"/>
      <c r="J942" s="2"/>
      <c r="K942" s="2"/>
      <c r="L942" s="2"/>
      <c r="M942" s="2"/>
      <c r="N942" s="2"/>
      <c r="O942" s="2"/>
      <c r="P942" s="2"/>
      <c r="Q942" s="2"/>
      <c r="R942" s="2"/>
      <c r="S942" s="2"/>
      <c r="T942" s="2"/>
      <c r="U942" s="2"/>
      <c r="V942" s="2"/>
      <c r="W942" s="2"/>
      <c r="X942" s="2"/>
      <c r="Y942" s="2"/>
      <c r="Z942" s="2"/>
    </row>
    <row r="943">
      <c r="A943" s="2"/>
      <c r="B943" s="2"/>
      <c r="C943" s="2"/>
      <c r="D943" s="2"/>
      <c r="E943" s="2"/>
      <c r="F943" s="7"/>
      <c r="G943" s="2"/>
      <c r="H943" s="7"/>
      <c r="I943" s="2"/>
      <c r="J943" s="2"/>
      <c r="K943" s="2"/>
      <c r="L943" s="2"/>
      <c r="M943" s="2"/>
      <c r="N943" s="2"/>
      <c r="O943" s="2"/>
      <c r="P943" s="2"/>
      <c r="Q943" s="2"/>
      <c r="R943" s="2"/>
      <c r="S943" s="2"/>
      <c r="T943" s="2"/>
      <c r="U943" s="2"/>
      <c r="V943" s="2"/>
      <c r="W943" s="2"/>
      <c r="X943" s="2"/>
      <c r="Y943" s="2"/>
      <c r="Z943" s="2"/>
    </row>
    <row r="944">
      <c r="A944" s="2"/>
      <c r="B944" s="2"/>
      <c r="C944" s="2"/>
      <c r="D944" s="2"/>
      <c r="E944" s="2"/>
      <c r="F944" s="7"/>
      <c r="G944" s="2"/>
      <c r="H944" s="7"/>
      <c r="I944" s="2"/>
      <c r="J944" s="2"/>
      <c r="K944" s="2"/>
      <c r="L944" s="2"/>
      <c r="M944" s="2"/>
      <c r="N944" s="2"/>
      <c r="O944" s="2"/>
      <c r="P944" s="2"/>
      <c r="Q944" s="2"/>
      <c r="R944" s="2"/>
      <c r="S944" s="2"/>
      <c r="T944" s="2"/>
      <c r="U944" s="2"/>
      <c r="V944" s="2"/>
      <c r="W944" s="2"/>
      <c r="X944" s="2"/>
      <c r="Y944" s="2"/>
      <c r="Z944" s="2"/>
    </row>
    <row r="945">
      <c r="A945" s="2"/>
      <c r="B945" s="2"/>
      <c r="C945" s="2"/>
      <c r="D945" s="2"/>
      <c r="E945" s="2"/>
      <c r="F945" s="7"/>
      <c r="G945" s="2"/>
      <c r="H945" s="7"/>
      <c r="I945" s="2"/>
      <c r="J945" s="2"/>
      <c r="K945" s="2"/>
      <c r="L945" s="2"/>
      <c r="M945" s="2"/>
      <c r="N945" s="2"/>
      <c r="O945" s="2"/>
      <c r="P945" s="2"/>
      <c r="Q945" s="2"/>
      <c r="R945" s="2"/>
      <c r="S945" s="2"/>
      <c r="T945" s="2"/>
      <c r="U945" s="2"/>
      <c r="V945" s="2"/>
      <c r="W945" s="2"/>
      <c r="X945" s="2"/>
      <c r="Y945" s="2"/>
      <c r="Z945" s="2"/>
    </row>
    <row r="946">
      <c r="A946" s="2"/>
      <c r="B946" s="2"/>
      <c r="C946" s="2"/>
      <c r="D946" s="2"/>
      <c r="E946" s="2"/>
      <c r="F946" s="7"/>
      <c r="G946" s="2"/>
      <c r="H946" s="7"/>
      <c r="I946" s="2"/>
      <c r="J946" s="2"/>
      <c r="K946" s="2"/>
      <c r="L946" s="2"/>
      <c r="M946" s="2"/>
      <c r="N946" s="2"/>
      <c r="O946" s="2"/>
      <c r="P946" s="2"/>
      <c r="Q946" s="2"/>
      <c r="R946" s="2"/>
      <c r="S946" s="2"/>
      <c r="T946" s="2"/>
      <c r="U946" s="2"/>
      <c r="V946" s="2"/>
      <c r="W946" s="2"/>
      <c r="X946" s="2"/>
      <c r="Y946" s="2"/>
      <c r="Z946" s="2"/>
    </row>
    <row r="947">
      <c r="A947" s="2"/>
      <c r="B947" s="2"/>
      <c r="C947" s="2"/>
      <c r="D947" s="2"/>
      <c r="E947" s="2"/>
      <c r="F947" s="7"/>
      <c r="G947" s="2"/>
      <c r="H947" s="7"/>
      <c r="I947" s="2"/>
      <c r="J947" s="2"/>
      <c r="K947" s="2"/>
      <c r="L947" s="2"/>
      <c r="M947" s="2"/>
      <c r="N947" s="2"/>
      <c r="O947" s="2"/>
      <c r="P947" s="2"/>
      <c r="Q947" s="2"/>
      <c r="R947" s="2"/>
      <c r="S947" s="2"/>
      <c r="T947" s="2"/>
      <c r="U947" s="2"/>
      <c r="V947" s="2"/>
      <c r="W947" s="2"/>
      <c r="X947" s="2"/>
      <c r="Y947" s="2"/>
      <c r="Z947" s="2"/>
    </row>
    <row r="948">
      <c r="A948" s="2"/>
      <c r="B948" s="2"/>
      <c r="C948" s="2"/>
      <c r="D948" s="2"/>
      <c r="E948" s="2"/>
      <c r="F948" s="7"/>
      <c r="G948" s="2"/>
      <c r="H948" s="7"/>
      <c r="I948" s="2"/>
      <c r="J948" s="2"/>
      <c r="K948" s="2"/>
      <c r="L948" s="2"/>
      <c r="M948" s="2"/>
      <c r="N948" s="2"/>
      <c r="O948" s="2"/>
      <c r="P948" s="2"/>
      <c r="Q948" s="2"/>
      <c r="R948" s="2"/>
      <c r="S948" s="2"/>
      <c r="T948" s="2"/>
      <c r="U948" s="2"/>
      <c r="V948" s="2"/>
      <c r="W948" s="2"/>
      <c r="X948" s="2"/>
      <c r="Y948" s="2"/>
      <c r="Z948" s="2"/>
    </row>
    <row r="949">
      <c r="A949" s="2"/>
      <c r="B949" s="2"/>
      <c r="C949" s="2"/>
      <c r="D949" s="2"/>
      <c r="E949" s="2"/>
      <c r="F949" s="7"/>
      <c r="G949" s="2"/>
      <c r="H949" s="7"/>
      <c r="I949" s="2"/>
      <c r="J949" s="2"/>
      <c r="K949" s="2"/>
      <c r="L949" s="2"/>
      <c r="M949" s="2"/>
      <c r="N949" s="2"/>
      <c r="O949" s="2"/>
      <c r="P949" s="2"/>
      <c r="Q949" s="2"/>
      <c r="R949" s="2"/>
      <c r="S949" s="2"/>
      <c r="T949" s="2"/>
      <c r="U949" s="2"/>
      <c r="V949" s="2"/>
      <c r="W949" s="2"/>
      <c r="X949" s="2"/>
      <c r="Y949" s="2"/>
      <c r="Z949" s="2"/>
    </row>
    <row r="950">
      <c r="A950" s="2"/>
      <c r="B950" s="2"/>
      <c r="C950" s="2"/>
      <c r="D950" s="2"/>
      <c r="E950" s="2"/>
      <c r="F950" s="7"/>
      <c r="G950" s="2"/>
      <c r="H950" s="7"/>
      <c r="I950" s="2"/>
      <c r="J950" s="2"/>
      <c r="K950" s="2"/>
      <c r="L950" s="2"/>
      <c r="M950" s="2"/>
      <c r="N950" s="2"/>
      <c r="O950" s="2"/>
      <c r="P950" s="2"/>
      <c r="Q950" s="2"/>
      <c r="R950" s="2"/>
      <c r="S950" s="2"/>
      <c r="T950" s="2"/>
      <c r="U950" s="2"/>
      <c r="V950" s="2"/>
      <c r="W950" s="2"/>
      <c r="X950" s="2"/>
      <c r="Y950" s="2"/>
      <c r="Z950" s="2"/>
    </row>
    <row r="951">
      <c r="A951" s="2"/>
      <c r="B951" s="2"/>
      <c r="C951" s="2"/>
      <c r="D951" s="2"/>
      <c r="E951" s="2"/>
      <c r="F951" s="7"/>
      <c r="G951" s="2"/>
      <c r="H951" s="7"/>
      <c r="I951" s="2"/>
      <c r="J951" s="2"/>
      <c r="K951" s="2"/>
      <c r="L951" s="2"/>
      <c r="M951" s="2"/>
      <c r="N951" s="2"/>
      <c r="O951" s="2"/>
      <c r="P951" s="2"/>
      <c r="Q951" s="2"/>
      <c r="R951" s="2"/>
      <c r="S951" s="2"/>
      <c r="T951" s="2"/>
      <c r="U951" s="2"/>
      <c r="V951" s="2"/>
      <c r="W951" s="2"/>
      <c r="X951" s="2"/>
      <c r="Y951" s="2"/>
      <c r="Z951" s="2"/>
    </row>
    <row r="952">
      <c r="A952" s="2"/>
      <c r="B952" s="2"/>
      <c r="C952" s="2"/>
      <c r="D952" s="2"/>
      <c r="E952" s="2"/>
      <c r="F952" s="7"/>
      <c r="G952" s="2"/>
      <c r="H952" s="7"/>
      <c r="I952" s="2"/>
      <c r="J952" s="2"/>
      <c r="K952" s="2"/>
      <c r="L952" s="2"/>
      <c r="M952" s="2"/>
      <c r="N952" s="2"/>
      <c r="O952" s="2"/>
      <c r="P952" s="2"/>
      <c r="Q952" s="2"/>
      <c r="R952" s="2"/>
      <c r="S952" s="2"/>
      <c r="T952" s="2"/>
      <c r="U952" s="2"/>
      <c r="V952" s="2"/>
      <c r="W952" s="2"/>
      <c r="X952" s="2"/>
      <c r="Y952" s="2"/>
      <c r="Z952" s="2"/>
    </row>
    <row r="953">
      <c r="A953" s="2"/>
      <c r="B953" s="2"/>
      <c r="C953" s="2"/>
      <c r="D953" s="2"/>
      <c r="E953" s="2"/>
      <c r="F953" s="7"/>
      <c r="G953" s="2"/>
      <c r="H953" s="7"/>
      <c r="I953" s="2"/>
      <c r="J953" s="2"/>
      <c r="K953" s="2"/>
      <c r="L953" s="2"/>
      <c r="M953" s="2"/>
      <c r="N953" s="2"/>
      <c r="O953" s="2"/>
      <c r="P953" s="2"/>
      <c r="Q953" s="2"/>
      <c r="R953" s="2"/>
      <c r="S953" s="2"/>
      <c r="T953" s="2"/>
      <c r="U953" s="2"/>
      <c r="V953" s="2"/>
      <c r="W953" s="2"/>
      <c r="X953" s="2"/>
      <c r="Y953" s="2"/>
      <c r="Z953" s="2"/>
    </row>
    <row r="954">
      <c r="A954" s="2"/>
      <c r="B954" s="2"/>
      <c r="C954" s="2"/>
      <c r="D954" s="2"/>
      <c r="E954" s="2"/>
      <c r="F954" s="7"/>
      <c r="G954" s="2"/>
      <c r="H954" s="7"/>
      <c r="I954" s="2"/>
      <c r="J954" s="2"/>
      <c r="K954" s="2"/>
      <c r="L954" s="2"/>
      <c r="M954" s="2"/>
      <c r="N954" s="2"/>
      <c r="O954" s="2"/>
      <c r="P954" s="2"/>
      <c r="Q954" s="2"/>
      <c r="R954" s="2"/>
      <c r="S954" s="2"/>
      <c r="T954" s="2"/>
      <c r="U954" s="2"/>
      <c r="V954" s="2"/>
      <c r="W954" s="2"/>
      <c r="X954" s="2"/>
      <c r="Y954" s="2"/>
      <c r="Z954" s="2"/>
    </row>
    <row r="955">
      <c r="A955" s="2"/>
      <c r="B955" s="2"/>
      <c r="C955" s="2"/>
      <c r="D955" s="2"/>
      <c r="E955" s="2"/>
      <c r="F955" s="7"/>
      <c r="G955" s="2"/>
      <c r="H955" s="7"/>
      <c r="I955" s="2"/>
      <c r="J955" s="2"/>
      <c r="K955" s="2"/>
      <c r="L955" s="2"/>
      <c r="M955" s="2"/>
      <c r="N955" s="2"/>
      <c r="O955" s="2"/>
      <c r="P955" s="2"/>
      <c r="Q955" s="2"/>
      <c r="R955" s="2"/>
      <c r="S955" s="2"/>
      <c r="T955" s="2"/>
      <c r="U955" s="2"/>
      <c r="V955" s="2"/>
      <c r="W955" s="2"/>
      <c r="X955" s="2"/>
      <c r="Y955" s="2"/>
      <c r="Z955" s="2"/>
    </row>
    <row r="956">
      <c r="A956" s="2"/>
      <c r="B956" s="2"/>
      <c r="C956" s="2"/>
      <c r="D956" s="2"/>
      <c r="E956" s="2"/>
      <c r="F956" s="7"/>
      <c r="G956" s="2"/>
      <c r="H956" s="7"/>
      <c r="I956" s="2"/>
      <c r="J956" s="2"/>
      <c r="K956" s="2"/>
      <c r="L956" s="2"/>
      <c r="M956" s="2"/>
      <c r="N956" s="2"/>
      <c r="O956" s="2"/>
      <c r="P956" s="2"/>
      <c r="Q956" s="2"/>
      <c r="R956" s="2"/>
      <c r="S956" s="2"/>
      <c r="T956" s="2"/>
      <c r="U956" s="2"/>
      <c r="V956" s="2"/>
      <c r="W956" s="2"/>
      <c r="X956" s="2"/>
      <c r="Y956" s="2"/>
      <c r="Z956" s="2"/>
    </row>
    <row r="957">
      <c r="A957" s="2"/>
      <c r="B957" s="2"/>
      <c r="C957" s="2"/>
      <c r="D957" s="2"/>
      <c r="E957" s="2"/>
      <c r="F957" s="7"/>
      <c r="G957" s="2"/>
      <c r="H957" s="7"/>
      <c r="I957" s="2"/>
      <c r="J957" s="2"/>
      <c r="K957" s="2"/>
      <c r="L957" s="2"/>
      <c r="M957" s="2"/>
      <c r="N957" s="2"/>
      <c r="O957" s="2"/>
      <c r="P957" s="2"/>
      <c r="Q957" s="2"/>
      <c r="R957" s="2"/>
      <c r="S957" s="2"/>
      <c r="T957" s="2"/>
      <c r="U957" s="2"/>
      <c r="V957" s="2"/>
      <c r="W957" s="2"/>
      <c r="X957" s="2"/>
      <c r="Y957" s="2"/>
      <c r="Z957" s="2"/>
    </row>
    <row r="958">
      <c r="A958" s="2"/>
      <c r="B958" s="2"/>
      <c r="C958" s="2"/>
      <c r="D958" s="2"/>
      <c r="E958" s="2"/>
      <c r="F958" s="7"/>
      <c r="G958" s="2"/>
      <c r="H958" s="7"/>
      <c r="I958" s="2"/>
      <c r="J958" s="2"/>
      <c r="K958" s="2"/>
      <c r="L958" s="2"/>
      <c r="M958" s="2"/>
      <c r="N958" s="2"/>
      <c r="O958" s="2"/>
      <c r="P958" s="2"/>
      <c r="Q958" s="2"/>
      <c r="R958" s="2"/>
      <c r="S958" s="2"/>
      <c r="T958" s="2"/>
      <c r="U958" s="2"/>
      <c r="V958" s="2"/>
      <c r="W958" s="2"/>
      <c r="X958" s="2"/>
      <c r="Y958" s="2"/>
      <c r="Z958" s="2"/>
    </row>
    <row r="959">
      <c r="A959" s="2"/>
      <c r="B959" s="2"/>
      <c r="C959" s="2"/>
      <c r="D959" s="2"/>
      <c r="E959" s="2"/>
      <c r="F959" s="7"/>
      <c r="G959" s="2"/>
      <c r="H959" s="7"/>
      <c r="I959" s="2"/>
      <c r="J959" s="2"/>
      <c r="K959" s="2"/>
      <c r="L959" s="2"/>
      <c r="M959" s="2"/>
      <c r="N959" s="2"/>
      <c r="O959" s="2"/>
      <c r="P959" s="2"/>
      <c r="Q959" s="2"/>
      <c r="R959" s="2"/>
      <c r="S959" s="2"/>
      <c r="T959" s="2"/>
      <c r="U959" s="2"/>
      <c r="V959" s="2"/>
      <c r="W959" s="2"/>
      <c r="X959" s="2"/>
      <c r="Y959" s="2"/>
      <c r="Z959" s="2"/>
    </row>
    <row r="960">
      <c r="A960" s="2"/>
      <c r="B960" s="2"/>
      <c r="C960" s="2"/>
      <c r="D960" s="2"/>
      <c r="E960" s="2"/>
      <c r="F960" s="7"/>
      <c r="G960" s="2"/>
      <c r="H960" s="7"/>
      <c r="I960" s="2"/>
      <c r="J960" s="2"/>
      <c r="K960" s="2"/>
      <c r="L960" s="2"/>
      <c r="M960" s="2"/>
      <c r="N960" s="2"/>
      <c r="O960" s="2"/>
      <c r="P960" s="2"/>
      <c r="Q960" s="2"/>
      <c r="R960" s="2"/>
      <c r="S960" s="2"/>
      <c r="T960" s="2"/>
      <c r="U960" s="2"/>
      <c r="V960" s="2"/>
      <c r="W960" s="2"/>
      <c r="X960" s="2"/>
      <c r="Y960" s="2"/>
      <c r="Z960" s="2"/>
    </row>
    <row r="961">
      <c r="A961" s="2"/>
      <c r="B961" s="2"/>
      <c r="C961" s="2"/>
      <c r="D961" s="2"/>
      <c r="E961" s="2"/>
      <c r="F961" s="7"/>
      <c r="G961" s="2"/>
      <c r="H961" s="7"/>
      <c r="I961" s="2"/>
      <c r="J961" s="2"/>
      <c r="K961" s="2"/>
      <c r="L961" s="2"/>
      <c r="M961" s="2"/>
      <c r="N961" s="2"/>
      <c r="O961" s="2"/>
      <c r="P961" s="2"/>
      <c r="Q961" s="2"/>
      <c r="R961" s="2"/>
      <c r="S961" s="2"/>
      <c r="T961" s="2"/>
      <c r="U961" s="2"/>
      <c r="V961" s="2"/>
      <c r="W961" s="2"/>
      <c r="X961" s="2"/>
      <c r="Y961" s="2"/>
      <c r="Z961" s="2"/>
    </row>
    <row r="962">
      <c r="A962" s="2"/>
      <c r="B962" s="2"/>
      <c r="C962" s="2"/>
      <c r="D962" s="2"/>
      <c r="E962" s="2"/>
      <c r="F962" s="7"/>
      <c r="G962" s="2"/>
      <c r="H962" s="7"/>
      <c r="I962" s="2"/>
      <c r="J962" s="2"/>
      <c r="K962" s="2"/>
      <c r="L962" s="2"/>
      <c r="M962" s="2"/>
      <c r="N962" s="2"/>
      <c r="O962" s="2"/>
      <c r="P962" s="2"/>
      <c r="Q962" s="2"/>
      <c r="R962" s="2"/>
      <c r="S962" s="2"/>
      <c r="T962" s="2"/>
      <c r="U962" s="2"/>
      <c r="V962" s="2"/>
      <c r="W962" s="2"/>
      <c r="X962" s="2"/>
      <c r="Y962" s="2"/>
      <c r="Z962" s="2"/>
    </row>
    <row r="963">
      <c r="A963" s="2"/>
      <c r="B963" s="2"/>
      <c r="C963" s="2"/>
      <c r="D963" s="2"/>
      <c r="E963" s="2"/>
      <c r="F963" s="7"/>
      <c r="G963" s="2"/>
      <c r="H963" s="7"/>
      <c r="I963" s="2"/>
      <c r="J963" s="2"/>
      <c r="K963" s="2"/>
      <c r="L963" s="2"/>
      <c r="M963" s="2"/>
      <c r="N963" s="2"/>
      <c r="O963" s="2"/>
      <c r="P963" s="2"/>
      <c r="Q963" s="2"/>
      <c r="R963" s="2"/>
      <c r="S963" s="2"/>
      <c r="T963" s="2"/>
      <c r="U963" s="2"/>
      <c r="V963" s="2"/>
      <c r="W963" s="2"/>
      <c r="X963" s="2"/>
      <c r="Y963" s="2"/>
      <c r="Z963" s="2"/>
    </row>
    <row r="964">
      <c r="A964" s="2"/>
      <c r="B964" s="2"/>
      <c r="C964" s="2"/>
      <c r="D964" s="2"/>
      <c r="E964" s="2"/>
      <c r="F964" s="7"/>
      <c r="G964" s="2"/>
      <c r="H964" s="7"/>
      <c r="I964" s="2"/>
      <c r="J964" s="2"/>
      <c r="K964" s="2"/>
      <c r="L964" s="2"/>
      <c r="M964" s="2"/>
      <c r="N964" s="2"/>
      <c r="O964" s="2"/>
      <c r="P964" s="2"/>
      <c r="Q964" s="2"/>
      <c r="R964" s="2"/>
      <c r="S964" s="2"/>
      <c r="T964" s="2"/>
      <c r="U964" s="2"/>
      <c r="V964" s="2"/>
      <c r="W964" s="2"/>
      <c r="X964" s="2"/>
      <c r="Y964" s="2"/>
      <c r="Z964" s="2"/>
    </row>
    <row r="965">
      <c r="A965" s="2"/>
      <c r="B965" s="2"/>
      <c r="C965" s="2"/>
      <c r="D965" s="2"/>
      <c r="E965" s="2"/>
      <c r="F965" s="7"/>
      <c r="G965" s="2"/>
      <c r="H965" s="7"/>
      <c r="I965" s="2"/>
      <c r="J965" s="2"/>
      <c r="K965" s="2"/>
      <c r="L965" s="2"/>
      <c r="M965" s="2"/>
      <c r="N965" s="2"/>
      <c r="O965" s="2"/>
      <c r="P965" s="2"/>
      <c r="Q965" s="2"/>
      <c r="R965" s="2"/>
      <c r="S965" s="2"/>
      <c r="T965" s="2"/>
      <c r="U965" s="2"/>
      <c r="V965" s="2"/>
      <c r="W965" s="2"/>
      <c r="X965" s="2"/>
      <c r="Y965" s="2"/>
      <c r="Z965" s="2"/>
    </row>
    <row r="966">
      <c r="A966" s="2"/>
      <c r="B966" s="2"/>
      <c r="C966" s="2"/>
      <c r="D966" s="2"/>
      <c r="E966" s="2"/>
      <c r="F966" s="7"/>
      <c r="G966" s="2"/>
      <c r="H966" s="7"/>
      <c r="I966" s="2"/>
      <c r="J966" s="2"/>
      <c r="K966" s="2"/>
      <c r="L966" s="2"/>
      <c r="M966" s="2"/>
      <c r="N966" s="2"/>
      <c r="O966" s="2"/>
      <c r="P966" s="2"/>
      <c r="Q966" s="2"/>
      <c r="R966" s="2"/>
      <c r="S966" s="2"/>
      <c r="T966" s="2"/>
      <c r="U966" s="2"/>
      <c r="V966" s="2"/>
      <c r="W966" s="2"/>
      <c r="X966" s="2"/>
      <c r="Y966" s="2"/>
      <c r="Z966" s="2"/>
    </row>
    <row r="967">
      <c r="A967" s="2"/>
      <c r="B967" s="2"/>
      <c r="C967" s="2"/>
      <c r="D967" s="2"/>
      <c r="E967" s="2"/>
      <c r="F967" s="7"/>
      <c r="G967" s="2"/>
      <c r="H967" s="7"/>
      <c r="I967" s="2"/>
      <c r="J967" s="2"/>
      <c r="K967" s="2"/>
      <c r="L967" s="2"/>
      <c r="M967" s="2"/>
      <c r="N967" s="2"/>
      <c r="O967" s="2"/>
      <c r="P967" s="2"/>
      <c r="Q967" s="2"/>
      <c r="R967" s="2"/>
      <c r="S967" s="2"/>
      <c r="T967" s="2"/>
      <c r="U967" s="2"/>
      <c r="V967" s="2"/>
      <c r="W967" s="2"/>
      <c r="X967" s="2"/>
      <c r="Y967" s="2"/>
      <c r="Z967" s="2"/>
    </row>
    <row r="968">
      <c r="A968" s="2"/>
      <c r="B968" s="2"/>
      <c r="C968" s="2"/>
      <c r="D968" s="2"/>
      <c r="E968" s="2"/>
      <c r="F968" s="7"/>
      <c r="G968" s="2"/>
      <c r="H968" s="7"/>
      <c r="I968" s="2"/>
      <c r="J968" s="2"/>
      <c r="K968" s="2"/>
      <c r="L968" s="2"/>
      <c r="M968" s="2"/>
      <c r="N968" s="2"/>
      <c r="O968" s="2"/>
      <c r="P968" s="2"/>
      <c r="Q968" s="2"/>
      <c r="R968" s="2"/>
      <c r="S968" s="2"/>
      <c r="T968" s="2"/>
      <c r="U968" s="2"/>
      <c r="V968" s="2"/>
      <c r="W968" s="2"/>
      <c r="X968" s="2"/>
      <c r="Y968" s="2"/>
      <c r="Z968" s="2"/>
    </row>
    <row r="969">
      <c r="A969" s="2"/>
      <c r="B969" s="2"/>
      <c r="C969" s="2"/>
      <c r="D969" s="2"/>
      <c r="E969" s="2"/>
      <c r="F969" s="7"/>
      <c r="G969" s="2"/>
      <c r="H969" s="7"/>
      <c r="I969" s="2"/>
      <c r="J969" s="2"/>
      <c r="K969" s="2"/>
      <c r="L969" s="2"/>
      <c r="M969" s="2"/>
      <c r="N969" s="2"/>
      <c r="O969" s="2"/>
      <c r="P969" s="2"/>
      <c r="Q969" s="2"/>
      <c r="R969" s="2"/>
      <c r="S969" s="2"/>
      <c r="T969" s="2"/>
      <c r="U969" s="2"/>
      <c r="V969" s="2"/>
      <c r="W969" s="2"/>
      <c r="X969" s="2"/>
      <c r="Y969" s="2"/>
      <c r="Z969" s="2"/>
    </row>
    <row r="970">
      <c r="A970" s="2"/>
      <c r="B970" s="2"/>
      <c r="C970" s="2"/>
      <c r="D970" s="2"/>
      <c r="E970" s="2"/>
      <c r="F970" s="7"/>
      <c r="G970" s="2"/>
      <c r="H970" s="7"/>
      <c r="I970" s="2"/>
      <c r="J970" s="2"/>
      <c r="K970" s="2"/>
      <c r="L970" s="2"/>
      <c r="M970" s="2"/>
      <c r="N970" s="2"/>
      <c r="O970" s="2"/>
      <c r="P970" s="2"/>
      <c r="Q970" s="2"/>
      <c r="R970" s="2"/>
      <c r="S970" s="2"/>
      <c r="T970" s="2"/>
      <c r="U970" s="2"/>
      <c r="V970" s="2"/>
      <c r="W970" s="2"/>
      <c r="X970" s="2"/>
      <c r="Y970" s="2"/>
      <c r="Z970" s="2"/>
    </row>
    <row r="971">
      <c r="A971" s="2"/>
      <c r="B971" s="2"/>
      <c r="C971" s="2"/>
      <c r="D971" s="2"/>
      <c r="E971" s="2"/>
      <c r="F971" s="7"/>
      <c r="G971" s="2"/>
      <c r="H971" s="7"/>
      <c r="I971" s="2"/>
      <c r="J971" s="2"/>
      <c r="K971" s="2"/>
      <c r="L971" s="2"/>
      <c r="M971" s="2"/>
      <c r="N971" s="2"/>
      <c r="O971" s="2"/>
      <c r="P971" s="2"/>
      <c r="Q971" s="2"/>
      <c r="R971" s="2"/>
      <c r="S971" s="2"/>
      <c r="T971" s="2"/>
      <c r="U971" s="2"/>
      <c r="V971" s="2"/>
      <c r="W971" s="2"/>
      <c r="X971" s="2"/>
      <c r="Y971" s="2"/>
      <c r="Z971" s="2"/>
    </row>
    <row r="972">
      <c r="A972" s="2"/>
      <c r="B972" s="2"/>
      <c r="C972" s="2"/>
      <c r="D972" s="2"/>
      <c r="E972" s="2"/>
      <c r="F972" s="7"/>
      <c r="G972" s="2"/>
      <c r="H972" s="7"/>
      <c r="I972" s="2"/>
      <c r="J972" s="2"/>
      <c r="K972" s="2"/>
      <c r="L972" s="2"/>
      <c r="M972" s="2"/>
      <c r="N972" s="2"/>
      <c r="O972" s="2"/>
      <c r="P972" s="2"/>
      <c r="Q972" s="2"/>
      <c r="R972" s="2"/>
      <c r="S972" s="2"/>
      <c r="T972" s="2"/>
      <c r="U972" s="2"/>
      <c r="V972" s="2"/>
      <c r="W972" s="2"/>
      <c r="X972" s="2"/>
      <c r="Y972" s="2"/>
      <c r="Z972" s="2"/>
    </row>
    <row r="973">
      <c r="A973" s="2"/>
      <c r="B973" s="2"/>
      <c r="C973" s="2"/>
      <c r="D973" s="2"/>
      <c r="E973" s="2"/>
      <c r="F973" s="7"/>
      <c r="G973" s="2"/>
      <c r="H973" s="7"/>
      <c r="I973" s="2"/>
      <c r="J973" s="2"/>
      <c r="K973" s="2"/>
      <c r="L973" s="2"/>
      <c r="M973" s="2"/>
      <c r="N973" s="2"/>
      <c r="O973" s="2"/>
      <c r="P973" s="2"/>
      <c r="Q973" s="2"/>
      <c r="R973" s="2"/>
      <c r="S973" s="2"/>
      <c r="T973" s="2"/>
      <c r="U973" s="2"/>
      <c r="V973" s="2"/>
      <c r="W973" s="2"/>
      <c r="X973" s="2"/>
      <c r="Y973" s="2"/>
      <c r="Z973" s="2"/>
    </row>
    <row r="974">
      <c r="A974" s="2"/>
      <c r="B974" s="2"/>
      <c r="C974" s="2"/>
      <c r="D974" s="2"/>
      <c r="E974" s="2"/>
      <c r="F974" s="7"/>
      <c r="G974" s="2"/>
      <c r="H974" s="7"/>
      <c r="I974" s="2"/>
      <c r="J974" s="2"/>
      <c r="K974" s="2"/>
      <c r="L974" s="2"/>
      <c r="M974" s="2"/>
      <c r="N974" s="2"/>
      <c r="O974" s="2"/>
      <c r="P974" s="2"/>
      <c r="Q974" s="2"/>
      <c r="R974" s="2"/>
      <c r="S974" s="2"/>
      <c r="T974" s="2"/>
      <c r="U974" s="2"/>
      <c r="V974" s="2"/>
      <c r="W974" s="2"/>
      <c r="X974" s="2"/>
      <c r="Y974" s="2"/>
      <c r="Z974" s="2"/>
    </row>
    <row r="975">
      <c r="A975" s="2"/>
      <c r="B975" s="2"/>
      <c r="C975" s="2"/>
      <c r="D975" s="2"/>
      <c r="E975" s="2"/>
      <c r="F975" s="7"/>
      <c r="G975" s="2"/>
      <c r="H975" s="7"/>
      <c r="I975" s="2"/>
      <c r="J975" s="2"/>
      <c r="K975" s="2"/>
      <c r="L975" s="2"/>
      <c r="M975" s="2"/>
      <c r="N975" s="2"/>
      <c r="O975" s="2"/>
      <c r="P975" s="2"/>
      <c r="Q975" s="2"/>
      <c r="R975" s="2"/>
      <c r="S975" s="2"/>
      <c r="T975" s="2"/>
      <c r="U975" s="2"/>
      <c r="V975" s="2"/>
      <c r="W975" s="2"/>
      <c r="X975" s="2"/>
      <c r="Y975" s="2"/>
      <c r="Z975" s="2"/>
    </row>
    <row r="976">
      <c r="A976" s="2"/>
      <c r="B976" s="2"/>
      <c r="C976" s="2"/>
      <c r="D976" s="2"/>
      <c r="E976" s="2"/>
      <c r="F976" s="7"/>
      <c r="G976" s="2"/>
      <c r="H976" s="7"/>
      <c r="I976" s="2"/>
      <c r="J976" s="2"/>
      <c r="K976" s="2"/>
      <c r="L976" s="2"/>
      <c r="M976" s="2"/>
      <c r="N976" s="2"/>
      <c r="O976" s="2"/>
      <c r="P976" s="2"/>
      <c r="Q976" s="2"/>
      <c r="R976" s="2"/>
      <c r="S976" s="2"/>
      <c r="T976" s="2"/>
      <c r="U976" s="2"/>
      <c r="V976" s="2"/>
      <c r="W976" s="2"/>
      <c r="X976" s="2"/>
      <c r="Y976" s="2"/>
      <c r="Z976" s="2"/>
    </row>
    <row r="977">
      <c r="A977" s="2"/>
      <c r="B977" s="2"/>
      <c r="C977" s="2"/>
      <c r="D977" s="2"/>
      <c r="E977" s="2"/>
      <c r="F977" s="7"/>
      <c r="G977" s="2"/>
      <c r="H977" s="7"/>
      <c r="I977" s="2"/>
      <c r="J977" s="2"/>
      <c r="K977" s="2"/>
      <c r="L977" s="2"/>
      <c r="M977" s="2"/>
      <c r="N977" s="2"/>
      <c r="O977" s="2"/>
      <c r="P977" s="2"/>
      <c r="Q977" s="2"/>
      <c r="R977" s="2"/>
      <c r="S977" s="2"/>
      <c r="T977" s="2"/>
      <c r="U977" s="2"/>
      <c r="V977" s="2"/>
      <c r="W977" s="2"/>
      <c r="X977" s="2"/>
      <c r="Y977" s="2"/>
      <c r="Z977" s="2"/>
    </row>
    <row r="978">
      <c r="A978" s="2"/>
      <c r="B978" s="2"/>
      <c r="C978" s="2"/>
      <c r="D978" s="2"/>
      <c r="E978" s="2"/>
      <c r="F978" s="7"/>
      <c r="G978" s="2"/>
      <c r="H978" s="7"/>
      <c r="I978" s="2"/>
      <c r="J978" s="2"/>
      <c r="K978" s="2"/>
      <c r="L978" s="2"/>
      <c r="M978" s="2"/>
      <c r="N978" s="2"/>
      <c r="O978" s="2"/>
      <c r="P978" s="2"/>
      <c r="Q978" s="2"/>
      <c r="R978" s="2"/>
      <c r="S978" s="2"/>
      <c r="T978" s="2"/>
      <c r="U978" s="2"/>
      <c r="V978" s="2"/>
      <c r="W978" s="2"/>
      <c r="X978" s="2"/>
      <c r="Y978" s="2"/>
      <c r="Z978" s="2"/>
    </row>
    <row r="979">
      <c r="A979" s="2"/>
      <c r="B979" s="2"/>
      <c r="C979" s="2"/>
      <c r="D979" s="2"/>
      <c r="E979" s="2"/>
      <c r="F979" s="7"/>
      <c r="G979" s="2"/>
      <c r="H979" s="7"/>
      <c r="I979" s="2"/>
      <c r="J979" s="2"/>
      <c r="K979" s="2"/>
      <c r="L979" s="2"/>
      <c r="M979" s="2"/>
      <c r="N979" s="2"/>
      <c r="O979" s="2"/>
      <c r="P979" s="2"/>
      <c r="Q979" s="2"/>
      <c r="R979" s="2"/>
      <c r="S979" s="2"/>
      <c r="T979" s="2"/>
      <c r="U979" s="2"/>
      <c r="V979" s="2"/>
      <c r="W979" s="2"/>
      <c r="X979" s="2"/>
      <c r="Y979" s="2"/>
      <c r="Z979" s="2"/>
    </row>
    <row r="980">
      <c r="A980" s="2"/>
      <c r="B980" s="2"/>
      <c r="C980" s="2"/>
      <c r="D980" s="2"/>
      <c r="E980" s="2"/>
      <c r="F980" s="7"/>
      <c r="G980" s="2"/>
      <c r="H980" s="7"/>
      <c r="I980" s="2"/>
      <c r="J980" s="2"/>
      <c r="K980" s="2"/>
      <c r="L980" s="2"/>
      <c r="M980" s="2"/>
      <c r="N980" s="2"/>
      <c r="O980" s="2"/>
      <c r="P980" s="2"/>
      <c r="Q980" s="2"/>
      <c r="R980" s="2"/>
      <c r="S980" s="2"/>
      <c r="T980" s="2"/>
      <c r="U980" s="2"/>
      <c r="V980" s="2"/>
      <c r="W980" s="2"/>
      <c r="X980" s="2"/>
      <c r="Y980" s="2"/>
      <c r="Z980" s="2"/>
    </row>
    <row r="981">
      <c r="A981" s="2"/>
      <c r="B981" s="2"/>
      <c r="C981" s="2"/>
      <c r="D981" s="2"/>
      <c r="E981" s="2"/>
      <c r="F981" s="7"/>
      <c r="G981" s="2"/>
      <c r="H981" s="7"/>
      <c r="I981" s="2"/>
      <c r="J981" s="2"/>
      <c r="K981" s="2"/>
      <c r="L981" s="2"/>
      <c r="M981" s="2"/>
      <c r="N981" s="2"/>
      <c r="O981" s="2"/>
      <c r="P981" s="2"/>
      <c r="Q981" s="2"/>
      <c r="R981" s="2"/>
      <c r="S981" s="2"/>
      <c r="T981" s="2"/>
      <c r="U981" s="2"/>
      <c r="V981" s="2"/>
      <c r="W981" s="2"/>
      <c r="X981" s="2"/>
      <c r="Y981" s="2"/>
      <c r="Z981" s="2"/>
    </row>
    <row r="982">
      <c r="A982" s="2"/>
      <c r="B982" s="2"/>
      <c r="C982" s="2"/>
      <c r="D982" s="2"/>
      <c r="E982" s="2"/>
      <c r="F982" s="7"/>
      <c r="G982" s="2"/>
      <c r="H982" s="7"/>
      <c r="I982" s="2"/>
      <c r="J982" s="2"/>
      <c r="K982" s="2"/>
      <c r="L982" s="2"/>
      <c r="M982" s="2"/>
      <c r="N982" s="2"/>
      <c r="O982" s="2"/>
      <c r="P982" s="2"/>
      <c r="Q982" s="2"/>
      <c r="R982" s="2"/>
      <c r="S982" s="2"/>
      <c r="T982" s="2"/>
      <c r="U982" s="2"/>
      <c r="V982" s="2"/>
      <c r="W982" s="2"/>
      <c r="X982" s="2"/>
      <c r="Y982" s="2"/>
      <c r="Z982" s="2"/>
    </row>
    <row r="983">
      <c r="A983" s="2"/>
      <c r="B983" s="2"/>
      <c r="C983" s="2"/>
      <c r="D983" s="2"/>
      <c r="E983" s="2"/>
      <c r="F983" s="7"/>
      <c r="G983" s="2"/>
      <c r="H983" s="7"/>
      <c r="I983" s="2"/>
      <c r="J983" s="2"/>
      <c r="K983" s="2"/>
      <c r="L983" s="2"/>
      <c r="M983" s="2"/>
      <c r="N983" s="2"/>
      <c r="O983" s="2"/>
      <c r="P983" s="2"/>
      <c r="Q983" s="2"/>
      <c r="R983" s="2"/>
      <c r="S983" s="2"/>
      <c r="T983" s="2"/>
      <c r="U983" s="2"/>
      <c r="V983" s="2"/>
      <c r="W983" s="2"/>
      <c r="X983" s="2"/>
      <c r="Y983" s="2"/>
      <c r="Z983" s="2"/>
    </row>
    <row r="984">
      <c r="A984" s="2"/>
      <c r="B984" s="2"/>
      <c r="C984" s="2"/>
      <c r="D984" s="2"/>
      <c r="E984" s="2"/>
      <c r="F984" s="7"/>
      <c r="G984" s="2"/>
      <c r="H984" s="7"/>
      <c r="I984" s="2"/>
      <c r="J984" s="2"/>
      <c r="K984" s="2"/>
      <c r="L984" s="2"/>
      <c r="M984" s="2"/>
      <c r="N984" s="2"/>
      <c r="O984" s="2"/>
      <c r="P984" s="2"/>
      <c r="Q984" s="2"/>
      <c r="R984" s="2"/>
      <c r="S984" s="2"/>
      <c r="T984" s="2"/>
      <c r="U984" s="2"/>
      <c r="V984" s="2"/>
      <c r="W984" s="2"/>
      <c r="X984" s="2"/>
      <c r="Y984" s="2"/>
      <c r="Z984" s="2"/>
    </row>
    <row r="985">
      <c r="A985" s="2"/>
      <c r="B985" s="2"/>
      <c r="C985" s="2"/>
      <c r="D985" s="2"/>
      <c r="E985" s="2"/>
      <c r="F985" s="7"/>
      <c r="G985" s="2"/>
      <c r="H985" s="7"/>
      <c r="I985" s="2"/>
      <c r="J985" s="2"/>
      <c r="K985" s="2"/>
      <c r="L985" s="2"/>
      <c r="M985" s="2"/>
      <c r="N985" s="2"/>
      <c r="O985" s="2"/>
      <c r="P985" s="2"/>
      <c r="Q985" s="2"/>
      <c r="R985" s="2"/>
      <c r="S985" s="2"/>
      <c r="T985" s="2"/>
      <c r="U985" s="2"/>
      <c r="V985" s="2"/>
      <c r="W985" s="2"/>
      <c r="X985" s="2"/>
      <c r="Y985" s="2"/>
      <c r="Z985" s="2"/>
    </row>
    <row r="986">
      <c r="A986" s="2"/>
      <c r="B986" s="2"/>
      <c r="C986" s="2"/>
      <c r="D986" s="2"/>
      <c r="E986" s="2"/>
      <c r="F986" s="7"/>
      <c r="G986" s="2"/>
      <c r="H986" s="7"/>
      <c r="I986" s="2"/>
      <c r="J986" s="2"/>
      <c r="K986" s="2"/>
      <c r="L986" s="2"/>
      <c r="M986" s="2"/>
      <c r="N986" s="2"/>
      <c r="O986" s="2"/>
      <c r="P986" s="2"/>
      <c r="Q986" s="2"/>
      <c r="R986" s="2"/>
      <c r="S986" s="2"/>
      <c r="T986" s="2"/>
      <c r="U986" s="2"/>
      <c r="V986" s="2"/>
      <c r="W986" s="2"/>
      <c r="X986" s="2"/>
      <c r="Y986" s="2"/>
      <c r="Z986" s="2"/>
    </row>
    <row r="987">
      <c r="A987" s="2"/>
      <c r="B987" s="2"/>
      <c r="C987" s="2"/>
      <c r="D987" s="2"/>
      <c r="E987" s="2"/>
      <c r="F987" s="7"/>
      <c r="G987" s="2"/>
      <c r="H987" s="7"/>
      <c r="I987" s="2"/>
      <c r="J987" s="2"/>
      <c r="K987" s="2"/>
      <c r="L987" s="2"/>
      <c r="M987" s="2"/>
      <c r="N987" s="2"/>
      <c r="O987" s="2"/>
      <c r="P987" s="2"/>
      <c r="Q987" s="2"/>
      <c r="R987" s="2"/>
      <c r="S987" s="2"/>
      <c r="T987" s="2"/>
      <c r="U987" s="2"/>
      <c r="V987" s="2"/>
      <c r="W987" s="2"/>
      <c r="X987" s="2"/>
      <c r="Y987" s="2"/>
      <c r="Z987" s="2"/>
    </row>
    <row r="988">
      <c r="A988" s="2"/>
      <c r="B988" s="2"/>
      <c r="C988" s="2"/>
      <c r="D988" s="2"/>
      <c r="E988" s="2"/>
      <c r="F988" s="7"/>
      <c r="G988" s="2"/>
      <c r="H988" s="7"/>
      <c r="I988" s="2"/>
      <c r="J988" s="2"/>
      <c r="K988" s="2"/>
      <c r="L988" s="2"/>
      <c r="M988" s="2"/>
      <c r="N988" s="2"/>
      <c r="O988" s="2"/>
      <c r="P988" s="2"/>
      <c r="Q988" s="2"/>
      <c r="R988" s="2"/>
      <c r="S988" s="2"/>
      <c r="T988" s="2"/>
      <c r="U988" s="2"/>
      <c r="V988" s="2"/>
      <c r="W988" s="2"/>
      <c r="X988" s="2"/>
      <c r="Y988" s="2"/>
      <c r="Z988" s="2"/>
    </row>
    <row r="989">
      <c r="A989" s="2"/>
      <c r="B989" s="2"/>
      <c r="C989" s="2"/>
      <c r="D989" s="2"/>
      <c r="E989" s="2"/>
      <c r="F989" s="7"/>
      <c r="G989" s="2"/>
      <c r="H989" s="7"/>
      <c r="I989" s="2"/>
      <c r="J989" s="2"/>
      <c r="K989" s="2"/>
      <c r="L989" s="2"/>
      <c r="M989" s="2"/>
      <c r="N989" s="2"/>
      <c r="O989" s="2"/>
      <c r="P989" s="2"/>
      <c r="Q989" s="2"/>
      <c r="R989" s="2"/>
      <c r="S989" s="2"/>
      <c r="T989" s="2"/>
      <c r="U989" s="2"/>
      <c r="V989" s="2"/>
      <c r="W989" s="2"/>
      <c r="X989" s="2"/>
      <c r="Y989" s="2"/>
      <c r="Z989" s="2"/>
    </row>
    <row r="990">
      <c r="A990" s="2"/>
      <c r="B990" s="2"/>
      <c r="C990" s="2"/>
      <c r="D990" s="2"/>
      <c r="E990" s="2"/>
      <c r="F990" s="7"/>
      <c r="G990" s="2"/>
      <c r="H990" s="7"/>
      <c r="I990" s="2"/>
      <c r="J990" s="2"/>
      <c r="K990" s="2"/>
      <c r="L990" s="2"/>
      <c r="M990" s="2"/>
      <c r="N990" s="2"/>
      <c r="O990" s="2"/>
      <c r="P990" s="2"/>
      <c r="Q990" s="2"/>
      <c r="R990" s="2"/>
      <c r="S990" s="2"/>
      <c r="T990" s="2"/>
      <c r="U990" s="2"/>
      <c r="V990" s="2"/>
      <c r="W990" s="2"/>
      <c r="X990" s="2"/>
      <c r="Y990" s="2"/>
      <c r="Z990" s="2"/>
    </row>
    <row r="991">
      <c r="A991" s="2"/>
      <c r="B991" s="2"/>
      <c r="C991" s="2"/>
      <c r="D991" s="2"/>
      <c r="E991" s="2"/>
      <c r="F991" s="7"/>
      <c r="G991" s="2"/>
      <c r="H991" s="7"/>
      <c r="I991" s="2"/>
      <c r="J991" s="2"/>
      <c r="K991" s="2"/>
      <c r="L991" s="2"/>
      <c r="M991" s="2"/>
      <c r="N991" s="2"/>
      <c r="O991" s="2"/>
      <c r="P991" s="2"/>
      <c r="Q991" s="2"/>
      <c r="R991" s="2"/>
      <c r="S991" s="2"/>
      <c r="T991" s="2"/>
      <c r="U991" s="2"/>
      <c r="V991" s="2"/>
      <c r="W991" s="2"/>
      <c r="X991" s="2"/>
      <c r="Y991" s="2"/>
      <c r="Z991" s="2"/>
    </row>
    <row r="992">
      <c r="A992" s="2"/>
      <c r="B992" s="2"/>
      <c r="C992" s="2"/>
      <c r="D992" s="2"/>
      <c r="E992" s="2"/>
      <c r="F992" s="7"/>
      <c r="G992" s="2"/>
      <c r="H992" s="7"/>
      <c r="I992" s="2"/>
      <c r="J992" s="2"/>
      <c r="K992" s="2"/>
      <c r="L992" s="2"/>
      <c r="M992" s="2"/>
      <c r="N992" s="2"/>
      <c r="O992" s="2"/>
      <c r="P992" s="2"/>
      <c r="Q992" s="2"/>
      <c r="R992" s="2"/>
      <c r="S992" s="2"/>
      <c r="T992" s="2"/>
      <c r="U992" s="2"/>
      <c r="V992" s="2"/>
      <c r="W992" s="2"/>
      <c r="X992" s="2"/>
      <c r="Y992" s="2"/>
      <c r="Z992" s="2"/>
    </row>
    <row r="993">
      <c r="A993" s="2"/>
      <c r="B993" s="2"/>
      <c r="C993" s="2"/>
      <c r="D993" s="2"/>
      <c r="E993" s="2"/>
      <c r="F993" s="7"/>
      <c r="G993" s="2"/>
      <c r="H993" s="7"/>
      <c r="I993" s="2"/>
      <c r="J993" s="2"/>
      <c r="K993" s="2"/>
      <c r="L993" s="2"/>
      <c r="M993" s="2"/>
      <c r="N993" s="2"/>
      <c r="O993" s="2"/>
      <c r="P993" s="2"/>
      <c r="Q993" s="2"/>
      <c r="R993" s="2"/>
      <c r="S993" s="2"/>
      <c r="T993" s="2"/>
      <c r="U993" s="2"/>
      <c r="V993" s="2"/>
      <c r="W993" s="2"/>
      <c r="X993" s="2"/>
      <c r="Y993" s="2"/>
      <c r="Z993" s="2"/>
    </row>
    <row r="994">
      <c r="A994" s="2"/>
      <c r="B994" s="2"/>
      <c r="C994" s="2"/>
      <c r="D994" s="2"/>
      <c r="E994" s="2"/>
      <c r="F994" s="7"/>
      <c r="G994" s="2"/>
      <c r="H994" s="7"/>
      <c r="I994" s="2"/>
      <c r="J994" s="2"/>
      <c r="K994" s="2"/>
      <c r="L994" s="2"/>
      <c r="M994" s="2"/>
      <c r="N994" s="2"/>
      <c r="O994" s="2"/>
      <c r="P994" s="2"/>
      <c r="Q994" s="2"/>
      <c r="R994" s="2"/>
      <c r="S994" s="2"/>
      <c r="T994" s="2"/>
      <c r="U994" s="2"/>
      <c r="V994" s="2"/>
      <c r="W994" s="2"/>
      <c r="X994" s="2"/>
      <c r="Y994" s="2"/>
      <c r="Z994" s="2"/>
    </row>
    <row r="995">
      <c r="A995" s="2"/>
      <c r="B995" s="2"/>
      <c r="C995" s="2"/>
      <c r="D995" s="2"/>
      <c r="E995" s="2"/>
      <c r="F995" s="7"/>
      <c r="G995" s="2"/>
      <c r="H995" s="7"/>
      <c r="I995" s="2"/>
      <c r="J995" s="2"/>
      <c r="K995" s="2"/>
      <c r="L995" s="2"/>
      <c r="M995" s="2"/>
      <c r="N995" s="2"/>
      <c r="O995" s="2"/>
      <c r="P995" s="2"/>
      <c r="Q995" s="2"/>
      <c r="R995" s="2"/>
      <c r="S995" s="2"/>
      <c r="T995" s="2"/>
      <c r="U995" s="2"/>
      <c r="V995" s="2"/>
      <c r="W995" s="2"/>
      <c r="X995" s="2"/>
      <c r="Y995" s="2"/>
      <c r="Z995" s="2"/>
    </row>
    <row r="996">
      <c r="A996" s="2"/>
      <c r="B996" s="2"/>
      <c r="C996" s="2"/>
      <c r="D996" s="2"/>
      <c r="E996" s="2"/>
      <c r="F996" s="7"/>
      <c r="G996" s="2"/>
      <c r="H996" s="7"/>
      <c r="I996" s="2"/>
      <c r="J996" s="2"/>
      <c r="K996" s="2"/>
      <c r="L996" s="2"/>
      <c r="M996" s="2"/>
      <c r="N996" s="2"/>
      <c r="O996" s="2"/>
      <c r="P996" s="2"/>
      <c r="Q996" s="2"/>
      <c r="R996" s="2"/>
      <c r="S996" s="2"/>
      <c r="T996" s="2"/>
      <c r="U996" s="2"/>
      <c r="V996" s="2"/>
      <c r="W996" s="2"/>
      <c r="X996" s="2"/>
      <c r="Y996" s="2"/>
      <c r="Z996" s="2"/>
    </row>
    <row r="997">
      <c r="A997" s="2"/>
      <c r="B997" s="2"/>
      <c r="C997" s="2"/>
      <c r="D997" s="2"/>
      <c r="E997" s="2"/>
      <c r="F997" s="7"/>
      <c r="G997" s="2"/>
      <c r="H997" s="7"/>
      <c r="I997" s="2"/>
      <c r="J997" s="2"/>
      <c r="K997" s="2"/>
      <c r="L997" s="2"/>
      <c r="M997" s="2"/>
      <c r="N997" s="2"/>
      <c r="O997" s="2"/>
      <c r="P997" s="2"/>
      <c r="Q997" s="2"/>
      <c r="R997" s="2"/>
      <c r="S997" s="2"/>
      <c r="T997" s="2"/>
      <c r="U997" s="2"/>
      <c r="V997" s="2"/>
      <c r="W997" s="2"/>
      <c r="X997" s="2"/>
      <c r="Y997" s="2"/>
      <c r="Z997" s="2"/>
    </row>
    <row r="998">
      <c r="A998" s="2"/>
      <c r="B998" s="2"/>
      <c r="C998" s="2"/>
      <c r="D998" s="2"/>
      <c r="E998" s="2"/>
      <c r="F998" s="7"/>
      <c r="G998" s="2"/>
      <c r="H998" s="7"/>
      <c r="I998" s="2"/>
      <c r="J998" s="2"/>
      <c r="K998" s="2"/>
      <c r="L998" s="2"/>
      <c r="M998" s="2"/>
      <c r="N998" s="2"/>
      <c r="O998" s="2"/>
      <c r="P998" s="2"/>
      <c r="Q998" s="2"/>
      <c r="R998" s="2"/>
      <c r="S998" s="2"/>
      <c r="T998" s="2"/>
      <c r="U998" s="2"/>
      <c r="V998" s="2"/>
      <c r="W998" s="2"/>
      <c r="X998" s="2"/>
      <c r="Y998" s="2"/>
      <c r="Z998" s="2"/>
    </row>
    <row r="999">
      <c r="A999" s="2"/>
      <c r="B999" s="2"/>
      <c r="C999" s="2"/>
      <c r="D999" s="2"/>
      <c r="E999" s="2"/>
      <c r="F999" s="7"/>
      <c r="G999" s="2"/>
      <c r="H999" s="7"/>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7"/>
      <c r="G1000" s="2"/>
      <c r="H1000" s="7"/>
      <c r="I1000" s="2"/>
      <c r="J1000" s="2"/>
      <c r="K1000" s="2"/>
      <c r="L1000" s="2"/>
      <c r="M1000" s="2"/>
      <c r="N1000" s="2"/>
      <c r="O1000" s="2"/>
      <c r="P1000" s="2"/>
      <c r="Q1000" s="2"/>
      <c r="R1000" s="2"/>
      <c r="S1000" s="2"/>
      <c r="T1000" s="2"/>
      <c r="U1000" s="2"/>
      <c r="V1000" s="2"/>
      <c r="W1000" s="2"/>
      <c r="X1000" s="2"/>
      <c r="Y1000" s="2"/>
      <c r="Z1000" s="2"/>
    </row>
  </sheetData>
  <hyperlinks>
    <hyperlink r:id="rId1" ref="G2"/>
    <hyperlink r:id="rId2" ref="G3"/>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
    <col customWidth="1" min="2" max="2" width="38.88"/>
    <col customWidth="1" min="3" max="3" width="15.0"/>
    <col customWidth="1" min="4" max="4" width="85.75"/>
    <col customWidth="1" min="5" max="5" width="6.88"/>
    <col customWidth="1" min="6" max="6" width="26.5"/>
    <col customWidth="1" min="7" max="7" width="19.38"/>
  </cols>
  <sheetData>
    <row r="1" ht="22.5" customHeight="1">
      <c r="A1" s="48"/>
      <c r="B1" s="49"/>
      <c r="C1" s="49"/>
      <c r="D1" s="49"/>
      <c r="E1" s="49"/>
      <c r="F1" s="49"/>
      <c r="G1" s="49"/>
      <c r="H1" s="49"/>
      <c r="I1" s="49"/>
      <c r="J1" s="49"/>
      <c r="K1" s="49"/>
      <c r="L1" s="49"/>
      <c r="M1" s="37"/>
      <c r="N1" s="37"/>
      <c r="O1" s="37"/>
      <c r="P1" s="37"/>
      <c r="Q1" s="37"/>
      <c r="R1" s="37"/>
      <c r="S1" s="37"/>
      <c r="T1" s="37"/>
      <c r="U1" s="37"/>
      <c r="V1" s="37"/>
    </row>
    <row r="2" ht="22.5" customHeight="1">
      <c r="A2" s="48"/>
      <c r="B2" s="49"/>
      <c r="C2" s="49"/>
      <c r="D2" s="49"/>
      <c r="E2" s="49"/>
      <c r="F2" s="49"/>
      <c r="G2" s="49"/>
      <c r="H2" s="49"/>
      <c r="I2" s="49"/>
      <c r="J2" s="49"/>
      <c r="K2" s="49"/>
      <c r="L2" s="49"/>
      <c r="M2" s="37"/>
      <c r="N2" s="37"/>
      <c r="O2" s="37"/>
      <c r="P2" s="37"/>
      <c r="Q2" s="37"/>
      <c r="R2" s="37"/>
      <c r="S2" s="37"/>
      <c r="T2" s="37"/>
      <c r="U2" s="37"/>
      <c r="V2" s="37"/>
    </row>
    <row r="3" ht="22.5" customHeight="1">
      <c r="A3" s="48"/>
      <c r="B3" s="49"/>
      <c r="C3" s="49"/>
      <c r="D3" s="49"/>
      <c r="E3" s="49"/>
      <c r="F3" s="49"/>
      <c r="G3" s="49"/>
      <c r="H3" s="49"/>
      <c r="I3" s="49"/>
      <c r="J3" s="49"/>
      <c r="K3" s="49"/>
      <c r="L3" s="49"/>
      <c r="M3" s="37"/>
      <c r="N3" s="37"/>
      <c r="O3" s="37"/>
      <c r="P3" s="37"/>
      <c r="Q3" s="37"/>
      <c r="R3" s="37"/>
      <c r="S3" s="37"/>
      <c r="T3" s="37"/>
      <c r="U3" s="37"/>
      <c r="V3" s="37"/>
    </row>
    <row r="4">
      <c r="A4" s="48"/>
      <c r="B4" s="49"/>
      <c r="C4" s="49"/>
      <c r="D4" s="49"/>
      <c r="E4" s="49"/>
      <c r="F4" s="49"/>
      <c r="G4" s="49"/>
      <c r="H4" s="49"/>
      <c r="I4" s="49"/>
      <c r="J4" s="49"/>
      <c r="K4" s="49"/>
      <c r="L4" s="37"/>
      <c r="M4" s="37"/>
      <c r="N4" s="37"/>
      <c r="O4" s="37"/>
      <c r="P4" s="37"/>
      <c r="Q4" s="37"/>
      <c r="R4" s="37"/>
      <c r="S4" s="37"/>
      <c r="T4" s="37"/>
      <c r="U4" s="37"/>
      <c r="V4" s="37"/>
    </row>
    <row r="5">
      <c r="A5" s="48"/>
      <c r="B5" s="49"/>
      <c r="C5" s="49"/>
      <c r="D5" s="49"/>
      <c r="E5" s="49"/>
      <c r="F5" s="49"/>
      <c r="G5" s="49"/>
      <c r="H5" s="49"/>
      <c r="I5" s="49"/>
      <c r="J5" s="49"/>
      <c r="K5" s="49"/>
      <c r="L5" s="49"/>
      <c r="M5" s="37"/>
      <c r="N5" s="37"/>
      <c r="O5" s="37"/>
      <c r="P5" s="37"/>
      <c r="Q5" s="37"/>
      <c r="R5" s="37"/>
      <c r="S5" s="37"/>
      <c r="T5" s="37"/>
      <c r="U5" s="37"/>
      <c r="V5" s="37"/>
    </row>
    <row r="6" ht="22.5" customHeight="1">
      <c r="A6" s="48"/>
      <c r="B6" s="49"/>
      <c r="C6" s="49"/>
      <c r="D6" s="49"/>
      <c r="E6" s="49"/>
      <c r="F6" s="49"/>
      <c r="G6" s="49"/>
      <c r="H6" s="50"/>
      <c r="I6" s="49"/>
      <c r="J6" s="49"/>
      <c r="K6" s="49"/>
      <c r="L6" s="49"/>
      <c r="M6" s="37"/>
      <c r="N6" s="37"/>
      <c r="O6" s="37"/>
      <c r="P6" s="37"/>
      <c r="Q6" s="37"/>
      <c r="R6" s="37"/>
      <c r="S6" s="37"/>
      <c r="T6" s="37"/>
      <c r="U6" s="37"/>
      <c r="V6" s="37"/>
    </row>
    <row r="7">
      <c r="A7" s="48"/>
      <c r="B7" s="49"/>
      <c r="C7" s="49"/>
      <c r="D7" s="49"/>
      <c r="E7" s="49"/>
      <c r="F7" s="49"/>
      <c r="G7" s="49"/>
      <c r="H7" s="50"/>
      <c r="I7" s="49"/>
      <c r="J7" s="49"/>
      <c r="K7" s="49"/>
      <c r="L7" s="49"/>
      <c r="M7" s="37"/>
      <c r="N7" s="37"/>
      <c r="O7" s="37"/>
      <c r="P7" s="37"/>
      <c r="Q7" s="37"/>
      <c r="R7" s="37"/>
      <c r="S7" s="37"/>
      <c r="T7" s="37"/>
      <c r="U7" s="37"/>
      <c r="V7" s="37"/>
    </row>
    <row r="8" ht="22.5" customHeight="1">
      <c r="A8" s="51"/>
    </row>
    <row r="9" ht="22.5" customHeight="1">
      <c r="A9" s="48"/>
      <c r="B9" s="49"/>
      <c r="C9" s="49"/>
      <c r="D9" s="49"/>
      <c r="E9" s="49"/>
      <c r="F9" s="49"/>
      <c r="G9" s="49"/>
      <c r="H9" s="49"/>
      <c r="I9" s="49"/>
      <c r="J9" s="49"/>
      <c r="K9" s="49"/>
      <c r="L9" s="49"/>
      <c r="M9" s="37"/>
      <c r="N9" s="37"/>
      <c r="O9" s="37"/>
      <c r="P9" s="37"/>
      <c r="Q9" s="37"/>
      <c r="R9" s="37"/>
      <c r="S9" s="37"/>
      <c r="T9" s="37"/>
      <c r="U9" s="37"/>
      <c r="V9" s="37"/>
    </row>
    <row r="10" ht="22.5" customHeight="1">
      <c r="A10" s="48"/>
      <c r="B10" s="49"/>
      <c r="C10" s="49"/>
      <c r="D10" s="49"/>
      <c r="E10" s="49"/>
      <c r="F10" s="49"/>
      <c r="G10" s="49"/>
      <c r="H10" s="49"/>
      <c r="I10" s="49"/>
      <c r="J10" s="49"/>
      <c r="K10" s="49"/>
      <c r="L10" s="49"/>
      <c r="M10" s="37"/>
      <c r="N10" s="37"/>
      <c r="O10" s="37"/>
      <c r="P10" s="37"/>
      <c r="Q10" s="37"/>
      <c r="R10" s="37"/>
      <c r="S10" s="37"/>
      <c r="T10" s="37"/>
      <c r="U10" s="37"/>
      <c r="V10" s="37"/>
    </row>
    <row r="11" ht="22.5" customHeight="1">
      <c r="A11" s="48"/>
      <c r="B11" s="49"/>
      <c r="C11" s="49"/>
      <c r="D11" s="49"/>
      <c r="E11" s="49"/>
      <c r="F11" s="49"/>
      <c r="G11" s="49"/>
      <c r="H11" s="49"/>
      <c r="I11" s="49"/>
      <c r="J11" s="49"/>
      <c r="K11" s="49"/>
      <c r="L11" s="49"/>
      <c r="M11" s="37"/>
      <c r="N11" s="37"/>
      <c r="O11" s="37"/>
      <c r="P11" s="37"/>
      <c r="Q11" s="37"/>
      <c r="R11" s="37"/>
      <c r="S11" s="37"/>
      <c r="T11" s="37"/>
      <c r="U11" s="37"/>
      <c r="V11" s="37"/>
    </row>
    <row r="12" ht="22.5" customHeight="1">
      <c r="A12" s="48"/>
      <c r="B12" s="49"/>
      <c r="C12" s="49"/>
      <c r="D12" s="49"/>
      <c r="E12" s="49"/>
      <c r="F12" s="49"/>
      <c r="G12" s="49"/>
      <c r="H12" s="49"/>
      <c r="I12" s="49"/>
      <c r="J12" s="49"/>
      <c r="K12" s="49"/>
      <c r="L12" s="49"/>
      <c r="M12" s="37"/>
      <c r="N12" s="37"/>
      <c r="O12" s="37"/>
      <c r="P12" s="37"/>
      <c r="Q12" s="37"/>
      <c r="R12" s="37"/>
      <c r="S12" s="37"/>
      <c r="T12" s="37"/>
      <c r="U12" s="37"/>
      <c r="V12" s="37"/>
    </row>
    <row r="13">
      <c r="A13" s="48"/>
      <c r="B13" s="49"/>
      <c r="C13" s="49"/>
      <c r="D13" s="22"/>
      <c r="E13" s="22"/>
      <c r="F13" s="22"/>
      <c r="G13" s="22"/>
      <c r="H13" s="49"/>
      <c r="I13" s="49"/>
      <c r="J13" s="49"/>
      <c r="K13" s="49"/>
      <c r="L13" s="49"/>
      <c r="M13" s="37"/>
      <c r="N13" s="37"/>
      <c r="O13" s="37"/>
      <c r="P13" s="37"/>
      <c r="Q13" s="37"/>
      <c r="R13" s="37"/>
      <c r="S13" s="37"/>
      <c r="T13" s="37"/>
      <c r="U13" s="37"/>
      <c r="V13" s="37"/>
    </row>
    <row r="14" ht="22.5" customHeight="1">
      <c r="A14" s="48"/>
      <c r="B14" s="49"/>
      <c r="C14" s="49"/>
      <c r="D14" s="49"/>
      <c r="E14" s="49"/>
      <c r="F14" s="49"/>
      <c r="G14" s="49"/>
      <c r="H14" s="49"/>
      <c r="I14" s="49"/>
      <c r="J14" s="49"/>
      <c r="K14" s="49"/>
      <c r="L14" s="49"/>
      <c r="M14" s="37"/>
      <c r="N14" s="37"/>
      <c r="O14" s="37"/>
      <c r="P14" s="37"/>
      <c r="Q14" s="37"/>
      <c r="R14" s="37"/>
      <c r="S14" s="37"/>
      <c r="T14" s="37"/>
      <c r="U14" s="37"/>
      <c r="V14" s="37"/>
    </row>
    <row r="15" ht="22.5" customHeight="1">
      <c r="A15" s="48">
        <v>46068.0</v>
      </c>
      <c r="B15" s="49" t="s">
        <v>2176</v>
      </c>
      <c r="C15" s="49" t="s">
        <v>924</v>
      </c>
      <c r="D15" s="49" t="s">
        <v>971</v>
      </c>
      <c r="E15" s="49" t="s">
        <v>379</v>
      </c>
      <c r="F15" s="49" t="s">
        <v>923</v>
      </c>
      <c r="G15" s="49" t="s">
        <v>2177</v>
      </c>
      <c r="H15" s="49" t="s">
        <v>1057</v>
      </c>
      <c r="I15" s="49" t="s">
        <v>2178</v>
      </c>
      <c r="J15" s="49" t="s">
        <v>2179</v>
      </c>
      <c r="K15" s="49" t="s">
        <v>1028</v>
      </c>
      <c r="L15" s="49" t="s">
        <v>945</v>
      </c>
      <c r="M15" s="37"/>
      <c r="N15" s="37"/>
      <c r="O15" s="37"/>
      <c r="P15" s="37"/>
      <c r="Q15" s="37"/>
      <c r="R15" s="37"/>
      <c r="S15" s="37"/>
      <c r="T15" s="37"/>
      <c r="U15" s="37"/>
      <c r="V15" s="37"/>
    </row>
    <row r="16" ht="22.5" customHeight="1">
      <c r="A16" s="48">
        <v>46068.0</v>
      </c>
      <c r="B16" s="49" t="s">
        <v>1622</v>
      </c>
      <c r="C16" s="49" t="s">
        <v>1625</v>
      </c>
      <c r="D16" s="49" t="s">
        <v>274</v>
      </c>
      <c r="E16" s="49" t="s">
        <v>874</v>
      </c>
      <c r="F16" s="49" t="s">
        <v>1623</v>
      </c>
      <c r="G16" s="49" t="s">
        <v>1624</v>
      </c>
      <c r="H16" s="49" t="s">
        <v>1207</v>
      </c>
      <c r="I16" s="49" t="s">
        <v>1291</v>
      </c>
      <c r="J16" s="49" t="s">
        <v>1626</v>
      </c>
      <c r="K16" s="49" t="s">
        <v>1028</v>
      </c>
      <c r="L16" s="49"/>
      <c r="M16" s="37"/>
      <c r="N16" s="37"/>
      <c r="O16" s="37"/>
      <c r="P16" s="37"/>
      <c r="Q16" s="37"/>
      <c r="R16" s="37"/>
      <c r="S16" s="37"/>
      <c r="T16" s="37"/>
      <c r="U16" s="37"/>
      <c r="V16" s="37"/>
    </row>
    <row r="17" ht="22.5" customHeight="1">
      <c r="A17" s="51">
        <v>46068.0</v>
      </c>
      <c r="B17" s="52" t="s">
        <v>1627</v>
      </c>
      <c r="C17" s="52" t="s">
        <v>1630</v>
      </c>
      <c r="D17" s="52" t="s">
        <v>969</v>
      </c>
      <c r="E17" s="52" t="s">
        <v>962</v>
      </c>
      <c r="F17" s="52" t="s">
        <v>1628</v>
      </c>
      <c r="G17" s="52" t="s">
        <v>1629</v>
      </c>
      <c r="H17" s="52" t="s">
        <v>1129</v>
      </c>
      <c r="I17" s="52" t="s">
        <v>1631</v>
      </c>
      <c r="J17" s="52" t="s">
        <v>1632</v>
      </c>
      <c r="K17" s="52" t="s">
        <v>1028</v>
      </c>
    </row>
    <row r="18" ht="22.5" customHeight="1">
      <c r="A18" s="48">
        <v>46068.0</v>
      </c>
      <c r="B18" s="49" t="s">
        <v>2180</v>
      </c>
      <c r="C18" s="49" t="s">
        <v>2181</v>
      </c>
      <c r="D18" s="49" t="s">
        <v>274</v>
      </c>
      <c r="E18" s="49" t="s">
        <v>2182</v>
      </c>
      <c r="F18" s="49" t="s">
        <v>2183</v>
      </c>
      <c r="G18" s="49" t="s">
        <v>2079</v>
      </c>
      <c r="H18" s="49" t="s">
        <v>1063</v>
      </c>
      <c r="I18" s="49" t="s">
        <v>2184</v>
      </c>
      <c r="J18" s="49" t="s">
        <v>2185</v>
      </c>
      <c r="K18" s="49" t="s">
        <v>1028</v>
      </c>
      <c r="L18" s="49"/>
      <c r="M18" s="37"/>
      <c r="N18" s="37"/>
      <c r="O18" s="37"/>
      <c r="P18" s="37"/>
      <c r="Q18" s="37"/>
      <c r="R18" s="37"/>
      <c r="S18" s="37"/>
      <c r="T18" s="37"/>
      <c r="U18" s="37"/>
      <c r="V18" s="37"/>
    </row>
    <row r="19" ht="22.5" customHeight="1">
      <c r="A19" s="48">
        <v>46068.0</v>
      </c>
      <c r="B19" s="49" t="s">
        <v>1633</v>
      </c>
      <c r="C19" s="49" t="s">
        <v>1635</v>
      </c>
      <c r="D19" s="49" t="s">
        <v>971</v>
      </c>
      <c r="E19" s="49" t="s">
        <v>959</v>
      </c>
      <c r="F19" s="49" t="s">
        <v>956</v>
      </c>
      <c r="G19" s="49" t="s">
        <v>1634</v>
      </c>
      <c r="H19" s="49" t="s">
        <v>1025</v>
      </c>
      <c r="I19" s="49" t="s">
        <v>1620</v>
      </c>
      <c r="J19" s="49" t="s">
        <v>1636</v>
      </c>
      <c r="K19" s="49" t="s">
        <v>1028</v>
      </c>
      <c r="L19" s="49"/>
      <c r="M19" s="37"/>
      <c r="N19" s="37"/>
      <c r="O19" s="37"/>
      <c r="P19" s="37"/>
      <c r="Q19" s="37"/>
      <c r="R19" s="37"/>
      <c r="S19" s="37"/>
      <c r="T19" s="37"/>
      <c r="U19" s="37"/>
      <c r="V19" s="37"/>
    </row>
    <row r="20" ht="22.5" customHeight="1">
      <c r="A20" s="48">
        <v>46068.0</v>
      </c>
      <c r="B20" s="49" t="s">
        <v>2186</v>
      </c>
      <c r="C20" s="49" t="s">
        <v>2187</v>
      </c>
      <c r="D20" s="49" t="s">
        <v>971</v>
      </c>
      <c r="E20" s="49" t="s">
        <v>1112</v>
      </c>
      <c r="F20" s="49" t="s">
        <v>562</v>
      </c>
      <c r="G20" s="49" t="s">
        <v>2188</v>
      </c>
      <c r="H20" s="49" t="s">
        <v>1025</v>
      </c>
      <c r="I20" s="49" t="s">
        <v>1291</v>
      </c>
      <c r="J20" s="49" t="s">
        <v>2189</v>
      </c>
      <c r="K20" s="49" t="s">
        <v>1028</v>
      </c>
      <c r="L20" s="37"/>
      <c r="M20" s="37"/>
      <c r="N20" s="37"/>
      <c r="O20" s="37"/>
      <c r="P20" s="37"/>
      <c r="Q20" s="37"/>
      <c r="R20" s="37"/>
      <c r="S20" s="37"/>
      <c r="T20" s="37"/>
      <c r="U20" s="37"/>
      <c r="V20" s="37"/>
    </row>
    <row r="21" ht="22.5" customHeight="1">
      <c r="A21" s="48">
        <v>46069.0</v>
      </c>
      <c r="B21" s="49" t="s">
        <v>2190</v>
      </c>
      <c r="C21" s="49" t="s">
        <v>2191</v>
      </c>
      <c r="D21" s="49" t="s">
        <v>969</v>
      </c>
      <c r="E21" s="49" t="s">
        <v>2192</v>
      </c>
      <c r="F21" s="49" t="s">
        <v>2193</v>
      </c>
      <c r="G21" s="49" t="s">
        <v>2194</v>
      </c>
      <c r="H21" s="49" t="s">
        <v>1207</v>
      </c>
      <c r="I21" s="49" t="s">
        <v>2195</v>
      </c>
      <c r="J21" s="49" t="s">
        <v>2196</v>
      </c>
      <c r="K21" s="49" t="s">
        <v>1028</v>
      </c>
      <c r="L21" s="49"/>
      <c r="M21" s="37"/>
      <c r="N21" s="37"/>
      <c r="O21" s="37"/>
      <c r="P21" s="37"/>
      <c r="Q21" s="37"/>
      <c r="R21" s="37"/>
      <c r="S21" s="37"/>
      <c r="T21" s="37"/>
      <c r="U21" s="37"/>
      <c r="V21" s="37"/>
    </row>
    <row r="22" ht="22.5" customHeight="1">
      <c r="A22" s="48">
        <v>46069.0</v>
      </c>
      <c r="B22" s="49" t="s">
        <v>1783</v>
      </c>
      <c r="C22" s="49" t="s">
        <v>1784</v>
      </c>
      <c r="D22" s="49" t="s">
        <v>971</v>
      </c>
      <c r="E22" s="49" t="s">
        <v>2197</v>
      </c>
      <c r="F22" s="49" t="s">
        <v>1785</v>
      </c>
      <c r="G22" s="49" t="s">
        <v>2198</v>
      </c>
      <c r="H22" s="49" t="s">
        <v>1178</v>
      </c>
      <c r="I22" s="49"/>
      <c r="J22" s="49" t="s">
        <v>1787</v>
      </c>
      <c r="K22" s="49" t="s">
        <v>1028</v>
      </c>
      <c r="L22" s="49"/>
      <c r="M22" s="37"/>
      <c r="N22" s="37"/>
      <c r="O22" s="37"/>
      <c r="P22" s="37"/>
      <c r="Q22" s="37"/>
      <c r="R22" s="37"/>
      <c r="S22" s="37"/>
      <c r="T22" s="37"/>
      <c r="U22" s="37"/>
      <c r="V22" s="37"/>
    </row>
    <row r="23" ht="22.5" customHeight="1">
      <c r="A23" s="48">
        <v>46069.0</v>
      </c>
      <c r="B23" s="49" t="s">
        <v>2199</v>
      </c>
      <c r="C23" s="49" t="s">
        <v>2200</v>
      </c>
      <c r="D23" s="49" t="s">
        <v>274</v>
      </c>
      <c r="E23" s="49" t="s">
        <v>2201</v>
      </c>
      <c r="F23" s="49" t="s">
        <v>2202</v>
      </c>
      <c r="G23" s="49" t="s">
        <v>2203</v>
      </c>
      <c r="H23" s="49" t="s">
        <v>1178</v>
      </c>
      <c r="I23" s="49" t="s">
        <v>2204</v>
      </c>
      <c r="J23" s="49" t="s">
        <v>2205</v>
      </c>
      <c r="K23" s="49" t="s">
        <v>1028</v>
      </c>
      <c r="L23" s="49"/>
      <c r="M23" s="37"/>
      <c r="N23" s="37"/>
      <c r="O23" s="37"/>
      <c r="P23" s="37"/>
      <c r="Q23" s="37"/>
      <c r="R23" s="37"/>
      <c r="S23" s="37"/>
      <c r="T23" s="37"/>
      <c r="U23" s="37"/>
      <c r="V23" s="37"/>
    </row>
    <row r="24" ht="22.5" customHeight="1">
      <c r="A24" s="48">
        <v>46069.0</v>
      </c>
      <c r="B24" s="49" t="s">
        <v>2206</v>
      </c>
      <c r="C24" s="49" t="s">
        <v>2207</v>
      </c>
      <c r="D24" s="49" t="s">
        <v>969</v>
      </c>
      <c r="E24" s="49" t="s">
        <v>2208</v>
      </c>
      <c r="F24" s="49" t="s">
        <v>2209</v>
      </c>
      <c r="G24" s="49" t="s">
        <v>2210</v>
      </c>
      <c r="H24" s="49" t="s">
        <v>1025</v>
      </c>
      <c r="I24" s="49" t="s">
        <v>2211</v>
      </c>
      <c r="J24" s="49" t="s">
        <v>2212</v>
      </c>
      <c r="K24" s="49" t="s">
        <v>1028</v>
      </c>
      <c r="L24" s="49"/>
      <c r="M24" s="37"/>
      <c r="N24" s="37"/>
      <c r="O24" s="37"/>
      <c r="P24" s="37"/>
      <c r="Q24" s="37"/>
      <c r="R24" s="37"/>
      <c r="S24" s="37"/>
      <c r="T24" s="37"/>
      <c r="U24" s="37"/>
      <c r="V24" s="37"/>
    </row>
    <row r="25" ht="22.5" customHeight="1">
      <c r="A25" s="48">
        <v>46069.0</v>
      </c>
      <c r="B25" s="49" t="s">
        <v>1909</v>
      </c>
      <c r="C25" s="49" t="s">
        <v>1911</v>
      </c>
      <c r="D25" s="22" t="s">
        <v>971</v>
      </c>
      <c r="E25" s="22" t="s">
        <v>1077</v>
      </c>
      <c r="F25" s="22" t="s">
        <v>1910</v>
      </c>
      <c r="G25" s="22" t="s">
        <v>1912</v>
      </c>
      <c r="H25" s="50">
        <v>46032.0</v>
      </c>
      <c r="I25" s="49" t="s">
        <v>1538</v>
      </c>
      <c r="J25" s="49" t="s">
        <v>1913</v>
      </c>
      <c r="K25" s="49" t="s">
        <v>1028</v>
      </c>
      <c r="L25" s="49" t="s">
        <v>945</v>
      </c>
      <c r="M25" s="37"/>
      <c r="N25" s="37"/>
      <c r="O25" s="37"/>
      <c r="P25" s="37"/>
      <c r="Q25" s="37"/>
      <c r="R25" s="37"/>
      <c r="S25" s="37"/>
      <c r="T25" s="37"/>
      <c r="U25" s="37"/>
      <c r="V25" s="37"/>
    </row>
    <row r="26" ht="22.5" customHeight="1">
      <c r="A26" s="48">
        <v>46069.0</v>
      </c>
      <c r="B26" s="49" t="s">
        <v>2213</v>
      </c>
      <c r="C26" s="49" t="s">
        <v>2214</v>
      </c>
      <c r="D26" s="49" t="s">
        <v>969</v>
      </c>
      <c r="E26" s="49" t="s">
        <v>2215</v>
      </c>
      <c r="F26" s="49" t="s">
        <v>2216</v>
      </c>
      <c r="G26" s="49" t="s">
        <v>2217</v>
      </c>
      <c r="H26" s="49" t="s">
        <v>1207</v>
      </c>
      <c r="I26" s="49" t="s">
        <v>2218</v>
      </c>
      <c r="J26" s="49" t="s">
        <v>2219</v>
      </c>
      <c r="K26" s="49" t="s">
        <v>1028</v>
      </c>
      <c r="L26" s="49"/>
      <c r="M26" s="37"/>
      <c r="N26" s="37"/>
      <c r="O26" s="37"/>
      <c r="P26" s="37"/>
      <c r="Q26" s="37"/>
      <c r="R26" s="37"/>
      <c r="S26" s="37"/>
      <c r="T26" s="37"/>
      <c r="U26" s="37"/>
      <c r="V26" s="37"/>
    </row>
    <row r="27" ht="22.5" customHeight="1">
      <c r="A27" s="51">
        <v>46069.0</v>
      </c>
      <c r="B27" s="52" t="s">
        <v>2220</v>
      </c>
      <c r="C27" s="52" t="s">
        <v>2221</v>
      </c>
      <c r="D27" s="52" t="s">
        <v>971</v>
      </c>
      <c r="E27" s="52" t="s">
        <v>2222</v>
      </c>
      <c r="F27" s="52" t="s">
        <v>1847</v>
      </c>
      <c r="G27" s="52" t="s">
        <v>2223</v>
      </c>
      <c r="H27" s="52" t="s">
        <v>1207</v>
      </c>
      <c r="I27" s="52" t="s">
        <v>1850</v>
      </c>
      <c r="J27" s="52" t="s">
        <v>2224</v>
      </c>
      <c r="K27" s="52" t="s">
        <v>945</v>
      </c>
    </row>
    <row r="28">
      <c r="A28" s="48">
        <v>46069.0</v>
      </c>
      <c r="B28" s="49" t="s">
        <v>1656</v>
      </c>
      <c r="C28" s="49" t="s">
        <v>2225</v>
      </c>
      <c r="D28" s="49" t="s">
        <v>969</v>
      </c>
      <c r="E28" s="49" t="s">
        <v>1285</v>
      </c>
      <c r="F28" s="49" t="s">
        <v>1657</v>
      </c>
      <c r="G28" s="49" t="s">
        <v>1659</v>
      </c>
      <c r="H28" s="49" t="s">
        <v>1178</v>
      </c>
      <c r="I28" s="49" t="s">
        <v>1291</v>
      </c>
      <c r="J28" s="49" t="s">
        <v>1660</v>
      </c>
      <c r="K28" s="49" t="s">
        <v>1028</v>
      </c>
      <c r="L28" s="49" t="s">
        <v>945</v>
      </c>
      <c r="M28" s="37"/>
      <c r="N28" s="37"/>
      <c r="O28" s="37"/>
      <c r="P28" s="37"/>
      <c r="Q28" s="37"/>
      <c r="R28" s="37"/>
      <c r="S28" s="37"/>
      <c r="T28" s="37"/>
      <c r="U28" s="37"/>
      <c r="V28" s="37"/>
    </row>
    <row r="29" ht="22.5" customHeight="1">
      <c r="A29" s="51">
        <v>46069.0</v>
      </c>
      <c r="B29" s="52" t="s">
        <v>2126</v>
      </c>
      <c r="C29" s="52" t="s">
        <v>2152</v>
      </c>
      <c r="D29" s="52" t="s">
        <v>971</v>
      </c>
      <c r="E29" s="52" t="s">
        <v>2226</v>
      </c>
      <c r="F29" s="52" t="s">
        <v>914</v>
      </c>
      <c r="G29" s="52" t="s">
        <v>2153</v>
      </c>
      <c r="H29" s="52" t="s">
        <v>1025</v>
      </c>
      <c r="I29" s="52" t="s">
        <v>1135</v>
      </c>
      <c r="J29" s="52" t="s">
        <v>2154</v>
      </c>
      <c r="K29" s="52" t="s">
        <v>1028</v>
      </c>
    </row>
    <row r="30" ht="22.5" customHeight="1">
      <c r="A30" s="51">
        <v>46069.0</v>
      </c>
      <c r="B30" s="52" t="s">
        <v>381</v>
      </c>
      <c r="C30" s="52" t="s">
        <v>2227</v>
      </c>
      <c r="D30" s="52" t="s">
        <v>969</v>
      </c>
      <c r="E30" s="52" t="s">
        <v>2228</v>
      </c>
      <c r="F30" s="52" t="s">
        <v>327</v>
      </c>
      <c r="G30" s="52" t="s">
        <v>1053</v>
      </c>
      <c r="H30" s="52" t="s">
        <v>1025</v>
      </c>
      <c r="I30" s="52" t="s">
        <v>1049</v>
      </c>
      <c r="J30" s="52" t="s">
        <v>1050</v>
      </c>
      <c r="K30" s="52" t="s">
        <v>1028</v>
      </c>
    </row>
    <row r="31" ht="22.5" customHeight="1">
      <c r="A31" s="48">
        <v>46069.0</v>
      </c>
      <c r="B31" s="49" t="s">
        <v>832</v>
      </c>
      <c r="C31" s="49" t="s">
        <v>1770</v>
      </c>
      <c r="D31" s="49" t="s">
        <v>971</v>
      </c>
      <c r="E31" s="49" t="s">
        <v>1285</v>
      </c>
      <c r="F31" s="49" t="s">
        <v>833</v>
      </c>
      <c r="G31" s="49" t="s">
        <v>1771</v>
      </c>
      <c r="H31" s="49" t="s">
        <v>1057</v>
      </c>
      <c r="I31" s="49" t="s">
        <v>1631</v>
      </c>
      <c r="J31" s="49" t="s">
        <v>1772</v>
      </c>
      <c r="K31" s="49" t="s">
        <v>1028</v>
      </c>
      <c r="L31" s="49" t="s">
        <v>945</v>
      </c>
      <c r="M31" s="37"/>
      <c r="N31" s="37"/>
      <c r="O31" s="37"/>
      <c r="P31" s="37"/>
      <c r="Q31" s="37"/>
      <c r="R31" s="37"/>
      <c r="S31" s="37"/>
      <c r="T31" s="37"/>
      <c r="U31" s="37"/>
      <c r="V31" s="37"/>
    </row>
    <row r="32" ht="22.5" customHeight="1">
      <c r="A32" s="48">
        <v>46069.0</v>
      </c>
      <c r="B32" s="49" t="s">
        <v>381</v>
      </c>
      <c r="C32" s="49" t="s">
        <v>1795</v>
      </c>
      <c r="D32" s="49" t="s">
        <v>274</v>
      </c>
      <c r="E32" s="49" t="s">
        <v>2229</v>
      </c>
      <c r="F32" s="49" t="s">
        <v>1796</v>
      </c>
      <c r="G32" s="49" t="s">
        <v>1797</v>
      </c>
      <c r="H32" s="49" t="s">
        <v>1129</v>
      </c>
      <c r="I32" s="49" t="s">
        <v>1798</v>
      </c>
      <c r="J32" s="49" t="s">
        <v>1799</v>
      </c>
      <c r="K32" s="49" t="s">
        <v>1028</v>
      </c>
      <c r="L32" s="49"/>
      <c r="M32" s="37"/>
      <c r="N32" s="37"/>
      <c r="O32" s="37"/>
      <c r="P32" s="37"/>
      <c r="Q32" s="37"/>
      <c r="R32" s="37"/>
      <c r="S32" s="37"/>
      <c r="T32" s="37"/>
      <c r="U32" s="37"/>
      <c r="V32" s="37"/>
    </row>
    <row r="33" ht="22.5" customHeight="1">
      <c r="A33" s="48">
        <v>46069.0</v>
      </c>
      <c r="B33" s="49" t="s">
        <v>2230</v>
      </c>
      <c r="C33" s="49" t="s">
        <v>2231</v>
      </c>
      <c r="D33" s="49" t="s">
        <v>274</v>
      </c>
      <c r="E33" s="49" t="s">
        <v>2232</v>
      </c>
      <c r="F33" s="49" t="s">
        <v>2233</v>
      </c>
      <c r="G33" s="49" t="s">
        <v>2234</v>
      </c>
      <c r="H33" s="49" t="s">
        <v>1025</v>
      </c>
      <c r="I33" s="49" t="s">
        <v>1878</v>
      </c>
      <c r="J33" s="49" t="s">
        <v>2235</v>
      </c>
      <c r="K33" s="49" t="s">
        <v>1028</v>
      </c>
      <c r="L33" s="49" t="s">
        <v>945</v>
      </c>
      <c r="M33" s="37"/>
      <c r="N33" s="37"/>
      <c r="O33" s="37"/>
      <c r="P33" s="37"/>
      <c r="Q33" s="37"/>
      <c r="R33" s="37"/>
      <c r="S33" s="37"/>
      <c r="T33" s="37"/>
      <c r="U33" s="37"/>
      <c r="V33" s="37"/>
    </row>
    <row r="34" ht="22.5" customHeight="1">
      <c r="A34" s="48">
        <v>46069.0</v>
      </c>
      <c r="B34" s="49" t="s">
        <v>2236</v>
      </c>
      <c r="C34" s="49" t="s">
        <v>2237</v>
      </c>
      <c r="D34" s="49" t="s">
        <v>971</v>
      </c>
      <c r="E34" s="49" t="s">
        <v>2238</v>
      </c>
      <c r="F34" s="49" t="s">
        <v>1011</v>
      </c>
      <c r="G34" s="49" t="s">
        <v>2239</v>
      </c>
      <c r="H34" s="49" t="s">
        <v>1025</v>
      </c>
      <c r="I34" s="49" t="s">
        <v>1026</v>
      </c>
      <c r="J34" s="49" t="s">
        <v>2240</v>
      </c>
      <c r="K34" s="49" t="s">
        <v>1028</v>
      </c>
      <c r="L34" s="49"/>
      <c r="M34" s="37"/>
      <c r="N34" s="37"/>
      <c r="O34" s="37"/>
      <c r="P34" s="37"/>
      <c r="Q34" s="37"/>
      <c r="R34" s="37"/>
      <c r="S34" s="37"/>
      <c r="T34" s="37"/>
      <c r="U34" s="37"/>
      <c r="V34" s="37"/>
    </row>
    <row r="35" ht="22.5" customHeight="1">
      <c r="A35" s="48">
        <v>46069.0</v>
      </c>
      <c r="B35" s="49" t="s">
        <v>88</v>
      </c>
      <c r="C35" s="49" t="s">
        <v>2241</v>
      </c>
      <c r="D35" s="49" t="s">
        <v>969</v>
      </c>
      <c r="E35" s="49" t="s">
        <v>944</v>
      </c>
      <c r="F35" s="49" t="s">
        <v>806</v>
      </c>
      <c r="G35" s="49" t="s">
        <v>2242</v>
      </c>
      <c r="H35" s="49" t="s">
        <v>1057</v>
      </c>
      <c r="I35" s="49" t="s">
        <v>2243</v>
      </c>
      <c r="J35" s="49" t="s">
        <v>2244</v>
      </c>
      <c r="K35" s="49" t="s">
        <v>1028</v>
      </c>
      <c r="L35" s="49"/>
      <c r="M35" s="37"/>
      <c r="N35" s="37"/>
      <c r="O35" s="37"/>
      <c r="P35" s="37"/>
      <c r="Q35" s="37"/>
      <c r="R35" s="37"/>
      <c r="S35" s="37"/>
      <c r="T35" s="37"/>
      <c r="U35" s="37"/>
      <c r="V35" s="37"/>
    </row>
    <row r="36" ht="22.5" customHeight="1">
      <c r="A36" s="48">
        <v>46069.0</v>
      </c>
      <c r="B36" s="49" t="s">
        <v>809</v>
      </c>
      <c r="C36" s="49" t="s">
        <v>1744</v>
      </c>
      <c r="D36" s="49" t="s">
        <v>274</v>
      </c>
      <c r="E36" s="49" t="s">
        <v>858</v>
      </c>
      <c r="F36" s="49" t="s">
        <v>810</v>
      </c>
      <c r="G36" s="49" t="s">
        <v>1745</v>
      </c>
      <c r="H36" s="49" t="s">
        <v>1057</v>
      </c>
      <c r="I36" s="49" t="s">
        <v>1746</v>
      </c>
      <c r="J36" s="49" t="s">
        <v>1747</v>
      </c>
      <c r="K36" s="49" t="s">
        <v>1028</v>
      </c>
      <c r="L36" s="49"/>
      <c r="M36" s="37"/>
      <c r="N36" s="37"/>
      <c r="O36" s="37"/>
      <c r="P36" s="37"/>
      <c r="Q36" s="37"/>
      <c r="R36" s="37"/>
      <c r="S36" s="37"/>
      <c r="T36" s="37"/>
      <c r="U36" s="37"/>
      <c r="V36" s="37"/>
    </row>
    <row r="37" ht="22.5" customHeight="1">
      <c r="A37" s="48">
        <v>46069.0</v>
      </c>
      <c r="B37" s="52" t="s">
        <v>1773</v>
      </c>
      <c r="C37" s="49" t="s">
        <v>1775</v>
      </c>
      <c r="D37" s="49" t="s">
        <v>971</v>
      </c>
      <c r="E37" s="49" t="s">
        <v>1093</v>
      </c>
      <c r="F37" s="49" t="s">
        <v>1774</v>
      </c>
      <c r="G37" s="49" t="s">
        <v>1776</v>
      </c>
      <c r="H37" s="49" t="s">
        <v>1129</v>
      </c>
      <c r="I37" s="49" t="s">
        <v>1777</v>
      </c>
      <c r="J37" s="49" t="s">
        <v>1778</v>
      </c>
      <c r="K37" s="49" t="s">
        <v>1028</v>
      </c>
      <c r="L37" s="49"/>
      <c r="M37" s="37"/>
      <c r="N37" s="37"/>
      <c r="O37" s="37"/>
      <c r="P37" s="37"/>
      <c r="Q37" s="37"/>
      <c r="R37" s="37"/>
      <c r="S37" s="37"/>
      <c r="T37" s="37"/>
      <c r="U37" s="37"/>
      <c r="V37" s="37"/>
    </row>
    <row r="38" ht="22.5" customHeight="1">
      <c r="A38" s="51">
        <v>46069.0</v>
      </c>
      <c r="B38" s="52" t="s">
        <v>1680</v>
      </c>
      <c r="C38" s="52" t="s">
        <v>1681</v>
      </c>
      <c r="D38" s="52" t="s">
        <v>274</v>
      </c>
      <c r="E38" s="52" t="s">
        <v>1682</v>
      </c>
      <c r="F38" s="52" t="s">
        <v>842</v>
      </c>
      <c r="G38" s="52" t="s">
        <v>1683</v>
      </c>
      <c r="H38" s="52" t="s">
        <v>1129</v>
      </c>
      <c r="I38" s="52" t="s">
        <v>1684</v>
      </c>
      <c r="J38" s="52" t="s">
        <v>1685</v>
      </c>
      <c r="K38" s="52" t="s">
        <v>1028</v>
      </c>
    </row>
    <row r="39" ht="22.5" customHeight="1">
      <c r="A39" s="48">
        <v>46069.0</v>
      </c>
      <c r="B39" s="49" t="s">
        <v>807</v>
      </c>
      <c r="C39" s="49" t="s">
        <v>2245</v>
      </c>
      <c r="D39" s="22" t="s">
        <v>971</v>
      </c>
      <c r="E39" s="22" t="s">
        <v>959</v>
      </c>
      <c r="F39" s="22" t="s">
        <v>808</v>
      </c>
      <c r="G39" s="22" t="s">
        <v>2246</v>
      </c>
      <c r="H39" s="49" t="s">
        <v>1025</v>
      </c>
      <c r="I39" s="49" t="s">
        <v>2247</v>
      </c>
      <c r="J39" s="49" t="s">
        <v>2248</v>
      </c>
      <c r="K39" s="49" t="s">
        <v>1028</v>
      </c>
      <c r="L39" s="49"/>
      <c r="M39" s="37"/>
      <c r="N39" s="37"/>
      <c r="O39" s="37"/>
      <c r="P39" s="37"/>
      <c r="Q39" s="37"/>
      <c r="R39" s="37"/>
      <c r="S39" s="37"/>
      <c r="T39" s="37"/>
      <c r="U39" s="37"/>
      <c r="V39" s="37"/>
    </row>
    <row r="40" ht="22.5" customHeight="1">
      <c r="A40" s="48">
        <v>46069.0</v>
      </c>
      <c r="B40" s="49" t="s">
        <v>1650</v>
      </c>
      <c r="C40" s="49" t="s">
        <v>1652</v>
      </c>
      <c r="D40" s="49" t="s">
        <v>971</v>
      </c>
      <c r="E40" s="49" t="s">
        <v>874</v>
      </c>
      <c r="F40" s="49" t="s">
        <v>1651</v>
      </c>
      <c r="G40" s="49" t="s">
        <v>1654</v>
      </c>
      <c r="H40" s="49" t="s">
        <v>1178</v>
      </c>
      <c r="I40" s="49"/>
      <c r="J40" s="49" t="s">
        <v>1655</v>
      </c>
      <c r="K40" s="49" t="s">
        <v>1028</v>
      </c>
      <c r="L40" s="49"/>
      <c r="M40" s="37"/>
      <c r="N40" s="37"/>
      <c r="O40" s="37"/>
      <c r="P40" s="37"/>
      <c r="Q40" s="37"/>
      <c r="R40" s="37"/>
      <c r="S40" s="37"/>
      <c r="T40" s="37"/>
      <c r="U40" s="37"/>
      <c r="V40" s="37"/>
    </row>
    <row r="41" ht="22.5" customHeight="1">
      <c r="A41" s="48">
        <v>46069.0</v>
      </c>
      <c r="B41" s="49" t="s">
        <v>2249</v>
      </c>
      <c r="C41" s="49" t="s">
        <v>2250</v>
      </c>
      <c r="D41" s="49" t="s">
        <v>971</v>
      </c>
      <c r="E41" s="49" t="s">
        <v>2251</v>
      </c>
      <c r="F41" s="49" t="s">
        <v>2252</v>
      </c>
      <c r="G41" s="49" t="s">
        <v>2253</v>
      </c>
      <c r="H41" s="49" t="s">
        <v>1057</v>
      </c>
      <c r="I41" s="49" t="s">
        <v>2254</v>
      </c>
      <c r="J41" s="49" t="s">
        <v>2255</v>
      </c>
      <c r="K41" s="49" t="s">
        <v>1028</v>
      </c>
      <c r="L41" s="37"/>
      <c r="M41" s="37"/>
      <c r="N41" s="37"/>
      <c r="O41" s="37"/>
      <c r="P41" s="37"/>
      <c r="Q41" s="37"/>
      <c r="R41" s="37"/>
      <c r="S41" s="37"/>
      <c r="T41" s="37"/>
      <c r="U41" s="37"/>
      <c r="V41" s="37"/>
    </row>
    <row r="42" ht="22.5" customHeight="1">
      <c r="A42" s="48">
        <v>46069.0</v>
      </c>
      <c r="B42" s="49" t="s">
        <v>1760</v>
      </c>
      <c r="C42" s="49" t="s">
        <v>2256</v>
      </c>
      <c r="D42" s="49" t="s">
        <v>969</v>
      </c>
      <c r="E42" s="49" t="s">
        <v>2257</v>
      </c>
      <c r="F42" s="49" t="s">
        <v>1761</v>
      </c>
      <c r="G42" s="49" t="s">
        <v>1764</v>
      </c>
      <c r="H42" s="49" t="s">
        <v>1025</v>
      </c>
      <c r="I42" s="49" t="s">
        <v>1130</v>
      </c>
      <c r="J42" s="49" t="s">
        <v>1765</v>
      </c>
      <c r="K42" s="49" t="s">
        <v>945</v>
      </c>
      <c r="L42" s="37"/>
      <c r="M42" s="37"/>
      <c r="N42" s="37"/>
      <c r="O42" s="37"/>
      <c r="P42" s="37"/>
      <c r="Q42" s="37"/>
      <c r="R42" s="37"/>
      <c r="S42" s="37"/>
      <c r="T42" s="37"/>
      <c r="U42" s="37"/>
      <c r="V42" s="37"/>
    </row>
    <row r="43" ht="22.5" customHeight="1">
      <c r="A43" s="48">
        <v>46069.0</v>
      </c>
      <c r="B43" s="49" t="s">
        <v>1754</v>
      </c>
      <c r="C43" s="49" t="s">
        <v>1756</v>
      </c>
      <c r="D43" s="49" t="s">
        <v>971</v>
      </c>
      <c r="E43" s="49" t="s">
        <v>1144</v>
      </c>
      <c r="F43" s="49" t="s">
        <v>1755</v>
      </c>
      <c r="G43" s="49" t="s">
        <v>1757</v>
      </c>
      <c r="H43" s="49" t="s">
        <v>1129</v>
      </c>
      <c r="I43" s="49" t="s">
        <v>1758</v>
      </c>
      <c r="J43" s="49" t="s">
        <v>1759</v>
      </c>
      <c r="K43" s="49" t="s">
        <v>1028</v>
      </c>
      <c r="L43" s="49"/>
      <c r="M43" s="37"/>
      <c r="N43" s="37"/>
      <c r="O43" s="37"/>
      <c r="P43" s="37"/>
      <c r="Q43" s="37"/>
      <c r="R43" s="37"/>
      <c r="S43" s="37"/>
      <c r="T43" s="37"/>
      <c r="U43" s="37"/>
      <c r="V43" s="37"/>
    </row>
    <row r="44" ht="22.5" customHeight="1">
      <c r="A44" s="48">
        <v>46070.0</v>
      </c>
      <c r="B44" s="49" t="s">
        <v>2258</v>
      </c>
      <c r="C44" s="49" t="s">
        <v>2259</v>
      </c>
      <c r="D44" s="49" t="s">
        <v>971</v>
      </c>
      <c r="E44" s="49" t="s">
        <v>2260</v>
      </c>
      <c r="F44" s="49" t="s">
        <v>1886</v>
      </c>
      <c r="G44" s="49" t="s">
        <v>2261</v>
      </c>
      <c r="H44" s="49" t="s">
        <v>1025</v>
      </c>
      <c r="I44" s="49" t="s">
        <v>1238</v>
      </c>
      <c r="J44" s="49" t="s">
        <v>2262</v>
      </c>
      <c r="K44" s="49" t="s">
        <v>1028</v>
      </c>
      <c r="L44" s="49"/>
      <c r="M44" s="37"/>
      <c r="N44" s="37"/>
      <c r="O44" s="37"/>
      <c r="P44" s="37"/>
      <c r="Q44" s="37"/>
      <c r="R44" s="37"/>
      <c r="S44" s="37"/>
      <c r="T44" s="37"/>
      <c r="U44" s="37"/>
      <c r="V44" s="37"/>
    </row>
    <row r="45" ht="22.5" customHeight="1">
      <c r="A45" s="48">
        <v>46070.0</v>
      </c>
      <c r="B45" s="49" t="s">
        <v>88</v>
      </c>
      <c r="C45" s="49" t="s">
        <v>2263</v>
      </c>
      <c r="D45" s="49" t="s">
        <v>971</v>
      </c>
      <c r="E45" s="49" t="s">
        <v>2264</v>
      </c>
      <c r="F45" s="49" t="s">
        <v>2265</v>
      </c>
      <c r="G45" s="49" t="s">
        <v>2266</v>
      </c>
      <c r="H45" s="49" t="s">
        <v>1025</v>
      </c>
      <c r="I45" s="49" t="s">
        <v>2267</v>
      </c>
      <c r="J45" s="49" t="s">
        <v>2268</v>
      </c>
      <c r="K45" s="49" t="s">
        <v>1028</v>
      </c>
      <c r="L45" s="49"/>
      <c r="M45" s="37"/>
      <c r="N45" s="37"/>
      <c r="O45" s="37"/>
      <c r="P45" s="37"/>
      <c r="Q45" s="37"/>
      <c r="R45" s="37"/>
      <c r="S45" s="37"/>
      <c r="T45" s="37"/>
      <c r="U45" s="37"/>
      <c r="V45" s="37"/>
    </row>
    <row r="46" ht="22.5" customHeight="1">
      <c r="A46" s="48">
        <v>46070.0</v>
      </c>
      <c r="B46" s="49" t="s">
        <v>2269</v>
      </c>
      <c r="C46" s="49" t="s">
        <v>2270</v>
      </c>
      <c r="D46" s="49" t="s">
        <v>971</v>
      </c>
      <c r="E46" s="49" t="s">
        <v>1087</v>
      </c>
      <c r="F46" s="49" t="s">
        <v>424</v>
      </c>
      <c r="G46" s="49" t="s">
        <v>2271</v>
      </c>
      <c r="H46" s="49" t="s">
        <v>1025</v>
      </c>
      <c r="I46" s="49" t="s">
        <v>2272</v>
      </c>
      <c r="J46" s="49" t="s">
        <v>2273</v>
      </c>
      <c r="K46" s="49" t="s">
        <v>1028</v>
      </c>
      <c r="L46" s="37"/>
      <c r="M46" s="37"/>
      <c r="N46" s="37"/>
      <c r="O46" s="37"/>
      <c r="P46" s="37"/>
      <c r="Q46" s="37"/>
      <c r="R46" s="37"/>
      <c r="S46" s="37"/>
      <c r="T46" s="37"/>
      <c r="U46" s="37"/>
      <c r="V46" s="37"/>
    </row>
    <row r="47" ht="22.5" customHeight="1">
      <c r="A47" s="48">
        <v>46070.0</v>
      </c>
      <c r="B47" s="49" t="s">
        <v>2269</v>
      </c>
      <c r="C47" s="49" t="s">
        <v>2274</v>
      </c>
      <c r="D47" s="49" t="s">
        <v>971</v>
      </c>
      <c r="E47" s="49" t="s">
        <v>1087</v>
      </c>
      <c r="F47" s="49" t="s">
        <v>424</v>
      </c>
      <c r="G47" s="49" t="s">
        <v>2275</v>
      </c>
      <c r="H47" s="49" t="s">
        <v>1025</v>
      </c>
      <c r="I47" s="49" t="s">
        <v>2272</v>
      </c>
      <c r="J47" s="49" t="s">
        <v>2273</v>
      </c>
      <c r="K47" s="49" t="s">
        <v>1028</v>
      </c>
      <c r="L47" s="37"/>
      <c r="M47" s="37"/>
      <c r="N47" s="37"/>
      <c r="O47" s="37"/>
      <c r="P47" s="37"/>
      <c r="Q47" s="37"/>
      <c r="R47" s="37"/>
      <c r="S47" s="37"/>
      <c r="T47" s="37"/>
      <c r="U47" s="37"/>
      <c r="V47" s="37"/>
    </row>
    <row r="48" ht="22.5" customHeight="1">
      <c r="A48" s="51">
        <v>46070.0</v>
      </c>
      <c r="B48" s="52" t="s">
        <v>2276</v>
      </c>
      <c r="C48" s="52" t="s">
        <v>2277</v>
      </c>
      <c r="D48" s="52" t="s">
        <v>969</v>
      </c>
      <c r="E48" s="52" t="s">
        <v>1077</v>
      </c>
      <c r="F48" s="53" t="s">
        <v>394</v>
      </c>
      <c r="G48" s="52" t="s">
        <v>2145</v>
      </c>
      <c r="H48" s="52" t="s">
        <v>1088</v>
      </c>
      <c r="I48" s="52" t="s">
        <v>2278</v>
      </c>
      <c r="J48" s="52" t="s">
        <v>2279</v>
      </c>
      <c r="K48" s="52" t="s">
        <v>1028</v>
      </c>
      <c r="L48" s="52" t="s">
        <v>945</v>
      </c>
    </row>
    <row r="49" ht="22.5" customHeight="1">
      <c r="A49" s="48">
        <v>46070.0</v>
      </c>
      <c r="B49" s="49" t="s">
        <v>2280</v>
      </c>
      <c r="C49" s="49" t="s">
        <v>1961</v>
      </c>
      <c r="D49" s="49" t="s">
        <v>971</v>
      </c>
      <c r="E49" s="49" t="s">
        <v>2281</v>
      </c>
      <c r="F49" s="49" t="s">
        <v>1477</v>
      </c>
      <c r="G49" s="49" t="s">
        <v>1483</v>
      </c>
      <c r="H49" s="49" t="s">
        <v>1178</v>
      </c>
      <c r="I49" s="49" t="s">
        <v>1480</v>
      </c>
      <c r="J49" s="49" t="s">
        <v>1486</v>
      </c>
      <c r="K49" s="49" t="s">
        <v>1028</v>
      </c>
      <c r="L49" s="37"/>
      <c r="M49" s="37"/>
      <c r="N49" s="37"/>
      <c r="O49" s="37"/>
      <c r="P49" s="37"/>
      <c r="Q49" s="37"/>
      <c r="R49" s="37"/>
      <c r="S49" s="37"/>
      <c r="T49" s="37"/>
      <c r="U49" s="37"/>
      <c r="V49" s="37"/>
    </row>
    <row r="50">
      <c r="A50" s="48">
        <v>46070.0</v>
      </c>
      <c r="B50" s="49" t="s">
        <v>2282</v>
      </c>
      <c r="C50" s="49" t="s">
        <v>2283</v>
      </c>
      <c r="D50" s="49" t="s">
        <v>969</v>
      </c>
      <c r="E50" s="49" t="s">
        <v>2284</v>
      </c>
      <c r="F50" s="49" t="s">
        <v>2285</v>
      </c>
      <c r="G50" s="49" t="s">
        <v>2286</v>
      </c>
      <c r="H50" s="49" t="s">
        <v>1088</v>
      </c>
      <c r="I50" s="49" t="s">
        <v>2287</v>
      </c>
      <c r="J50" s="49" t="s">
        <v>2288</v>
      </c>
      <c r="K50" s="49" t="s">
        <v>1028</v>
      </c>
      <c r="L50" s="49"/>
      <c r="M50" s="37"/>
      <c r="N50" s="37"/>
      <c r="O50" s="37"/>
      <c r="P50" s="37"/>
      <c r="Q50" s="37"/>
      <c r="R50" s="37"/>
      <c r="S50" s="37"/>
      <c r="T50" s="37"/>
      <c r="U50" s="37"/>
      <c r="V50" s="37"/>
    </row>
    <row r="51" ht="22.5" customHeight="1">
      <c r="A51" s="48">
        <v>46070.0</v>
      </c>
      <c r="B51" s="49" t="s">
        <v>2113</v>
      </c>
      <c r="C51" s="49" t="s">
        <v>2289</v>
      </c>
      <c r="D51" s="49" t="s">
        <v>971</v>
      </c>
      <c r="E51" s="49" t="s">
        <v>2290</v>
      </c>
      <c r="F51" s="49" t="s">
        <v>1968</v>
      </c>
      <c r="G51" s="49" t="s">
        <v>2291</v>
      </c>
      <c r="H51" s="49" t="s">
        <v>1057</v>
      </c>
      <c r="I51" s="49" t="s">
        <v>1971</v>
      </c>
      <c r="J51" s="49" t="s">
        <v>2292</v>
      </c>
      <c r="K51" s="49" t="s">
        <v>1028</v>
      </c>
      <c r="L51" s="49" t="s">
        <v>945</v>
      </c>
      <c r="M51" s="37"/>
      <c r="N51" s="37"/>
      <c r="O51" s="37"/>
      <c r="P51" s="37"/>
      <c r="Q51" s="37"/>
      <c r="R51" s="37"/>
      <c r="S51" s="37"/>
      <c r="T51" s="37"/>
      <c r="U51" s="37"/>
      <c r="V51" s="37"/>
    </row>
    <row r="52" ht="22.5" customHeight="1">
      <c r="A52" s="48">
        <v>46070.0</v>
      </c>
      <c r="B52" s="49" t="s">
        <v>2293</v>
      </c>
      <c r="C52" s="49" t="s">
        <v>2294</v>
      </c>
      <c r="D52" s="49" t="s">
        <v>971</v>
      </c>
      <c r="E52" s="49" t="s">
        <v>2295</v>
      </c>
      <c r="F52" s="49" t="s">
        <v>2296</v>
      </c>
      <c r="G52" s="49" t="s">
        <v>2297</v>
      </c>
      <c r="H52" s="49" t="s">
        <v>1025</v>
      </c>
      <c r="I52" s="49" t="s">
        <v>2298</v>
      </c>
      <c r="J52" s="49" t="s">
        <v>2299</v>
      </c>
      <c r="K52" s="49" t="s">
        <v>1028</v>
      </c>
      <c r="L52" s="49"/>
      <c r="M52" s="37"/>
      <c r="N52" s="37"/>
      <c r="O52" s="37"/>
      <c r="P52" s="37"/>
      <c r="Q52" s="37"/>
      <c r="R52" s="37"/>
      <c r="S52" s="37"/>
      <c r="T52" s="37"/>
      <c r="U52" s="37"/>
      <c r="V52" s="37"/>
    </row>
    <row r="53" ht="22.5" customHeight="1">
      <c r="A53" s="48">
        <v>46070.0</v>
      </c>
      <c r="B53" s="49" t="s">
        <v>2095</v>
      </c>
      <c r="C53" s="49" t="s">
        <v>2300</v>
      </c>
      <c r="D53" s="49" t="s">
        <v>969</v>
      </c>
      <c r="E53" s="49" t="s">
        <v>878</v>
      </c>
      <c r="F53" s="49" t="s">
        <v>917</v>
      </c>
      <c r="G53" s="49" t="s">
        <v>2301</v>
      </c>
      <c r="H53" s="49" t="s">
        <v>1063</v>
      </c>
      <c r="I53" s="49" t="s">
        <v>2098</v>
      </c>
      <c r="J53" s="49" t="s">
        <v>2099</v>
      </c>
      <c r="K53" s="49" t="s">
        <v>1028</v>
      </c>
      <c r="L53" s="49" t="s">
        <v>945</v>
      </c>
      <c r="M53" s="37"/>
      <c r="N53" s="37"/>
      <c r="O53" s="37"/>
      <c r="P53" s="37"/>
      <c r="Q53" s="37"/>
      <c r="R53" s="37"/>
      <c r="S53" s="37"/>
      <c r="T53" s="37"/>
      <c r="U53" s="37"/>
      <c r="V53" s="37"/>
    </row>
    <row r="54" ht="22.5" customHeight="1">
      <c r="A54" s="48">
        <v>46070.0</v>
      </c>
      <c r="B54" s="49" t="s">
        <v>2302</v>
      </c>
      <c r="C54" s="49" t="s">
        <v>2303</v>
      </c>
      <c r="D54" s="49" t="s">
        <v>971</v>
      </c>
      <c r="E54" s="49" t="s">
        <v>2304</v>
      </c>
      <c r="F54" s="49" t="s">
        <v>2305</v>
      </c>
      <c r="G54" s="49" t="s">
        <v>2306</v>
      </c>
      <c r="H54" s="49" t="s">
        <v>1088</v>
      </c>
      <c r="I54" s="49" t="s">
        <v>2307</v>
      </c>
      <c r="J54" s="49" t="s">
        <v>2308</v>
      </c>
      <c r="K54" s="49" t="s">
        <v>1028</v>
      </c>
      <c r="L54" s="49" t="s">
        <v>945</v>
      </c>
      <c r="M54" s="37"/>
      <c r="N54" s="37"/>
      <c r="O54" s="37"/>
      <c r="P54" s="37"/>
      <c r="Q54" s="37"/>
      <c r="R54" s="37"/>
      <c r="S54" s="37"/>
      <c r="T54" s="37"/>
      <c r="U54" s="37"/>
      <c r="V54" s="37"/>
    </row>
    <row r="55" ht="22.5" customHeight="1">
      <c r="A55" s="48">
        <v>46070.0</v>
      </c>
      <c r="B55" s="49" t="s">
        <v>2309</v>
      </c>
      <c r="C55" s="49" t="s">
        <v>2310</v>
      </c>
      <c r="D55" s="49" t="s">
        <v>971</v>
      </c>
      <c r="E55" s="49" t="s">
        <v>1077</v>
      </c>
      <c r="F55" s="49" t="s">
        <v>2311</v>
      </c>
      <c r="G55" s="49" t="s">
        <v>2312</v>
      </c>
      <c r="H55" s="49" t="s">
        <v>1025</v>
      </c>
      <c r="I55" s="49" t="s">
        <v>2313</v>
      </c>
      <c r="J55" s="49" t="s">
        <v>2314</v>
      </c>
      <c r="K55" s="49" t="s">
        <v>1028</v>
      </c>
      <c r="L55" s="37"/>
      <c r="M55" s="37"/>
      <c r="N55" s="37"/>
      <c r="O55" s="37"/>
      <c r="P55" s="37"/>
      <c r="Q55" s="37"/>
      <c r="R55" s="37"/>
      <c r="S55" s="37"/>
      <c r="T55" s="37"/>
      <c r="U55" s="37"/>
      <c r="V55" s="37"/>
    </row>
    <row r="56" ht="22.5" customHeight="1">
      <c r="A56" s="51">
        <v>46070.0</v>
      </c>
      <c r="B56" s="52" t="s">
        <v>2088</v>
      </c>
      <c r="C56" s="52" t="s">
        <v>2089</v>
      </c>
      <c r="D56" s="52" t="s">
        <v>969</v>
      </c>
      <c r="E56" s="52" t="s">
        <v>2090</v>
      </c>
      <c r="F56" s="52" t="s">
        <v>2091</v>
      </c>
      <c r="G56" s="52" t="s">
        <v>2092</v>
      </c>
      <c r="H56" s="52" t="s">
        <v>1107</v>
      </c>
      <c r="I56" s="52" t="s">
        <v>2093</v>
      </c>
      <c r="J56" s="52" t="s">
        <v>2094</v>
      </c>
      <c r="K56" s="52" t="s">
        <v>1028</v>
      </c>
      <c r="M56" s="37"/>
      <c r="N56" s="37"/>
      <c r="O56" s="37"/>
      <c r="P56" s="37"/>
      <c r="Q56" s="37"/>
      <c r="R56" s="37"/>
      <c r="S56" s="37"/>
      <c r="T56" s="37"/>
      <c r="U56" s="37"/>
      <c r="V56" s="37"/>
    </row>
    <row r="57">
      <c r="A57" s="51">
        <v>46070.0</v>
      </c>
      <c r="B57" s="52" t="s">
        <v>2113</v>
      </c>
      <c r="C57" s="52" t="s">
        <v>2114</v>
      </c>
      <c r="D57" s="52" t="s">
        <v>971</v>
      </c>
      <c r="E57" s="52" t="s">
        <v>2115</v>
      </c>
      <c r="F57" s="52" t="s">
        <v>1968</v>
      </c>
      <c r="G57" s="52" t="s">
        <v>1808</v>
      </c>
      <c r="H57" s="52" t="s">
        <v>1057</v>
      </c>
      <c r="I57" s="52" t="s">
        <v>1971</v>
      </c>
      <c r="J57" s="52" t="s">
        <v>2116</v>
      </c>
      <c r="K57" s="52" t="s">
        <v>1028</v>
      </c>
      <c r="L57" s="52" t="s">
        <v>945</v>
      </c>
      <c r="M57" s="37"/>
      <c r="N57" s="37"/>
      <c r="O57" s="37"/>
      <c r="P57" s="37"/>
      <c r="Q57" s="37"/>
      <c r="R57" s="37"/>
      <c r="S57" s="37"/>
      <c r="T57" s="37"/>
      <c r="U57" s="37"/>
      <c r="V57" s="37"/>
    </row>
    <row r="58">
      <c r="A58" s="48">
        <v>46070.0</v>
      </c>
      <c r="B58" s="49" t="s">
        <v>2106</v>
      </c>
      <c r="C58" s="49" t="s">
        <v>2315</v>
      </c>
      <c r="D58" s="49" t="s">
        <v>971</v>
      </c>
      <c r="E58" s="49" t="s">
        <v>1087</v>
      </c>
      <c r="F58" s="49" t="s">
        <v>2316</v>
      </c>
      <c r="G58" s="49" t="s">
        <v>1452</v>
      </c>
      <c r="H58" s="49" t="s">
        <v>1088</v>
      </c>
      <c r="I58" s="49" t="s">
        <v>2317</v>
      </c>
      <c r="J58" s="49" t="s">
        <v>2112</v>
      </c>
      <c r="K58" s="49" t="s">
        <v>1028</v>
      </c>
      <c r="L58" s="49"/>
      <c r="M58" s="37"/>
      <c r="N58" s="37"/>
      <c r="O58" s="37"/>
      <c r="P58" s="37"/>
      <c r="Q58" s="37"/>
      <c r="R58" s="37"/>
      <c r="S58" s="37"/>
      <c r="T58" s="37"/>
      <c r="U58" s="37"/>
      <c r="V58" s="37"/>
    </row>
    <row r="59">
      <c r="A59" s="48">
        <v>46070.0</v>
      </c>
      <c r="B59" s="49" t="s">
        <v>2282</v>
      </c>
      <c r="C59" s="49" t="s">
        <v>2318</v>
      </c>
      <c r="D59" s="49" t="s">
        <v>969</v>
      </c>
      <c r="E59" s="49" t="s">
        <v>2319</v>
      </c>
      <c r="F59" s="49" t="s">
        <v>2285</v>
      </c>
      <c r="G59" s="49" t="s">
        <v>2320</v>
      </c>
      <c r="H59" s="49" t="s">
        <v>1088</v>
      </c>
      <c r="I59" s="49" t="s">
        <v>2287</v>
      </c>
      <c r="J59" s="49" t="s">
        <v>2321</v>
      </c>
      <c r="K59" s="49" t="s">
        <v>1028</v>
      </c>
      <c r="L59" s="49"/>
      <c r="M59" s="37"/>
      <c r="N59" s="37"/>
      <c r="O59" s="37"/>
      <c r="P59" s="37"/>
      <c r="Q59" s="37"/>
      <c r="R59" s="37"/>
      <c r="S59" s="37"/>
      <c r="T59" s="37"/>
      <c r="U59" s="37"/>
      <c r="V59" s="37"/>
    </row>
    <row r="60">
      <c r="A60" s="48">
        <v>46070.0</v>
      </c>
      <c r="B60" s="49" t="s">
        <v>2322</v>
      </c>
      <c r="C60" s="49" t="s">
        <v>2323</v>
      </c>
      <c r="D60" s="49" t="s">
        <v>969</v>
      </c>
      <c r="E60" s="49" t="s">
        <v>2324</v>
      </c>
      <c r="F60" s="49" t="s">
        <v>2325</v>
      </c>
      <c r="G60" s="49" t="s">
        <v>2326</v>
      </c>
      <c r="H60" s="49" t="s">
        <v>1088</v>
      </c>
      <c r="I60" s="49" t="s">
        <v>1684</v>
      </c>
      <c r="J60" s="49" t="s">
        <v>2327</v>
      </c>
      <c r="K60" s="49" t="s">
        <v>1028</v>
      </c>
      <c r="L60" s="49"/>
      <c r="M60" s="37"/>
      <c r="N60" s="37"/>
      <c r="O60" s="37"/>
      <c r="P60" s="37"/>
      <c r="Q60" s="37"/>
      <c r="R60" s="37"/>
      <c r="S60" s="37"/>
      <c r="T60" s="37"/>
      <c r="U60" s="37"/>
      <c r="V60" s="37"/>
    </row>
    <row r="61" ht="22.5" customHeight="1">
      <c r="A61" s="48">
        <v>46070.0</v>
      </c>
      <c r="B61" s="49" t="s">
        <v>2328</v>
      </c>
      <c r="C61" s="49" t="s">
        <v>2329</v>
      </c>
      <c r="D61" s="49" t="s">
        <v>971</v>
      </c>
      <c r="E61" s="49" t="s">
        <v>2330</v>
      </c>
      <c r="F61" s="49" t="s">
        <v>2331</v>
      </c>
      <c r="G61" s="49" t="s">
        <v>2332</v>
      </c>
      <c r="H61" s="49" t="s">
        <v>1025</v>
      </c>
      <c r="I61" s="49"/>
      <c r="J61" s="49" t="s">
        <v>2333</v>
      </c>
      <c r="K61" s="49" t="s">
        <v>1028</v>
      </c>
      <c r="L61" s="49"/>
      <c r="M61" s="37"/>
      <c r="N61" s="37"/>
      <c r="O61" s="37"/>
      <c r="P61" s="37"/>
      <c r="Q61" s="37"/>
      <c r="R61" s="37"/>
      <c r="S61" s="37"/>
      <c r="T61" s="37"/>
      <c r="U61" s="37"/>
      <c r="V61" s="37"/>
    </row>
    <row r="62" ht="22.5" customHeight="1">
      <c r="A62" s="48">
        <v>46070.0</v>
      </c>
      <c r="B62" s="49" t="s">
        <v>2334</v>
      </c>
      <c r="C62" s="49" t="s">
        <v>2335</v>
      </c>
      <c r="D62" s="49" t="s">
        <v>971</v>
      </c>
      <c r="E62" s="49" t="s">
        <v>1112</v>
      </c>
      <c r="F62" s="49" t="s">
        <v>2336</v>
      </c>
      <c r="G62" s="49" t="s">
        <v>2337</v>
      </c>
      <c r="H62" s="49" t="s">
        <v>1063</v>
      </c>
      <c r="I62" s="49" t="s">
        <v>2338</v>
      </c>
      <c r="J62" s="49" t="s">
        <v>2339</v>
      </c>
      <c r="K62" s="49" t="s">
        <v>1028</v>
      </c>
      <c r="L62" s="49"/>
      <c r="M62" s="37"/>
      <c r="N62" s="37"/>
      <c r="O62" s="37"/>
      <c r="P62" s="37"/>
      <c r="Q62" s="37"/>
      <c r="R62" s="37"/>
      <c r="S62" s="37"/>
      <c r="T62" s="37"/>
      <c r="U62" s="37"/>
      <c r="V62" s="37"/>
    </row>
    <row r="63" ht="22.5" customHeight="1">
      <c r="A63" s="48">
        <v>46070.0</v>
      </c>
      <c r="B63" s="49" t="s">
        <v>2258</v>
      </c>
      <c r="C63" s="49" t="s">
        <v>2340</v>
      </c>
      <c r="D63" s="49" t="s">
        <v>971</v>
      </c>
      <c r="E63" s="49" t="s">
        <v>874</v>
      </c>
      <c r="F63" s="49" t="s">
        <v>1886</v>
      </c>
      <c r="G63" s="49" t="s">
        <v>2341</v>
      </c>
      <c r="H63" s="49" t="s">
        <v>1025</v>
      </c>
      <c r="I63" s="49" t="s">
        <v>1238</v>
      </c>
      <c r="J63" s="49" t="s">
        <v>2262</v>
      </c>
      <c r="K63" s="49" t="s">
        <v>1028</v>
      </c>
      <c r="L63" s="37"/>
      <c r="M63" s="37"/>
      <c r="N63" s="37"/>
      <c r="O63" s="37"/>
      <c r="P63" s="37"/>
      <c r="Q63" s="37"/>
      <c r="R63" s="37"/>
      <c r="S63" s="37"/>
      <c r="T63" s="37"/>
      <c r="U63" s="37"/>
      <c r="V63" s="37"/>
    </row>
    <row r="64">
      <c r="A64" s="48">
        <v>46070.0</v>
      </c>
      <c r="B64" s="49" t="s">
        <v>2106</v>
      </c>
      <c r="C64" s="49" t="s">
        <v>2107</v>
      </c>
      <c r="D64" s="49" t="s">
        <v>971</v>
      </c>
      <c r="E64" s="49" t="s">
        <v>1087</v>
      </c>
      <c r="F64" s="49" t="s">
        <v>2109</v>
      </c>
      <c r="G64" s="49" t="s">
        <v>1452</v>
      </c>
      <c r="H64" s="49" t="s">
        <v>1088</v>
      </c>
      <c r="I64" s="49" t="s">
        <v>2111</v>
      </c>
      <c r="J64" s="49" t="s">
        <v>2112</v>
      </c>
      <c r="K64" s="49" t="s">
        <v>1028</v>
      </c>
      <c r="L64" s="49"/>
      <c r="M64" s="37"/>
      <c r="N64" s="37"/>
      <c r="O64" s="37"/>
      <c r="P64" s="37"/>
      <c r="Q64" s="37"/>
      <c r="R64" s="37"/>
      <c r="S64" s="37"/>
      <c r="T64" s="37"/>
      <c r="U64" s="37"/>
      <c r="V64" s="37"/>
    </row>
    <row r="65" ht="22.5" customHeight="1">
      <c r="A65" s="48">
        <v>46070.0</v>
      </c>
      <c r="B65" s="49" t="s">
        <v>2342</v>
      </c>
      <c r="C65" s="49" t="s">
        <v>2343</v>
      </c>
      <c r="D65" s="49" t="s">
        <v>969</v>
      </c>
      <c r="E65" s="49" t="s">
        <v>1093</v>
      </c>
      <c r="F65" s="49" t="s">
        <v>2344</v>
      </c>
      <c r="G65" s="49" t="s">
        <v>2345</v>
      </c>
      <c r="H65" s="49" t="s">
        <v>1088</v>
      </c>
      <c r="I65" s="49" t="s">
        <v>2346</v>
      </c>
      <c r="J65" s="49" t="s">
        <v>2347</v>
      </c>
      <c r="K65" s="49" t="s">
        <v>1028</v>
      </c>
      <c r="L65" s="49" t="s">
        <v>945</v>
      </c>
      <c r="M65" s="37"/>
      <c r="N65" s="37"/>
      <c r="O65" s="37"/>
      <c r="P65" s="37"/>
      <c r="Q65" s="37"/>
      <c r="R65" s="37"/>
      <c r="S65" s="37"/>
      <c r="T65" s="37"/>
      <c r="U65" s="37"/>
      <c r="V65" s="37"/>
    </row>
    <row r="66" ht="22.5" customHeight="1">
      <c r="A66" s="48">
        <v>46070.0</v>
      </c>
      <c r="B66" s="49" t="s">
        <v>2117</v>
      </c>
      <c r="C66" s="49" t="s">
        <v>2118</v>
      </c>
      <c r="D66" s="49" t="s">
        <v>971</v>
      </c>
      <c r="E66" s="49" t="s">
        <v>2119</v>
      </c>
      <c r="F66" s="49" t="s">
        <v>2120</v>
      </c>
      <c r="G66" s="49" t="s">
        <v>2348</v>
      </c>
      <c r="H66" s="49" t="s">
        <v>1207</v>
      </c>
      <c r="I66" s="49" t="s">
        <v>2122</v>
      </c>
      <c r="J66" s="49" t="s">
        <v>2123</v>
      </c>
      <c r="K66" s="49" t="s">
        <v>1028</v>
      </c>
      <c r="L66" s="37"/>
      <c r="M66" s="37"/>
      <c r="N66" s="37"/>
      <c r="O66" s="37"/>
      <c r="P66" s="37"/>
      <c r="Q66" s="37"/>
      <c r="R66" s="37"/>
      <c r="S66" s="37"/>
      <c r="T66" s="37"/>
      <c r="U66" s="37"/>
      <c r="V66" s="37"/>
    </row>
    <row r="67" ht="22.5" customHeight="1">
      <c r="A67" s="21">
        <v>46070.0</v>
      </c>
      <c r="B67" s="22" t="s">
        <v>2106</v>
      </c>
      <c r="C67" s="22" t="s">
        <v>2349</v>
      </c>
      <c r="D67" s="22" t="s">
        <v>971</v>
      </c>
      <c r="E67" s="22" t="s">
        <v>2350</v>
      </c>
      <c r="F67" s="22" t="s">
        <v>2109</v>
      </c>
      <c r="G67" s="22" t="s">
        <v>2110</v>
      </c>
      <c r="H67" s="22" t="s">
        <v>1088</v>
      </c>
      <c r="I67" s="22" t="s">
        <v>2111</v>
      </c>
      <c r="J67" s="22" t="s">
        <v>2112</v>
      </c>
      <c r="K67" s="22" t="s">
        <v>1028</v>
      </c>
      <c r="L67" s="22"/>
      <c r="M67" s="13"/>
      <c r="N67" s="37"/>
      <c r="O67" s="37"/>
      <c r="P67" s="37"/>
      <c r="Q67" s="37"/>
      <c r="R67" s="37"/>
      <c r="S67" s="37"/>
      <c r="T67" s="37"/>
      <c r="U67" s="37"/>
      <c r="V67" s="37"/>
    </row>
    <row r="68" ht="22.5" customHeight="1">
      <c r="A68" s="21">
        <v>46070.0</v>
      </c>
      <c r="B68" s="22" t="s">
        <v>2334</v>
      </c>
      <c r="C68" s="22" t="s">
        <v>2351</v>
      </c>
      <c r="D68" s="22" t="s">
        <v>971</v>
      </c>
      <c r="E68" s="22" t="s">
        <v>2352</v>
      </c>
      <c r="F68" s="22" t="s">
        <v>2336</v>
      </c>
      <c r="G68" s="22" t="s">
        <v>2353</v>
      </c>
      <c r="H68" s="22" t="s">
        <v>1063</v>
      </c>
      <c r="I68" s="22" t="s">
        <v>2338</v>
      </c>
      <c r="J68" s="22" t="s">
        <v>2339</v>
      </c>
      <c r="K68" s="22" t="s">
        <v>1028</v>
      </c>
      <c r="L68" s="13"/>
      <c r="M68" s="13"/>
      <c r="N68" s="37"/>
      <c r="O68" s="37"/>
      <c r="P68" s="37"/>
      <c r="Q68" s="37"/>
      <c r="R68" s="37"/>
      <c r="S68" s="37"/>
      <c r="T68" s="37"/>
      <c r="U68" s="37"/>
      <c r="V68" s="37"/>
    </row>
    <row r="69" ht="22.5" customHeight="1">
      <c r="A69" s="21">
        <v>46070.0</v>
      </c>
      <c r="B69" s="22" t="s">
        <v>2354</v>
      </c>
      <c r="C69" s="22" t="s">
        <v>2355</v>
      </c>
      <c r="D69" s="22" t="s">
        <v>971</v>
      </c>
      <c r="E69" s="22" t="s">
        <v>2356</v>
      </c>
      <c r="F69" s="22" t="s">
        <v>2357</v>
      </c>
      <c r="G69" s="22" t="s">
        <v>2358</v>
      </c>
      <c r="H69" s="22" t="s">
        <v>1025</v>
      </c>
      <c r="I69" s="22" t="s">
        <v>2359</v>
      </c>
      <c r="J69" s="22" t="s">
        <v>2360</v>
      </c>
      <c r="K69" s="22" t="s">
        <v>1028</v>
      </c>
      <c r="L69" s="22"/>
      <c r="M69" s="13"/>
      <c r="N69" s="37"/>
      <c r="O69" s="37"/>
      <c r="P69" s="37"/>
      <c r="Q69" s="37"/>
      <c r="R69" s="37"/>
      <c r="S69" s="37"/>
      <c r="T69" s="37"/>
      <c r="U69" s="37"/>
      <c r="V69" s="37"/>
    </row>
    <row r="70" ht="22.5" customHeight="1">
      <c r="A70" s="21">
        <v>46070.0</v>
      </c>
      <c r="B70" s="22" t="s">
        <v>2006</v>
      </c>
      <c r="C70" s="22" t="s">
        <v>2361</v>
      </c>
      <c r="D70" s="22" t="s">
        <v>971</v>
      </c>
      <c r="E70" s="22" t="s">
        <v>2009</v>
      </c>
      <c r="F70" s="22" t="s">
        <v>2362</v>
      </c>
      <c r="G70" s="22" t="s">
        <v>2363</v>
      </c>
      <c r="H70" s="22" t="s">
        <v>1107</v>
      </c>
      <c r="I70" s="22" t="s">
        <v>2364</v>
      </c>
      <c r="J70" s="22" t="s">
        <v>2365</v>
      </c>
      <c r="K70" s="22" t="s">
        <v>1028</v>
      </c>
      <c r="L70" s="22"/>
      <c r="M70" s="13"/>
      <c r="N70" s="37"/>
      <c r="O70" s="37"/>
      <c r="P70" s="37"/>
      <c r="Q70" s="37"/>
      <c r="R70" s="37"/>
      <c r="S70" s="37"/>
      <c r="T70" s="37"/>
      <c r="U70" s="37"/>
      <c r="V70" s="37"/>
    </row>
    <row r="71" ht="22.5" customHeight="1">
      <c r="A71" s="21">
        <v>46070.0</v>
      </c>
      <c r="B71" s="22" t="s">
        <v>2366</v>
      </c>
      <c r="C71" s="22" t="s">
        <v>2367</v>
      </c>
      <c r="D71" s="22" t="s">
        <v>969</v>
      </c>
      <c r="E71" s="22" t="s">
        <v>2215</v>
      </c>
      <c r="F71" s="22" t="s">
        <v>2368</v>
      </c>
      <c r="G71" s="22" t="s">
        <v>2369</v>
      </c>
      <c r="H71" s="22" t="s">
        <v>1063</v>
      </c>
      <c r="I71" s="22" t="s">
        <v>2370</v>
      </c>
      <c r="J71" s="22" t="s">
        <v>2371</v>
      </c>
      <c r="K71" s="22" t="s">
        <v>1028</v>
      </c>
      <c r="L71" s="22"/>
      <c r="M71" s="13"/>
      <c r="N71" s="37"/>
      <c r="O71" s="37"/>
      <c r="P71" s="37"/>
      <c r="Q71" s="37"/>
      <c r="R71" s="37"/>
      <c r="S71" s="37"/>
      <c r="T71" s="37"/>
      <c r="U71" s="37"/>
      <c r="V71" s="37"/>
    </row>
    <row r="72" ht="22.5" customHeight="1">
      <c r="A72" s="21">
        <v>46070.0</v>
      </c>
      <c r="B72" s="22" t="s">
        <v>2276</v>
      </c>
      <c r="C72" s="22" t="s">
        <v>2372</v>
      </c>
      <c r="D72" s="22" t="s">
        <v>274</v>
      </c>
      <c r="E72" s="22" t="s">
        <v>2373</v>
      </c>
      <c r="F72" s="24" t="s">
        <v>394</v>
      </c>
      <c r="G72" s="22" t="s">
        <v>2374</v>
      </c>
      <c r="H72" s="22" t="s">
        <v>1088</v>
      </c>
      <c r="I72" s="22" t="s">
        <v>2278</v>
      </c>
      <c r="J72" s="22" t="s">
        <v>2375</v>
      </c>
      <c r="K72" s="22" t="s">
        <v>1028</v>
      </c>
      <c r="L72" s="22" t="s">
        <v>945</v>
      </c>
      <c r="M72" s="13"/>
      <c r="N72" s="37"/>
      <c r="O72" s="37"/>
      <c r="P72" s="37"/>
      <c r="Q72" s="37"/>
      <c r="R72" s="37"/>
      <c r="S72" s="37"/>
      <c r="T72" s="37"/>
      <c r="U72" s="37"/>
      <c r="V72" s="37"/>
    </row>
    <row r="73" ht="22.5" customHeight="1">
      <c r="A73" s="21">
        <v>46070.0</v>
      </c>
      <c r="B73" s="22" t="s">
        <v>2376</v>
      </c>
      <c r="C73" s="22" t="s">
        <v>2377</v>
      </c>
      <c r="D73" s="22" t="s">
        <v>971</v>
      </c>
      <c r="E73" s="22" t="s">
        <v>2378</v>
      </c>
      <c r="F73" s="22" t="s">
        <v>2379</v>
      </c>
      <c r="G73" s="22" t="s">
        <v>2380</v>
      </c>
      <c r="H73" s="22" t="s">
        <v>1107</v>
      </c>
      <c r="I73" s="22"/>
      <c r="J73" s="22" t="s">
        <v>2381</v>
      </c>
      <c r="K73" s="22" t="s">
        <v>1028</v>
      </c>
      <c r="L73" s="13"/>
      <c r="M73" s="13"/>
      <c r="N73" s="37"/>
      <c r="O73" s="37"/>
      <c r="P73" s="37"/>
      <c r="Q73" s="37"/>
      <c r="R73" s="37"/>
      <c r="S73" s="37"/>
      <c r="T73" s="37"/>
      <c r="U73" s="37"/>
      <c r="V73" s="37"/>
    </row>
    <row r="74" ht="22.5" customHeight="1">
      <c r="A74" s="21">
        <v>46070.0</v>
      </c>
      <c r="B74" s="22" t="s">
        <v>2382</v>
      </c>
      <c r="C74" s="22" t="s">
        <v>2383</v>
      </c>
      <c r="D74" s="22" t="s">
        <v>969</v>
      </c>
      <c r="E74" s="22" t="s">
        <v>2384</v>
      </c>
      <c r="F74" s="22" t="s">
        <v>2385</v>
      </c>
      <c r="G74" s="22" t="s">
        <v>2386</v>
      </c>
      <c r="H74" s="22" t="s">
        <v>1207</v>
      </c>
      <c r="I74" s="22" t="s">
        <v>2387</v>
      </c>
      <c r="J74" s="22" t="s">
        <v>2388</v>
      </c>
      <c r="K74" s="22" t="s">
        <v>1028</v>
      </c>
      <c r="L74" s="22"/>
      <c r="M74" s="13"/>
      <c r="N74" s="37"/>
      <c r="O74" s="37"/>
      <c r="P74" s="37"/>
      <c r="Q74" s="37"/>
      <c r="R74" s="37"/>
      <c r="S74" s="37"/>
      <c r="T74" s="37"/>
      <c r="U74" s="37"/>
      <c r="V74" s="37"/>
    </row>
    <row r="75" ht="22.5" customHeight="1">
      <c r="A75" s="21">
        <v>46070.0</v>
      </c>
      <c r="B75" s="22" t="s">
        <v>2382</v>
      </c>
      <c r="C75" s="22" t="s">
        <v>2389</v>
      </c>
      <c r="D75" s="22" t="s">
        <v>969</v>
      </c>
      <c r="E75" s="22" t="s">
        <v>573</v>
      </c>
      <c r="F75" s="22" t="s">
        <v>2385</v>
      </c>
      <c r="G75" s="22" t="s">
        <v>2390</v>
      </c>
      <c r="H75" s="22" t="s">
        <v>1207</v>
      </c>
      <c r="I75" s="22" t="s">
        <v>2387</v>
      </c>
      <c r="J75" s="22" t="s">
        <v>2391</v>
      </c>
      <c r="K75" s="22" t="s">
        <v>1028</v>
      </c>
      <c r="L75" s="22"/>
      <c r="M75" s="13"/>
      <c r="N75" s="37"/>
      <c r="O75" s="37"/>
      <c r="P75" s="37"/>
      <c r="Q75" s="37"/>
      <c r="R75" s="37"/>
      <c r="S75" s="37"/>
      <c r="T75" s="37"/>
      <c r="U75" s="37"/>
      <c r="V75" s="37"/>
    </row>
    <row r="76">
      <c r="A76" s="35">
        <v>46070.0</v>
      </c>
      <c r="B76" s="1" t="s">
        <v>2006</v>
      </c>
      <c r="C76" s="1" t="s">
        <v>2008</v>
      </c>
      <c r="D76" s="1" t="s">
        <v>971</v>
      </c>
      <c r="E76" s="1" t="s">
        <v>2009</v>
      </c>
      <c r="F76" s="1" t="s">
        <v>2007</v>
      </c>
      <c r="G76" s="1" t="s">
        <v>2010</v>
      </c>
      <c r="H76" s="1" t="s">
        <v>1063</v>
      </c>
      <c r="I76" s="2"/>
      <c r="J76" s="1" t="s">
        <v>2011</v>
      </c>
      <c r="K76" s="1" t="s">
        <v>1028</v>
      </c>
      <c r="L76" s="2"/>
      <c r="M76" s="2"/>
    </row>
    <row r="77" ht="22.5" customHeight="1">
      <c r="A77" s="35">
        <v>46070.0</v>
      </c>
      <c r="B77" s="1" t="s">
        <v>1357</v>
      </c>
      <c r="C77" s="1" t="s">
        <v>2392</v>
      </c>
      <c r="D77" s="1" t="s">
        <v>274</v>
      </c>
      <c r="E77" s="1" t="s">
        <v>2393</v>
      </c>
      <c r="F77" s="54" t="s">
        <v>2394</v>
      </c>
      <c r="G77" s="1" t="s">
        <v>2395</v>
      </c>
      <c r="H77" s="1" t="s">
        <v>1107</v>
      </c>
      <c r="I77" s="1" t="s">
        <v>1544</v>
      </c>
      <c r="J77" s="1" t="s">
        <v>2396</v>
      </c>
      <c r="K77" s="1" t="s">
        <v>1028</v>
      </c>
      <c r="L77" s="2"/>
      <c r="M77" s="13"/>
      <c r="N77" s="37"/>
      <c r="O77" s="37"/>
      <c r="P77" s="37"/>
      <c r="Q77" s="37"/>
      <c r="R77" s="37"/>
      <c r="S77" s="37"/>
      <c r="T77" s="37"/>
      <c r="U77" s="37"/>
      <c r="V77" s="37"/>
    </row>
    <row r="78" ht="22.5" customHeight="1">
      <c r="A78" s="51">
        <v>46070.0</v>
      </c>
      <c r="B78" s="52" t="s">
        <v>2397</v>
      </c>
      <c r="C78" s="52" t="s">
        <v>2398</v>
      </c>
      <c r="D78" s="52" t="s">
        <v>274</v>
      </c>
      <c r="E78" s="52" t="s">
        <v>2399</v>
      </c>
      <c r="F78" s="52" t="s">
        <v>2400</v>
      </c>
      <c r="G78" s="52" t="s">
        <v>2401</v>
      </c>
      <c r="H78" s="52" t="s">
        <v>1207</v>
      </c>
      <c r="J78" s="52" t="s">
        <v>2402</v>
      </c>
      <c r="K78" s="52" t="s">
        <v>1028</v>
      </c>
      <c r="M78" s="37"/>
      <c r="N78" s="37"/>
      <c r="O78" s="37"/>
      <c r="P78" s="37"/>
      <c r="Q78" s="37"/>
      <c r="R78" s="37"/>
      <c r="S78" s="37"/>
      <c r="T78" s="37"/>
      <c r="U78" s="37"/>
      <c r="V78" s="37"/>
    </row>
    <row r="79" ht="22.5" customHeight="1">
      <c r="A79" s="51">
        <v>46070.0</v>
      </c>
      <c r="B79" s="52" t="s">
        <v>88</v>
      </c>
      <c r="C79" s="52" t="s">
        <v>2403</v>
      </c>
      <c r="D79" s="52" t="s">
        <v>971</v>
      </c>
      <c r="E79" s="52" t="s">
        <v>2404</v>
      </c>
      <c r="F79" s="52" t="s">
        <v>2405</v>
      </c>
      <c r="G79" s="52" t="s">
        <v>2406</v>
      </c>
      <c r="H79" s="52" t="s">
        <v>1088</v>
      </c>
      <c r="I79" s="52" t="s">
        <v>2407</v>
      </c>
      <c r="J79" s="52" t="s">
        <v>2408</v>
      </c>
      <c r="K79" s="52" t="s">
        <v>1028</v>
      </c>
      <c r="M79" s="37"/>
      <c r="N79" s="37"/>
      <c r="O79" s="37"/>
      <c r="P79" s="37"/>
      <c r="Q79" s="37"/>
      <c r="R79" s="37"/>
      <c r="S79" s="37"/>
      <c r="T79" s="37"/>
      <c r="U79" s="37"/>
      <c r="V79" s="37"/>
    </row>
    <row r="80" ht="22.5" customHeight="1">
      <c r="A80" s="51">
        <v>46070.0</v>
      </c>
      <c r="B80" s="52" t="s">
        <v>2409</v>
      </c>
      <c r="C80" s="52" t="s">
        <v>2410</v>
      </c>
      <c r="D80" s="52" t="s">
        <v>969</v>
      </c>
      <c r="E80" s="52" t="s">
        <v>379</v>
      </c>
      <c r="F80" s="52" t="s">
        <v>2411</v>
      </c>
      <c r="G80" s="52" t="s">
        <v>2412</v>
      </c>
      <c r="H80" s="52" t="s">
        <v>1107</v>
      </c>
      <c r="I80" s="52" t="s">
        <v>2413</v>
      </c>
      <c r="J80" s="52" t="s">
        <v>2414</v>
      </c>
      <c r="K80" s="52" t="s">
        <v>1028</v>
      </c>
      <c r="M80" s="37"/>
      <c r="N80" s="37"/>
      <c r="O80" s="37"/>
      <c r="P80" s="37"/>
      <c r="Q80" s="37"/>
      <c r="R80" s="37"/>
      <c r="S80" s="37"/>
      <c r="T80" s="37"/>
      <c r="U80" s="37"/>
      <c r="V80" s="37"/>
    </row>
    <row r="81" ht="22.5" customHeight="1">
      <c r="A81" s="51">
        <v>46070.0</v>
      </c>
      <c r="B81" s="52" t="s">
        <v>2415</v>
      </c>
      <c r="C81" s="52" t="s">
        <v>2416</v>
      </c>
      <c r="D81" s="52" t="s">
        <v>969</v>
      </c>
      <c r="E81" s="52" t="s">
        <v>2417</v>
      </c>
      <c r="F81" s="52" t="s">
        <v>808</v>
      </c>
      <c r="G81" s="52" t="s">
        <v>2418</v>
      </c>
      <c r="H81" s="52" t="s">
        <v>1025</v>
      </c>
      <c r="I81" s="52" t="s">
        <v>2247</v>
      </c>
      <c r="J81" s="52" t="s">
        <v>2419</v>
      </c>
      <c r="K81" s="52" t="s">
        <v>1028</v>
      </c>
      <c r="M81" s="37"/>
      <c r="N81" s="37"/>
      <c r="O81" s="37"/>
      <c r="P81" s="37"/>
      <c r="Q81" s="37"/>
      <c r="R81" s="37"/>
      <c r="S81" s="37"/>
      <c r="T81" s="37"/>
      <c r="U81" s="37"/>
      <c r="V81" s="37"/>
    </row>
    <row r="82" ht="22.5" customHeight="1">
      <c r="A82" s="51">
        <v>46070.0</v>
      </c>
      <c r="B82" s="52" t="s">
        <v>960</v>
      </c>
      <c r="C82" s="52" t="s">
        <v>2420</v>
      </c>
      <c r="D82" s="52" t="s">
        <v>971</v>
      </c>
      <c r="E82" s="52" t="s">
        <v>2404</v>
      </c>
      <c r="F82" s="52" t="s">
        <v>2405</v>
      </c>
      <c r="G82" s="52" t="s">
        <v>2421</v>
      </c>
      <c r="H82" s="52" t="s">
        <v>1088</v>
      </c>
      <c r="I82" s="52" t="s">
        <v>2407</v>
      </c>
      <c r="J82" s="52" t="s">
        <v>2422</v>
      </c>
      <c r="K82" s="52" t="s">
        <v>1028</v>
      </c>
      <c r="M82" s="37"/>
      <c r="N82" s="37"/>
      <c r="O82" s="37"/>
      <c r="P82" s="37"/>
      <c r="Q82" s="37"/>
      <c r="R82" s="37"/>
      <c r="S82" s="37"/>
      <c r="T82" s="37"/>
      <c r="U82" s="37"/>
      <c r="V82" s="37"/>
    </row>
    <row r="83" ht="22.5" customHeight="1">
      <c r="A83" s="51">
        <v>46070.0</v>
      </c>
      <c r="B83" s="52" t="s">
        <v>2423</v>
      </c>
      <c r="C83" s="52" t="s">
        <v>2424</v>
      </c>
      <c r="D83" s="52" t="s">
        <v>971</v>
      </c>
      <c r="E83" s="52" t="s">
        <v>2425</v>
      </c>
      <c r="F83" s="52" t="s">
        <v>2426</v>
      </c>
      <c r="G83" s="52" t="s">
        <v>2427</v>
      </c>
      <c r="H83" s="52" t="s">
        <v>1207</v>
      </c>
      <c r="I83" s="52" t="s">
        <v>2428</v>
      </c>
      <c r="J83" s="52" t="s">
        <v>2429</v>
      </c>
      <c r="K83" s="52" t="s">
        <v>1028</v>
      </c>
      <c r="M83" s="37"/>
      <c r="N83" s="37"/>
      <c r="O83" s="37"/>
      <c r="P83" s="37"/>
      <c r="Q83" s="37"/>
      <c r="R83" s="37"/>
      <c r="S83" s="37"/>
      <c r="T83" s="37"/>
      <c r="U83" s="37"/>
      <c r="V83" s="37"/>
    </row>
    <row r="84" ht="22.5" customHeight="1">
      <c r="A84" s="51">
        <v>46070.0</v>
      </c>
      <c r="B84" s="52" t="s">
        <v>1827</v>
      </c>
      <c r="C84" s="52" t="s">
        <v>2430</v>
      </c>
      <c r="D84" s="52" t="s">
        <v>969</v>
      </c>
      <c r="E84" s="52" t="s">
        <v>2431</v>
      </c>
      <c r="F84" s="52" t="s">
        <v>2432</v>
      </c>
      <c r="G84" s="52" t="s">
        <v>2433</v>
      </c>
      <c r="H84" s="52" t="s">
        <v>1025</v>
      </c>
      <c r="I84" s="52" t="s">
        <v>2434</v>
      </c>
      <c r="J84" s="52" t="s">
        <v>2435</v>
      </c>
      <c r="K84" s="52" t="s">
        <v>1028</v>
      </c>
      <c r="M84" s="37"/>
      <c r="N84" s="37"/>
      <c r="O84" s="37"/>
      <c r="P84" s="37"/>
      <c r="Q84" s="37"/>
      <c r="R84" s="37"/>
      <c r="S84" s="37"/>
      <c r="T84" s="37"/>
      <c r="U84" s="37"/>
      <c r="V84" s="37"/>
    </row>
    <row r="85" ht="22.5" customHeight="1">
      <c r="A85" s="51">
        <v>46070.0</v>
      </c>
      <c r="B85" s="52" t="s">
        <v>2436</v>
      </c>
      <c r="C85" s="52" t="s">
        <v>2437</v>
      </c>
      <c r="D85" s="52" t="s">
        <v>971</v>
      </c>
      <c r="E85" s="52" t="s">
        <v>2260</v>
      </c>
      <c r="F85" s="52" t="s">
        <v>1886</v>
      </c>
      <c r="G85" s="52" t="s">
        <v>2261</v>
      </c>
      <c r="H85" s="52" t="s">
        <v>1025</v>
      </c>
      <c r="I85" s="52" t="s">
        <v>1238</v>
      </c>
      <c r="J85" s="52" t="s">
        <v>2438</v>
      </c>
      <c r="K85" s="52" t="s">
        <v>1028</v>
      </c>
      <c r="M85" s="37"/>
      <c r="N85" s="37"/>
      <c r="O85" s="37"/>
      <c r="P85" s="37"/>
      <c r="Q85" s="37"/>
      <c r="R85" s="37"/>
      <c r="S85" s="37"/>
      <c r="T85" s="37"/>
      <c r="U85" s="37"/>
      <c r="V85" s="37"/>
    </row>
    <row r="86" ht="22.5" customHeight="1">
      <c r="A86" s="51">
        <v>46070.0</v>
      </c>
      <c r="B86" s="52" t="s">
        <v>2436</v>
      </c>
      <c r="C86" s="52" t="s">
        <v>2439</v>
      </c>
      <c r="D86" s="52" t="s">
        <v>971</v>
      </c>
      <c r="E86" s="52" t="s">
        <v>874</v>
      </c>
      <c r="F86" s="52" t="s">
        <v>1886</v>
      </c>
      <c r="G86" s="52" t="s">
        <v>2341</v>
      </c>
      <c r="H86" s="52" t="s">
        <v>1025</v>
      </c>
      <c r="I86" s="52" t="s">
        <v>1238</v>
      </c>
      <c r="J86" s="52" t="s">
        <v>2438</v>
      </c>
      <c r="K86" s="52" t="s">
        <v>1028</v>
      </c>
      <c r="M86" s="37"/>
      <c r="N86" s="37"/>
      <c r="O86" s="37"/>
      <c r="P86" s="37"/>
      <c r="Q86" s="37"/>
      <c r="R86" s="37"/>
      <c r="S86" s="37"/>
      <c r="T86" s="37"/>
      <c r="U86" s="37"/>
      <c r="V86" s="37"/>
    </row>
    <row r="87" ht="22.5" customHeight="1">
      <c r="A87" s="51">
        <v>46070.0</v>
      </c>
      <c r="B87" s="52" t="s">
        <v>2059</v>
      </c>
      <c r="C87" s="52" t="s">
        <v>2060</v>
      </c>
      <c r="D87" s="52" t="s">
        <v>971</v>
      </c>
      <c r="E87" s="52" t="s">
        <v>2061</v>
      </c>
      <c r="F87" s="52" t="s">
        <v>804</v>
      </c>
      <c r="G87" s="52" t="s">
        <v>2062</v>
      </c>
      <c r="H87" s="52" t="s">
        <v>1063</v>
      </c>
      <c r="I87" s="52" t="s">
        <v>2063</v>
      </c>
      <c r="J87" s="52" t="s">
        <v>2064</v>
      </c>
      <c r="K87" s="52" t="s">
        <v>1028</v>
      </c>
      <c r="L87" s="52" t="s">
        <v>945</v>
      </c>
      <c r="M87" s="37"/>
      <c r="N87" s="37"/>
      <c r="O87" s="37"/>
      <c r="P87" s="37"/>
      <c r="Q87" s="37"/>
      <c r="R87" s="37"/>
      <c r="S87" s="37"/>
      <c r="T87" s="37"/>
      <c r="U87" s="37"/>
      <c r="V87" s="37"/>
    </row>
    <row r="88" ht="22.5" customHeight="1">
      <c r="A88" s="51">
        <v>46070.0</v>
      </c>
      <c r="B88" s="52" t="s">
        <v>2190</v>
      </c>
      <c r="C88" s="52" t="s">
        <v>2440</v>
      </c>
      <c r="D88" s="52" t="s">
        <v>969</v>
      </c>
      <c r="E88" s="52" t="s">
        <v>2441</v>
      </c>
      <c r="F88" s="52" t="s">
        <v>2442</v>
      </c>
      <c r="G88" s="52" t="s">
        <v>2194</v>
      </c>
      <c r="H88" s="52" t="s">
        <v>1063</v>
      </c>
      <c r="I88" s="52" t="s">
        <v>2443</v>
      </c>
      <c r="J88" s="52" t="s">
        <v>2196</v>
      </c>
      <c r="K88" s="52" t="s">
        <v>1028</v>
      </c>
      <c r="M88" s="37"/>
      <c r="N88" s="37"/>
      <c r="O88" s="37"/>
      <c r="P88" s="37"/>
      <c r="Q88" s="37"/>
      <c r="R88" s="37"/>
      <c r="S88" s="37"/>
      <c r="T88" s="37"/>
      <c r="U88" s="37"/>
      <c r="V88" s="37"/>
    </row>
    <row r="89" ht="22.5" customHeight="1">
      <c r="A89" s="48">
        <v>46070.0</v>
      </c>
      <c r="B89" s="49" t="s">
        <v>2444</v>
      </c>
      <c r="C89" s="49" t="s">
        <v>2445</v>
      </c>
      <c r="D89" s="49" t="s">
        <v>971</v>
      </c>
      <c r="E89" s="49" t="s">
        <v>2446</v>
      </c>
      <c r="F89" s="49" t="s">
        <v>2447</v>
      </c>
      <c r="G89" s="49" t="s">
        <v>2448</v>
      </c>
      <c r="H89" s="49" t="s">
        <v>1107</v>
      </c>
      <c r="I89" s="49"/>
      <c r="J89" s="49" t="s">
        <v>2449</v>
      </c>
      <c r="K89" s="49" t="s">
        <v>1028</v>
      </c>
      <c r="L89" s="37"/>
      <c r="M89" s="37"/>
      <c r="N89" s="37"/>
      <c r="O89" s="37"/>
      <c r="P89" s="37"/>
      <c r="Q89" s="37"/>
      <c r="R89" s="37"/>
      <c r="S89" s="37"/>
      <c r="T89" s="37"/>
      <c r="U89" s="37"/>
      <c r="V89" s="37"/>
    </row>
    <row r="90" ht="22.5" customHeight="1">
      <c r="A90" s="48">
        <v>46070.0</v>
      </c>
      <c r="B90" s="49" t="s">
        <v>2053</v>
      </c>
      <c r="C90" s="49" t="s">
        <v>2055</v>
      </c>
      <c r="D90" s="49" t="s">
        <v>971</v>
      </c>
      <c r="E90" s="49" t="s">
        <v>2056</v>
      </c>
      <c r="F90" s="49" t="s">
        <v>2054</v>
      </c>
      <c r="G90" s="49" t="s">
        <v>2057</v>
      </c>
      <c r="H90" s="49" t="s">
        <v>1107</v>
      </c>
      <c r="I90" s="49"/>
      <c r="J90" s="49" t="s">
        <v>2058</v>
      </c>
      <c r="K90" s="49" t="s">
        <v>1028</v>
      </c>
      <c r="L90" s="49"/>
      <c r="M90" s="37"/>
      <c r="N90" s="37"/>
      <c r="O90" s="37"/>
      <c r="P90" s="37"/>
      <c r="Q90" s="37"/>
      <c r="R90" s="37"/>
      <c r="S90" s="37"/>
      <c r="T90" s="37"/>
      <c r="U90" s="37"/>
      <c r="V90" s="37"/>
    </row>
    <row r="91" ht="22.5" customHeight="1">
      <c r="A91" s="48">
        <v>46070.0</v>
      </c>
      <c r="B91" s="49" t="s">
        <v>2040</v>
      </c>
      <c r="C91" s="49" t="s">
        <v>2042</v>
      </c>
      <c r="D91" s="49" t="s">
        <v>274</v>
      </c>
      <c r="E91" s="49" t="s">
        <v>2450</v>
      </c>
      <c r="F91" s="49" t="s">
        <v>2041</v>
      </c>
      <c r="G91" s="49" t="s">
        <v>2326</v>
      </c>
      <c r="H91" s="49" t="s">
        <v>1063</v>
      </c>
      <c r="I91" s="49" t="s">
        <v>1684</v>
      </c>
      <c r="J91" s="49" t="s">
        <v>2045</v>
      </c>
      <c r="K91" s="49" t="s">
        <v>1028</v>
      </c>
      <c r="L91" s="37"/>
      <c r="M91" s="37"/>
      <c r="N91" s="37"/>
      <c r="O91" s="37"/>
      <c r="P91" s="37"/>
      <c r="Q91" s="37"/>
      <c r="R91" s="37"/>
      <c r="S91" s="37"/>
      <c r="T91" s="37"/>
      <c r="U91" s="37"/>
      <c r="V91" s="37"/>
    </row>
    <row r="92" ht="22.5" customHeight="1">
      <c r="A92" s="48">
        <v>46070.0</v>
      </c>
      <c r="B92" s="49" t="s">
        <v>2017</v>
      </c>
      <c r="C92" s="49" t="s">
        <v>2019</v>
      </c>
      <c r="D92" s="49" t="s">
        <v>971</v>
      </c>
      <c r="E92" s="49" t="s">
        <v>2020</v>
      </c>
      <c r="F92" s="52" t="s">
        <v>2018</v>
      </c>
      <c r="G92" s="49" t="s">
        <v>2021</v>
      </c>
      <c r="H92" s="49" t="s">
        <v>1025</v>
      </c>
      <c r="I92" s="49" t="s">
        <v>2022</v>
      </c>
      <c r="J92" s="49" t="s">
        <v>2023</v>
      </c>
      <c r="K92" s="49" t="s">
        <v>1028</v>
      </c>
      <c r="L92" s="49" t="s">
        <v>945</v>
      </c>
      <c r="M92" s="37"/>
      <c r="N92" s="37"/>
      <c r="O92" s="37"/>
      <c r="P92" s="37"/>
      <c r="Q92" s="37"/>
      <c r="R92" s="37"/>
      <c r="S92" s="37"/>
      <c r="T92" s="37"/>
      <c r="U92" s="37"/>
      <c r="V92" s="37"/>
    </row>
    <row r="93" ht="22.5" customHeight="1">
      <c r="A93" s="48">
        <v>46070.0</v>
      </c>
      <c r="B93" s="49" t="s">
        <v>2046</v>
      </c>
      <c r="C93" s="49" t="s">
        <v>2048</v>
      </c>
      <c r="D93" s="49" t="s">
        <v>971</v>
      </c>
      <c r="E93" s="49" t="s">
        <v>2049</v>
      </c>
      <c r="F93" s="49" t="s">
        <v>2047</v>
      </c>
      <c r="G93" s="49" t="s">
        <v>2050</v>
      </c>
      <c r="H93" s="49" t="s">
        <v>1178</v>
      </c>
      <c r="I93" s="49" t="s">
        <v>2051</v>
      </c>
      <c r="J93" s="49" t="s">
        <v>2052</v>
      </c>
      <c r="K93" s="49" t="s">
        <v>1028</v>
      </c>
      <c r="L93" s="49"/>
      <c r="M93" s="37"/>
      <c r="N93" s="37"/>
      <c r="O93" s="37"/>
      <c r="P93" s="37"/>
      <c r="Q93" s="37"/>
      <c r="R93" s="37"/>
      <c r="S93" s="37"/>
      <c r="T93" s="37"/>
      <c r="U93" s="37"/>
      <c r="V93" s="37"/>
    </row>
    <row r="94" ht="22.5" customHeight="1">
      <c r="A94" s="48">
        <v>46070.0</v>
      </c>
      <c r="B94" s="49" t="s">
        <v>2451</v>
      </c>
      <c r="C94" s="49" t="s">
        <v>2452</v>
      </c>
      <c r="D94" s="49" t="s">
        <v>274</v>
      </c>
      <c r="E94" s="49" t="s">
        <v>858</v>
      </c>
      <c r="F94" s="49" t="s">
        <v>2453</v>
      </c>
      <c r="G94" s="49" t="s">
        <v>2454</v>
      </c>
      <c r="H94" s="49" t="s">
        <v>1057</v>
      </c>
      <c r="I94" s="49" t="s">
        <v>2455</v>
      </c>
      <c r="J94" s="49" t="s">
        <v>2456</v>
      </c>
      <c r="K94" s="49" t="s">
        <v>1028</v>
      </c>
      <c r="L94" s="49"/>
      <c r="M94" s="37"/>
      <c r="N94" s="37"/>
      <c r="O94" s="37"/>
      <c r="P94" s="37"/>
      <c r="Q94" s="37"/>
      <c r="R94" s="37"/>
      <c r="S94" s="37"/>
      <c r="T94" s="37"/>
      <c r="U94" s="37"/>
      <c r="V94" s="37"/>
    </row>
    <row r="95" ht="22.5" customHeight="1">
      <c r="A95" s="48">
        <v>46070.0</v>
      </c>
      <c r="B95" s="49" t="s">
        <v>2457</v>
      </c>
      <c r="C95" s="49" t="s">
        <v>2458</v>
      </c>
      <c r="D95" s="49" t="s">
        <v>969</v>
      </c>
      <c r="E95" s="49" t="s">
        <v>2459</v>
      </c>
      <c r="F95" s="49" t="s">
        <v>2460</v>
      </c>
      <c r="G95" s="49" t="s">
        <v>2461</v>
      </c>
      <c r="H95" s="49" t="s">
        <v>1178</v>
      </c>
      <c r="I95" s="49" t="s">
        <v>2387</v>
      </c>
      <c r="J95" s="49" t="s">
        <v>2462</v>
      </c>
      <c r="K95" s="49" t="s">
        <v>1028</v>
      </c>
      <c r="L95" s="37"/>
      <c r="M95" s="37"/>
      <c r="N95" s="37"/>
      <c r="O95" s="37"/>
      <c r="P95" s="37"/>
      <c r="Q95" s="37"/>
      <c r="R95" s="37"/>
      <c r="S95" s="37"/>
      <c r="T95" s="37"/>
      <c r="U95" s="37"/>
      <c r="V95" s="37"/>
    </row>
    <row r="96" ht="22.5" customHeight="1">
      <c r="A96" s="48">
        <v>46070.0</v>
      </c>
      <c r="B96" s="49" t="s">
        <v>2012</v>
      </c>
      <c r="C96" s="49" t="s">
        <v>2013</v>
      </c>
      <c r="D96" s="49" t="s">
        <v>969</v>
      </c>
      <c r="E96" s="49" t="s">
        <v>2014</v>
      </c>
      <c r="F96" s="49" t="s">
        <v>1596</v>
      </c>
      <c r="G96" s="49" t="s">
        <v>2015</v>
      </c>
      <c r="H96" s="49" t="s">
        <v>1025</v>
      </c>
      <c r="I96" s="49" t="s">
        <v>1599</v>
      </c>
      <c r="J96" s="49" t="s">
        <v>2016</v>
      </c>
      <c r="K96" s="49" t="s">
        <v>1028</v>
      </c>
      <c r="L96" s="49"/>
      <c r="M96" s="37"/>
      <c r="N96" s="37"/>
      <c r="O96" s="37"/>
      <c r="P96" s="37"/>
      <c r="Q96" s="37"/>
      <c r="R96" s="37"/>
      <c r="S96" s="37"/>
      <c r="T96" s="37"/>
      <c r="U96" s="37"/>
      <c r="V96" s="37"/>
    </row>
    <row r="97" ht="22.5" customHeight="1">
      <c r="A97" s="48">
        <v>46070.0</v>
      </c>
      <c r="B97" s="49" t="s">
        <v>2463</v>
      </c>
      <c r="C97" s="49" t="s">
        <v>2464</v>
      </c>
      <c r="D97" s="49" t="s">
        <v>274</v>
      </c>
      <c r="E97" s="49" t="s">
        <v>858</v>
      </c>
      <c r="F97" s="49" t="s">
        <v>2465</v>
      </c>
      <c r="G97" s="49" t="s">
        <v>1970</v>
      </c>
      <c r="H97" s="49" t="s">
        <v>1207</v>
      </c>
      <c r="I97" s="49" t="s">
        <v>2466</v>
      </c>
      <c r="J97" s="49" t="s">
        <v>2467</v>
      </c>
      <c r="K97" s="49" t="s">
        <v>1028</v>
      </c>
      <c r="L97" s="37"/>
      <c r="M97" s="37"/>
      <c r="N97" s="37"/>
      <c r="O97" s="37"/>
      <c r="P97" s="37"/>
      <c r="Q97" s="37"/>
      <c r="R97" s="37"/>
      <c r="S97" s="37"/>
      <c r="T97" s="37"/>
      <c r="U97" s="37"/>
      <c r="V97" s="37"/>
    </row>
    <row r="98" ht="22.5" customHeight="1">
      <c r="A98" s="48">
        <v>46070.0</v>
      </c>
      <c r="B98" s="49" t="s">
        <v>2072</v>
      </c>
      <c r="C98" s="49" t="s">
        <v>2074</v>
      </c>
      <c r="D98" s="22" t="s">
        <v>969</v>
      </c>
      <c r="E98" s="22" t="s">
        <v>2075</v>
      </c>
      <c r="F98" s="22" t="s">
        <v>2073</v>
      </c>
      <c r="G98" s="49" t="s">
        <v>2076</v>
      </c>
      <c r="H98" s="49" t="s">
        <v>1063</v>
      </c>
      <c r="I98" s="49" t="s">
        <v>1172</v>
      </c>
      <c r="J98" s="49" t="s">
        <v>2077</v>
      </c>
      <c r="K98" s="49" t="s">
        <v>1028</v>
      </c>
      <c r="L98" s="49" t="s">
        <v>945</v>
      </c>
      <c r="M98" s="37"/>
      <c r="N98" s="37"/>
      <c r="O98" s="37"/>
      <c r="P98" s="37"/>
      <c r="Q98" s="37"/>
      <c r="R98" s="37"/>
      <c r="S98" s="37"/>
      <c r="T98" s="37"/>
      <c r="U98" s="37"/>
      <c r="V98" s="37"/>
    </row>
    <row r="99" ht="22.5" customHeight="1">
      <c r="A99" s="48">
        <v>46070.0</v>
      </c>
      <c r="B99" s="49" t="s">
        <v>2468</v>
      </c>
      <c r="C99" s="49" t="s">
        <v>2469</v>
      </c>
      <c r="D99" s="49" t="s">
        <v>971</v>
      </c>
      <c r="E99" s="49" t="s">
        <v>2075</v>
      </c>
      <c r="F99" s="49" t="s">
        <v>2470</v>
      </c>
      <c r="G99" s="49" t="s">
        <v>2471</v>
      </c>
      <c r="H99" s="49" t="s">
        <v>1129</v>
      </c>
      <c r="I99" s="49" t="s">
        <v>2472</v>
      </c>
      <c r="J99" s="49" t="s">
        <v>2473</v>
      </c>
      <c r="K99" s="49" t="s">
        <v>1028</v>
      </c>
      <c r="L99" s="49"/>
      <c r="M99" s="37"/>
      <c r="N99" s="37"/>
      <c r="O99" s="37"/>
      <c r="P99" s="37"/>
      <c r="Q99" s="37"/>
      <c r="R99" s="37"/>
      <c r="S99" s="37"/>
      <c r="T99" s="37"/>
      <c r="U99" s="37"/>
      <c r="V99" s="37"/>
    </row>
    <row r="100" ht="22.5" customHeight="1">
      <c r="A100" s="48">
        <v>46070.0</v>
      </c>
      <c r="B100" s="49" t="s">
        <v>88</v>
      </c>
      <c r="C100" s="49" t="s">
        <v>2474</v>
      </c>
      <c r="D100" s="49" t="s">
        <v>971</v>
      </c>
      <c r="E100" s="49" t="s">
        <v>2475</v>
      </c>
      <c r="F100" s="49" t="s">
        <v>2265</v>
      </c>
      <c r="G100" s="49" t="s">
        <v>2476</v>
      </c>
      <c r="H100" s="49" t="s">
        <v>1025</v>
      </c>
      <c r="I100" s="49" t="s">
        <v>2267</v>
      </c>
      <c r="J100" s="49" t="s">
        <v>2268</v>
      </c>
      <c r="K100" s="49" t="s">
        <v>1028</v>
      </c>
      <c r="L100" s="49"/>
      <c r="M100" s="37"/>
      <c r="N100" s="37"/>
      <c r="O100" s="37"/>
      <c r="P100" s="37"/>
      <c r="Q100" s="37"/>
      <c r="R100" s="37"/>
      <c r="S100" s="37"/>
      <c r="T100" s="37"/>
      <c r="U100" s="37"/>
      <c r="V100" s="37"/>
    </row>
    <row r="101" ht="22.5" customHeight="1">
      <c r="A101" s="48">
        <v>46070.0</v>
      </c>
      <c r="B101" s="49" t="s">
        <v>2477</v>
      </c>
      <c r="C101" s="49" t="s">
        <v>2478</v>
      </c>
      <c r="D101" s="22" t="s">
        <v>969</v>
      </c>
      <c r="E101" s="22" t="s">
        <v>2479</v>
      </c>
      <c r="F101" s="22" t="s">
        <v>2102</v>
      </c>
      <c r="G101" s="22" t="s">
        <v>2480</v>
      </c>
      <c r="H101" s="49" t="s">
        <v>1129</v>
      </c>
      <c r="I101" s="49" t="s">
        <v>2104</v>
      </c>
      <c r="J101" s="49" t="s">
        <v>2481</v>
      </c>
      <c r="K101" s="49" t="s">
        <v>1028</v>
      </c>
      <c r="L101" s="49"/>
      <c r="M101" s="37"/>
      <c r="N101" s="37"/>
      <c r="O101" s="37"/>
      <c r="P101" s="37"/>
      <c r="Q101" s="37"/>
      <c r="R101" s="37"/>
      <c r="S101" s="37"/>
      <c r="T101" s="37"/>
      <c r="U101" s="37"/>
      <c r="V101" s="37"/>
    </row>
    <row r="102" ht="22.5" customHeight="1">
      <c r="A102" s="48">
        <v>46070.0</v>
      </c>
      <c r="B102" s="49" t="s">
        <v>2046</v>
      </c>
      <c r="C102" s="49" t="s">
        <v>2482</v>
      </c>
      <c r="D102" s="49" t="s">
        <v>969</v>
      </c>
      <c r="E102" s="49" t="s">
        <v>2483</v>
      </c>
      <c r="F102" s="49" t="s">
        <v>900</v>
      </c>
      <c r="G102" s="49" t="s">
        <v>2484</v>
      </c>
      <c r="H102" s="49" t="s">
        <v>1025</v>
      </c>
      <c r="I102" s="49" t="s">
        <v>1606</v>
      </c>
      <c r="J102" s="49" t="s">
        <v>2052</v>
      </c>
      <c r="K102" s="49" t="s">
        <v>1028</v>
      </c>
      <c r="L102" s="49"/>
      <c r="M102" s="37"/>
      <c r="N102" s="37"/>
      <c r="O102" s="37"/>
      <c r="P102" s="37"/>
      <c r="Q102" s="37"/>
      <c r="R102" s="37"/>
      <c r="S102" s="37"/>
      <c r="T102" s="37"/>
      <c r="U102" s="37"/>
      <c r="V102" s="37"/>
    </row>
    <row r="103" ht="22.5" customHeight="1">
      <c r="A103" s="48">
        <v>46070.0</v>
      </c>
      <c r="B103" s="49" t="s">
        <v>2035</v>
      </c>
      <c r="C103" s="49" t="s">
        <v>2037</v>
      </c>
      <c r="D103" s="49" t="s">
        <v>274</v>
      </c>
      <c r="E103" s="49" t="s">
        <v>858</v>
      </c>
      <c r="F103" s="49" t="s">
        <v>2036</v>
      </c>
      <c r="G103" s="49" t="s">
        <v>1647</v>
      </c>
      <c r="H103" s="49" t="s">
        <v>1129</v>
      </c>
      <c r="I103" s="49" t="s">
        <v>2038</v>
      </c>
      <c r="J103" s="49" t="s">
        <v>2039</v>
      </c>
      <c r="K103" s="49" t="s">
        <v>1028</v>
      </c>
      <c r="L103" s="49"/>
      <c r="M103" s="37"/>
      <c r="N103" s="37"/>
      <c r="O103" s="37"/>
      <c r="P103" s="37"/>
      <c r="Q103" s="37"/>
      <c r="R103" s="37"/>
      <c r="S103" s="37"/>
      <c r="T103" s="37"/>
      <c r="U103" s="37"/>
      <c r="V103" s="37"/>
    </row>
    <row r="104" ht="22.5" customHeight="1">
      <c r="A104" s="48">
        <v>46070.0</v>
      </c>
      <c r="B104" s="49" t="s">
        <v>1924</v>
      </c>
      <c r="C104" s="49" t="s">
        <v>1925</v>
      </c>
      <c r="D104" s="49" t="s">
        <v>971</v>
      </c>
      <c r="E104" s="49" t="s">
        <v>866</v>
      </c>
      <c r="F104" s="49" t="s">
        <v>865</v>
      </c>
      <c r="G104" s="49" t="s">
        <v>1926</v>
      </c>
      <c r="H104" s="49" t="s">
        <v>1057</v>
      </c>
      <c r="I104" s="49" t="s">
        <v>1570</v>
      </c>
      <c r="J104" s="49" t="s">
        <v>1927</v>
      </c>
      <c r="K104" s="49" t="s">
        <v>1028</v>
      </c>
      <c r="L104" s="49"/>
      <c r="M104" s="37"/>
      <c r="N104" s="37"/>
      <c r="O104" s="37"/>
      <c r="P104" s="37"/>
      <c r="Q104" s="37"/>
      <c r="R104" s="37"/>
      <c r="S104" s="37"/>
      <c r="T104" s="37"/>
      <c r="U104" s="37"/>
      <c r="V104" s="37"/>
    </row>
    <row r="105" ht="22.5" customHeight="1">
      <c r="A105" s="48">
        <v>46070.0</v>
      </c>
      <c r="B105" s="49" t="s">
        <v>1950</v>
      </c>
      <c r="C105" s="49" t="s">
        <v>1951</v>
      </c>
      <c r="D105" s="49" t="s">
        <v>971</v>
      </c>
      <c r="E105" s="49" t="s">
        <v>1093</v>
      </c>
      <c r="F105" s="49" t="s">
        <v>800</v>
      </c>
      <c r="G105" s="49" t="s">
        <v>1952</v>
      </c>
      <c r="H105" s="49" t="s">
        <v>1178</v>
      </c>
      <c r="I105" s="49" t="s">
        <v>1953</v>
      </c>
      <c r="J105" s="49" t="s">
        <v>1954</v>
      </c>
      <c r="K105" s="49" t="s">
        <v>1028</v>
      </c>
      <c r="L105" s="49" t="s">
        <v>945</v>
      </c>
      <c r="M105" s="37"/>
      <c r="N105" s="37"/>
      <c r="O105" s="37"/>
      <c r="P105" s="37"/>
      <c r="Q105" s="37"/>
      <c r="R105" s="37"/>
      <c r="S105" s="37"/>
      <c r="T105" s="37"/>
      <c r="U105" s="37"/>
      <c r="V105" s="37"/>
    </row>
    <row r="106" ht="22.5" customHeight="1">
      <c r="A106" s="48">
        <v>46070.0</v>
      </c>
      <c r="B106" s="49" t="s">
        <v>864</v>
      </c>
      <c r="C106" s="49" t="s">
        <v>867</v>
      </c>
      <c r="D106" s="49" t="s">
        <v>969</v>
      </c>
      <c r="E106" s="49" t="s">
        <v>866</v>
      </c>
      <c r="F106" s="49" t="s">
        <v>865</v>
      </c>
      <c r="G106" s="49" t="s">
        <v>1948</v>
      </c>
      <c r="H106" s="49" t="s">
        <v>1057</v>
      </c>
      <c r="I106" s="49" t="s">
        <v>1570</v>
      </c>
      <c r="J106" s="49" t="s">
        <v>1949</v>
      </c>
      <c r="K106" s="49" t="s">
        <v>1028</v>
      </c>
      <c r="L106" s="49"/>
      <c r="M106" s="37"/>
      <c r="N106" s="37"/>
      <c r="O106" s="37"/>
      <c r="P106" s="37"/>
      <c r="Q106" s="37"/>
      <c r="R106" s="37"/>
      <c r="S106" s="37"/>
      <c r="T106" s="37"/>
      <c r="U106" s="37"/>
      <c r="V106" s="37"/>
    </row>
    <row r="107" ht="22.5" customHeight="1">
      <c r="A107" s="48">
        <v>46070.0</v>
      </c>
      <c r="B107" s="49" t="s">
        <v>1880</v>
      </c>
      <c r="C107" s="49" t="s">
        <v>1881</v>
      </c>
      <c r="D107" s="49" t="s">
        <v>971</v>
      </c>
      <c r="E107" s="49" t="s">
        <v>1882</v>
      </c>
      <c r="F107" s="49" t="s">
        <v>1458</v>
      </c>
      <c r="G107" s="49" t="s">
        <v>1883</v>
      </c>
      <c r="H107" s="49" t="s">
        <v>1207</v>
      </c>
      <c r="I107" s="49" t="s">
        <v>1462</v>
      </c>
      <c r="J107" s="49" t="s">
        <v>1884</v>
      </c>
      <c r="K107" s="49" t="s">
        <v>1028</v>
      </c>
      <c r="L107" s="37"/>
      <c r="M107" s="37"/>
      <c r="N107" s="37"/>
      <c r="O107" s="37"/>
      <c r="P107" s="37"/>
      <c r="Q107" s="37"/>
      <c r="R107" s="37"/>
      <c r="S107" s="37"/>
      <c r="T107" s="37"/>
      <c r="U107" s="37"/>
      <c r="V107" s="37"/>
    </row>
    <row r="108" ht="22.5" customHeight="1">
      <c r="A108" s="48">
        <v>46070.0</v>
      </c>
      <c r="B108" s="49" t="s">
        <v>876</v>
      </c>
      <c r="C108" s="49" t="s">
        <v>879</v>
      </c>
      <c r="D108" s="49" t="s">
        <v>971</v>
      </c>
      <c r="E108" s="49" t="s">
        <v>878</v>
      </c>
      <c r="F108" s="49" t="s">
        <v>877</v>
      </c>
      <c r="G108" s="49" t="s">
        <v>1979</v>
      </c>
      <c r="H108" s="49" t="s">
        <v>1129</v>
      </c>
      <c r="I108" s="49" t="s">
        <v>1301</v>
      </c>
      <c r="J108" s="49" t="s">
        <v>1980</v>
      </c>
      <c r="K108" s="49" t="s">
        <v>1028</v>
      </c>
      <c r="L108" s="49" t="s">
        <v>945</v>
      </c>
      <c r="M108" s="37"/>
      <c r="N108" s="37"/>
      <c r="O108" s="37"/>
      <c r="P108" s="37"/>
      <c r="Q108" s="37"/>
      <c r="R108" s="37"/>
      <c r="S108" s="37"/>
      <c r="T108" s="37"/>
      <c r="U108" s="37"/>
      <c r="V108" s="37"/>
    </row>
    <row r="109" ht="22.5" customHeight="1">
      <c r="A109" s="48">
        <v>46070.0</v>
      </c>
      <c r="B109" s="49" t="s">
        <v>1567</v>
      </c>
      <c r="C109" s="49" t="s">
        <v>1919</v>
      </c>
      <c r="D109" s="49" t="s">
        <v>969</v>
      </c>
      <c r="E109" s="49" t="s">
        <v>1920</v>
      </c>
      <c r="F109" s="49" t="s">
        <v>888</v>
      </c>
      <c r="G109" s="49" t="s">
        <v>2485</v>
      </c>
      <c r="H109" s="49" t="s">
        <v>1129</v>
      </c>
      <c r="I109" s="49" t="s">
        <v>1922</v>
      </c>
      <c r="J109" s="49" t="s">
        <v>1923</v>
      </c>
      <c r="K109" s="49" t="s">
        <v>1028</v>
      </c>
      <c r="L109" s="37"/>
      <c r="M109" s="37"/>
      <c r="N109" s="37"/>
      <c r="O109" s="37"/>
      <c r="P109" s="37"/>
      <c r="Q109" s="37"/>
      <c r="R109" s="37"/>
      <c r="S109" s="37"/>
      <c r="T109" s="37"/>
      <c r="U109" s="37"/>
      <c r="V109" s="37"/>
    </row>
    <row r="110" ht="22.5" customHeight="1">
      <c r="A110" s="48">
        <v>46070.0</v>
      </c>
      <c r="B110" s="49" t="s">
        <v>32</v>
      </c>
      <c r="C110" s="49" t="s">
        <v>2486</v>
      </c>
      <c r="D110" s="49" t="s">
        <v>969</v>
      </c>
      <c r="E110" s="49" t="s">
        <v>1319</v>
      </c>
      <c r="F110" s="49" t="s">
        <v>2487</v>
      </c>
      <c r="G110" s="49" t="s">
        <v>2488</v>
      </c>
      <c r="H110" s="49" t="s">
        <v>1129</v>
      </c>
      <c r="I110" s="49" t="s">
        <v>2489</v>
      </c>
      <c r="J110" s="49" t="s">
        <v>2490</v>
      </c>
      <c r="K110" s="49" t="s">
        <v>1028</v>
      </c>
      <c r="L110" s="49"/>
      <c r="M110" s="37"/>
      <c r="N110" s="37"/>
      <c r="O110" s="37"/>
      <c r="P110" s="37"/>
      <c r="Q110" s="37"/>
      <c r="R110" s="37"/>
      <c r="S110" s="37"/>
      <c r="T110" s="37"/>
      <c r="U110" s="37"/>
      <c r="V110" s="37"/>
    </row>
    <row r="111" ht="22.5" customHeight="1">
      <c r="A111" s="48">
        <v>46070.0</v>
      </c>
      <c r="B111" s="49" t="s">
        <v>1964</v>
      </c>
      <c r="C111" s="49" t="s">
        <v>1965</v>
      </c>
      <c r="D111" s="49" t="s">
        <v>969</v>
      </c>
      <c r="E111" s="49" t="s">
        <v>962</v>
      </c>
      <c r="F111" s="49" t="s">
        <v>1628</v>
      </c>
      <c r="G111" s="49" t="s">
        <v>1966</v>
      </c>
      <c r="H111" s="49" t="s">
        <v>1129</v>
      </c>
      <c r="I111" s="49" t="s">
        <v>1631</v>
      </c>
      <c r="J111" s="49" t="s">
        <v>1967</v>
      </c>
      <c r="K111" s="49" t="s">
        <v>1028</v>
      </c>
      <c r="L111" s="49"/>
      <c r="M111" s="37"/>
      <c r="N111" s="37"/>
      <c r="O111" s="37"/>
      <c r="P111" s="37"/>
      <c r="Q111" s="37"/>
      <c r="R111" s="37"/>
      <c r="S111" s="37"/>
      <c r="T111" s="37"/>
      <c r="U111" s="37"/>
      <c r="V111" s="37"/>
    </row>
    <row r="112" ht="22.5" customHeight="1">
      <c r="A112" s="48">
        <v>46070.0</v>
      </c>
      <c r="B112" s="49" t="s">
        <v>1973</v>
      </c>
      <c r="C112" s="49" t="s">
        <v>1974</v>
      </c>
      <c r="D112" s="49" t="s">
        <v>969</v>
      </c>
      <c r="E112" s="49" t="s">
        <v>1937</v>
      </c>
      <c r="F112" s="49" t="s">
        <v>1935</v>
      </c>
      <c r="G112" s="49" t="s">
        <v>1975</v>
      </c>
      <c r="H112" s="49" t="s">
        <v>1025</v>
      </c>
      <c r="I112" s="49" t="s">
        <v>1939</v>
      </c>
      <c r="J112" s="49" t="s">
        <v>1976</v>
      </c>
      <c r="K112" s="49" t="s">
        <v>1028</v>
      </c>
      <c r="L112" s="49"/>
      <c r="M112" s="37"/>
      <c r="N112" s="37"/>
      <c r="O112" s="37"/>
      <c r="P112" s="37"/>
      <c r="Q112" s="37"/>
      <c r="R112" s="37"/>
      <c r="S112" s="37"/>
      <c r="T112" s="37"/>
      <c r="U112" s="37"/>
      <c r="V112" s="37"/>
    </row>
    <row r="113" ht="22.5" customHeight="1">
      <c r="A113" s="48">
        <v>46070.0</v>
      </c>
      <c r="B113" s="49" t="s">
        <v>2491</v>
      </c>
      <c r="C113" s="49" t="s">
        <v>2492</v>
      </c>
      <c r="D113" s="49" t="s">
        <v>971</v>
      </c>
      <c r="E113" s="49" t="s">
        <v>2493</v>
      </c>
      <c r="F113" s="49" t="s">
        <v>2494</v>
      </c>
      <c r="G113" s="49" t="s">
        <v>2495</v>
      </c>
      <c r="H113" s="49" t="s">
        <v>1107</v>
      </c>
      <c r="I113" s="49" t="s">
        <v>2496</v>
      </c>
      <c r="J113" s="49" t="s">
        <v>2497</v>
      </c>
      <c r="K113" s="49" t="s">
        <v>1028</v>
      </c>
      <c r="L113" s="37"/>
      <c r="M113" s="37"/>
      <c r="N113" s="37"/>
      <c r="O113" s="37"/>
      <c r="P113" s="37"/>
      <c r="Q113" s="37"/>
      <c r="R113" s="37"/>
      <c r="S113" s="37"/>
      <c r="T113" s="37"/>
      <c r="U113" s="37"/>
      <c r="V113" s="37"/>
    </row>
    <row r="114" ht="22.5" customHeight="1">
      <c r="A114" s="48">
        <v>46070.0</v>
      </c>
      <c r="B114" s="49" t="s">
        <v>1381</v>
      </c>
      <c r="C114" s="49" t="s">
        <v>1933</v>
      </c>
      <c r="D114" s="49" t="s">
        <v>274</v>
      </c>
      <c r="E114" s="49" t="s">
        <v>379</v>
      </c>
      <c r="F114" s="49" t="s">
        <v>1382</v>
      </c>
      <c r="G114" s="49" t="s">
        <v>1930</v>
      </c>
      <c r="H114" s="49" t="s">
        <v>1207</v>
      </c>
      <c r="I114" s="49"/>
      <c r="J114" s="49" t="s">
        <v>1385</v>
      </c>
      <c r="K114" s="49" t="s">
        <v>1028</v>
      </c>
      <c r="L114" s="49"/>
      <c r="M114" s="37"/>
      <c r="N114" s="37"/>
      <c r="O114" s="37"/>
      <c r="P114" s="37"/>
      <c r="Q114" s="37"/>
      <c r="R114" s="37"/>
      <c r="S114" s="37"/>
      <c r="T114" s="37"/>
      <c r="U114" s="37"/>
      <c r="V114" s="37"/>
    </row>
    <row r="115" ht="22.5" customHeight="1">
      <c r="A115" s="48">
        <v>46070.0</v>
      </c>
      <c r="B115" s="49" t="s">
        <v>1928</v>
      </c>
      <c r="C115" s="49" t="s">
        <v>1929</v>
      </c>
      <c r="D115" s="49" t="s">
        <v>971</v>
      </c>
      <c r="E115" s="49" t="s">
        <v>1077</v>
      </c>
      <c r="F115" s="49" t="s">
        <v>1382</v>
      </c>
      <c r="G115" s="49" t="s">
        <v>1930</v>
      </c>
      <c r="H115" s="49" t="s">
        <v>1207</v>
      </c>
      <c r="I115" s="49"/>
      <c r="J115" s="49" t="s">
        <v>1388</v>
      </c>
      <c r="K115" s="49" t="s">
        <v>1028</v>
      </c>
      <c r="L115" s="49" t="s">
        <v>945</v>
      </c>
      <c r="M115" s="37"/>
      <c r="N115" s="37"/>
      <c r="O115" s="37"/>
      <c r="P115" s="37"/>
      <c r="Q115" s="37"/>
      <c r="R115" s="37"/>
      <c r="S115" s="37"/>
      <c r="T115" s="37"/>
      <c r="U115" s="37"/>
      <c r="V115" s="37"/>
    </row>
    <row r="116" ht="22.5" customHeight="1">
      <c r="A116" s="48">
        <v>46070.0</v>
      </c>
      <c r="B116" s="49" t="s">
        <v>1981</v>
      </c>
      <c r="C116" s="49" t="s">
        <v>1983</v>
      </c>
      <c r="D116" s="49" t="s">
        <v>274</v>
      </c>
      <c r="E116" s="49" t="s">
        <v>1984</v>
      </c>
      <c r="F116" s="49" t="s">
        <v>1982</v>
      </c>
      <c r="G116" s="49" t="s">
        <v>1985</v>
      </c>
      <c r="H116" s="49" t="s">
        <v>1129</v>
      </c>
      <c r="I116" s="49" t="s">
        <v>1986</v>
      </c>
      <c r="J116" s="49" t="s">
        <v>1987</v>
      </c>
      <c r="K116" s="49" t="s">
        <v>1028</v>
      </c>
      <c r="L116" s="49"/>
      <c r="M116" s="37"/>
      <c r="N116" s="37"/>
      <c r="O116" s="37"/>
      <c r="P116" s="37"/>
      <c r="Q116" s="37"/>
      <c r="R116" s="37"/>
      <c r="S116" s="37"/>
      <c r="T116" s="37"/>
      <c r="U116" s="37"/>
      <c r="V116" s="37"/>
    </row>
    <row r="117" ht="22.5" customHeight="1">
      <c r="A117" s="48">
        <v>46070.0</v>
      </c>
      <c r="B117" s="49" t="s">
        <v>1931</v>
      </c>
      <c r="C117" s="49" t="s">
        <v>1932</v>
      </c>
      <c r="D117" s="49" t="s">
        <v>274</v>
      </c>
      <c r="E117" s="49" t="s">
        <v>1345</v>
      </c>
      <c r="F117" s="49" t="s">
        <v>1382</v>
      </c>
      <c r="G117" s="49" t="s">
        <v>1930</v>
      </c>
      <c r="H117" s="49" t="s">
        <v>1207</v>
      </c>
      <c r="I117" s="49"/>
      <c r="J117" s="49" t="s">
        <v>1385</v>
      </c>
      <c r="K117" s="49" t="s">
        <v>1028</v>
      </c>
      <c r="L117" s="49"/>
      <c r="M117" s="37"/>
      <c r="N117" s="37"/>
      <c r="O117" s="37"/>
      <c r="P117" s="37"/>
      <c r="Q117" s="37"/>
      <c r="R117" s="37"/>
      <c r="S117" s="37"/>
      <c r="T117" s="37"/>
      <c r="U117" s="37"/>
      <c r="V117" s="37"/>
    </row>
    <row r="118" ht="22.5" customHeight="1">
      <c r="A118" s="48">
        <v>46070.0</v>
      </c>
      <c r="B118" s="49" t="s">
        <v>1955</v>
      </c>
      <c r="C118" s="49" t="s">
        <v>1957</v>
      </c>
      <c r="D118" s="49" t="s">
        <v>971</v>
      </c>
      <c r="E118" s="49" t="s">
        <v>944</v>
      </c>
      <c r="F118" s="49" t="s">
        <v>1956</v>
      </c>
      <c r="G118" s="49" t="s">
        <v>1365</v>
      </c>
      <c r="H118" s="49" t="s">
        <v>1178</v>
      </c>
      <c r="I118" s="49" t="s">
        <v>1959</v>
      </c>
      <c r="J118" s="49" t="s">
        <v>1960</v>
      </c>
      <c r="K118" s="49" t="s">
        <v>1028</v>
      </c>
      <c r="L118" s="49"/>
      <c r="M118" s="37"/>
      <c r="N118" s="37"/>
      <c r="O118" s="37"/>
      <c r="P118" s="37"/>
      <c r="Q118" s="37"/>
      <c r="R118" s="37"/>
      <c r="S118" s="37"/>
      <c r="T118" s="37"/>
      <c r="U118" s="37"/>
      <c r="V118" s="37"/>
    </row>
    <row r="119" ht="22.5" customHeight="1">
      <c r="A119" s="48">
        <v>46070.0</v>
      </c>
      <c r="B119" s="49" t="s">
        <v>2498</v>
      </c>
      <c r="C119" s="49" t="s">
        <v>2499</v>
      </c>
      <c r="D119" s="49" t="s">
        <v>971</v>
      </c>
      <c r="E119" s="49" t="s">
        <v>2500</v>
      </c>
      <c r="F119" s="49" t="s">
        <v>2501</v>
      </c>
      <c r="G119" s="49" t="s">
        <v>2502</v>
      </c>
      <c r="H119" s="49" t="s">
        <v>1025</v>
      </c>
      <c r="I119" s="49" t="s">
        <v>2503</v>
      </c>
      <c r="J119" s="49" t="s">
        <v>2504</v>
      </c>
      <c r="K119" s="49" t="s">
        <v>1028</v>
      </c>
      <c r="L119" s="49"/>
      <c r="M119" s="37"/>
      <c r="N119" s="37"/>
      <c r="O119" s="37"/>
      <c r="P119" s="37"/>
      <c r="Q119" s="37"/>
      <c r="R119" s="37"/>
      <c r="S119" s="37"/>
      <c r="T119" s="37"/>
      <c r="U119" s="37"/>
      <c r="V119" s="37"/>
    </row>
    <row r="120" ht="22.5" customHeight="1">
      <c r="A120" s="48">
        <v>46070.0</v>
      </c>
      <c r="B120" s="49" t="s">
        <v>2126</v>
      </c>
      <c r="C120" s="49" t="s">
        <v>2505</v>
      </c>
      <c r="D120" s="22" t="s">
        <v>971</v>
      </c>
      <c r="E120" s="22" t="s">
        <v>2129</v>
      </c>
      <c r="F120" s="22" t="s">
        <v>914</v>
      </c>
      <c r="G120" s="22" t="s">
        <v>2506</v>
      </c>
      <c r="H120" s="49" t="s">
        <v>1025</v>
      </c>
      <c r="I120" s="49" t="s">
        <v>1135</v>
      </c>
      <c r="J120" s="49" t="s">
        <v>2154</v>
      </c>
      <c r="K120" s="49" t="s">
        <v>1028</v>
      </c>
      <c r="L120" s="37"/>
      <c r="M120" s="37"/>
      <c r="N120" s="37"/>
      <c r="O120" s="37"/>
      <c r="P120" s="37"/>
      <c r="Q120" s="37"/>
      <c r="R120" s="37"/>
      <c r="S120" s="37"/>
      <c r="T120" s="37"/>
      <c r="U120" s="37"/>
      <c r="V120" s="37"/>
    </row>
    <row r="121" ht="22.5" customHeight="1">
      <c r="A121" s="48">
        <v>46070.0</v>
      </c>
      <c r="B121" s="49" t="s">
        <v>1934</v>
      </c>
      <c r="C121" s="49" t="s">
        <v>1936</v>
      </c>
      <c r="D121" s="49" t="s">
        <v>969</v>
      </c>
      <c r="E121" s="49" t="s">
        <v>1937</v>
      </c>
      <c r="F121" s="49" t="s">
        <v>1935</v>
      </c>
      <c r="G121" s="49" t="s">
        <v>1938</v>
      </c>
      <c r="H121" s="49" t="s">
        <v>1025</v>
      </c>
      <c r="I121" s="49" t="s">
        <v>1939</v>
      </c>
      <c r="J121" s="49" t="s">
        <v>1940</v>
      </c>
      <c r="K121" s="49" t="s">
        <v>1028</v>
      </c>
      <c r="L121" s="49"/>
      <c r="M121" s="37"/>
      <c r="N121" s="37"/>
      <c r="O121" s="37"/>
      <c r="P121" s="37"/>
      <c r="Q121" s="37"/>
      <c r="R121" s="37"/>
      <c r="S121" s="37"/>
      <c r="T121" s="37"/>
      <c r="U121" s="37"/>
      <c r="V121" s="37"/>
    </row>
    <row r="122" ht="22.5" customHeight="1">
      <c r="A122" s="48">
        <v>46071.0</v>
      </c>
      <c r="B122" s="49" t="s">
        <v>2477</v>
      </c>
      <c r="C122" s="49" t="s">
        <v>2507</v>
      </c>
      <c r="D122" s="49" t="s">
        <v>274</v>
      </c>
      <c r="E122" s="49" t="s">
        <v>858</v>
      </c>
      <c r="F122" s="49" t="s">
        <v>2102</v>
      </c>
      <c r="G122" s="49" t="s">
        <v>2508</v>
      </c>
      <c r="H122" s="49" t="s">
        <v>1129</v>
      </c>
      <c r="I122" s="49" t="s">
        <v>2104</v>
      </c>
      <c r="J122" s="49" t="s">
        <v>2481</v>
      </c>
      <c r="K122" s="49" t="s">
        <v>1028</v>
      </c>
      <c r="L122" s="37"/>
      <c r="M122" s="37"/>
      <c r="N122" s="37"/>
      <c r="O122" s="37"/>
      <c r="P122" s="37"/>
      <c r="Q122" s="37"/>
      <c r="R122" s="37"/>
      <c r="S122" s="37"/>
      <c r="T122" s="37"/>
      <c r="U122" s="37"/>
      <c r="V122" s="37"/>
    </row>
    <row r="123" ht="22.5" customHeight="1">
      <c r="A123" s="48">
        <v>46071.0</v>
      </c>
      <c r="B123" s="49" t="s">
        <v>2509</v>
      </c>
      <c r="C123" s="49" t="s">
        <v>2510</v>
      </c>
      <c r="D123" s="49" t="s">
        <v>969</v>
      </c>
      <c r="E123" s="49" t="s">
        <v>2075</v>
      </c>
      <c r="F123" s="49" t="s">
        <v>2134</v>
      </c>
      <c r="G123" s="49" t="s">
        <v>2511</v>
      </c>
      <c r="H123" s="49" t="s">
        <v>1207</v>
      </c>
      <c r="I123" s="49" t="s">
        <v>2137</v>
      </c>
      <c r="J123" s="49" t="s">
        <v>2512</v>
      </c>
      <c r="K123" s="49" t="s">
        <v>1028</v>
      </c>
      <c r="L123" s="49" t="s">
        <v>945</v>
      </c>
      <c r="M123" s="37"/>
      <c r="N123" s="37"/>
      <c r="O123" s="37"/>
      <c r="P123" s="37"/>
      <c r="Q123" s="37"/>
      <c r="R123" s="37"/>
      <c r="S123" s="37"/>
      <c r="T123" s="37"/>
      <c r="U123" s="37"/>
      <c r="V123" s="37"/>
    </row>
    <row r="124" ht="22.5" customHeight="1">
      <c r="A124" s="48">
        <v>46071.0</v>
      </c>
      <c r="B124" s="49" t="s">
        <v>2513</v>
      </c>
      <c r="C124" s="49" t="s">
        <v>2514</v>
      </c>
      <c r="D124" s="49" t="s">
        <v>971</v>
      </c>
      <c r="E124" s="49" t="s">
        <v>1112</v>
      </c>
      <c r="F124" s="49" t="s">
        <v>562</v>
      </c>
      <c r="G124" s="49" t="s">
        <v>2188</v>
      </c>
      <c r="H124" s="49" t="s">
        <v>1025</v>
      </c>
      <c r="I124" s="49" t="s">
        <v>1291</v>
      </c>
      <c r="J124" s="49" t="s">
        <v>2515</v>
      </c>
      <c r="K124" s="49" t="s">
        <v>1028</v>
      </c>
      <c r="L124" s="49"/>
      <c r="M124" s="37"/>
      <c r="N124" s="37"/>
      <c r="O124" s="37"/>
      <c r="P124" s="37"/>
      <c r="Q124" s="37"/>
      <c r="R124" s="37"/>
      <c r="S124" s="37"/>
      <c r="T124" s="37"/>
      <c r="U124" s="37"/>
      <c r="V124" s="37"/>
    </row>
    <row r="125" ht="22.5" customHeight="1">
      <c r="A125" s="48">
        <v>46071.0</v>
      </c>
      <c r="B125" s="49" t="s">
        <v>876</v>
      </c>
      <c r="C125" s="49" t="s">
        <v>2516</v>
      </c>
      <c r="D125" s="49" t="s">
        <v>971</v>
      </c>
      <c r="E125" s="49" t="s">
        <v>944</v>
      </c>
      <c r="F125" s="49" t="s">
        <v>1956</v>
      </c>
      <c r="G125" s="49" t="s">
        <v>2517</v>
      </c>
      <c r="H125" s="49" t="s">
        <v>1178</v>
      </c>
      <c r="I125" s="49" t="s">
        <v>1959</v>
      </c>
      <c r="J125" s="49" t="s">
        <v>2518</v>
      </c>
      <c r="K125" s="49" t="s">
        <v>1028</v>
      </c>
      <c r="L125" s="37"/>
      <c r="M125" s="37"/>
      <c r="N125" s="37"/>
      <c r="O125" s="37"/>
      <c r="P125" s="37"/>
      <c r="Q125" s="37"/>
      <c r="R125" s="37"/>
      <c r="S125" s="37"/>
      <c r="T125" s="37"/>
      <c r="U125" s="37"/>
      <c r="V125" s="37"/>
    </row>
    <row r="126" ht="22.5" customHeight="1">
      <c r="A126" s="48">
        <v>46071.0</v>
      </c>
      <c r="B126" s="49" t="s">
        <v>2519</v>
      </c>
      <c r="C126" s="49" t="s">
        <v>2520</v>
      </c>
      <c r="D126" s="49" t="s">
        <v>971</v>
      </c>
      <c r="E126" s="49" t="s">
        <v>2521</v>
      </c>
      <c r="F126" s="49" t="s">
        <v>2522</v>
      </c>
      <c r="G126" s="49" t="s">
        <v>2523</v>
      </c>
      <c r="H126" s="49" t="s">
        <v>1025</v>
      </c>
      <c r="I126" s="49"/>
      <c r="J126" s="49" t="s">
        <v>2524</v>
      </c>
      <c r="K126" s="49" t="s">
        <v>1028</v>
      </c>
      <c r="L126" s="49"/>
      <c r="M126" s="37"/>
      <c r="N126" s="37"/>
      <c r="O126" s="37"/>
      <c r="P126" s="37"/>
      <c r="Q126" s="37"/>
      <c r="R126" s="37"/>
      <c r="S126" s="37"/>
      <c r="T126" s="37"/>
      <c r="U126" s="37"/>
      <c r="V126" s="37"/>
    </row>
    <row r="127" ht="22.5" customHeight="1">
      <c r="A127" s="48">
        <v>46071.0</v>
      </c>
      <c r="B127" s="49" t="s">
        <v>2525</v>
      </c>
      <c r="C127" s="49" t="s">
        <v>2526</v>
      </c>
      <c r="D127" s="49" t="s">
        <v>971</v>
      </c>
      <c r="E127" s="49" t="s">
        <v>2527</v>
      </c>
      <c r="F127" s="49" t="s">
        <v>2528</v>
      </c>
      <c r="G127" s="49" t="s">
        <v>2529</v>
      </c>
      <c r="H127" s="49" t="s">
        <v>1025</v>
      </c>
      <c r="I127" s="49" t="s">
        <v>2307</v>
      </c>
      <c r="J127" s="49" t="s">
        <v>2530</v>
      </c>
      <c r="K127" s="49" t="s">
        <v>1028</v>
      </c>
      <c r="L127" s="37"/>
      <c r="M127" s="37"/>
      <c r="N127" s="37"/>
      <c r="O127" s="37"/>
      <c r="P127" s="37"/>
      <c r="Q127" s="37"/>
      <c r="R127" s="37"/>
      <c r="S127" s="37"/>
      <c r="T127" s="37"/>
      <c r="U127" s="37"/>
      <c r="V127" s="37"/>
    </row>
    <row r="128" ht="22.5" customHeight="1">
      <c r="A128" s="48">
        <v>46071.0</v>
      </c>
      <c r="B128" s="49" t="s">
        <v>2531</v>
      </c>
      <c r="C128" s="49" t="s">
        <v>2532</v>
      </c>
      <c r="D128" s="49" t="s">
        <v>274</v>
      </c>
      <c r="E128" s="49" t="s">
        <v>858</v>
      </c>
      <c r="F128" s="49" t="s">
        <v>2533</v>
      </c>
      <c r="G128" s="49" t="s">
        <v>2534</v>
      </c>
      <c r="H128" s="49" t="s">
        <v>1129</v>
      </c>
      <c r="I128" s="49"/>
      <c r="J128" s="49" t="s">
        <v>2535</v>
      </c>
      <c r="K128" s="49" t="s">
        <v>1028</v>
      </c>
      <c r="L128" s="49"/>
      <c r="M128" s="37"/>
      <c r="N128" s="37"/>
      <c r="O128" s="37"/>
      <c r="P128" s="37"/>
      <c r="Q128" s="37"/>
      <c r="R128" s="37"/>
      <c r="S128" s="37"/>
      <c r="T128" s="37"/>
      <c r="U128" s="37"/>
      <c r="V128" s="37"/>
    </row>
    <row r="129" ht="22.5" customHeight="1">
      <c r="A129" s="48">
        <v>46071.0</v>
      </c>
      <c r="B129" s="49" t="s">
        <v>2536</v>
      </c>
      <c r="C129" s="49" t="s">
        <v>2537</v>
      </c>
      <c r="D129" s="49" t="s">
        <v>969</v>
      </c>
      <c r="E129" s="49" t="s">
        <v>944</v>
      </c>
      <c r="F129" s="49" t="s">
        <v>983</v>
      </c>
      <c r="G129" s="49" t="s">
        <v>2538</v>
      </c>
      <c r="H129" s="49" t="s">
        <v>1025</v>
      </c>
      <c r="I129" s="49" t="s">
        <v>2539</v>
      </c>
      <c r="J129" s="49" t="s">
        <v>2540</v>
      </c>
      <c r="K129" s="49" t="s">
        <v>1028</v>
      </c>
      <c r="L129" s="49"/>
      <c r="M129" s="37"/>
      <c r="N129" s="37"/>
      <c r="O129" s="37"/>
      <c r="P129" s="37"/>
      <c r="Q129" s="37"/>
      <c r="R129" s="37"/>
      <c r="S129" s="37"/>
      <c r="T129" s="37"/>
      <c r="U129" s="37"/>
      <c r="V129" s="37"/>
    </row>
    <row r="130" ht="22.5" customHeight="1">
      <c r="A130" s="48">
        <v>46071.0</v>
      </c>
      <c r="B130" s="49" t="s">
        <v>2541</v>
      </c>
      <c r="C130" s="49" t="s">
        <v>2542</v>
      </c>
      <c r="D130" s="49" t="s">
        <v>971</v>
      </c>
      <c r="E130" s="49" t="s">
        <v>2543</v>
      </c>
      <c r="F130" s="49" t="s">
        <v>2544</v>
      </c>
      <c r="G130" s="49" t="s">
        <v>1407</v>
      </c>
      <c r="H130" s="49" t="s">
        <v>1129</v>
      </c>
      <c r="I130" s="49" t="s">
        <v>2545</v>
      </c>
      <c r="J130" s="49" t="s">
        <v>2546</v>
      </c>
      <c r="K130" s="49" t="s">
        <v>1028</v>
      </c>
      <c r="L130" s="49"/>
      <c r="M130" s="37"/>
      <c r="N130" s="37"/>
      <c r="O130" s="37"/>
      <c r="P130" s="37"/>
      <c r="Q130" s="37"/>
      <c r="R130" s="37"/>
      <c r="S130" s="37"/>
      <c r="T130" s="37"/>
      <c r="U130" s="37"/>
      <c r="V130" s="37"/>
    </row>
    <row r="131" ht="22.5" customHeight="1">
      <c r="A131" s="48">
        <v>46071.0</v>
      </c>
      <c r="B131" s="49" t="s">
        <v>2547</v>
      </c>
      <c r="C131" s="49" t="s">
        <v>2548</v>
      </c>
      <c r="D131" s="49" t="s">
        <v>971</v>
      </c>
      <c r="E131" s="49" t="s">
        <v>959</v>
      </c>
      <c r="F131" s="49" t="s">
        <v>956</v>
      </c>
      <c r="G131" s="49" t="s">
        <v>2549</v>
      </c>
      <c r="H131" s="49" t="s">
        <v>1025</v>
      </c>
      <c r="I131" s="49" t="s">
        <v>1620</v>
      </c>
      <c r="J131" s="49" t="s">
        <v>2550</v>
      </c>
      <c r="K131" s="49" t="s">
        <v>1028</v>
      </c>
      <c r="L131" s="49"/>
      <c r="M131" s="37"/>
      <c r="N131" s="37"/>
      <c r="O131" s="37"/>
      <c r="P131" s="37"/>
      <c r="Q131" s="37"/>
      <c r="R131" s="37"/>
      <c r="S131" s="37"/>
      <c r="T131" s="37"/>
      <c r="U131" s="37"/>
      <c r="V131" s="37"/>
    </row>
    <row r="132" ht="22.5" customHeight="1">
      <c r="A132" s="48">
        <v>46071.0</v>
      </c>
      <c r="B132" s="49" t="s">
        <v>2551</v>
      </c>
      <c r="C132" s="49" t="s">
        <v>2552</v>
      </c>
      <c r="D132" s="49" t="s">
        <v>971</v>
      </c>
      <c r="E132" s="49" t="s">
        <v>1087</v>
      </c>
      <c r="F132" s="49" t="s">
        <v>789</v>
      </c>
      <c r="G132" s="49" t="s">
        <v>2337</v>
      </c>
      <c r="H132" s="49" t="s">
        <v>1129</v>
      </c>
      <c r="I132" s="49" t="s">
        <v>2553</v>
      </c>
      <c r="J132" s="49" t="s">
        <v>2554</v>
      </c>
      <c r="K132" s="49" t="s">
        <v>1028</v>
      </c>
      <c r="L132" s="49" t="s">
        <v>945</v>
      </c>
      <c r="M132" s="37"/>
      <c r="N132" s="37"/>
      <c r="O132" s="37"/>
      <c r="P132" s="37"/>
      <c r="Q132" s="37"/>
      <c r="R132" s="37"/>
      <c r="S132" s="37"/>
      <c r="T132" s="37"/>
      <c r="U132" s="37"/>
      <c r="V132" s="37"/>
    </row>
    <row r="133" ht="22.5" customHeight="1">
      <c r="A133" s="48">
        <v>46071.0</v>
      </c>
      <c r="B133" s="49" t="s">
        <v>2551</v>
      </c>
      <c r="C133" s="49" t="s">
        <v>2555</v>
      </c>
      <c r="D133" s="49" t="s">
        <v>971</v>
      </c>
      <c r="E133" s="49" t="s">
        <v>1087</v>
      </c>
      <c r="F133" s="49" t="s">
        <v>2556</v>
      </c>
      <c r="G133" s="49" t="s">
        <v>2337</v>
      </c>
      <c r="H133" s="50">
        <v>46032.0</v>
      </c>
      <c r="I133" s="49"/>
      <c r="J133" s="49" t="s">
        <v>2554</v>
      </c>
      <c r="K133" s="49" t="s">
        <v>1028</v>
      </c>
      <c r="L133" s="49" t="s">
        <v>945</v>
      </c>
      <c r="M133" s="37"/>
      <c r="N133" s="37"/>
      <c r="O133" s="37"/>
      <c r="P133" s="37"/>
      <c r="Q133" s="37"/>
      <c r="R133" s="37"/>
      <c r="S133" s="37"/>
      <c r="T133" s="37"/>
      <c r="U133" s="37"/>
      <c r="V133" s="37"/>
    </row>
    <row r="134" ht="22.5" customHeight="1">
      <c r="A134" s="48">
        <v>46071.0</v>
      </c>
      <c r="B134" s="49" t="s">
        <v>2557</v>
      </c>
      <c r="C134" s="49" t="s">
        <v>2558</v>
      </c>
      <c r="D134" s="49" t="s">
        <v>969</v>
      </c>
      <c r="E134" s="49" t="s">
        <v>1144</v>
      </c>
      <c r="F134" s="49" t="s">
        <v>2559</v>
      </c>
      <c r="G134" s="49" t="s">
        <v>2560</v>
      </c>
      <c r="H134" s="49" t="s">
        <v>1025</v>
      </c>
      <c r="I134" s="49" t="s">
        <v>2561</v>
      </c>
      <c r="J134" s="49" t="s">
        <v>2562</v>
      </c>
      <c r="K134" s="49" t="s">
        <v>1028</v>
      </c>
      <c r="L134" s="37"/>
      <c r="M134" s="37"/>
      <c r="N134" s="37"/>
      <c r="O134" s="37"/>
      <c r="P134" s="37"/>
      <c r="Q134" s="37"/>
      <c r="R134" s="37"/>
      <c r="S134" s="37"/>
      <c r="T134" s="37"/>
      <c r="U134" s="37"/>
      <c r="V134" s="37"/>
    </row>
    <row r="135" ht="22.5" customHeight="1">
      <c r="A135" s="48">
        <v>46071.0</v>
      </c>
      <c r="B135" s="49" t="s">
        <v>2563</v>
      </c>
      <c r="C135" s="49" t="s">
        <v>2564</v>
      </c>
      <c r="D135" s="49" t="s">
        <v>971</v>
      </c>
      <c r="E135" s="49" t="s">
        <v>2565</v>
      </c>
      <c r="F135" s="49" t="s">
        <v>914</v>
      </c>
      <c r="G135" s="49" t="s">
        <v>2566</v>
      </c>
      <c r="H135" s="49" t="s">
        <v>1025</v>
      </c>
      <c r="I135" s="49" t="s">
        <v>1135</v>
      </c>
      <c r="J135" s="49" t="s">
        <v>2567</v>
      </c>
      <c r="K135" s="49" t="s">
        <v>1028</v>
      </c>
      <c r="L135" s="37"/>
      <c r="M135" s="37"/>
      <c r="N135" s="37"/>
      <c r="O135" s="37"/>
      <c r="P135" s="37"/>
      <c r="Q135" s="37"/>
      <c r="R135" s="37"/>
      <c r="S135" s="37"/>
      <c r="T135" s="37"/>
      <c r="U135" s="37"/>
      <c r="V135" s="37"/>
    </row>
    <row r="136" ht="22.5" customHeight="1">
      <c r="A136" s="48">
        <v>46071.0</v>
      </c>
      <c r="B136" s="49" t="s">
        <v>2568</v>
      </c>
      <c r="C136" s="49" t="s">
        <v>2569</v>
      </c>
      <c r="D136" s="49" t="s">
        <v>971</v>
      </c>
      <c r="E136" s="49" t="s">
        <v>952</v>
      </c>
      <c r="F136" s="49" t="s">
        <v>2570</v>
      </c>
      <c r="G136" s="49" t="s">
        <v>2571</v>
      </c>
      <c r="H136" s="49" t="s">
        <v>1057</v>
      </c>
      <c r="I136" s="49" t="s">
        <v>2572</v>
      </c>
      <c r="J136" s="49" t="s">
        <v>2573</v>
      </c>
      <c r="K136" s="49" t="s">
        <v>1028</v>
      </c>
      <c r="L136" s="37"/>
      <c r="M136" s="37"/>
      <c r="N136" s="37"/>
      <c r="O136" s="37"/>
      <c r="P136" s="37"/>
      <c r="Q136" s="37"/>
      <c r="R136" s="37"/>
      <c r="S136" s="37"/>
      <c r="T136" s="37"/>
      <c r="U136" s="37"/>
      <c r="V136" s="37"/>
    </row>
    <row r="137" ht="22.5" customHeight="1">
      <c r="A137" s="48">
        <v>46071.0</v>
      </c>
      <c r="B137" s="49" t="s">
        <v>2574</v>
      </c>
      <c r="C137" s="49" t="s">
        <v>2575</v>
      </c>
      <c r="D137" s="49" t="s">
        <v>969</v>
      </c>
      <c r="E137" s="49" t="s">
        <v>1285</v>
      </c>
      <c r="F137" s="49" t="s">
        <v>933</v>
      </c>
      <c r="G137" s="49" t="s">
        <v>2576</v>
      </c>
      <c r="H137" s="49" t="s">
        <v>1025</v>
      </c>
      <c r="I137" s="49" t="s">
        <v>2577</v>
      </c>
      <c r="J137" s="49" t="s">
        <v>2578</v>
      </c>
      <c r="K137" s="49" t="s">
        <v>1028</v>
      </c>
      <c r="L137" s="37"/>
      <c r="M137" s="37"/>
      <c r="N137" s="37"/>
      <c r="O137" s="37"/>
      <c r="P137" s="37"/>
      <c r="Q137" s="37"/>
      <c r="R137" s="37"/>
      <c r="S137" s="37"/>
      <c r="T137" s="37"/>
      <c r="U137" s="37"/>
      <c r="V137" s="37"/>
    </row>
    <row r="138" ht="22.5" customHeight="1">
      <c r="A138" s="48">
        <v>46071.0</v>
      </c>
      <c r="B138" s="49" t="s">
        <v>2579</v>
      </c>
      <c r="C138" s="49" t="s">
        <v>2580</v>
      </c>
      <c r="D138" s="49" t="s">
        <v>971</v>
      </c>
      <c r="E138" s="49" t="s">
        <v>2581</v>
      </c>
      <c r="F138" s="49" t="s">
        <v>914</v>
      </c>
      <c r="G138" s="49" t="s">
        <v>2582</v>
      </c>
      <c r="H138" s="49" t="s">
        <v>1025</v>
      </c>
      <c r="I138" s="49" t="s">
        <v>1135</v>
      </c>
      <c r="J138" s="49" t="s">
        <v>2583</v>
      </c>
      <c r="K138" s="49" t="s">
        <v>1028</v>
      </c>
      <c r="L138" s="37"/>
      <c r="M138" s="37"/>
      <c r="N138" s="37"/>
      <c r="O138" s="37"/>
      <c r="P138" s="37"/>
      <c r="Q138" s="37"/>
      <c r="R138" s="37"/>
      <c r="S138" s="37"/>
      <c r="T138" s="37"/>
      <c r="U138" s="37"/>
      <c r="V138" s="37"/>
    </row>
    <row r="139" ht="22.5" customHeight="1">
      <c r="A139" s="48">
        <v>46071.0</v>
      </c>
      <c r="B139" s="49" t="s">
        <v>2574</v>
      </c>
      <c r="C139" s="49" t="s">
        <v>2584</v>
      </c>
      <c r="D139" s="49" t="s">
        <v>969</v>
      </c>
      <c r="E139" s="49" t="s">
        <v>1285</v>
      </c>
      <c r="F139" s="49" t="s">
        <v>933</v>
      </c>
      <c r="G139" s="49" t="s">
        <v>2585</v>
      </c>
      <c r="H139" s="49" t="s">
        <v>1025</v>
      </c>
      <c r="I139" s="49" t="s">
        <v>2577</v>
      </c>
      <c r="J139" s="49" t="s">
        <v>2578</v>
      </c>
      <c r="K139" s="49" t="s">
        <v>1028</v>
      </c>
      <c r="L139" s="37"/>
      <c r="M139" s="37"/>
      <c r="N139" s="37"/>
      <c r="O139" s="37"/>
      <c r="P139" s="37"/>
      <c r="Q139" s="37"/>
      <c r="R139" s="37"/>
      <c r="S139" s="37"/>
      <c r="T139" s="37"/>
      <c r="U139" s="37"/>
      <c r="V139" s="37"/>
    </row>
    <row r="140" ht="22.5" customHeight="1">
      <c r="A140" s="48">
        <v>46071.0</v>
      </c>
      <c r="B140" s="49" t="s">
        <v>2586</v>
      </c>
      <c r="C140" s="49" t="s">
        <v>2587</v>
      </c>
      <c r="D140" s="49" t="s">
        <v>969</v>
      </c>
      <c r="E140" s="49" t="s">
        <v>2588</v>
      </c>
      <c r="F140" s="49" t="s">
        <v>390</v>
      </c>
      <c r="G140" s="49" t="s">
        <v>2589</v>
      </c>
      <c r="H140" s="49" t="s">
        <v>1025</v>
      </c>
      <c r="I140" s="49" t="s">
        <v>2590</v>
      </c>
      <c r="J140" s="49" t="s">
        <v>2591</v>
      </c>
      <c r="K140" s="49" t="s">
        <v>1028</v>
      </c>
      <c r="L140" s="37"/>
      <c r="M140" s="37"/>
      <c r="N140" s="37"/>
      <c r="O140" s="37"/>
      <c r="P140" s="37"/>
      <c r="Q140" s="37"/>
      <c r="R140" s="37"/>
      <c r="S140" s="37"/>
      <c r="T140" s="37"/>
      <c r="U140" s="37"/>
      <c r="V140" s="37"/>
    </row>
    <row r="141" ht="22.5" customHeight="1">
      <c r="A141" s="48">
        <v>46071.0</v>
      </c>
      <c r="B141" s="49" t="s">
        <v>2525</v>
      </c>
      <c r="C141" s="49" t="s">
        <v>2592</v>
      </c>
      <c r="D141" s="49" t="s">
        <v>971</v>
      </c>
      <c r="E141" s="49" t="s">
        <v>2593</v>
      </c>
      <c r="F141" s="49" t="s">
        <v>2528</v>
      </c>
      <c r="G141" s="49" t="s">
        <v>2594</v>
      </c>
      <c r="H141" s="49" t="s">
        <v>1025</v>
      </c>
      <c r="I141" s="49" t="s">
        <v>2307</v>
      </c>
      <c r="J141" s="49" t="s">
        <v>2530</v>
      </c>
      <c r="K141" s="49" t="s">
        <v>1028</v>
      </c>
      <c r="L141" s="49"/>
      <c r="M141" s="37"/>
      <c r="N141" s="37"/>
      <c r="O141" s="37"/>
      <c r="P141" s="37"/>
      <c r="Q141" s="37"/>
      <c r="R141" s="37"/>
      <c r="S141" s="37"/>
      <c r="T141" s="37"/>
      <c r="U141" s="37"/>
      <c r="V141" s="37"/>
    </row>
    <row r="142" ht="22.5" customHeight="1">
      <c r="A142" s="48">
        <v>46071.0</v>
      </c>
      <c r="B142" s="49" t="s">
        <v>778</v>
      </c>
      <c r="C142" s="49" t="s">
        <v>2595</v>
      </c>
      <c r="D142" s="22" t="s">
        <v>971</v>
      </c>
      <c r="E142" s="22" t="s">
        <v>2596</v>
      </c>
      <c r="F142" s="22" t="s">
        <v>2597</v>
      </c>
      <c r="G142" s="22" t="s">
        <v>2598</v>
      </c>
      <c r="H142" s="49" t="s">
        <v>1207</v>
      </c>
      <c r="I142" s="49" t="s">
        <v>2599</v>
      </c>
      <c r="J142" s="49" t="s">
        <v>2600</v>
      </c>
      <c r="K142" s="49" t="s">
        <v>1028</v>
      </c>
      <c r="L142" s="49"/>
      <c r="M142" s="37"/>
      <c r="N142" s="37"/>
      <c r="O142" s="37"/>
      <c r="P142" s="37"/>
      <c r="Q142" s="37"/>
      <c r="R142" s="37"/>
      <c r="S142" s="37"/>
      <c r="T142" s="37"/>
      <c r="U142" s="37"/>
      <c r="V142" s="37"/>
    </row>
    <row r="143" ht="22.5" customHeight="1">
      <c r="A143" s="48">
        <v>46071.0</v>
      </c>
      <c r="B143" s="49" t="s">
        <v>2557</v>
      </c>
      <c r="C143" s="49" t="s">
        <v>2601</v>
      </c>
      <c r="D143" s="49" t="s">
        <v>969</v>
      </c>
      <c r="E143" s="49" t="s">
        <v>1144</v>
      </c>
      <c r="F143" s="49" t="s">
        <v>2559</v>
      </c>
      <c r="G143" s="49" t="s">
        <v>2602</v>
      </c>
      <c r="H143" s="49" t="s">
        <v>1025</v>
      </c>
      <c r="I143" s="49" t="s">
        <v>2561</v>
      </c>
      <c r="J143" s="49" t="s">
        <v>2562</v>
      </c>
      <c r="K143" s="49" t="s">
        <v>1028</v>
      </c>
      <c r="L143" s="49"/>
      <c r="M143" s="37"/>
      <c r="N143" s="37"/>
      <c r="O143" s="37"/>
      <c r="P143" s="37"/>
      <c r="Q143" s="37"/>
      <c r="R143" s="37"/>
      <c r="S143" s="37"/>
      <c r="T143" s="37"/>
      <c r="U143" s="37"/>
      <c r="V143" s="37"/>
    </row>
    <row r="144" ht="22.5" customHeight="1">
      <c r="A144" s="48">
        <v>46071.0</v>
      </c>
      <c r="B144" s="49" t="s">
        <v>2603</v>
      </c>
      <c r="C144" s="49" t="s">
        <v>2604</v>
      </c>
      <c r="D144" s="49" t="s">
        <v>971</v>
      </c>
      <c r="E144" s="49" t="s">
        <v>2251</v>
      </c>
      <c r="F144" s="49" t="s">
        <v>2605</v>
      </c>
      <c r="G144" s="49" t="s">
        <v>2606</v>
      </c>
      <c r="H144" s="49" t="s">
        <v>1025</v>
      </c>
      <c r="I144" s="49" t="s">
        <v>2607</v>
      </c>
      <c r="J144" s="49" t="s">
        <v>2608</v>
      </c>
      <c r="K144" s="49" t="s">
        <v>1028</v>
      </c>
      <c r="L144" s="49"/>
      <c r="M144" s="37"/>
      <c r="N144" s="37"/>
      <c r="O144" s="37"/>
      <c r="P144" s="37"/>
      <c r="Q144" s="37"/>
      <c r="R144" s="37"/>
      <c r="S144" s="37"/>
      <c r="T144" s="37"/>
      <c r="U144" s="37"/>
      <c r="V144" s="37"/>
    </row>
    <row r="145" ht="22.5" customHeight="1">
      <c r="A145" s="48">
        <v>46071.0</v>
      </c>
      <c r="B145" s="49" t="s">
        <v>1357</v>
      </c>
      <c r="C145" s="49" t="s">
        <v>2609</v>
      </c>
      <c r="D145" s="49" t="s">
        <v>274</v>
      </c>
      <c r="E145" s="49" t="s">
        <v>858</v>
      </c>
      <c r="F145" s="55" t="s">
        <v>2394</v>
      </c>
      <c r="G145" s="49" t="s">
        <v>2610</v>
      </c>
      <c r="H145" s="49" t="s">
        <v>1107</v>
      </c>
      <c r="I145" s="49" t="s">
        <v>1544</v>
      </c>
      <c r="J145" s="49" t="s">
        <v>2396</v>
      </c>
      <c r="K145" s="49" t="s">
        <v>1028</v>
      </c>
      <c r="L145" s="37"/>
      <c r="M145" s="37"/>
      <c r="N145" s="37"/>
      <c r="O145" s="37"/>
      <c r="P145" s="37"/>
      <c r="Q145" s="37"/>
      <c r="R145" s="37"/>
      <c r="S145" s="37"/>
      <c r="T145" s="37"/>
      <c r="U145" s="37"/>
      <c r="V145" s="37"/>
    </row>
    <row r="146" ht="22.5" customHeight="1">
      <c r="A146" s="48">
        <v>46071.0</v>
      </c>
      <c r="B146" s="49" t="s">
        <v>2519</v>
      </c>
      <c r="C146" s="49" t="s">
        <v>2611</v>
      </c>
      <c r="D146" s="49" t="s">
        <v>971</v>
      </c>
      <c r="E146" s="49" t="s">
        <v>2612</v>
      </c>
      <c r="F146" s="49" t="s">
        <v>2522</v>
      </c>
      <c r="G146" s="49" t="s">
        <v>2613</v>
      </c>
      <c r="H146" s="49" t="s">
        <v>1025</v>
      </c>
      <c r="I146" s="49"/>
      <c r="J146" s="49" t="s">
        <v>2614</v>
      </c>
      <c r="K146" s="49" t="s">
        <v>1028</v>
      </c>
      <c r="L146" s="49"/>
      <c r="M146" s="37"/>
      <c r="N146" s="37"/>
      <c r="O146" s="37"/>
      <c r="P146" s="37"/>
      <c r="Q146" s="37"/>
      <c r="R146" s="37"/>
      <c r="S146" s="37"/>
      <c r="T146" s="37"/>
      <c r="U146" s="37"/>
      <c r="V146" s="37"/>
    </row>
    <row r="147" ht="22.5" customHeight="1">
      <c r="A147" s="48">
        <v>46071.0</v>
      </c>
      <c r="B147" s="49" t="s">
        <v>2615</v>
      </c>
      <c r="C147" s="49" t="s">
        <v>2616</v>
      </c>
      <c r="D147" s="49" t="s">
        <v>274</v>
      </c>
      <c r="E147" s="49" t="s">
        <v>2617</v>
      </c>
      <c r="F147" s="49" t="s">
        <v>2618</v>
      </c>
      <c r="G147" s="49" t="s">
        <v>2079</v>
      </c>
      <c r="H147" s="49" t="s">
        <v>1107</v>
      </c>
      <c r="I147" s="49" t="s">
        <v>2619</v>
      </c>
      <c r="J147" s="49" t="s">
        <v>2620</v>
      </c>
      <c r="K147" s="49" t="s">
        <v>1028</v>
      </c>
      <c r="L147" s="49"/>
      <c r="M147" s="37"/>
      <c r="N147" s="37"/>
      <c r="O147" s="37"/>
      <c r="P147" s="37"/>
      <c r="Q147" s="37"/>
      <c r="R147" s="37"/>
      <c r="S147" s="37"/>
      <c r="T147" s="37"/>
      <c r="U147" s="37"/>
      <c r="V147" s="37"/>
    </row>
    <row r="148" ht="22.5" customHeight="1">
      <c r="A148" s="48">
        <v>46071.0</v>
      </c>
      <c r="B148" s="49" t="s">
        <v>2621</v>
      </c>
      <c r="C148" s="49" t="s">
        <v>2622</v>
      </c>
      <c r="D148" s="49" t="s">
        <v>971</v>
      </c>
      <c r="E148" s="49" t="s">
        <v>1112</v>
      </c>
      <c r="F148" s="49" t="s">
        <v>2623</v>
      </c>
      <c r="G148" s="49" t="s">
        <v>2624</v>
      </c>
      <c r="H148" s="49" t="s">
        <v>1025</v>
      </c>
      <c r="I148" s="49"/>
      <c r="J148" s="49" t="s">
        <v>2625</v>
      </c>
      <c r="K148" s="49" t="s">
        <v>1028</v>
      </c>
      <c r="L148" s="37"/>
      <c r="M148" s="37"/>
      <c r="N148" s="37"/>
      <c r="O148" s="37"/>
      <c r="P148" s="37"/>
      <c r="Q148" s="37"/>
      <c r="R148" s="37"/>
      <c r="S148" s="37"/>
      <c r="T148" s="37"/>
      <c r="U148" s="37"/>
      <c r="V148" s="37"/>
    </row>
    <row r="149" ht="22.5" customHeight="1">
      <c r="A149" s="48">
        <v>46071.0</v>
      </c>
      <c r="B149" s="49" t="s">
        <v>2557</v>
      </c>
      <c r="C149" s="49" t="s">
        <v>2626</v>
      </c>
      <c r="D149" s="49" t="s">
        <v>969</v>
      </c>
      <c r="E149" s="49" t="s">
        <v>318</v>
      </c>
      <c r="F149" s="49" t="s">
        <v>2627</v>
      </c>
      <c r="G149" s="49" t="s">
        <v>2602</v>
      </c>
      <c r="H149" s="49" t="s">
        <v>1057</v>
      </c>
      <c r="I149" s="49"/>
      <c r="J149" s="49" t="s">
        <v>2562</v>
      </c>
      <c r="K149" s="49" t="s">
        <v>1028</v>
      </c>
      <c r="L149" s="37"/>
      <c r="M149" s="37"/>
      <c r="N149" s="37"/>
      <c r="O149" s="37"/>
      <c r="P149" s="37"/>
      <c r="Q149" s="37"/>
      <c r="R149" s="37"/>
      <c r="S149" s="37"/>
      <c r="T149" s="37"/>
      <c r="U149" s="37"/>
      <c r="V149" s="37"/>
    </row>
    <row r="150" ht="22.5" customHeight="1">
      <c r="A150" s="48">
        <v>46071.0</v>
      </c>
      <c r="B150" s="49" t="s">
        <v>2513</v>
      </c>
      <c r="C150" s="49" t="s">
        <v>2628</v>
      </c>
      <c r="D150" s="49" t="s">
        <v>971</v>
      </c>
      <c r="E150" s="49" t="s">
        <v>2629</v>
      </c>
      <c r="F150" s="49" t="s">
        <v>562</v>
      </c>
      <c r="G150" s="49" t="s">
        <v>2630</v>
      </c>
      <c r="H150" s="49" t="s">
        <v>1025</v>
      </c>
      <c r="I150" s="49" t="s">
        <v>1291</v>
      </c>
      <c r="J150" s="49" t="s">
        <v>2515</v>
      </c>
      <c r="K150" s="49" t="s">
        <v>1028</v>
      </c>
      <c r="L150" s="37"/>
      <c r="M150" s="37"/>
      <c r="N150" s="37"/>
      <c r="O150" s="37"/>
      <c r="P150" s="37"/>
      <c r="Q150" s="37"/>
      <c r="R150" s="37"/>
      <c r="S150" s="37"/>
      <c r="T150" s="37"/>
      <c r="U150" s="37"/>
      <c r="V150" s="37"/>
    </row>
    <row r="151" ht="22.5" customHeight="1">
      <c r="A151" s="48">
        <v>46071.0</v>
      </c>
      <c r="B151" s="49" t="s">
        <v>2631</v>
      </c>
      <c r="C151" s="49" t="s">
        <v>2632</v>
      </c>
      <c r="D151" s="49" t="s">
        <v>971</v>
      </c>
      <c r="E151" s="49" t="s">
        <v>2633</v>
      </c>
      <c r="F151" s="49" t="s">
        <v>2634</v>
      </c>
      <c r="G151" s="49" t="s">
        <v>2635</v>
      </c>
      <c r="H151" s="49" t="s">
        <v>1025</v>
      </c>
      <c r="I151" s="49" t="s">
        <v>2636</v>
      </c>
      <c r="J151" s="49" t="s">
        <v>2637</v>
      </c>
      <c r="K151" s="49" t="s">
        <v>1028</v>
      </c>
      <c r="L151" s="37"/>
      <c r="M151" s="37"/>
      <c r="N151" s="37"/>
      <c r="O151" s="37"/>
      <c r="P151" s="37"/>
      <c r="Q151" s="37"/>
      <c r="R151" s="37"/>
      <c r="S151" s="37"/>
      <c r="T151" s="37"/>
      <c r="U151" s="37"/>
      <c r="V151" s="37"/>
    </row>
    <row r="152" ht="22.5" customHeight="1">
      <c r="A152" s="48">
        <v>46071.0</v>
      </c>
      <c r="B152" s="49" t="s">
        <v>2638</v>
      </c>
      <c r="C152" s="49" t="s">
        <v>2639</v>
      </c>
      <c r="D152" s="49" t="s">
        <v>969</v>
      </c>
      <c r="E152" s="49" t="s">
        <v>2640</v>
      </c>
      <c r="F152" s="49" t="s">
        <v>2641</v>
      </c>
      <c r="G152" s="49" t="s">
        <v>2079</v>
      </c>
      <c r="H152" s="49" t="s">
        <v>1025</v>
      </c>
      <c r="I152" s="49" t="s">
        <v>1250</v>
      </c>
      <c r="J152" s="49" t="s">
        <v>2642</v>
      </c>
      <c r="K152" s="49" t="s">
        <v>1028</v>
      </c>
      <c r="L152" s="37"/>
      <c r="M152" s="37"/>
      <c r="N152" s="37"/>
      <c r="O152" s="37"/>
      <c r="P152" s="37"/>
      <c r="Q152" s="37"/>
      <c r="R152" s="37"/>
      <c r="S152" s="37"/>
      <c r="T152" s="37"/>
      <c r="U152" s="37"/>
      <c r="V152" s="37"/>
    </row>
    <row r="153" ht="22.5" customHeight="1">
      <c r="A153" s="48">
        <v>46071.0</v>
      </c>
      <c r="B153" s="49" t="s">
        <v>2643</v>
      </c>
      <c r="C153" s="49" t="s">
        <v>2644</v>
      </c>
      <c r="D153" s="49" t="s">
        <v>274</v>
      </c>
      <c r="E153" s="49" t="s">
        <v>944</v>
      </c>
      <c r="F153" s="49" t="s">
        <v>2645</v>
      </c>
      <c r="G153" s="49" t="s">
        <v>2646</v>
      </c>
      <c r="H153" s="49" t="s">
        <v>1063</v>
      </c>
      <c r="I153" s="49"/>
      <c r="J153" s="49" t="s">
        <v>2647</v>
      </c>
      <c r="K153" s="49" t="s">
        <v>1028</v>
      </c>
      <c r="L153" s="37"/>
      <c r="M153" s="37"/>
      <c r="N153" s="37"/>
      <c r="O153" s="37"/>
      <c r="P153" s="37"/>
      <c r="Q153" s="37"/>
      <c r="R153" s="37"/>
      <c r="S153" s="37"/>
      <c r="T153" s="37"/>
      <c r="U153" s="37"/>
      <c r="V153" s="37"/>
    </row>
    <row r="154" ht="22.5" customHeight="1">
      <c r="A154" s="48">
        <v>46071.0</v>
      </c>
      <c r="B154" s="49" t="s">
        <v>2648</v>
      </c>
      <c r="C154" s="49" t="s">
        <v>2649</v>
      </c>
      <c r="D154" s="49" t="s">
        <v>969</v>
      </c>
      <c r="E154" s="49" t="s">
        <v>2650</v>
      </c>
      <c r="F154" s="49" t="s">
        <v>2651</v>
      </c>
      <c r="G154" s="49" t="s">
        <v>2652</v>
      </c>
      <c r="H154" s="49" t="s">
        <v>1129</v>
      </c>
      <c r="I154" s="49" t="s">
        <v>2653</v>
      </c>
      <c r="J154" s="49" t="s">
        <v>2654</v>
      </c>
      <c r="K154" s="49" t="s">
        <v>1028</v>
      </c>
      <c r="L154" s="37"/>
      <c r="M154" s="37"/>
      <c r="N154" s="37"/>
      <c r="O154" s="37"/>
      <c r="P154" s="37"/>
      <c r="Q154" s="37"/>
      <c r="R154" s="37"/>
      <c r="S154" s="37"/>
      <c r="T154" s="37"/>
      <c r="U154" s="37"/>
      <c r="V154" s="37"/>
    </row>
    <row r="155" ht="22.5" customHeight="1">
      <c r="A155" s="48">
        <v>46071.0</v>
      </c>
      <c r="B155" s="49" t="s">
        <v>2655</v>
      </c>
      <c r="C155" s="49" t="s">
        <v>2656</v>
      </c>
      <c r="D155" s="49" t="s">
        <v>971</v>
      </c>
      <c r="E155" s="49" t="s">
        <v>1087</v>
      </c>
      <c r="F155" s="49" t="s">
        <v>789</v>
      </c>
      <c r="G155" s="49" t="s">
        <v>2353</v>
      </c>
      <c r="H155" s="49" t="s">
        <v>1129</v>
      </c>
      <c r="I155" s="49" t="s">
        <v>2553</v>
      </c>
      <c r="J155" s="49" t="s">
        <v>2657</v>
      </c>
      <c r="K155" s="49" t="s">
        <v>1028</v>
      </c>
      <c r="L155" s="49" t="s">
        <v>945</v>
      </c>
      <c r="M155" s="37"/>
      <c r="N155" s="37"/>
      <c r="O155" s="37"/>
      <c r="P155" s="37"/>
      <c r="Q155" s="37"/>
      <c r="R155" s="37"/>
      <c r="S155" s="37"/>
      <c r="T155" s="37"/>
      <c r="U155" s="37"/>
      <c r="V155" s="37"/>
    </row>
    <row r="156" ht="22.5" customHeight="1">
      <c r="A156" s="48">
        <v>46071.0</v>
      </c>
      <c r="B156" s="49" t="s">
        <v>2658</v>
      </c>
      <c r="C156" s="49" t="s">
        <v>2659</v>
      </c>
      <c r="D156" s="22" t="s">
        <v>969</v>
      </c>
      <c r="E156" s="22" t="s">
        <v>1560</v>
      </c>
      <c r="F156" s="22" t="s">
        <v>2660</v>
      </c>
      <c r="G156" s="22" t="s">
        <v>2661</v>
      </c>
      <c r="H156" s="50">
        <v>46032.0</v>
      </c>
      <c r="I156" s="49"/>
      <c r="J156" s="49" t="s">
        <v>2662</v>
      </c>
      <c r="K156" s="49" t="s">
        <v>1028</v>
      </c>
      <c r="L156" s="37"/>
      <c r="M156" s="37"/>
      <c r="N156" s="37"/>
      <c r="O156" s="37"/>
      <c r="P156" s="37"/>
      <c r="Q156" s="37"/>
      <c r="R156" s="37"/>
      <c r="S156" s="37"/>
      <c r="T156" s="37"/>
      <c r="U156" s="37"/>
      <c r="V156" s="37"/>
    </row>
    <row r="157" ht="22.5" customHeight="1">
      <c r="A157" s="48">
        <v>46071.0</v>
      </c>
      <c r="B157" s="49" t="s">
        <v>1903</v>
      </c>
      <c r="C157" s="49" t="s">
        <v>2663</v>
      </c>
      <c r="D157" s="49" t="s">
        <v>971</v>
      </c>
      <c r="E157" s="49" t="s">
        <v>1077</v>
      </c>
      <c r="F157" s="49" t="s">
        <v>2664</v>
      </c>
      <c r="G157" s="49" t="s">
        <v>2665</v>
      </c>
      <c r="H157" s="49"/>
      <c r="I157" s="49"/>
      <c r="J157" s="49" t="s">
        <v>2666</v>
      </c>
      <c r="K157" s="49" t="s">
        <v>1028</v>
      </c>
      <c r="L157" s="37"/>
      <c r="M157" s="37"/>
      <c r="N157" s="37"/>
      <c r="O157" s="37"/>
      <c r="P157" s="37"/>
      <c r="Q157" s="37"/>
      <c r="R157" s="37"/>
      <c r="S157" s="37"/>
      <c r="T157" s="37"/>
      <c r="U157" s="37"/>
      <c r="V157" s="37"/>
    </row>
    <row r="158" ht="22.5" customHeight="1">
      <c r="A158" s="48">
        <v>46071.0</v>
      </c>
      <c r="B158" s="49" t="s">
        <v>2667</v>
      </c>
      <c r="C158" s="49" t="s">
        <v>2668</v>
      </c>
      <c r="D158" s="49" t="s">
        <v>274</v>
      </c>
      <c r="E158" s="49" t="s">
        <v>1093</v>
      </c>
      <c r="F158" s="49" t="s">
        <v>2669</v>
      </c>
      <c r="G158" s="49" t="s">
        <v>2670</v>
      </c>
      <c r="H158" s="49" t="s">
        <v>1057</v>
      </c>
      <c r="I158" s="49" t="s">
        <v>2671</v>
      </c>
      <c r="J158" s="49" t="s">
        <v>2672</v>
      </c>
      <c r="K158" s="49" t="s">
        <v>1028</v>
      </c>
      <c r="L158" s="49"/>
      <c r="M158" s="37"/>
      <c r="N158" s="37"/>
      <c r="O158" s="37"/>
      <c r="P158" s="37"/>
      <c r="Q158" s="37"/>
      <c r="R158" s="37"/>
      <c r="S158" s="37"/>
      <c r="T158" s="37"/>
      <c r="U158" s="37"/>
      <c r="V158" s="37"/>
    </row>
    <row r="159" ht="22.5" customHeight="1">
      <c r="A159" s="48">
        <v>46071.0</v>
      </c>
      <c r="B159" s="49" t="s">
        <v>2621</v>
      </c>
      <c r="C159" s="49" t="s">
        <v>2673</v>
      </c>
      <c r="D159" s="49" t="s">
        <v>971</v>
      </c>
      <c r="E159" s="49" t="s">
        <v>2674</v>
      </c>
      <c r="F159" s="49" t="s">
        <v>2623</v>
      </c>
      <c r="G159" s="49" t="s">
        <v>2675</v>
      </c>
      <c r="H159" s="49" t="s">
        <v>1025</v>
      </c>
      <c r="I159" s="49"/>
      <c r="J159" s="49" t="s">
        <v>2625</v>
      </c>
      <c r="K159" s="49" t="s">
        <v>1028</v>
      </c>
      <c r="L159" s="37"/>
      <c r="M159" s="37"/>
      <c r="N159" s="37"/>
      <c r="O159" s="37"/>
      <c r="P159" s="37"/>
      <c r="Q159" s="37"/>
      <c r="R159" s="37"/>
      <c r="S159" s="37"/>
      <c r="T159" s="37"/>
      <c r="U159" s="37"/>
      <c r="V159" s="37"/>
    </row>
    <row r="160" ht="22.5" customHeight="1">
      <c r="A160" s="48">
        <v>46071.0</v>
      </c>
      <c r="B160" s="49" t="s">
        <v>2603</v>
      </c>
      <c r="C160" s="49" t="s">
        <v>2676</v>
      </c>
      <c r="D160" s="49" t="s">
        <v>971</v>
      </c>
      <c r="E160" s="49" t="s">
        <v>2677</v>
      </c>
      <c r="F160" s="49" t="s">
        <v>2605</v>
      </c>
      <c r="G160" s="49" t="s">
        <v>2678</v>
      </c>
      <c r="H160" s="49" t="s">
        <v>1025</v>
      </c>
      <c r="I160" s="49" t="s">
        <v>2607</v>
      </c>
      <c r="J160" s="49" t="s">
        <v>2679</v>
      </c>
      <c r="K160" s="49" t="s">
        <v>1028</v>
      </c>
      <c r="L160" s="49"/>
      <c r="M160" s="37"/>
      <c r="N160" s="37"/>
      <c r="O160" s="37"/>
      <c r="P160" s="37"/>
      <c r="Q160" s="37"/>
      <c r="R160" s="37"/>
      <c r="S160" s="37"/>
      <c r="T160" s="37"/>
      <c r="U160" s="37"/>
      <c r="V160" s="37"/>
    </row>
    <row r="161" ht="22.5" customHeight="1">
      <c r="A161" s="48">
        <v>46071.0</v>
      </c>
      <c r="B161" s="49" t="s">
        <v>2382</v>
      </c>
      <c r="C161" s="49" t="s">
        <v>2680</v>
      </c>
      <c r="D161" s="49" t="s">
        <v>274</v>
      </c>
      <c r="E161" s="49" t="s">
        <v>858</v>
      </c>
      <c r="F161" s="49" t="s">
        <v>2385</v>
      </c>
      <c r="G161" s="49" t="s">
        <v>2681</v>
      </c>
      <c r="H161" s="49" t="s">
        <v>1207</v>
      </c>
      <c r="I161" s="49" t="s">
        <v>2387</v>
      </c>
      <c r="J161" s="49" t="s">
        <v>2388</v>
      </c>
      <c r="K161" s="49" t="s">
        <v>1028</v>
      </c>
      <c r="L161" s="37"/>
      <c r="M161" s="37"/>
      <c r="N161" s="37"/>
      <c r="O161" s="37"/>
      <c r="P161" s="37"/>
      <c r="Q161" s="37"/>
      <c r="R161" s="37"/>
      <c r="S161" s="37"/>
      <c r="T161" s="37"/>
      <c r="U161" s="37"/>
      <c r="V161" s="37"/>
    </row>
    <row r="162" ht="22.5" customHeight="1">
      <c r="A162" s="48">
        <v>46071.0</v>
      </c>
      <c r="B162" s="49" t="s">
        <v>2682</v>
      </c>
      <c r="C162" s="49" t="s">
        <v>2683</v>
      </c>
      <c r="D162" s="49" t="s">
        <v>971</v>
      </c>
      <c r="E162" s="49" t="s">
        <v>2684</v>
      </c>
      <c r="F162" s="49" t="s">
        <v>1886</v>
      </c>
      <c r="G162" s="49" t="s">
        <v>1371</v>
      </c>
      <c r="H162" s="49" t="s">
        <v>1025</v>
      </c>
      <c r="I162" s="49" t="s">
        <v>1238</v>
      </c>
      <c r="J162" s="49" t="s">
        <v>2685</v>
      </c>
      <c r="K162" s="49" t="s">
        <v>1028</v>
      </c>
      <c r="L162" s="37"/>
      <c r="M162" s="37"/>
      <c r="N162" s="37"/>
      <c r="O162" s="37"/>
      <c r="P162" s="37"/>
      <c r="Q162" s="37"/>
      <c r="R162" s="37"/>
      <c r="S162" s="37"/>
      <c r="T162" s="37"/>
      <c r="U162" s="37"/>
      <c r="V162" s="37"/>
    </row>
    <row r="163" ht="22.5" customHeight="1">
      <c r="A163" s="48">
        <v>46071.0</v>
      </c>
      <c r="B163" s="49" t="s">
        <v>2686</v>
      </c>
      <c r="C163" s="49" t="s">
        <v>2687</v>
      </c>
      <c r="D163" s="49" t="s">
        <v>274</v>
      </c>
      <c r="E163" s="49" t="s">
        <v>1093</v>
      </c>
      <c r="F163" s="49" t="s">
        <v>2669</v>
      </c>
      <c r="G163" s="49" t="s">
        <v>2670</v>
      </c>
      <c r="H163" s="49" t="s">
        <v>1057</v>
      </c>
      <c r="I163" s="49" t="s">
        <v>2671</v>
      </c>
      <c r="J163" s="49" t="s">
        <v>2688</v>
      </c>
      <c r="K163" s="49" t="s">
        <v>1028</v>
      </c>
      <c r="L163" s="37"/>
      <c r="M163" s="37"/>
      <c r="N163" s="37"/>
      <c r="O163" s="37"/>
      <c r="P163" s="37"/>
      <c r="Q163" s="37"/>
      <c r="R163" s="37"/>
      <c r="S163" s="37"/>
      <c r="T163" s="37"/>
      <c r="U163" s="37"/>
      <c r="V163" s="37"/>
    </row>
    <row r="164" ht="22.5" customHeight="1">
      <c r="A164" s="48">
        <v>46071.0</v>
      </c>
      <c r="B164" s="49" t="s">
        <v>2689</v>
      </c>
      <c r="C164" s="49" t="s">
        <v>2690</v>
      </c>
      <c r="D164" s="49" t="s">
        <v>971</v>
      </c>
      <c r="E164" s="49" t="s">
        <v>2691</v>
      </c>
      <c r="F164" s="49" t="s">
        <v>2692</v>
      </c>
      <c r="G164" s="49" t="s">
        <v>2693</v>
      </c>
      <c r="H164" s="49" t="s">
        <v>1025</v>
      </c>
      <c r="I164" s="49" t="s">
        <v>2694</v>
      </c>
      <c r="J164" s="49" t="s">
        <v>2695</v>
      </c>
      <c r="K164" s="49" t="s">
        <v>1028</v>
      </c>
      <c r="L164" s="37"/>
      <c r="M164" s="37"/>
      <c r="N164" s="37"/>
      <c r="O164" s="37"/>
      <c r="P164" s="37"/>
      <c r="Q164" s="37"/>
      <c r="R164" s="37"/>
      <c r="S164" s="37"/>
      <c r="T164" s="37"/>
      <c r="U164" s="37"/>
      <c r="V164" s="37"/>
    </row>
    <row r="165" ht="22.5" customHeight="1">
      <c r="A165" s="48">
        <v>46071.0</v>
      </c>
      <c r="B165" s="49" t="s">
        <v>2696</v>
      </c>
      <c r="C165" s="49" t="s">
        <v>2697</v>
      </c>
      <c r="D165" s="49" t="s">
        <v>274</v>
      </c>
      <c r="E165" s="49" t="s">
        <v>1093</v>
      </c>
      <c r="F165" s="49" t="s">
        <v>2669</v>
      </c>
      <c r="G165" s="49" t="s">
        <v>2698</v>
      </c>
      <c r="H165" s="49" t="s">
        <v>1057</v>
      </c>
      <c r="I165" s="49" t="s">
        <v>2671</v>
      </c>
      <c r="J165" s="49" t="s">
        <v>2699</v>
      </c>
      <c r="K165" s="49" t="s">
        <v>1028</v>
      </c>
      <c r="L165" s="37"/>
      <c r="M165" s="37"/>
      <c r="N165" s="37"/>
      <c r="O165" s="37"/>
      <c r="P165" s="37"/>
      <c r="Q165" s="37"/>
      <c r="R165" s="37"/>
      <c r="S165" s="37"/>
      <c r="T165" s="37"/>
      <c r="U165" s="37"/>
      <c r="V165" s="37"/>
    </row>
    <row r="166" ht="22.5" customHeight="1">
      <c r="A166" s="48">
        <v>46071.0</v>
      </c>
      <c r="B166" s="49" t="s">
        <v>2689</v>
      </c>
      <c r="C166" s="49" t="s">
        <v>2700</v>
      </c>
      <c r="D166" s="49" t="s">
        <v>971</v>
      </c>
      <c r="E166" s="49" t="s">
        <v>2701</v>
      </c>
      <c r="F166" s="49" t="s">
        <v>2692</v>
      </c>
      <c r="G166" s="49" t="s">
        <v>2702</v>
      </c>
      <c r="H166" s="49" t="s">
        <v>1025</v>
      </c>
      <c r="I166" s="49" t="s">
        <v>2694</v>
      </c>
      <c r="J166" s="49" t="s">
        <v>2695</v>
      </c>
      <c r="K166" s="49" t="s">
        <v>1028</v>
      </c>
      <c r="L166" s="37"/>
      <c r="M166" s="37"/>
      <c r="N166" s="37"/>
      <c r="O166" s="37"/>
      <c r="P166" s="37"/>
      <c r="Q166" s="37"/>
      <c r="R166" s="37"/>
      <c r="S166" s="37"/>
      <c r="T166" s="37"/>
      <c r="U166" s="37"/>
      <c r="V166" s="37"/>
    </row>
    <row r="167" ht="22.5" customHeight="1">
      <c r="A167" s="48">
        <v>46071.0</v>
      </c>
      <c r="B167" s="49" t="s">
        <v>2703</v>
      </c>
      <c r="C167" s="49" t="s">
        <v>2704</v>
      </c>
      <c r="D167" s="49" t="s">
        <v>969</v>
      </c>
      <c r="E167" s="49" t="s">
        <v>2705</v>
      </c>
      <c r="F167" s="49" t="s">
        <v>2706</v>
      </c>
      <c r="G167" s="49" t="s">
        <v>2707</v>
      </c>
      <c r="H167" s="49" t="s">
        <v>1063</v>
      </c>
      <c r="I167" s="49" t="s">
        <v>1227</v>
      </c>
      <c r="J167" s="49" t="s">
        <v>2708</v>
      </c>
      <c r="K167" s="49" t="s">
        <v>1028</v>
      </c>
      <c r="L167" s="37"/>
      <c r="M167" s="37"/>
      <c r="N167" s="37"/>
      <c r="O167" s="37"/>
      <c r="P167" s="37"/>
      <c r="Q167" s="37"/>
      <c r="R167" s="37"/>
      <c r="S167" s="37"/>
      <c r="T167" s="37"/>
      <c r="U167" s="37"/>
      <c r="V167" s="37"/>
    </row>
    <row r="168" ht="22.5" customHeight="1">
      <c r="A168" s="48">
        <v>46071.0</v>
      </c>
      <c r="B168" s="49" t="s">
        <v>2709</v>
      </c>
      <c r="C168" s="49" t="s">
        <v>2710</v>
      </c>
      <c r="D168" s="49" t="s">
        <v>971</v>
      </c>
      <c r="E168" s="49" t="s">
        <v>2711</v>
      </c>
      <c r="F168" s="49" t="s">
        <v>2712</v>
      </c>
      <c r="G168" s="49" t="s">
        <v>2713</v>
      </c>
      <c r="H168" s="49" t="s">
        <v>1057</v>
      </c>
      <c r="I168" s="49" t="s">
        <v>2714</v>
      </c>
      <c r="J168" s="49" t="s">
        <v>2715</v>
      </c>
      <c r="K168" s="49" t="s">
        <v>1028</v>
      </c>
      <c r="L168" s="37"/>
      <c r="M168" s="37"/>
      <c r="N168" s="37"/>
      <c r="O168" s="37"/>
      <c r="P168" s="37"/>
      <c r="Q168" s="37"/>
      <c r="R168" s="37"/>
      <c r="S168" s="37"/>
      <c r="T168" s="37"/>
      <c r="U168" s="37"/>
      <c r="V168" s="37"/>
    </row>
    <row r="169" ht="22.5" customHeight="1">
      <c r="A169" s="48">
        <v>46071.0</v>
      </c>
      <c r="B169" s="49" t="s">
        <v>2716</v>
      </c>
      <c r="C169" s="49" t="s">
        <v>2717</v>
      </c>
      <c r="D169" s="49" t="s">
        <v>971</v>
      </c>
      <c r="E169" s="49" t="s">
        <v>2718</v>
      </c>
      <c r="F169" s="49" t="s">
        <v>2719</v>
      </c>
      <c r="G169" s="49" t="s">
        <v>2720</v>
      </c>
      <c r="H169" s="49" t="s">
        <v>1107</v>
      </c>
      <c r="I169" s="49" t="s">
        <v>2721</v>
      </c>
      <c r="J169" s="49" t="s">
        <v>2722</v>
      </c>
      <c r="K169" s="49" t="s">
        <v>1028</v>
      </c>
      <c r="L169" s="37"/>
      <c r="M169" s="37"/>
      <c r="N169" s="37"/>
      <c r="O169" s="37"/>
      <c r="P169" s="37"/>
      <c r="Q169" s="37"/>
      <c r="R169" s="37"/>
      <c r="S169" s="37"/>
      <c r="T169" s="37"/>
      <c r="U169" s="37"/>
      <c r="V169" s="37"/>
    </row>
    <row r="170" ht="22.5" customHeight="1">
      <c r="A170" s="48">
        <v>46071.0</v>
      </c>
      <c r="B170" s="49" t="s">
        <v>2723</v>
      </c>
      <c r="C170" s="49" t="s">
        <v>2724</v>
      </c>
      <c r="D170" s="49" t="s">
        <v>971</v>
      </c>
      <c r="E170" s="49" t="s">
        <v>2725</v>
      </c>
      <c r="F170" s="49" t="s">
        <v>2726</v>
      </c>
      <c r="G170" s="49" t="s">
        <v>2727</v>
      </c>
      <c r="H170" s="49" t="s">
        <v>1025</v>
      </c>
      <c r="I170" s="49" t="s">
        <v>2728</v>
      </c>
      <c r="J170" s="49" t="s">
        <v>2729</v>
      </c>
      <c r="K170" s="49" t="s">
        <v>1028</v>
      </c>
      <c r="L170" s="37"/>
      <c r="M170" s="37"/>
      <c r="N170" s="37"/>
      <c r="O170" s="37"/>
      <c r="P170" s="37"/>
      <c r="Q170" s="37"/>
      <c r="R170" s="37"/>
      <c r="S170" s="37"/>
      <c r="T170" s="37"/>
      <c r="U170" s="37"/>
      <c r="V170" s="37"/>
    </row>
    <row r="171" ht="22.5" customHeight="1">
      <c r="A171" s="48">
        <v>46071.0</v>
      </c>
      <c r="B171" s="49" t="s">
        <v>911</v>
      </c>
      <c r="C171" s="49" t="s">
        <v>912</v>
      </c>
      <c r="D171" s="49" t="s">
        <v>969</v>
      </c>
      <c r="E171" s="49" t="s">
        <v>866</v>
      </c>
      <c r="F171" s="49" t="s">
        <v>834</v>
      </c>
      <c r="G171" s="49" t="s">
        <v>2730</v>
      </c>
      <c r="H171" s="49" t="s">
        <v>1129</v>
      </c>
      <c r="I171" s="49" t="s">
        <v>2731</v>
      </c>
      <c r="J171" s="49" t="s">
        <v>2732</v>
      </c>
      <c r="K171" s="49" t="s">
        <v>1028</v>
      </c>
      <c r="L171" s="37"/>
      <c r="M171" s="37"/>
      <c r="N171" s="37"/>
      <c r="O171" s="37"/>
      <c r="P171" s="37"/>
      <c r="Q171" s="37"/>
      <c r="R171" s="37"/>
      <c r="S171" s="37"/>
      <c r="T171" s="37"/>
      <c r="U171" s="37"/>
      <c r="V171" s="37"/>
    </row>
    <row r="172" ht="22.5" customHeight="1">
      <c r="A172" s="48">
        <v>46071.0</v>
      </c>
      <c r="B172" s="49" t="s">
        <v>2733</v>
      </c>
      <c r="C172" s="49" t="s">
        <v>2734</v>
      </c>
      <c r="D172" s="49" t="s">
        <v>971</v>
      </c>
      <c r="E172" s="49" t="s">
        <v>2735</v>
      </c>
      <c r="F172" s="49" t="s">
        <v>2736</v>
      </c>
      <c r="G172" s="49" t="s">
        <v>2737</v>
      </c>
      <c r="H172" s="49" t="s">
        <v>1129</v>
      </c>
      <c r="I172" s="49"/>
      <c r="J172" s="49" t="s">
        <v>2738</v>
      </c>
      <c r="K172" s="49" t="s">
        <v>1028</v>
      </c>
      <c r="L172" s="49"/>
      <c r="M172" s="37"/>
      <c r="N172" s="37"/>
      <c r="O172" s="37"/>
      <c r="P172" s="37"/>
      <c r="Q172" s="37"/>
      <c r="R172" s="37"/>
      <c r="S172" s="37"/>
      <c r="T172" s="37"/>
      <c r="U172" s="37"/>
      <c r="V172" s="37"/>
    </row>
    <row r="173" ht="22.5" customHeight="1">
      <c r="A173" s="48">
        <v>46071.0</v>
      </c>
      <c r="B173" s="49" t="s">
        <v>2586</v>
      </c>
      <c r="C173" s="49" t="s">
        <v>2739</v>
      </c>
      <c r="D173" s="49" t="s">
        <v>969</v>
      </c>
      <c r="E173" s="49" t="s">
        <v>2740</v>
      </c>
      <c r="F173" s="49" t="s">
        <v>2741</v>
      </c>
      <c r="G173" s="49" t="s">
        <v>2742</v>
      </c>
      <c r="H173" s="49" t="s">
        <v>1178</v>
      </c>
      <c r="I173" s="49" t="s">
        <v>1172</v>
      </c>
      <c r="J173" s="49" t="s">
        <v>2591</v>
      </c>
      <c r="K173" s="49" t="s">
        <v>1028</v>
      </c>
      <c r="L173" s="49"/>
      <c r="M173" s="37"/>
      <c r="N173" s="37"/>
      <c r="O173" s="37"/>
      <c r="P173" s="37"/>
      <c r="Q173" s="37"/>
      <c r="R173" s="37"/>
      <c r="S173" s="37"/>
      <c r="T173" s="37"/>
      <c r="U173" s="37"/>
      <c r="V173" s="37"/>
    </row>
    <row r="174" ht="22.5" customHeight="1">
      <c r="A174" s="48">
        <v>46071.0</v>
      </c>
      <c r="B174" s="49" t="s">
        <v>2743</v>
      </c>
      <c r="C174" s="49" t="s">
        <v>2744</v>
      </c>
      <c r="D174" s="49" t="s">
        <v>969</v>
      </c>
      <c r="E174" s="49" t="s">
        <v>2745</v>
      </c>
      <c r="F174" s="49" t="s">
        <v>2746</v>
      </c>
      <c r="G174" s="49" t="s">
        <v>2747</v>
      </c>
      <c r="H174" s="49" t="s">
        <v>1107</v>
      </c>
      <c r="I174" s="49" t="s">
        <v>1250</v>
      </c>
      <c r="J174" s="49" t="s">
        <v>2748</v>
      </c>
      <c r="K174" s="49" t="s">
        <v>1028</v>
      </c>
      <c r="L174" s="37"/>
      <c r="M174" s="37"/>
      <c r="N174" s="37"/>
      <c r="O174" s="37"/>
      <c r="P174" s="37"/>
      <c r="Q174" s="37"/>
      <c r="R174" s="37"/>
      <c r="S174" s="37"/>
      <c r="T174" s="37"/>
      <c r="U174" s="37"/>
      <c r="V174" s="37"/>
    </row>
    <row r="175" ht="22.5" customHeight="1">
      <c r="A175" s="48">
        <v>46071.0</v>
      </c>
      <c r="B175" s="49" t="s">
        <v>876</v>
      </c>
      <c r="C175" s="49" t="s">
        <v>2749</v>
      </c>
      <c r="D175" s="22" t="s">
        <v>971</v>
      </c>
      <c r="E175" s="22" t="s">
        <v>2750</v>
      </c>
      <c r="F175" s="22" t="s">
        <v>2751</v>
      </c>
      <c r="G175" s="22" t="s">
        <v>2752</v>
      </c>
      <c r="H175" s="49" t="s">
        <v>1025</v>
      </c>
      <c r="I175" s="49" t="s">
        <v>2753</v>
      </c>
      <c r="J175" s="49" t="s">
        <v>2754</v>
      </c>
      <c r="K175" s="49" t="s">
        <v>1028</v>
      </c>
      <c r="L175" s="37"/>
      <c r="M175" s="37"/>
      <c r="N175" s="37"/>
      <c r="O175" s="37"/>
      <c r="P175" s="37"/>
      <c r="Q175" s="37"/>
      <c r="R175" s="37"/>
      <c r="S175" s="37"/>
      <c r="T175" s="37"/>
      <c r="U175" s="37"/>
      <c r="V175" s="37"/>
    </row>
    <row r="176" ht="22.5" customHeight="1">
      <c r="A176" s="48">
        <v>46071.0</v>
      </c>
      <c r="B176" s="49" t="s">
        <v>2586</v>
      </c>
      <c r="C176" s="49" t="s">
        <v>2755</v>
      </c>
      <c r="D176" s="49" t="s">
        <v>969</v>
      </c>
      <c r="E176" s="49" t="s">
        <v>2740</v>
      </c>
      <c r="F176" s="49" t="s">
        <v>390</v>
      </c>
      <c r="G176" s="49" t="s">
        <v>2742</v>
      </c>
      <c r="H176" s="49" t="s">
        <v>1025</v>
      </c>
      <c r="I176" s="49" t="s">
        <v>2590</v>
      </c>
      <c r="J176" s="49" t="s">
        <v>2591</v>
      </c>
      <c r="K176" s="49" t="s">
        <v>1028</v>
      </c>
      <c r="L176" s="37"/>
      <c r="M176" s="37"/>
      <c r="N176" s="37"/>
      <c r="O176" s="37"/>
      <c r="P176" s="37"/>
      <c r="Q176" s="37"/>
      <c r="R176" s="37"/>
      <c r="S176" s="37"/>
      <c r="T176" s="37"/>
      <c r="U176" s="37"/>
      <c r="V176" s="37"/>
    </row>
    <row r="177" ht="22.5" customHeight="1">
      <c r="A177" s="48">
        <v>46071.0</v>
      </c>
      <c r="B177" s="49" t="s">
        <v>2648</v>
      </c>
      <c r="C177" s="49" t="s">
        <v>2756</v>
      </c>
      <c r="D177" s="49" t="s">
        <v>971</v>
      </c>
      <c r="E177" s="49" t="s">
        <v>2757</v>
      </c>
      <c r="F177" s="49" t="s">
        <v>2651</v>
      </c>
      <c r="G177" s="49" t="s">
        <v>2758</v>
      </c>
      <c r="H177" s="49" t="s">
        <v>1129</v>
      </c>
      <c r="I177" s="49" t="s">
        <v>2653</v>
      </c>
      <c r="J177" s="49" t="s">
        <v>2654</v>
      </c>
      <c r="K177" s="49" t="s">
        <v>1028</v>
      </c>
      <c r="L177" s="37"/>
      <c r="M177" s="37"/>
      <c r="N177" s="37"/>
      <c r="O177" s="37"/>
      <c r="P177" s="37"/>
      <c r="Q177" s="37"/>
      <c r="R177" s="37"/>
      <c r="S177" s="37"/>
      <c r="T177" s="37"/>
      <c r="U177" s="37"/>
      <c r="V177" s="37"/>
    </row>
    <row r="178" ht="22.5" customHeight="1">
      <c r="A178" s="48">
        <v>46071.0</v>
      </c>
      <c r="B178" s="49" t="s">
        <v>2759</v>
      </c>
      <c r="C178" s="49" t="s">
        <v>2760</v>
      </c>
      <c r="D178" s="49" t="s">
        <v>969</v>
      </c>
      <c r="E178" s="49" t="s">
        <v>2761</v>
      </c>
      <c r="F178" s="49" t="s">
        <v>2762</v>
      </c>
      <c r="G178" s="49" t="s">
        <v>2763</v>
      </c>
      <c r="H178" s="49" t="s">
        <v>1129</v>
      </c>
      <c r="I178" s="49" t="s">
        <v>2764</v>
      </c>
      <c r="J178" s="49" t="s">
        <v>2765</v>
      </c>
      <c r="K178" s="49" t="s">
        <v>1028</v>
      </c>
      <c r="L178" s="37"/>
      <c r="M178" s="37"/>
      <c r="N178" s="37"/>
      <c r="O178" s="37"/>
      <c r="P178" s="37"/>
      <c r="Q178" s="37"/>
      <c r="R178" s="37"/>
      <c r="S178" s="37"/>
      <c r="T178" s="37"/>
      <c r="U178" s="37"/>
      <c r="V178" s="37"/>
    </row>
    <row r="179" ht="22.5" customHeight="1">
      <c r="A179" s="48">
        <v>46071.0</v>
      </c>
      <c r="B179" s="49" t="s">
        <v>2766</v>
      </c>
      <c r="C179" s="49" t="s">
        <v>2767</v>
      </c>
      <c r="D179" s="49" t="s">
        <v>969</v>
      </c>
      <c r="E179" s="49" t="s">
        <v>2768</v>
      </c>
      <c r="F179" s="49" t="s">
        <v>2769</v>
      </c>
      <c r="G179" s="49" t="s">
        <v>2770</v>
      </c>
      <c r="H179" s="49" t="s">
        <v>1107</v>
      </c>
      <c r="I179" s="49" t="s">
        <v>2771</v>
      </c>
      <c r="J179" s="49" t="s">
        <v>2772</v>
      </c>
      <c r="K179" s="49" t="s">
        <v>1028</v>
      </c>
      <c r="L179" s="37"/>
      <c r="M179" s="37"/>
      <c r="N179" s="37"/>
      <c r="O179" s="37"/>
      <c r="P179" s="37"/>
      <c r="Q179" s="37"/>
      <c r="R179" s="37"/>
      <c r="S179" s="37"/>
      <c r="T179" s="37"/>
      <c r="U179" s="37"/>
      <c r="V179" s="37"/>
    </row>
    <row r="180" ht="22.5" customHeight="1">
      <c r="A180" s="48">
        <v>46071.0</v>
      </c>
      <c r="B180" s="49" t="s">
        <v>2759</v>
      </c>
      <c r="C180" s="49" t="s">
        <v>2773</v>
      </c>
      <c r="D180" s="49" t="s">
        <v>969</v>
      </c>
      <c r="E180" s="49" t="s">
        <v>2774</v>
      </c>
      <c r="F180" s="49" t="s">
        <v>2775</v>
      </c>
      <c r="G180" s="49" t="s">
        <v>2776</v>
      </c>
      <c r="H180" s="49" t="s">
        <v>1129</v>
      </c>
      <c r="I180" s="49" t="s">
        <v>2777</v>
      </c>
      <c r="J180" s="49" t="s">
        <v>2765</v>
      </c>
      <c r="K180" s="49" t="s">
        <v>1028</v>
      </c>
      <c r="L180" s="37"/>
      <c r="M180" s="37"/>
      <c r="N180" s="37"/>
      <c r="O180" s="37"/>
      <c r="P180" s="37"/>
      <c r="Q180" s="37"/>
      <c r="R180" s="37"/>
      <c r="S180" s="37"/>
      <c r="T180" s="37"/>
      <c r="U180" s="37"/>
      <c r="V180" s="37"/>
    </row>
    <row r="181" ht="22.5" customHeight="1">
      <c r="A181" s="48">
        <v>46071.0</v>
      </c>
      <c r="B181" s="49" t="s">
        <v>2778</v>
      </c>
      <c r="C181" s="49" t="s">
        <v>2779</v>
      </c>
      <c r="D181" s="49" t="s">
        <v>971</v>
      </c>
      <c r="E181" s="49" t="s">
        <v>2780</v>
      </c>
      <c r="F181" s="49" t="s">
        <v>2781</v>
      </c>
      <c r="G181" s="49" t="s">
        <v>2782</v>
      </c>
      <c r="H181" s="49" t="s">
        <v>1088</v>
      </c>
      <c r="I181" s="49" t="s">
        <v>2783</v>
      </c>
      <c r="J181" s="49" t="s">
        <v>2784</v>
      </c>
      <c r="K181" s="49" t="s">
        <v>1028</v>
      </c>
      <c r="L181" s="49"/>
      <c r="M181" s="37"/>
      <c r="N181" s="37"/>
      <c r="O181" s="37"/>
      <c r="P181" s="37"/>
      <c r="Q181" s="37"/>
      <c r="R181" s="37"/>
      <c r="S181" s="37"/>
      <c r="T181" s="37"/>
      <c r="U181" s="37"/>
      <c r="V181" s="37"/>
    </row>
    <row r="182" ht="22.5" customHeight="1">
      <c r="A182" s="48">
        <v>46071.0</v>
      </c>
      <c r="B182" s="49" t="s">
        <v>2785</v>
      </c>
      <c r="C182" s="49" t="s">
        <v>2786</v>
      </c>
      <c r="D182" s="49" t="s">
        <v>969</v>
      </c>
      <c r="E182" s="49" t="s">
        <v>2787</v>
      </c>
      <c r="F182" s="49" t="s">
        <v>2788</v>
      </c>
      <c r="G182" s="49" t="s">
        <v>2789</v>
      </c>
      <c r="H182" s="49" t="s">
        <v>1025</v>
      </c>
      <c r="I182" s="49" t="s">
        <v>2790</v>
      </c>
      <c r="J182" s="49" t="s">
        <v>2791</v>
      </c>
      <c r="K182" s="49" t="s">
        <v>1028</v>
      </c>
      <c r="L182" s="49"/>
      <c r="M182" s="37"/>
      <c r="N182" s="37"/>
      <c r="O182" s="37"/>
      <c r="P182" s="37"/>
      <c r="Q182" s="37"/>
      <c r="R182" s="37"/>
      <c r="S182" s="37"/>
      <c r="T182" s="37"/>
      <c r="U182" s="37"/>
      <c r="V182" s="37"/>
    </row>
    <row r="183" ht="22.5" customHeight="1">
      <c r="A183" s="48">
        <v>46071.0</v>
      </c>
      <c r="B183" s="49" t="s">
        <v>2792</v>
      </c>
      <c r="C183" s="49" t="s">
        <v>2793</v>
      </c>
      <c r="D183" s="49" t="s">
        <v>971</v>
      </c>
      <c r="E183" s="49" t="s">
        <v>2794</v>
      </c>
      <c r="F183" s="49" t="s">
        <v>2795</v>
      </c>
      <c r="G183" s="49" t="s">
        <v>2796</v>
      </c>
      <c r="H183" s="49" t="s">
        <v>1129</v>
      </c>
      <c r="I183" s="49" t="s">
        <v>2797</v>
      </c>
      <c r="J183" s="49" t="s">
        <v>2798</v>
      </c>
      <c r="K183" s="49" t="s">
        <v>1028</v>
      </c>
      <c r="L183" s="37"/>
      <c r="M183" s="37"/>
      <c r="N183" s="37"/>
      <c r="O183" s="37"/>
      <c r="P183" s="37"/>
      <c r="Q183" s="37"/>
      <c r="R183" s="37"/>
      <c r="S183" s="37"/>
      <c r="T183" s="37"/>
      <c r="U183" s="37"/>
      <c r="V183" s="37"/>
    </row>
    <row r="184" ht="22.5" customHeight="1">
      <c r="A184" s="48">
        <v>46071.0</v>
      </c>
      <c r="B184" s="49" t="s">
        <v>2799</v>
      </c>
      <c r="C184" s="49" t="s">
        <v>2800</v>
      </c>
      <c r="D184" s="49" t="s">
        <v>969</v>
      </c>
      <c r="E184" s="49" t="s">
        <v>909</v>
      </c>
      <c r="F184" s="49" t="s">
        <v>45</v>
      </c>
      <c r="G184" s="49" t="s">
        <v>2801</v>
      </c>
      <c r="H184" s="49" t="s">
        <v>1025</v>
      </c>
      <c r="I184" s="49" t="s">
        <v>2802</v>
      </c>
      <c r="J184" s="49" t="s">
        <v>2803</v>
      </c>
      <c r="K184" s="49" t="s">
        <v>1028</v>
      </c>
      <c r="L184" s="49"/>
      <c r="M184" s="37"/>
      <c r="N184" s="37"/>
      <c r="O184" s="37"/>
      <c r="P184" s="37"/>
      <c r="Q184" s="37"/>
      <c r="R184" s="37"/>
      <c r="S184" s="37"/>
      <c r="T184" s="37"/>
      <c r="U184" s="37"/>
      <c r="V184" s="37"/>
    </row>
    <row r="185" ht="22.5" customHeight="1">
      <c r="A185" s="48">
        <v>46071.0</v>
      </c>
      <c r="B185" s="49" t="s">
        <v>2804</v>
      </c>
      <c r="C185" s="49" t="s">
        <v>2805</v>
      </c>
      <c r="D185" s="49" t="s">
        <v>971</v>
      </c>
      <c r="E185" s="49" t="s">
        <v>2806</v>
      </c>
      <c r="F185" s="49" t="s">
        <v>2807</v>
      </c>
      <c r="G185" s="49" t="s">
        <v>2808</v>
      </c>
      <c r="H185" s="49" t="s">
        <v>1107</v>
      </c>
      <c r="I185" s="49" t="s">
        <v>2694</v>
      </c>
      <c r="J185" s="49" t="s">
        <v>2809</v>
      </c>
      <c r="K185" s="49" t="s">
        <v>1028</v>
      </c>
      <c r="L185" s="49" t="s">
        <v>945</v>
      </c>
      <c r="M185" s="37"/>
      <c r="N185" s="37"/>
      <c r="O185" s="37"/>
      <c r="P185" s="37"/>
      <c r="Q185" s="37"/>
      <c r="R185" s="37"/>
      <c r="S185" s="37"/>
      <c r="T185" s="37"/>
      <c r="U185" s="37"/>
      <c r="V185" s="37"/>
    </row>
    <row r="186" ht="22.5" customHeight="1">
      <c r="A186" s="48">
        <v>46071.0</v>
      </c>
      <c r="B186" s="49" t="s">
        <v>2810</v>
      </c>
      <c r="C186" s="49" t="s">
        <v>2811</v>
      </c>
      <c r="D186" s="49" t="s">
        <v>971</v>
      </c>
      <c r="E186" s="49" t="s">
        <v>1093</v>
      </c>
      <c r="F186" s="49" t="s">
        <v>2812</v>
      </c>
      <c r="G186" s="49" t="s">
        <v>2813</v>
      </c>
      <c r="H186" s="49" t="s">
        <v>1207</v>
      </c>
      <c r="I186" s="49"/>
      <c r="J186" s="49" t="s">
        <v>2814</v>
      </c>
      <c r="K186" s="49" t="s">
        <v>1028</v>
      </c>
      <c r="L186" s="49"/>
      <c r="M186" s="37"/>
      <c r="N186" s="37"/>
      <c r="O186" s="37"/>
      <c r="P186" s="37"/>
      <c r="Q186" s="37"/>
      <c r="R186" s="37"/>
      <c r="S186" s="37"/>
      <c r="T186" s="37"/>
      <c r="U186" s="37"/>
      <c r="V186" s="37"/>
    </row>
    <row r="187" ht="22.5" customHeight="1">
      <c r="A187" s="48">
        <v>46071.0</v>
      </c>
      <c r="B187" s="49" t="s">
        <v>2815</v>
      </c>
      <c r="C187" s="49" t="s">
        <v>2816</v>
      </c>
      <c r="D187" s="49" t="s">
        <v>969</v>
      </c>
      <c r="E187" s="49" t="s">
        <v>944</v>
      </c>
      <c r="F187" s="49" t="s">
        <v>983</v>
      </c>
      <c r="G187" s="49" t="s">
        <v>2817</v>
      </c>
      <c r="H187" s="49" t="s">
        <v>1025</v>
      </c>
      <c r="I187" s="49" t="s">
        <v>2539</v>
      </c>
      <c r="J187" s="49" t="s">
        <v>2818</v>
      </c>
      <c r="K187" s="49" t="s">
        <v>1028</v>
      </c>
      <c r="L187" s="37"/>
      <c r="M187" s="37"/>
      <c r="N187" s="37"/>
      <c r="O187" s="37"/>
      <c r="P187" s="37"/>
      <c r="Q187" s="37"/>
      <c r="R187" s="37"/>
      <c r="S187" s="37"/>
      <c r="T187" s="37"/>
      <c r="U187" s="37"/>
      <c r="V187" s="37"/>
    </row>
    <row r="188" ht="22.5" customHeight="1">
      <c r="A188" s="48">
        <v>46071.0</v>
      </c>
      <c r="B188" s="49" t="s">
        <v>2819</v>
      </c>
      <c r="C188" s="49" t="s">
        <v>2820</v>
      </c>
      <c r="D188" s="49" t="s">
        <v>971</v>
      </c>
      <c r="E188" s="49" t="s">
        <v>1144</v>
      </c>
      <c r="F188" s="49" t="s">
        <v>2821</v>
      </c>
      <c r="G188" s="49" t="s">
        <v>2822</v>
      </c>
      <c r="H188" s="49" t="s">
        <v>1129</v>
      </c>
      <c r="I188" s="49" t="s">
        <v>2823</v>
      </c>
      <c r="J188" s="49" t="s">
        <v>2824</v>
      </c>
      <c r="K188" s="49" t="s">
        <v>1028</v>
      </c>
      <c r="L188" s="37"/>
      <c r="M188" s="37"/>
      <c r="N188" s="37"/>
      <c r="O188" s="37"/>
      <c r="P188" s="37"/>
      <c r="Q188" s="37"/>
      <c r="R188" s="37"/>
      <c r="S188" s="37"/>
      <c r="T188" s="37"/>
      <c r="U188" s="37"/>
      <c r="V188" s="37"/>
    </row>
    <row r="189" ht="22.5" customHeight="1">
      <c r="A189" s="48">
        <v>46071.0</v>
      </c>
      <c r="B189" s="49" t="s">
        <v>2825</v>
      </c>
      <c r="C189" s="49" t="s">
        <v>2826</v>
      </c>
      <c r="D189" s="49" t="s">
        <v>969</v>
      </c>
      <c r="E189" s="49" t="s">
        <v>1262</v>
      </c>
      <c r="F189" s="49" t="s">
        <v>822</v>
      </c>
      <c r="G189" s="49" t="s">
        <v>1260</v>
      </c>
      <c r="H189" s="49" t="s">
        <v>1025</v>
      </c>
      <c r="I189" s="49" t="s">
        <v>1263</v>
      </c>
      <c r="J189" s="49" t="s">
        <v>2827</v>
      </c>
      <c r="K189" s="49" t="s">
        <v>1028</v>
      </c>
      <c r="L189" s="37"/>
      <c r="M189" s="37"/>
      <c r="N189" s="37"/>
      <c r="O189" s="37"/>
      <c r="P189" s="37"/>
      <c r="Q189" s="37"/>
      <c r="R189" s="37"/>
      <c r="S189" s="37"/>
      <c r="T189" s="37"/>
      <c r="U189" s="37"/>
      <c r="V189" s="37"/>
    </row>
    <row r="190" ht="22.5" customHeight="1">
      <c r="A190" s="48">
        <v>46071.0</v>
      </c>
      <c r="B190" s="49" t="s">
        <v>2828</v>
      </c>
      <c r="C190" s="49" t="s">
        <v>2829</v>
      </c>
      <c r="D190" s="49" t="s">
        <v>969</v>
      </c>
      <c r="E190" s="49" t="s">
        <v>866</v>
      </c>
      <c r="F190" s="49" t="s">
        <v>834</v>
      </c>
      <c r="G190" s="49" t="s">
        <v>2830</v>
      </c>
      <c r="H190" s="49" t="s">
        <v>1129</v>
      </c>
      <c r="I190" s="49" t="s">
        <v>2731</v>
      </c>
      <c r="J190" s="49" t="s">
        <v>2831</v>
      </c>
      <c r="K190" s="49" t="s">
        <v>1028</v>
      </c>
      <c r="L190" s="37"/>
      <c r="M190" s="37"/>
      <c r="N190" s="37"/>
      <c r="O190" s="37"/>
      <c r="P190" s="37"/>
      <c r="Q190" s="37"/>
      <c r="R190" s="37"/>
      <c r="S190" s="37"/>
      <c r="T190" s="37"/>
      <c r="U190" s="37"/>
      <c r="V190" s="37"/>
    </row>
    <row r="191" ht="22.5" customHeight="1">
      <c r="A191" s="48">
        <v>46071.0</v>
      </c>
      <c r="B191" s="49" t="s">
        <v>908</v>
      </c>
      <c r="C191" s="49" t="s">
        <v>910</v>
      </c>
      <c r="D191" s="49" t="s">
        <v>969</v>
      </c>
      <c r="E191" s="49" t="s">
        <v>909</v>
      </c>
      <c r="F191" s="49" t="s">
        <v>45</v>
      </c>
      <c r="G191" s="49" t="s">
        <v>2801</v>
      </c>
      <c r="H191" s="49" t="s">
        <v>1025</v>
      </c>
      <c r="I191" s="49" t="s">
        <v>2802</v>
      </c>
      <c r="J191" s="49" t="s">
        <v>2803</v>
      </c>
      <c r="K191" s="49" t="s">
        <v>1028</v>
      </c>
      <c r="L191" s="37"/>
      <c r="M191" s="37"/>
      <c r="N191" s="37"/>
      <c r="O191" s="37"/>
      <c r="P191" s="37"/>
      <c r="Q191" s="37"/>
      <c r="R191" s="37"/>
      <c r="S191" s="37"/>
      <c r="T191" s="37"/>
      <c r="U191" s="37"/>
      <c r="V191" s="37"/>
    </row>
    <row r="192" ht="22.5" customHeight="1">
      <c r="A192" s="48">
        <v>46071.0</v>
      </c>
      <c r="B192" s="49" t="s">
        <v>2832</v>
      </c>
      <c r="C192" s="49" t="s">
        <v>2833</v>
      </c>
      <c r="D192" s="22" t="s">
        <v>971</v>
      </c>
      <c r="E192" s="22" t="s">
        <v>2834</v>
      </c>
      <c r="F192" s="22" t="s">
        <v>2835</v>
      </c>
      <c r="G192" s="22" t="s">
        <v>2836</v>
      </c>
      <c r="H192" s="49" t="s">
        <v>1107</v>
      </c>
      <c r="I192" s="49" t="s">
        <v>2837</v>
      </c>
      <c r="J192" s="49" t="s">
        <v>2838</v>
      </c>
      <c r="K192" s="49" t="s">
        <v>1028</v>
      </c>
      <c r="L192" s="49"/>
      <c r="M192" s="37"/>
      <c r="N192" s="37"/>
      <c r="O192" s="37"/>
      <c r="P192" s="37"/>
      <c r="Q192" s="37"/>
      <c r="R192" s="37"/>
      <c r="S192" s="37"/>
      <c r="T192" s="37"/>
      <c r="U192" s="37"/>
      <c r="V192" s="37"/>
    </row>
    <row r="193" ht="22.5" customHeight="1">
      <c r="A193" s="48">
        <v>46071.0</v>
      </c>
      <c r="B193" s="49" t="s">
        <v>2839</v>
      </c>
      <c r="C193" s="49" t="s">
        <v>2840</v>
      </c>
      <c r="D193" s="49" t="s">
        <v>969</v>
      </c>
      <c r="E193" s="49" t="s">
        <v>866</v>
      </c>
      <c r="F193" s="49" t="s">
        <v>2841</v>
      </c>
      <c r="G193" s="49" t="s">
        <v>2842</v>
      </c>
      <c r="H193" s="49" t="s">
        <v>1107</v>
      </c>
      <c r="I193" s="49" t="s">
        <v>2843</v>
      </c>
      <c r="J193" s="49" t="s">
        <v>2844</v>
      </c>
      <c r="K193" s="49" t="s">
        <v>1028</v>
      </c>
      <c r="L193" s="49"/>
      <c r="M193" s="37"/>
      <c r="N193" s="37"/>
      <c r="O193" s="37"/>
      <c r="P193" s="37"/>
      <c r="Q193" s="37"/>
      <c r="R193" s="37"/>
      <c r="S193" s="37"/>
      <c r="T193" s="37"/>
      <c r="U193" s="37"/>
      <c r="V193" s="37"/>
    </row>
    <row r="194" ht="22.5" customHeight="1">
      <c r="A194" s="48">
        <v>46071.0</v>
      </c>
      <c r="B194" s="49" t="s">
        <v>2845</v>
      </c>
      <c r="C194" s="49" t="s">
        <v>2846</v>
      </c>
      <c r="D194" s="49" t="s">
        <v>969</v>
      </c>
      <c r="E194" s="49" t="s">
        <v>944</v>
      </c>
      <c r="F194" s="49" t="s">
        <v>983</v>
      </c>
      <c r="G194" s="49" t="s">
        <v>2847</v>
      </c>
      <c r="H194" s="49" t="s">
        <v>1025</v>
      </c>
      <c r="I194" s="49" t="s">
        <v>2539</v>
      </c>
      <c r="J194" s="49" t="s">
        <v>2818</v>
      </c>
      <c r="K194" s="49" t="s">
        <v>1028</v>
      </c>
      <c r="L194" s="49"/>
      <c r="M194" s="37"/>
      <c r="N194" s="37"/>
      <c r="O194" s="37"/>
      <c r="P194" s="37"/>
      <c r="Q194" s="37"/>
      <c r="R194" s="37"/>
      <c r="S194" s="37"/>
      <c r="T194" s="37"/>
      <c r="U194" s="37"/>
      <c r="V194" s="37"/>
    </row>
    <row r="195" ht="22.5" customHeight="1">
      <c r="A195" s="48">
        <v>46071.0</v>
      </c>
      <c r="B195" s="49" t="s">
        <v>1766</v>
      </c>
      <c r="C195" s="49" t="s">
        <v>2848</v>
      </c>
      <c r="D195" s="49" t="s">
        <v>971</v>
      </c>
      <c r="E195" s="49" t="s">
        <v>1043</v>
      </c>
      <c r="F195" s="49" t="s">
        <v>1489</v>
      </c>
      <c r="G195" s="49" t="s">
        <v>2849</v>
      </c>
      <c r="H195" s="49" t="s">
        <v>1025</v>
      </c>
      <c r="I195" s="49" t="s">
        <v>1026</v>
      </c>
      <c r="J195" s="49" t="s">
        <v>1769</v>
      </c>
      <c r="K195" s="49" t="s">
        <v>1028</v>
      </c>
      <c r="L195" s="37"/>
      <c r="M195" s="37"/>
      <c r="N195" s="37"/>
      <c r="O195" s="37"/>
      <c r="P195" s="37"/>
      <c r="Q195" s="37"/>
      <c r="R195" s="37"/>
      <c r="S195" s="37"/>
      <c r="T195" s="37"/>
      <c r="U195" s="37"/>
      <c r="V195" s="37"/>
    </row>
    <row r="196" ht="22.5" customHeight="1">
      <c r="A196" s="48">
        <v>46071.0</v>
      </c>
      <c r="B196" s="49" t="s">
        <v>2850</v>
      </c>
      <c r="C196" s="49" t="s">
        <v>2851</v>
      </c>
      <c r="D196" s="49" t="s">
        <v>971</v>
      </c>
      <c r="E196" s="49" t="s">
        <v>2852</v>
      </c>
      <c r="F196" s="49" t="s">
        <v>2853</v>
      </c>
      <c r="G196" s="49" t="s">
        <v>2854</v>
      </c>
      <c r="H196" s="49" t="s">
        <v>1025</v>
      </c>
      <c r="I196" s="49" t="s">
        <v>2855</v>
      </c>
      <c r="J196" s="49" t="s">
        <v>2567</v>
      </c>
      <c r="K196" s="49" t="s">
        <v>1028</v>
      </c>
      <c r="L196" s="49"/>
      <c r="M196" s="37"/>
      <c r="N196" s="37"/>
      <c r="O196" s="37"/>
      <c r="P196" s="37"/>
      <c r="Q196" s="37"/>
      <c r="R196" s="37"/>
      <c r="S196" s="37"/>
      <c r="T196" s="37"/>
      <c r="U196" s="37"/>
      <c r="V196" s="37"/>
    </row>
    <row r="197" ht="22.5" customHeight="1">
      <c r="A197" s="48">
        <v>46071.0</v>
      </c>
      <c r="B197" s="49" t="s">
        <v>2856</v>
      </c>
      <c r="C197" s="49" t="s">
        <v>2857</v>
      </c>
      <c r="D197" s="49" t="s">
        <v>969</v>
      </c>
      <c r="E197" s="49" t="s">
        <v>2858</v>
      </c>
      <c r="F197" s="49" t="s">
        <v>2859</v>
      </c>
      <c r="G197" s="49" t="s">
        <v>2860</v>
      </c>
      <c r="H197" s="50">
        <v>46032.0</v>
      </c>
      <c r="I197" s="49" t="s">
        <v>1620</v>
      </c>
      <c r="J197" s="49" t="s">
        <v>2861</v>
      </c>
      <c r="K197" s="49" t="s">
        <v>1028</v>
      </c>
      <c r="L197" s="49"/>
      <c r="M197" s="37"/>
      <c r="N197" s="37"/>
      <c r="O197" s="37"/>
      <c r="P197" s="37"/>
      <c r="Q197" s="37"/>
      <c r="R197" s="37"/>
      <c r="S197" s="37"/>
      <c r="T197" s="37"/>
      <c r="U197" s="37"/>
      <c r="V197" s="37"/>
    </row>
    <row r="198" ht="22.5" customHeight="1">
      <c r="A198" s="48">
        <v>46071.0</v>
      </c>
      <c r="B198" s="49" t="s">
        <v>2862</v>
      </c>
      <c r="C198" s="49" t="s">
        <v>2863</v>
      </c>
      <c r="D198" s="49" t="s">
        <v>969</v>
      </c>
      <c r="E198" s="49" t="s">
        <v>2119</v>
      </c>
      <c r="F198" s="49" t="s">
        <v>2864</v>
      </c>
      <c r="G198" s="49" t="s">
        <v>2865</v>
      </c>
      <c r="H198" s="50">
        <v>46032.0</v>
      </c>
      <c r="I198" s="49" t="s">
        <v>2866</v>
      </c>
      <c r="J198" s="49" t="s">
        <v>2867</v>
      </c>
      <c r="K198" s="49" t="s">
        <v>1028</v>
      </c>
      <c r="L198" s="37"/>
      <c r="M198" s="37"/>
      <c r="N198" s="37"/>
      <c r="O198" s="37"/>
      <c r="P198" s="37"/>
      <c r="Q198" s="37"/>
      <c r="R198" s="37"/>
      <c r="S198" s="37"/>
      <c r="T198" s="37"/>
      <c r="U198" s="37"/>
      <c r="V198" s="37"/>
    </row>
    <row r="199" ht="22.5" customHeight="1">
      <c r="A199" s="48">
        <v>46071.0</v>
      </c>
      <c r="B199" s="49" t="s">
        <v>998</v>
      </c>
      <c r="C199" s="49" t="s">
        <v>2868</v>
      </c>
      <c r="D199" s="49" t="s">
        <v>971</v>
      </c>
      <c r="E199" s="49" t="s">
        <v>1077</v>
      </c>
      <c r="F199" s="49" t="s">
        <v>877</v>
      </c>
      <c r="G199" s="49" t="s">
        <v>1308</v>
      </c>
      <c r="H199" s="49" t="s">
        <v>1129</v>
      </c>
      <c r="I199" s="49" t="s">
        <v>1301</v>
      </c>
      <c r="J199" s="49" t="s">
        <v>2869</v>
      </c>
      <c r="K199" s="49" t="s">
        <v>1028</v>
      </c>
      <c r="L199" s="37"/>
      <c r="M199" s="37"/>
      <c r="N199" s="37"/>
      <c r="O199" s="37"/>
      <c r="P199" s="37"/>
      <c r="Q199" s="37"/>
      <c r="R199" s="37"/>
      <c r="S199" s="37"/>
      <c r="T199" s="37"/>
      <c r="U199" s="37"/>
      <c r="V199" s="37"/>
    </row>
    <row r="200" ht="22.5" customHeight="1">
      <c r="A200" s="48">
        <v>46071.0</v>
      </c>
      <c r="B200" s="49" t="s">
        <v>2870</v>
      </c>
      <c r="C200" s="49" t="s">
        <v>2871</v>
      </c>
      <c r="D200" s="49" t="s">
        <v>971</v>
      </c>
      <c r="E200" s="49" t="s">
        <v>2872</v>
      </c>
      <c r="F200" s="49" t="s">
        <v>2873</v>
      </c>
      <c r="G200" s="49" t="s">
        <v>2874</v>
      </c>
      <c r="H200" s="49" t="s">
        <v>1025</v>
      </c>
      <c r="I200" s="49" t="s">
        <v>2875</v>
      </c>
      <c r="J200" s="49" t="s">
        <v>2876</v>
      </c>
      <c r="K200" s="49" t="s">
        <v>1028</v>
      </c>
      <c r="L200" s="37"/>
      <c r="M200" s="37"/>
      <c r="N200" s="37"/>
      <c r="O200" s="37"/>
      <c r="P200" s="37"/>
      <c r="Q200" s="37"/>
      <c r="R200" s="37"/>
      <c r="S200" s="37"/>
      <c r="T200" s="37"/>
      <c r="U200" s="37"/>
      <c r="V200" s="37"/>
    </row>
    <row r="201" ht="22.5" customHeight="1">
      <c r="A201" s="48">
        <v>46071.0</v>
      </c>
      <c r="B201" s="49" t="s">
        <v>2877</v>
      </c>
      <c r="C201" s="49" t="s">
        <v>2878</v>
      </c>
      <c r="D201" s="49" t="s">
        <v>971</v>
      </c>
      <c r="E201" s="49" t="s">
        <v>2879</v>
      </c>
      <c r="F201" s="49" t="s">
        <v>2853</v>
      </c>
      <c r="G201" s="49" t="s">
        <v>2880</v>
      </c>
      <c r="H201" s="49" t="s">
        <v>1025</v>
      </c>
      <c r="I201" s="49" t="s">
        <v>2855</v>
      </c>
      <c r="J201" s="49" t="s">
        <v>2881</v>
      </c>
      <c r="K201" s="49" t="s">
        <v>1028</v>
      </c>
      <c r="L201" s="49" t="s">
        <v>945</v>
      </c>
      <c r="M201" s="37"/>
      <c r="N201" s="37"/>
      <c r="O201" s="37"/>
      <c r="P201" s="37"/>
      <c r="Q201" s="37"/>
      <c r="R201" s="37"/>
      <c r="S201" s="37"/>
      <c r="T201" s="37"/>
      <c r="U201" s="37"/>
      <c r="V201" s="37"/>
    </row>
    <row r="202" ht="22.5" customHeight="1">
      <c r="A202" s="48">
        <v>46071.0</v>
      </c>
      <c r="B202" s="49" t="s">
        <v>32</v>
      </c>
      <c r="C202" s="49" t="s">
        <v>2882</v>
      </c>
      <c r="D202" s="22" t="s">
        <v>969</v>
      </c>
      <c r="E202" s="22" t="s">
        <v>944</v>
      </c>
      <c r="F202" s="22" t="s">
        <v>806</v>
      </c>
      <c r="G202" s="22" t="s">
        <v>2883</v>
      </c>
      <c r="H202" s="49" t="s">
        <v>1057</v>
      </c>
      <c r="I202" s="49" t="s">
        <v>2243</v>
      </c>
      <c r="J202" s="49" t="s">
        <v>2884</v>
      </c>
      <c r="K202" s="49" t="s">
        <v>1028</v>
      </c>
      <c r="L202" s="37"/>
      <c r="M202" s="37"/>
      <c r="N202" s="37"/>
      <c r="O202" s="37"/>
      <c r="P202" s="37"/>
      <c r="Q202" s="37"/>
      <c r="R202" s="37"/>
      <c r="S202" s="37"/>
      <c r="T202" s="37"/>
      <c r="U202" s="37"/>
      <c r="V202" s="37"/>
    </row>
    <row r="203" ht="22.5" customHeight="1">
      <c r="A203" s="48">
        <v>46071.0</v>
      </c>
      <c r="B203" s="49" t="s">
        <v>2342</v>
      </c>
      <c r="C203" s="49" t="s">
        <v>2885</v>
      </c>
      <c r="D203" s="49" t="s">
        <v>971</v>
      </c>
      <c r="E203" s="49" t="s">
        <v>1087</v>
      </c>
      <c r="F203" s="49" t="s">
        <v>2886</v>
      </c>
      <c r="G203" s="49" t="s">
        <v>2887</v>
      </c>
      <c r="H203" s="49" t="s">
        <v>1129</v>
      </c>
      <c r="I203" s="49" t="s">
        <v>1462</v>
      </c>
      <c r="J203" s="49" t="s">
        <v>2888</v>
      </c>
      <c r="K203" s="49" t="s">
        <v>1028</v>
      </c>
      <c r="L203" s="37"/>
      <c r="M203" s="37"/>
      <c r="N203" s="37"/>
      <c r="O203" s="37"/>
      <c r="P203" s="37"/>
      <c r="Q203" s="37"/>
      <c r="R203" s="37"/>
      <c r="S203" s="37"/>
      <c r="T203" s="37"/>
      <c r="U203" s="37"/>
      <c r="V203" s="37"/>
    </row>
    <row r="204" ht="22.5" customHeight="1">
      <c r="A204" s="48">
        <v>46071.0</v>
      </c>
      <c r="B204" s="49" t="s">
        <v>2862</v>
      </c>
      <c r="C204" s="49" t="s">
        <v>2889</v>
      </c>
      <c r="D204" s="49" t="s">
        <v>969</v>
      </c>
      <c r="E204" s="49" t="s">
        <v>2119</v>
      </c>
      <c r="F204" s="49" t="s">
        <v>2890</v>
      </c>
      <c r="G204" s="49" t="s">
        <v>2865</v>
      </c>
      <c r="H204" s="49" t="s">
        <v>1063</v>
      </c>
      <c r="I204" s="49" t="s">
        <v>2891</v>
      </c>
      <c r="J204" s="49" t="s">
        <v>2867</v>
      </c>
      <c r="K204" s="49" t="s">
        <v>1028</v>
      </c>
      <c r="L204" s="37"/>
      <c r="M204" s="37"/>
      <c r="N204" s="37"/>
      <c r="O204" s="37"/>
      <c r="P204" s="37"/>
      <c r="Q204" s="37"/>
      <c r="R204" s="37"/>
      <c r="S204" s="37"/>
      <c r="T204" s="37"/>
      <c r="U204" s="37"/>
      <c r="V204" s="37"/>
    </row>
    <row r="205" ht="22.5" customHeight="1">
      <c r="A205" s="48">
        <v>46071.0</v>
      </c>
      <c r="B205" s="49" t="s">
        <v>2892</v>
      </c>
      <c r="C205" s="49" t="s">
        <v>2893</v>
      </c>
      <c r="D205" s="49" t="s">
        <v>971</v>
      </c>
      <c r="E205" s="49" t="s">
        <v>1711</v>
      </c>
      <c r="F205" s="49" t="s">
        <v>289</v>
      </c>
      <c r="G205" s="49" t="s">
        <v>2894</v>
      </c>
      <c r="H205" s="49" t="s">
        <v>1025</v>
      </c>
      <c r="I205" s="49" t="s">
        <v>1736</v>
      </c>
      <c r="J205" s="49" t="s">
        <v>2895</v>
      </c>
      <c r="K205" s="49" t="s">
        <v>1028</v>
      </c>
      <c r="L205" s="37"/>
      <c r="M205" s="37"/>
      <c r="N205" s="37"/>
      <c r="O205" s="37"/>
      <c r="P205" s="37"/>
      <c r="Q205" s="37"/>
      <c r="R205" s="37"/>
      <c r="S205" s="37"/>
      <c r="T205" s="37"/>
      <c r="U205" s="37"/>
      <c r="V205" s="37"/>
    </row>
    <row r="206" ht="22.5" customHeight="1">
      <c r="A206" s="48">
        <v>46071.0</v>
      </c>
      <c r="B206" s="49" t="s">
        <v>2896</v>
      </c>
      <c r="C206" s="49" t="s">
        <v>2897</v>
      </c>
      <c r="D206" s="49" t="s">
        <v>971</v>
      </c>
      <c r="E206" s="49" t="s">
        <v>959</v>
      </c>
      <c r="F206" s="49" t="s">
        <v>808</v>
      </c>
      <c r="G206" s="49" t="s">
        <v>2246</v>
      </c>
      <c r="H206" s="49" t="s">
        <v>1025</v>
      </c>
      <c r="I206" s="49" t="s">
        <v>2247</v>
      </c>
      <c r="J206" s="49" t="s">
        <v>2898</v>
      </c>
      <c r="K206" s="49" t="s">
        <v>1028</v>
      </c>
      <c r="L206" s="37"/>
      <c r="M206" s="37"/>
      <c r="N206" s="37"/>
      <c r="O206" s="37"/>
      <c r="P206" s="37"/>
      <c r="Q206" s="37"/>
      <c r="R206" s="37"/>
      <c r="S206" s="37"/>
      <c r="T206" s="37"/>
      <c r="U206" s="37"/>
      <c r="V206" s="37"/>
    </row>
    <row r="207" ht="22.5" customHeight="1">
      <c r="A207" s="48">
        <v>46071.0</v>
      </c>
      <c r="B207" s="49" t="s">
        <v>2017</v>
      </c>
      <c r="C207" s="49" t="s">
        <v>2899</v>
      </c>
      <c r="D207" s="49" t="s">
        <v>971</v>
      </c>
      <c r="E207" s="49" t="s">
        <v>2900</v>
      </c>
      <c r="F207" s="49" t="s">
        <v>2901</v>
      </c>
      <c r="G207" s="49" t="s">
        <v>2902</v>
      </c>
      <c r="H207" s="49" t="s">
        <v>1063</v>
      </c>
      <c r="I207" s="49" t="s">
        <v>1238</v>
      </c>
      <c r="J207" s="49" t="s">
        <v>2903</v>
      </c>
      <c r="K207" s="49" t="s">
        <v>1028</v>
      </c>
      <c r="L207" s="49" t="s">
        <v>945</v>
      </c>
      <c r="M207" s="37"/>
      <c r="N207" s="37"/>
      <c r="O207" s="37"/>
      <c r="P207" s="37"/>
      <c r="Q207" s="37"/>
      <c r="R207" s="37"/>
      <c r="S207" s="37"/>
      <c r="T207" s="37"/>
      <c r="U207" s="37"/>
      <c r="V207" s="37"/>
    </row>
    <row r="208" ht="22.5" customHeight="1">
      <c r="A208" s="48">
        <v>46071.0</v>
      </c>
      <c r="B208" s="49" t="s">
        <v>876</v>
      </c>
      <c r="C208" s="49" t="s">
        <v>2904</v>
      </c>
      <c r="D208" s="22" t="s">
        <v>971</v>
      </c>
      <c r="E208" s="22" t="s">
        <v>944</v>
      </c>
      <c r="F208" s="22" t="s">
        <v>2905</v>
      </c>
      <c r="G208" s="22" t="s">
        <v>2906</v>
      </c>
      <c r="H208" s="49" t="s">
        <v>1129</v>
      </c>
      <c r="I208" s="49" t="s">
        <v>1878</v>
      </c>
      <c r="J208" s="49" t="s">
        <v>2907</v>
      </c>
      <c r="K208" s="49" t="s">
        <v>1028</v>
      </c>
      <c r="L208" s="37"/>
      <c r="M208" s="37"/>
      <c r="N208" s="37"/>
      <c r="O208" s="37"/>
      <c r="P208" s="37"/>
      <c r="Q208" s="37"/>
      <c r="R208" s="37"/>
      <c r="S208" s="37"/>
      <c r="T208" s="37"/>
      <c r="U208" s="37"/>
      <c r="V208" s="37"/>
    </row>
    <row r="209" ht="22.5" customHeight="1">
      <c r="A209" s="48">
        <v>46071.0</v>
      </c>
      <c r="B209" s="49" t="s">
        <v>2908</v>
      </c>
      <c r="C209" s="49" t="s">
        <v>2909</v>
      </c>
      <c r="D209" s="49" t="s">
        <v>969</v>
      </c>
      <c r="E209" s="49" t="s">
        <v>1814</v>
      </c>
      <c r="F209" s="49" t="s">
        <v>2910</v>
      </c>
      <c r="G209" s="49" t="s">
        <v>2911</v>
      </c>
      <c r="H209" s="49" t="s">
        <v>1107</v>
      </c>
      <c r="I209" s="49" t="s">
        <v>1428</v>
      </c>
      <c r="J209" s="49" t="s">
        <v>2912</v>
      </c>
      <c r="K209" s="49" t="s">
        <v>1028</v>
      </c>
      <c r="L209" s="49"/>
      <c r="M209" s="37"/>
      <c r="N209" s="37"/>
      <c r="O209" s="37"/>
      <c r="P209" s="37"/>
      <c r="Q209" s="37"/>
      <c r="R209" s="37"/>
      <c r="S209" s="37"/>
      <c r="T209" s="37"/>
      <c r="U209" s="37"/>
      <c r="V209" s="37"/>
    </row>
    <row r="210" ht="22.5" customHeight="1">
      <c r="A210" s="48">
        <v>46071.0</v>
      </c>
      <c r="B210" s="49" t="s">
        <v>2913</v>
      </c>
      <c r="C210" s="49" t="s">
        <v>2914</v>
      </c>
      <c r="D210" s="49" t="s">
        <v>971</v>
      </c>
      <c r="E210" s="49" t="s">
        <v>2718</v>
      </c>
      <c r="F210" s="49" t="s">
        <v>2719</v>
      </c>
      <c r="G210" s="49" t="s">
        <v>2915</v>
      </c>
      <c r="H210" s="49" t="s">
        <v>1107</v>
      </c>
      <c r="I210" s="49" t="s">
        <v>2721</v>
      </c>
      <c r="J210" s="49" t="s">
        <v>2916</v>
      </c>
      <c r="K210" s="49" t="s">
        <v>1028</v>
      </c>
      <c r="L210" s="49"/>
      <c r="M210" s="37"/>
      <c r="N210" s="37"/>
      <c r="O210" s="37"/>
      <c r="P210" s="37"/>
      <c r="Q210" s="37"/>
      <c r="R210" s="37"/>
      <c r="S210" s="37"/>
      <c r="T210" s="37"/>
      <c r="U210" s="37"/>
      <c r="V210" s="37"/>
    </row>
    <row r="211" ht="22.5" customHeight="1">
      <c r="A211" s="48">
        <v>46071.0</v>
      </c>
      <c r="B211" s="49" t="s">
        <v>2917</v>
      </c>
      <c r="C211" s="49" t="s">
        <v>2918</v>
      </c>
      <c r="D211" s="49" t="s">
        <v>971</v>
      </c>
      <c r="E211" s="49" t="s">
        <v>2919</v>
      </c>
      <c r="F211" s="49" t="s">
        <v>2920</v>
      </c>
      <c r="G211" s="49" t="s">
        <v>2921</v>
      </c>
      <c r="H211" s="49" t="s">
        <v>1129</v>
      </c>
      <c r="I211" s="49"/>
      <c r="J211" s="49" t="s">
        <v>2922</v>
      </c>
      <c r="K211" s="49" t="s">
        <v>1028</v>
      </c>
      <c r="L211" s="49"/>
      <c r="M211" s="37"/>
      <c r="N211" s="37"/>
      <c r="O211" s="37"/>
      <c r="P211" s="37"/>
      <c r="Q211" s="37"/>
      <c r="R211" s="37"/>
      <c r="S211" s="37"/>
      <c r="T211" s="37"/>
      <c r="U211" s="37"/>
      <c r="V211" s="37"/>
    </row>
    <row r="212" ht="22.5" customHeight="1">
      <c r="A212" s="48">
        <v>46071.0</v>
      </c>
      <c r="B212" s="49" t="s">
        <v>2923</v>
      </c>
      <c r="C212" s="49" t="s">
        <v>2924</v>
      </c>
      <c r="D212" s="49" t="s">
        <v>971</v>
      </c>
      <c r="E212" s="49" t="s">
        <v>2919</v>
      </c>
      <c r="F212" s="49" t="s">
        <v>2920</v>
      </c>
      <c r="G212" s="49" t="s">
        <v>2921</v>
      </c>
      <c r="H212" s="49" t="s">
        <v>1129</v>
      </c>
      <c r="I212" s="49"/>
      <c r="J212" s="49" t="s">
        <v>2925</v>
      </c>
      <c r="K212" s="49" t="s">
        <v>1028</v>
      </c>
      <c r="L212" s="49"/>
      <c r="M212" s="37"/>
      <c r="N212" s="37"/>
      <c r="O212" s="37"/>
      <c r="P212" s="37"/>
      <c r="Q212" s="37"/>
      <c r="R212" s="37"/>
      <c r="S212" s="37"/>
      <c r="T212" s="37"/>
      <c r="U212" s="37"/>
      <c r="V212" s="37"/>
    </row>
    <row r="213" ht="22.5" customHeight="1">
      <c r="A213" s="48">
        <v>46071.0</v>
      </c>
      <c r="B213" s="49" t="s">
        <v>88</v>
      </c>
      <c r="C213" s="49" t="s">
        <v>2926</v>
      </c>
      <c r="D213" s="49" t="s">
        <v>971</v>
      </c>
      <c r="E213" s="49" t="s">
        <v>2251</v>
      </c>
      <c r="F213" s="49" t="s">
        <v>220</v>
      </c>
      <c r="G213" s="49" t="s">
        <v>2927</v>
      </c>
      <c r="H213" s="49" t="s">
        <v>1025</v>
      </c>
      <c r="I213" s="49" t="s">
        <v>1098</v>
      </c>
      <c r="J213" s="49" t="s">
        <v>2928</v>
      </c>
      <c r="K213" s="49" t="s">
        <v>1028</v>
      </c>
      <c r="L213" s="49"/>
      <c r="M213" s="37"/>
      <c r="N213" s="37"/>
      <c r="O213" s="37"/>
      <c r="P213" s="37"/>
      <c r="Q213" s="37"/>
      <c r="R213" s="37"/>
      <c r="S213" s="37"/>
      <c r="T213" s="37"/>
      <c r="U213" s="37"/>
      <c r="V213" s="37"/>
    </row>
    <row r="214" ht="22.5" customHeight="1">
      <c r="A214" s="48">
        <v>46071.0</v>
      </c>
      <c r="B214" s="49" t="s">
        <v>2929</v>
      </c>
      <c r="C214" s="49" t="s">
        <v>2930</v>
      </c>
      <c r="D214" s="49" t="s">
        <v>971</v>
      </c>
      <c r="E214" s="49" t="s">
        <v>2931</v>
      </c>
      <c r="F214" s="49" t="s">
        <v>2932</v>
      </c>
      <c r="G214" s="49" t="s">
        <v>2933</v>
      </c>
      <c r="H214" s="49" t="s">
        <v>1057</v>
      </c>
      <c r="I214" s="49" t="s">
        <v>2934</v>
      </c>
      <c r="J214" s="49" t="s">
        <v>2935</v>
      </c>
      <c r="K214" s="49" t="s">
        <v>1028</v>
      </c>
      <c r="L214" s="49"/>
      <c r="M214" s="37"/>
      <c r="N214" s="37"/>
      <c r="O214" s="37"/>
      <c r="P214" s="37"/>
      <c r="Q214" s="37"/>
      <c r="R214" s="37"/>
      <c r="S214" s="37"/>
      <c r="T214" s="37"/>
      <c r="U214" s="37"/>
      <c r="V214" s="37"/>
    </row>
    <row r="215" ht="22.5" customHeight="1">
      <c r="A215" s="48">
        <v>46071.0</v>
      </c>
      <c r="B215" s="49" t="s">
        <v>2936</v>
      </c>
      <c r="C215" s="49" t="s">
        <v>2937</v>
      </c>
      <c r="D215" s="49" t="s">
        <v>971</v>
      </c>
      <c r="E215" s="49" t="s">
        <v>1649</v>
      </c>
      <c r="F215" s="49" t="s">
        <v>2938</v>
      </c>
      <c r="G215" s="49" t="s">
        <v>2939</v>
      </c>
      <c r="H215" s="49" t="s">
        <v>1129</v>
      </c>
      <c r="I215" s="49" t="s">
        <v>2940</v>
      </c>
      <c r="J215" s="49" t="s">
        <v>2941</v>
      </c>
      <c r="K215" s="49" t="s">
        <v>1028</v>
      </c>
      <c r="L215" s="49"/>
      <c r="M215" s="37"/>
      <c r="N215" s="37"/>
      <c r="O215" s="37"/>
      <c r="P215" s="37"/>
      <c r="Q215" s="37"/>
      <c r="R215" s="37"/>
      <c r="S215" s="37"/>
      <c r="T215" s="37"/>
      <c r="U215" s="37"/>
      <c r="V215" s="37"/>
    </row>
    <row r="216" ht="22.5" customHeight="1">
      <c r="A216" s="48">
        <v>46071.0</v>
      </c>
      <c r="B216" s="49" t="s">
        <v>2942</v>
      </c>
      <c r="C216" s="49" t="s">
        <v>2943</v>
      </c>
      <c r="D216" s="49" t="s">
        <v>969</v>
      </c>
      <c r="E216" s="49" t="s">
        <v>944</v>
      </c>
      <c r="F216" s="49" t="s">
        <v>2944</v>
      </c>
      <c r="G216" s="49" t="s">
        <v>2945</v>
      </c>
      <c r="H216" s="49" t="s">
        <v>1129</v>
      </c>
      <c r="I216" s="49" t="s">
        <v>2946</v>
      </c>
      <c r="J216" s="49" t="s">
        <v>2947</v>
      </c>
      <c r="K216" s="49" t="s">
        <v>1028</v>
      </c>
      <c r="L216" s="49" t="s">
        <v>945</v>
      </c>
      <c r="M216" s="37"/>
      <c r="N216" s="37"/>
      <c r="O216" s="37"/>
      <c r="P216" s="37"/>
      <c r="Q216" s="37"/>
      <c r="R216" s="37"/>
      <c r="S216" s="37"/>
      <c r="T216" s="37"/>
      <c r="U216" s="37"/>
      <c r="V216" s="37"/>
    </row>
    <row r="217" ht="22.5" customHeight="1">
      <c r="A217" s="48">
        <v>46072.0</v>
      </c>
      <c r="B217" s="49" t="s">
        <v>2948</v>
      </c>
      <c r="C217" s="49" t="s">
        <v>2949</v>
      </c>
      <c r="D217" s="49" t="s">
        <v>969</v>
      </c>
      <c r="E217" s="49" t="s">
        <v>909</v>
      </c>
      <c r="F217" s="49" t="s">
        <v>45</v>
      </c>
      <c r="G217" s="49" t="s">
        <v>2801</v>
      </c>
      <c r="H217" s="49" t="s">
        <v>1025</v>
      </c>
      <c r="I217" s="49" t="s">
        <v>2802</v>
      </c>
      <c r="J217" s="49" t="s">
        <v>2950</v>
      </c>
      <c r="K217" s="49" t="s">
        <v>1028</v>
      </c>
      <c r="L217" s="49"/>
      <c r="M217" s="37"/>
      <c r="N217" s="37"/>
      <c r="O217" s="37"/>
      <c r="P217" s="37"/>
      <c r="Q217" s="37"/>
      <c r="R217" s="37"/>
      <c r="S217" s="37"/>
      <c r="T217" s="37"/>
      <c r="U217" s="37"/>
      <c r="V217" s="37"/>
    </row>
    <row r="218" ht="22.5" customHeight="1">
      <c r="A218" s="48">
        <v>46072.0</v>
      </c>
      <c r="B218" s="49" t="s">
        <v>2951</v>
      </c>
      <c r="C218" s="49" t="s">
        <v>2952</v>
      </c>
      <c r="D218" s="49" t="s">
        <v>969</v>
      </c>
      <c r="E218" s="49" t="s">
        <v>874</v>
      </c>
      <c r="F218" s="49" t="s">
        <v>2953</v>
      </c>
      <c r="G218" s="49" t="s">
        <v>2954</v>
      </c>
      <c r="H218" s="49" t="s">
        <v>1025</v>
      </c>
      <c r="I218" s="49" t="s">
        <v>2955</v>
      </c>
      <c r="J218" s="49" t="s">
        <v>2956</v>
      </c>
      <c r="K218" s="49" t="s">
        <v>945</v>
      </c>
      <c r="L218" s="49"/>
      <c r="M218" s="37"/>
      <c r="N218" s="37"/>
      <c r="O218" s="37"/>
      <c r="P218" s="37"/>
      <c r="Q218" s="37"/>
      <c r="R218" s="37"/>
      <c r="S218" s="37"/>
      <c r="T218" s="37"/>
      <c r="U218" s="37"/>
      <c r="V218" s="37"/>
    </row>
    <row r="219" ht="22.5" customHeight="1">
      <c r="A219" s="48">
        <v>46072.0</v>
      </c>
      <c r="B219" s="49" t="s">
        <v>2957</v>
      </c>
      <c r="C219" s="49" t="s">
        <v>2958</v>
      </c>
      <c r="D219" s="49" t="s">
        <v>971</v>
      </c>
      <c r="E219" s="49" t="s">
        <v>2959</v>
      </c>
      <c r="F219" s="49" t="s">
        <v>73</v>
      </c>
      <c r="G219" s="49" t="s">
        <v>1926</v>
      </c>
      <c r="H219" s="49" t="s">
        <v>1129</v>
      </c>
      <c r="I219" s="49" t="s">
        <v>2960</v>
      </c>
      <c r="J219" s="49" t="s">
        <v>2961</v>
      </c>
      <c r="K219" s="49" t="s">
        <v>1028</v>
      </c>
      <c r="L219" s="49"/>
      <c r="M219" s="37"/>
      <c r="N219" s="37"/>
      <c r="O219" s="37"/>
      <c r="P219" s="37"/>
      <c r="Q219" s="37"/>
      <c r="R219" s="37"/>
      <c r="S219" s="37"/>
      <c r="T219" s="37"/>
      <c r="U219" s="37"/>
      <c r="V219" s="37"/>
    </row>
    <row r="220" ht="22.5" customHeight="1">
      <c r="A220" s="48">
        <v>46072.0</v>
      </c>
      <c r="B220" s="49" t="s">
        <v>2127</v>
      </c>
      <c r="C220" s="49" t="s">
        <v>2962</v>
      </c>
      <c r="D220" s="49" t="s">
        <v>969</v>
      </c>
      <c r="E220" s="49" t="s">
        <v>2963</v>
      </c>
      <c r="F220" s="49" t="s">
        <v>1562</v>
      </c>
      <c r="G220" s="49" t="s">
        <v>1563</v>
      </c>
      <c r="H220" s="49" t="s">
        <v>1129</v>
      </c>
      <c r="I220" s="49" t="s">
        <v>1565</v>
      </c>
      <c r="J220" s="49" t="s">
        <v>2131</v>
      </c>
      <c r="K220" s="49" t="s">
        <v>1028</v>
      </c>
      <c r="L220" s="49"/>
      <c r="M220" s="37"/>
      <c r="N220" s="37"/>
      <c r="O220" s="37"/>
      <c r="P220" s="37"/>
      <c r="Q220" s="37"/>
      <c r="R220" s="37"/>
      <c r="S220" s="37"/>
      <c r="T220" s="37"/>
      <c r="U220" s="37"/>
      <c r="V220" s="37"/>
    </row>
    <row r="221" ht="22.5" customHeight="1">
      <c r="A221" s="48">
        <v>46072.0</v>
      </c>
      <c r="B221" s="49" t="s">
        <v>2964</v>
      </c>
      <c r="C221" s="49" t="s">
        <v>2965</v>
      </c>
      <c r="D221" s="49" t="s">
        <v>971</v>
      </c>
      <c r="E221" s="49" t="s">
        <v>2260</v>
      </c>
      <c r="F221" s="49" t="s">
        <v>1886</v>
      </c>
      <c r="G221" s="49" t="s">
        <v>1371</v>
      </c>
      <c r="H221" s="49" t="s">
        <v>1025</v>
      </c>
      <c r="I221" s="49" t="s">
        <v>1238</v>
      </c>
      <c r="J221" s="49" t="s">
        <v>2966</v>
      </c>
      <c r="K221" s="49" t="s">
        <v>1028</v>
      </c>
      <c r="L221" s="49"/>
      <c r="M221" s="37"/>
      <c r="N221" s="37"/>
      <c r="O221" s="37"/>
      <c r="P221" s="37"/>
      <c r="Q221" s="37"/>
      <c r="R221" s="37"/>
      <c r="S221" s="37"/>
      <c r="T221" s="37"/>
      <c r="U221" s="37"/>
      <c r="V221" s="37"/>
    </row>
    <row r="222" ht="22.5" customHeight="1">
      <c r="A222" s="48">
        <v>46072.0</v>
      </c>
      <c r="B222" s="49" t="s">
        <v>1199</v>
      </c>
      <c r="C222" s="49" t="s">
        <v>2967</v>
      </c>
      <c r="D222" s="49" t="s">
        <v>274</v>
      </c>
      <c r="E222" s="49" t="s">
        <v>2968</v>
      </c>
      <c r="F222" s="49" t="s">
        <v>1195</v>
      </c>
      <c r="G222" s="49" t="s">
        <v>1200</v>
      </c>
      <c r="H222" s="49" t="s">
        <v>1107</v>
      </c>
      <c r="I222" s="49" t="s">
        <v>1113</v>
      </c>
      <c r="J222" s="49" t="s">
        <v>2969</v>
      </c>
      <c r="K222" s="49" t="s">
        <v>1028</v>
      </c>
      <c r="L222" s="49"/>
      <c r="M222" s="37"/>
      <c r="N222" s="37"/>
      <c r="O222" s="37"/>
      <c r="P222" s="37"/>
      <c r="Q222" s="37"/>
      <c r="R222" s="37"/>
      <c r="S222" s="37"/>
      <c r="T222" s="37"/>
      <c r="U222" s="37"/>
      <c r="V222" s="37"/>
    </row>
    <row r="223" ht="22.5" customHeight="1">
      <c r="A223" s="48">
        <v>46072.0</v>
      </c>
      <c r="B223" s="49" t="s">
        <v>1194</v>
      </c>
      <c r="C223" s="49" t="s">
        <v>2970</v>
      </c>
      <c r="D223" s="49" t="s">
        <v>274</v>
      </c>
      <c r="E223" s="49" t="s">
        <v>2968</v>
      </c>
      <c r="F223" s="49" t="s">
        <v>1195</v>
      </c>
      <c r="G223" s="49" t="s">
        <v>1196</v>
      </c>
      <c r="H223" s="49" t="s">
        <v>1107</v>
      </c>
      <c r="I223" s="49" t="s">
        <v>1113</v>
      </c>
      <c r="J223" s="49" t="s">
        <v>1198</v>
      </c>
      <c r="K223" s="49" t="s">
        <v>1028</v>
      </c>
      <c r="L223" s="49"/>
      <c r="M223" s="37"/>
      <c r="N223" s="37"/>
      <c r="O223" s="37"/>
      <c r="P223" s="37"/>
      <c r="Q223" s="37"/>
      <c r="R223" s="37"/>
      <c r="S223" s="37"/>
      <c r="T223" s="37"/>
      <c r="U223" s="37"/>
      <c r="V223" s="37"/>
    </row>
    <row r="224" ht="22.5" customHeight="1">
      <c r="A224" s="48">
        <v>46072.0</v>
      </c>
      <c r="B224" s="49" t="s">
        <v>2971</v>
      </c>
      <c r="C224" s="49" t="s">
        <v>2972</v>
      </c>
      <c r="D224" s="49" t="s">
        <v>971</v>
      </c>
      <c r="E224" s="49" t="s">
        <v>2973</v>
      </c>
      <c r="F224" s="49" t="s">
        <v>2974</v>
      </c>
      <c r="G224" s="49" t="s">
        <v>2975</v>
      </c>
      <c r="H224" s="49" t="s">
        <v>1207</v>
      </c>
      <c r="I224" s="49"/>
      <c r="J224" s="49" t="s">
        <v>2976</v>
      </c>
      <c r="K224" s="49" t="s">
        <v>1028</v>
      </c>
      <c r="L224" s="49" t="s">
        <v>945</v>
      </c>
      <c r="M224" s="37"/>
      <c r="N224" s="37"/>
      <c r="O224" s="37"/>
      <c r="P224" s="37"/>
      <c r="Q224" s="37"/>
      <c r="R224" s="37"/>
      <c r="S224" s="37"/>
      <c r="T224" s="37"/>
      <c r="U224" s="37"/>
      <c r="V224" s="37"/>
    </row>
    <row r="225" ht="22.5" customHeight="1">
      <c r="A225" s="48">
        <v>46072.0</v>
      </c>
      <c r="B225" s="49" t="s">
        <v>2142</v>
      </c>
      <c r="C225" s="49" t="s">
        <v>2144</v>
      </c>
      <c r="D225" s="49" t="s">
        <v>969</v>
      </c>
      <c r="E225" s="49" t="s">
        <v>874</v>
      </c>
      <c r="F225" s="49" t="s">
        <v>2143</v>
      </c>
      <c r="G225" s="49" t="s">
        <v>2145</v>
      </c>
      <c r="H225" s="49" t="s">
        <v>1178</v>
      </c>
      <c r="I225" s="49" t="s">
        <v>1314</v>
      </c>
      <c r="J225" s="49" t="s">
        <v>2146</v>
      </c>
      <c r="K225" s="49" t="s">
        <v>1028</v>
      </c>
      <c r="L225" s="49"/>
      <c r="M225" s="37"/>
      <c r="N225" s="37"/>
      <c r="O225" s="37"/>
      <c r="P225" s="37"/>
      <c r="Q225" s="37"/>
      <c r="R225" s="37"/>
      <c r="S225" s="37"/>
      <c r="T225" s="37"/>
      <c r="U225" s="37"/>
      <c r="V225" s="37"/>
    </row>
    <row r="226" ht="22.5" customHeight="1">
      <c r="A226" s="48">
        <v>46072.0</v>
      </c>
      <c r="B226" s="49" t="s">
        <v>998</v>
      </c>
      <c r="C226" s="49" t="s">
        <v>2977</v>
      </c>
      <c r="D226" s="49" t="s">
        <v>971</v>
      </c>
      <c r="E226" s="49" t="s">
        <v>2978</v>
      </c>
      <c r="F226" s="49" t="s">
        <v>914</v>
      </c>
      <c r="G226" s="49" t="s">
        <v>2979</v>
      </c>
      <c r="H226" s="49" t="s">
        <v>1025</v>
      </c>
      <c r="I226" s="49" t="s">
        <v>1135</v>
      </c>
      <c r="J226" s="49" t="s">
        <v>2980</v>
      </c>
      <c r="K226" s="49" t="s">
        <v>1028</v>
      </c>
      <c r="L226" s="49"/>
      <c r="M226" s="37"/>
      <c r="N226" s="37"/>
      <c r="O226" s="37"/>
      <c r="P226" s="37"/>
      <c r="Q226" s="37"/>
      <c r="R226" s="37"/>
      <c r="S226" s="37"/>
      <c r="T226" s="37"/>
      <c r="U226" s="37"/>
      <c r="V226" s="37"/>
    </row>
    <row r="227" ht="22.5" customHeight="1">
      <c r="A227" s="48">
        <v>46072.0</v>
      </c>
      <c r="B227" s="49" t="s">
        <v>2981</v>
      </c>
      <c r="C227" s="49" t="s">
        <v>2982</v>
      </c>
      <c r="D227" s="49" t="s">
        <v>274</v>
      </c>
      <c r="E227" s="49" t="s">
        <v>2983</v>
      </c>
      <c r="F227" s="49" t="s">
        <v>2984</v>
      </c>
      <c r="G227" s="49" t="s">
        <v>2985</v>
      </c>
      <c r="H227" s="49" t="s">
        <v>1025</v>
      </c>
      <c r="I227" s="49" t="s">
        <v>2307</v>
      </c>
      <c r="J227" s="49" t="s">
        <v>2986</v>
      </c>
      <c r="K227" s="49" t="s">
        <v>1028</v>
      </c>
      <c r="L227" s="49" t="s">
        <v>945</v>
      </c>
      <c r="M227" s="37"/>
      <c r="N227" s="37"/>
      <c r="O227" s="37"/>
      <c r="P227" s="37"/>
      <c r="Q227" s="37"/>
      <c r="R227" s="37"/>
      <c r="S227" s="37"/>
      <c r="T227" s="37"/>
      <c r="U227" s="37"/>
      <c r="V227" s="37"/>
    </row>
    <row r="228" ht="22.5" customHeight="1">
      <c r="A228" s="48">
        <v>46072.0</v>
      </c>
      <c r="B228" s="49" t="s">
        <v>88</v>
      </c>
      <c r="C228" s="49" t="s">
        <v>2148</v>
      </c>
      <c r="D228" s="49" t="s">
        <v>274</v>
      </c>
      <c r="E228" s="49" t="s">
        <v>2149</v>
      </c>
      <c r="F228" s="49" t="s">
        <v>2147</v>
      </c>
      <c r="G228" s="49" t="s">
        <v>2150</v>
      </c>
      <c r="H228" s="49" t="s">
        <v>1107</v>
      </c>
      <c r="I228" s="49" t="s">
        <v>1684</v>
      </c>
      <c r="J228" s="49" t="s">
        <v>2151</v>
      </c>
      <c r="K228" s="49" t="s">
        <v>1028</v>
      </c>
      <c r="L228" s="49" t="s">
        <v>945</v>
      </c>
      <c r="M228" s="37"/>
      <c r="N228" s="37"/>
      <c r="O228" s="37"/>
      <c r="P228" s="37"/>
      <c r="Q228" s="37"/>
      <c r="R228" s="37"/>
      <c r="S228" s="37"/>
      <c r="T228" s="37"/>
      <c r="U228" s="37"/>
      <c r="V228" s="37"/>
    </row>
    <row r="229" ht="22.5" customHeight="1">
      <c r="A229" s="48">
        <v>46072.0</v>
      </c>
      <c r="B229" s="49" t="s">
        <v>1115</v>
      </c>
      <c r="C229" s="49" t="s">
        <v>2987</v>
      </c>
      <c r="D229" s="49" t="s">
        <v>971</v>
      </c>
      <c r="E229" s="49" t="s">
        <v>2988</v>
      </c>
      <c r="F229" s="49" t="s">
        <v>2989</v>
      </c>
      <c r="G229" s="49" t="s">
        <v>2990</v>
      </c>
      <c r="H229" s="49" t="s">
        <v>1025</v>
      </c>
      <c r="I229" s="49" t="s">
        <v>2991</v>
      </c>
      <c r="J229" s="49" t="s">
        <v>2992</v>
      </c>
      <c r="K229" s="49" t="s">
        <v>1028</v>
      </c>
      <c r="L229" s="49" t="s">
        <v>945</v>
      </c>
      <c r="M229" s="37"/>
      <c r="N229" s="37"/>
      <c r="O229" s="37"/>
      <c r="P229" s="37"/>
      <c r="Q229" s="37"/>
      <c r="R229" s="37"/>
      <c r="S229" s="37"/>
      <c r="T229" s="37"/>
      <c r="U229" s="37"/>
      <c r="V229" s="37"/>
    </row>
    <row r="230" ht="22.5" customHeight="1">
      <c r="A230" s="48">
        <v>46072.0</v>
      </c>
      <c r="B230" s="49" t="s">
        <v>2993</v>
      </c>
      <c r="C230" s="49" t="s">
        <v>2994</v>
      </c>
      <c r="D230" s="49" t="s">
        <v>971</v>
      </c>
      <c r="E230" s="49" t="s">
        <v>2995</v>
      </c>
      <c r="F230" s="49" t="s">
        <v>2853</v>
      </c>
      <c r="G230" s="49" t="s">
        <v>2566</v>
      </c>
      <c r="H230" s="49" t="s">
        <v>1025</v>
      </c>
      <c r="I230" s="49" t="s">
        <v>2855</v>
      </c>
      <c r="J230" s="49" t="s">
        <v>2567</v>
      </c>
      <c r="K230" s="49" t="s">
        <v>1028</v>
      </c>
      <c r="L230" s="49"/>
      <c r="M230" s="37"/>
      <c r="N230" s="37"/>
      <c r="O230" s="37"/>
      <c r="P230" s="37"/>
      <c r="Q230" s="37"/>
      <c r="R230" s="37"/>
      <c r="S230" s="37"/>
      <c r="T230" s="37"/>
      <c r="U230" s="37"/>
      <c r="V230" s="37"/>
    </row>
    <row r="231" ht="22.5" customHeight="1">
      <c r="A231" s="48">
        <v>46072.0</v>
      </c>
      <c r="B231" s="49" t="s">
        <v>1903</v>
      </c>
      <c r="C231" s="49" t="s">
        <v>1905</v>
      </c>
      <c r="D231" s="49" t="s">
        <v>971</v>
      </c>
      <c r="E231" s="49" t="s">
        <v>1649</v>
      </c>
      <c r="F231" s="49" t="s">
        <v>1904</v>
      </c>
      <c r="G231" s="49" t="s">
        <v>1906</v>
      </c>
      <c r="H231" s="49" t="s">
        <v>1107</v>
      </c>
      <c r="I231" s="49" t="s">
        <v>1907</v>
      </c>
      <c r="J231" s="49" t="s">
        <v>1908</v>
      </c>
      <c r="K231" s="49" t="s">
        <v>1028</v>
      </c>
      <c r="L231" s="49"/>
      <c r="M231" s="37"/>
      <c r="N231" s="37"/>
      <c r="O231" s="37"/>
      <c r="P231" s="37"/>
      <c r="Q231" s="37"/>
      <c r="R231" s="37"/>
      <c r="S231" s="37"/>
      <c r="T231" s="37"/>
      <c r="U231" s="37"/>
      <c r="V231" s="37"/>
    </row>
    <row r="232" ht="22.5" customHeight="1">
      <c r="A232" s="48">
        <v>46072.0</v>
      </c>
      <c r="B232" s="49" t="s">
        <v>2964</v>
      </c>
      <c r="C232" s="49" t="s">
        <v>2996</v>
      </c>
      <c r="D232" s="49" t="s">
        <v>971</v>
      </c>
      <c r="E232" s="49" t="s">
        <v>874</v>
      </c>
      <c r="F232" s="49" t="s">
        <v>1886</v>
      </c>
      <c r="G232" s="49" t="s">
        <v>1574</v>
      </c>
      <c r="H232" s="49" t="s">
        <v>1025</v>
      </c>
      <c r="I232" s="49" t="s">
        <v>1238</v>
      </c>
      <c r="J232" s="49" t="s">
        <v>2966</v>
      </c>
      <c r="K232" s="49" t="s">
        <v>1028</v>
      </c>
      <c r="L232" s="49"/>
      <c r="M232" s="37"/>
      <c r="N232" s="37"/>
      <c r="O232" s="37"/>
      <c r="P232" s="37"/>
      <c r="Q232" s="37"/>
      <c r="R232" s="37"/>
      <c r="S232" s="37"/>
      <c r="T232" s="37"/>
      <c r="U232" s="37"/>
      <c r="V232" s="37"/>
    </row>
    <row r="233" ht="22.5" customHeight="1">
      <c r="A233" s="48">
        <v>46072.0</v>
      </c>
      <c r="B233" s="49" t="s">
        <v>2997</v>
      </c>
      <c r="C233" s="49" t="s">
        <v>2998</v>
      </c>
      <c r="D233" s="49" t="s">
        <v>969</v>
      </c>
      <c r="E233" s="49" t="s">
        <v>2215</v>
      </c>
      <c r="F233" s="49" t="s">
        <v>2999</v>
      </c>
      <c r="G233" s="49" t="s">
        <v>2369</v>
      </c>
      <c r="H233" s="49" t="s">
        <v>1057</v>
      </c>
      <c r="I233" s="49" t="s">
        <v>3000</v>
      </c>
      <c r="J233" s="49" t="s">
        <v>3001</v>
      </c>
      <c r="K233" s="49" t="s">
        <v>1028</v>
      </c>
      <c r="L233" s="49"/>
      <c r="M233" s="37"/>
      <c r="N233" s="37"/>
      <c r="O233" s="37"/>
      <c r="P233" s="37"/>
      <c r="Q233" s="37"/>
      <c r="R233" s="37"/>
      <c r="S233" s="37"/>
      <c r="T233" s="37"/>
      <c r="U233" s="37"/>
      <c r="V233" s="37"/>
    </row>
    <row r="234" ht="22.5" customHeight="1">
      <c r="A234" s="48">
        <v>46072.0</v>
      </c>
      <c r="B234" s="49" t="s">
        <v>3002</v>
      </c>
      <c r="C234" s="49" t="s">
        <v>3003</v>
      </c>
      <c r="D234" s="49" t="s">
        <v>969</v>
      </c>
      <c r="E234" s="49" t="s">
        <v>2774</v>
      </c>
      <c r="F234" s="49" t="s">
        <v>2775</v>
      </c>
      <c r="G234" s="49" t="s">
        <v>3004</v>
      </c>
      <c r="H234" s="49" t="s">
        <v>1129</v>
      </c>
      <c r="I234" s="49" t="s">
        <v>2777</v>
      </c>
      <c r="J234" s="49" t="s">
        <v>3005</v>
      </c>
      <c r="K234" s="49" t="s">
        <v>1028</v>
      </c>
      <c r="L234" s="49"/>
      <c r="M234" s="37"/>
      <c r="N234" s="37"/>
      <c r="O234" s="37"/>
      <c r="P234" s="37"/>
      <c r="Q234" s="37"/>
      <c r="R234" s="37"/>
      <c r="S234" s="37"/>
      <c r="T234" s="37"/>
      <c r="U234" s="37"/>
      <c r="V234" s="37"/>
    </row>
    <row r="235" ht="22.5" customHeight="1">
      <c r="A235" s="48">
        <v>46072.0</v>
      </c>
      <c r="B235" s="49" t="s">
        <v>3006</v>
      </c>
      <c r="C235" s="49" t="s">
        <v>3007</v>
      </c>
      <c r="D235" s="49" t="s">
        <v>971</v>
      </c>
      <c r="E235" s="49" t="s">
        <v>3008</v>
      </c>
      <c r="F235" s="49" t="s">
        <v>257</v>
      </c>
      <c r="G235" s="49" t="s">
        <v>3009</v>
      </c>
      <c r="H235" s="49" t="s">
        <v>1025</v>
      </c>
      <c r="I235" s="49" t="s">
        <v>2272</v>
      </c>
      <c r="J235" s="49" t="s">
        <v>3010</v>
      </c>
      <c r="K235" s="49" t="s">
        <v>1028</v>
      </c>
      <c r="L235" s="49"/>
      <c r="M235" s="37"/>
      <c r="N235" s="37"/>
      <c r="O235" s="37"/>
      <c r="P235" s="37"/>
      <c r="Q235" s="37"/>
      <c r="R235" s="37"/>
      <c r="S235" s="37"/>
      <c r="T235" s="37"/>
      <c r="U235" s="37"/>
      <c r="V235" s="37"/>
    </row>
    <row r="236" ht="22.5" customHeight="1">
      <c r="A236" s="48">
        <v>46072.0</v>
      </c>
      <c r="B236" s="49" t="s">
        <v>3011</v>
      </c>
      <c r="C236" s="49" t="s">
        <v>3012</v>
      </c>
      <c r="D236" s="49" t="s">
        <v>969</v>
      </c>
      <c r="E236" s="49" t="s">
        <v>364</v>
      </c>
      <c r="F236" s="49" t="s">
        <v>3013</v>
      </c>
      <c r="G236" s="49" t="s">
        <v>2079</v>
      </c>
      <c r="H236" s="49" t="s">
        <v>1207</v>
      </c>
      <c r="I236" s="49" t="s">
        <v>1620</v>
      </c>
      <c r="J236" s="49" t="s">
        <v>3014</v>
      </c>
      <c r="K236" s="49" t="s">
        <v>1028</v>
      </c>
      <c r="L236" s="49"/>
      <c r="M236" s="37"/>
      <c r="N236" s="37"/>
      <c r="O236" s="37"/>
      <c r="P236" s="37"/>
      <c r="Q236" s="37"/>
      <c r="R236" s="37"/>
      <c r="S236" s="37"/>
      <c r="T236" s="37"/>
      <c r="U236" s="37"/>
      <c r="V236" s="37"/>
    </row>
    <row r="237" ht="22.5" customHeight="1">
      <c r="A237" s="48">
        <v>46072.0</v>
      </c>
      <c r="B237" s="49" t="s">
        <v>3015</v>
      </c>
      <c r="C237" s="49" t="s">
        <v>3016</v>
      </c>
      <c r="D237" s="49" t="s">
        <v>971</v>
      </c>
      <c r="E237" s="49" t="s">
        <v>3017</v>
      </c>
      <c r="F237" s="49" t="s">
        <v>3018</v>
      </c>
      <c r="G237" s="49" t="s">
        <v>3019</v>
      </c>
      <c r="H237" s="49" t="s">
        <v>1129</v>
      </c>
      <c r="I237" s="49" t="s">
        <v>3020</v>
      </c>
      <c r="J237" s="49" t="s">
        <v>3021</v>
      </c>
      <c r="K237" s="49" t="s">
        <v>1028</v>
      </c>
      <c r="L237" s="49"/>
      <c r="M237" s="37"/>
      <c r="N237" s="37"/>
      <c r="O237" s="37"/>
      <c r="P237" s="37"/>
      <c r="Q237" s="37"/>
      <c r="R237" s="37"/>
      <c r="S237" s="37"/>
      <c r="T237" s="37"/>
      <c r="U237" s="37"/>
      <c r="V237" s="37"/>
    </row>
    <row r="238" ht="22.5" customHeight="1">
      <c r="A238" s="48">
        <v>46072.0</v>
      </c>
      <c r="B238" s="49" t="s">
        <v>3022</v>
      </c>
      <c r="C238" s="49" t="s">
        <v>3023</v>
      </c>
      <c r="D238" s="49" t="s">
        <v>969</v>
      </c>
      <c r="E238" s="49" t="s">
        <v>3024</v>
      </c>
      <c r="F238" s="49" t="s">
        <v>3025</v>
      </c>
      <c r="G238" s="49" t="s">
        <v>2380</v>
      </c>
      <c r="H238" s="49" t="s">
        <v>1025</v>
      </c>
      <c r="I238" s="49"/>
      <c r="J238" s="49" t="s">
        <v>3026</v>
      </c>
      <c r="K238" s="49" t="s">
        <v>1028</v>
      </c>
      <c r="L238" s="49"/>
      <c r="M238" s="37"/>
      <c r="N238" s="37"/>
      <c r="O238" s="37"/>
      <c r="P238" s="37"/>
      <c r="Q238" s="37"/>
      <c r="R238" s="37"/>
      <c r="S238" s="37"/>
      <c r="T238" s="37"/>
      <c r="U238" s="37"/>
      <c r="V238" s="37"/>
    </row>
    <row r="239" ht="22.5" customHeight="1">
      <c r="A239" s="48">
        <v>46072.0</v>
      </c>
      <c r="B239" s="49" t="s">
        <v>3027</v>
      </c>
      <c r="C239" s="49" t="s">
        <v>3028</v>
      </c>
      <c r="D239" s="49" t="s">
        <v>971</v>
      </c>
      <c r="E239" s="49" t="s">
        <v>2284</v>
      </c>
      <c r="F239" s="49" t="s">
        <v>754</v>
      </c>
      <c r="G239" s="49" t="s">
        <v>3029</v>
      </c>
      <c r="H239" s="49" t="s">
        <v>1025</v>
      </c>
      <c r="I239" s="49" t="s">
        <v>3030</v>
      </c>
      <c r="J239" s="49"/>
      <c r="K239" s="49" t="s">
        <v>1028</v>
      </c>
      <c r="L239" s="49"/>
      <c r="M239" s="37"/>
      <c r="N239" s="37"/>
      <c r="O239" s="37"/>
      <c r="P239" s="37"/>
      <c r="Q239" s="37"/>
      <c r="R239" s="37"/>
      <c r="S239" s="37"/>
      <c r="T239" s="37"/>
      <c r="U239" s="37"/>
      <c r="V239" s="37"/>
    </row>
    <row r="240" ht="22.5" customHeight="1">
      <c r="A240" s="48">
        <v>46072.0</v>
      </c>
      <c r="B240" s="49" t="s">
        <v>916</v>
      </c>
      <c r="C240" s="49" t="s">
        <v>3031</v>
      </c>
      <c r="D240" s="49" t="s">
        <v>971</v>
      </c>
      <c r="E240" s="49" t="s">
        <v>866</v>
      </c>
      <c r="F240" s="49" t="s">
        <v>834</v>
      </c>
      <c r="G240" s="49" t="s">
        <v>3032</v>
      </c>
      <c r="H240" s="49" t="s">
        <v>1129</v>
      </c>
      <c r="I240" s="49" t="s">
        <v>2731</v>
      </c>
      <c r="J240" s="49" t="s">
        <v>3033</v>
      </c>
      <c r="K240" s="49" t="s">
        <v>945</v>
      </c>
      <c r="L240" s="49" t="s">
        <v>945</v>
      </c>
      <c r="M240" s="37"/>
      <c r="N240" s="37"/>
      <c r="O240" s="37"/>
      <c r="P240" s="37"/>
      <c r="Q240" s="37"/>
      <c r="R240" s="37"/>
      <c r="S240" s="37"/>
      <c r="T240" s="37"/>
      <c r="U240" s="37"/>
      <c r="V240" s="37"/>
    </row>
    <row r="241" ht="22.5" customHeight="1">
      <c r="A241" s="48">
        <v>46072.0</v>
      </c>
      <c r="B241" s="49" t="s">
        <v>3034</v>
      </c>
      <c r="C241" s="49" t="s">
        <v>3035</v>
      </c>
      <c r="D241" s="49" t="s">
        <v>971</v>
      </c>
      <c r="E241" s="49" t="s">
        <v>1520</v>
      </c>
      <c r="F241" s="49" t="s">
        <v>3036</v>
      </c>
      <c r="G241" s="49" t="s">
        <v>1970</v>
      </c>
      <c r="H241" s="49" t="s">
        <v>1107</v>
      </c>
      <c r="I241" s="49" t="s">
        <v>3037</v>
      </c>
      <c r="J241" s="49" t="s">
        <v>3038</v>
      </c>
      <c r="K241" s="49" t="s">
        <v>1028</v>
      </c>
      <c r="L241" s="49"/>
      <c r="M241" s="37"/>
      <c r="N241" s="37"/>
      <c r="O241" s="37"/>
      <c r="P241" s="37"/>
      <c r="Q241" s="37"/>
      <c r="R241" s="37"/>
      <c r="S241" s="37"/>
      <c r="T241" s="37"/>
      <c r="U241" s="37"/>
      <c r="V241" s="37"/>
    </row>
    <row r="242" ht="22.5" customHeight="1">
      <c r="A242" s="48">
        <v>46072.0</v>
      </c>
      <c r="B242" s="49" t="s">
        <v>1727</v>
      </c>
      <c r="C242" s="49" t="s">
        <v>2139</v>
      </c>
      <c r="D242" s="49" t="s">
        <v>971</v>
      </c>
      <c r="E242" s="49" t="s">
        <v>2140</v>
      </c>
      <c r="F242" s="49" t="s">
        <v>1728</v>
      </c>
      <c r="G242" s="49" t="s">
        <v>2141</v>
      </c>
      <c r="H242" s="49" t="s">
        <v>1057</v>
      </c>
      <c r="I242" s="49" t="s">
        <v>1684</v>
      </c>
      <c r="J242" s="49" t="s">
        <v>1731</v>
      </c>
      <c r="K242" s="49" t="s">
        <v>1028</v>
      </c>
      <c r="L242" s="49"/>
      <c r="M242" s="37"/>
      <c r="N242" s="37"/>
      <c r="O242" s="37"/>
      <c r="P242" s="37"/>
      <c r="Q242" s="37"/>
      <c r="R242" s="37"/>
      <c r="S242" s="37"/>
      <c r="T242" s="37"/>
      <c r="U242" s="37"/>
      <c r="V242" s="37"/>
    </row>
    <row r="243" ht="22.5" customHeight="1">
      <c r="A243" s="48">
        <v>46072.0</v>
      </c>
      <c r="B243" s="49" t="s">
        <v>3039</v>
      </c>
      <c r="C243" s="49" t="s">
        <v>3040</v>
      </c>
      <c r="D243" s="49" t="s">
        <v>971</v>
      </c>
      <c r="E243" s="49" t="s">
        <v>3041</v>
      </c>
      <c r="F243" s="49" t="s">
        <v>3042</v>
      </c>
      <c r="G243" s="49" t="s">
        <v>3043</v>
      </c>
      <c r="H243" s="49" t="s">
        <v>1025</v>
      </c>
      <c r="I243" s="49" t="s">
        <v>1701</v>
      </c>
      <c r="J243" s="49" t="s">
        <v>3044</v>
      </c>
      <c r="K243" s="49" t="s">
        <v>1028</v>
      </c>
      <c r="L243" s="49"/>
      <c r="M243" s="37"/>
      <c r="N243" s="37"/>
      <c r="O243" s="37"/>
      <c r="P243" s="37"/>
      <c r="Q243" s="37"/>
      <c r="R243" s="37"/>
      <c r="S243" s="37"/>
      <c r="T243" s="37"/>
      <c r="U243" s="37"/>
      <c r="V243" s="37"/>
    </row>
    <row r="244" ht="22.5" customHeight="1">
      <c r="A244" s="48">
        <v>46072.0</v>
      </c>
      <c r="B244" s="49" t="s">
        <v>960</v>
      </c>
      <c r="C244" s="49" t="s">
        <v>3045</v>
      </c>
      <c r="D244" s="49" t="s">
        <v>971</v>
      </c>
      <c r="E244" s="49" t="s">
        <v>3046</v>
      </c>
      <c r="F244" s="49" t="s">
        <v>3047</v>
      </c>
      <c r="G244" s="49" t="s">
        <v>3048</v>
      </c>
      <c r="H244" s="49" t="s">
        <v>1063</v>
      </c>
      <c r="I244" s="49" t="s">
        <v>3049</v>
      </c>
      <c r="J244" s="49" t="s">
        <v>3050</v>
      </c>
      <c r="K244" s="49" t="s">
        <v>1028</v>
      </c>
      <c r="L244" s="49"/>
      <c r="M244" s="37"/>
      <c r="N244" s="37"/>
      <c r="O244" s="37"/>
      <c r="P244" s="37"/>
      <c r="Q244" s="37"/>
      <c r="R244" s="37"/>
      <c r="S244" s="37"/>
      <c r="T244" s="37"/>
      <c r="U244" s="37"/>
      <c r="V244" s="37"/>
    </row>
    <row r="245" ht="22.5" customHeight="1">
      <c r="A245" s="48">
        <v>46072.0</v>
      </c>
      <c r="B245" s="49" t="s">
        <v>3051</v>
      </c>
      <c r="C245" s="49" t="s">
        <v>3052</v>
      </c>
      <c r="D245" s="49" t="s">
        <v>971</v>
      </c>
      <c r="E245" s="49" t="s">
        <v>1144</v>
      </c>
      <c r="F245" s="49" t="s">
        <v>416</v>
      </c>
      <c r="G245" s="49" t="s">
        <v>3053</v>
      </c>
      <c r="H245" s="49" t="s">
        <v>1025</v>
      </c>
      <c r="I245" s="49" t="s">
        <v>1094</v>
      </c>
      <c r="J245" s="49" t="s">
        <v>3054</v>
      </c>
      <c r="K245" s="49" t="s">
        <v>1028</v>
      </c>
      <c r="L245" s="49"/>
      <c r="M245" s="37"/>
      <c r="N245" s="37"/>
      <c r="O245" s="37"/>
      <c r="P245" s="37"/>
      <c r="Q245" s="37"/>
      <c r="R245" s="37"/>
      <c r="S245" s="37"/>
      <c r="T245" s="37"/>
      <c r="U245" s="37"/>
      <c r="V245" s="37"/>
    </row>
    <row r="246" ht="22.5" customHeight="1">
      <c r="A246" s="48">
        <v>46072.0</v>
      </c>
      <c r="B246" s="49" t="s">
        <v>3055</v>
      </c>
      <c r="C246" s="49" t="s">
        <v>3056</v>
      </c>
      <c r="D246" s="49" t="s">
        <v>969</v>
      </c>
      <c r="E246" s="49" t="s">
        <v>3057</v>
      </c>
      <c r="F246" s="49" t="s">
        <v>3025</v>
      </c>
      <c r="G246" s="49" t="s">
        <v>3058</v>
      </c>
      <c r="H246" s="49" t="s">
        <v>1025</v>
      </c>
      <c r="I246" s="49"/>
      <c r="J246" s="49" t="s">
        <v>3059</v>
      </c>
      <c r="K246" s="49" t="s">
        <v>1028</v>
      </c>
      <c r="L246" s="49" t="s">
        <v>945</v>
      </c>
      <c r="M246" s="37"/>
      <c r="N246" s="37"/>
      <c r="O246" s="37"/>
      <c r="P246" s="37"/>
      <c r="Q246" s="37"/>
      <c r="R246" s="37"/>
      <c r="S246" s="37"/>
      <c r="T246" s="37"/>
      <c r="U246" s="37"/>
      <c r="V246" s="37"/>
    </row>
    <row r="247" ht="22.5" customHeight="1">
      <c r="A247" s="48">
        <v>46072.0</v>
      </c>
      <c r="B247" s="49" t="s">
        <v>397</v>
      </c>
      <c r="C247" s="49" t="s">
        <v>3060</v>
      </c>
      <c r="D247" s="49" t="s">
        <v>971</v>
      </c>
      <c r="E247" s="49" t="s">
        <v>3041</v>
      </c>
      <c r="F247" s="49" t="s">
        <v>3042</v>
      </c>
      <c r="G247" s="49" t="s">
        <v>1970</v>
      </c>
      <c r="H247" s="49" t="s">
        <v>1025</v>
      </c>
      <c r="I247" s="49" t="s">
        <v>1701</v>
      </c>
      <c r="J247" s="49" t="s">
        <v>3061</v>
      </c>
      <c r="K247" s="49" t="s">
        <v>1028</v>
      </c>
      <c r="L247" s="49"/>
      <c r="M247" s="37"/>
      <c r="N247" s="37"/>
      <c r="O247" s="37"/>
      <c r="P247" s="37"/>
      <c r="Q247" s="37"/>
      <c r="R247" s="37"/>
      <c r="S247" s="37"/>
      <c r="T247" s="37"/>
      <c r="U247" s="37"/>
      <c r="V247" s="37"/>
    </row>
    <row r="248" ht="22.5" customHeight="1">
      <c r="A248" s="48">
        <v>46072.0</v>
      </c>
      <c r="B248" s="49" t="s">
        <v>3062</v>
      </c>
      <c r="C248" s="49" t="s">
        <v>3063</v>
      </c>
      <c r="D248" s="49" t="s">
        <v>971</v>
      </c>
      <c r="E248" s="49" t="s">
        <v>874</v>
      </c>
      <c r="F248" s="49" t="s">
        <v>3064</v>
      </c>
      <c r="G248" s="49" t="s">
        <v>3065</v>
      </c>
      <c r="H248" s="49" t="s">
        <v>1129</v>
      </c>
      <c r="I248" s="49"/>
      <c r="J248" s="49" t="s">
        <v>3066</v>
      </c>
      <c r="K248" s="49" t="s">
        <v>1028</v>
      </c>
      <c r="L248" s="49"/>
      <c r="M248" s="37"/>
      <c r="N248" s="37"/>
      <c r="O248" s="37"/>
      <c r="P248" s="37"/>
      <c r="Q248" s="37"/>
      <c r="R248" s="37"/>
      <c r="S248" s="37"/>
      <c r="T248" s="37"/>
      <c r="U248" s="37"/>
      <c r="V248" s="37"/>
    </row>
    <row r="249" ht="22.5" customHeight="1">
      <c r="A249" s="48">
        <v>46072.0</v>
      </c>
      <c r="B249" s="49" t="s">
        <v>3067</v>
      </c>
      <c r="C249" s="49" t="s">
        <v>3068</v>
      </c>
      <c r="D249" s="49" t="s">
        <v>971</v>
      </c>
      <c r="E249" s="49" t="s">
        <v>952</v>
      </c>
      <c r="F249" s="49" t="s">
        <v>3069</v>
      </c>
      <c r="G249" s="49" t="s">
        <v>3070</v>
      </c>
      <c r="H249" s="49" t="s">
        <v>1063</v>
      </c>
      <c r="I249" s="49" t="s">
        <v>3071</v>
      </c>
      <c r="J249" s="49" t="s">
        <v>3072</v>
      </c>
      <c r="K249" s="49" t="s">
        <v>1028</v>
      </c>
      <c r="L249" s="49"/>
      <c r="M249" s="37"/>
      <c r="N249" s="37"/>
      <c r="O249" s="37"/>
      <c r="P249" s="37"/>
      <c r="Q249" s="37"/>
      <c r="R249" s="37"/>
      <c r="S249" s="37"/>
      <c r="T249" s="37"/>
      <c r="U249" s="37"/>
      <c r="V249" s="37"/>
    </row>
    <row r="250" ht="22.5" customHeight="1">
      <c r="A250" s="48">
        <v>46072.0</v>
      </c>
      <c r="B250" s="49" t="s">
        <v>3055</v>
      </c>
      <c r="C250" s="49" t="s">
        <v>3073</v>
      </c>
      <c r="D250" s="49" t="s">
        <v>971</v>
      </c>
      <c r="E250" s="49" t="s">
        <v>3074</v>
      </c>
      <c r="F250" s="49" t="s">
        <v>3075</v>
      </c>
      <c r="G250" s="49" t="s">
        <v>3076</v>
      </c>
      <c r="H250" s="49" t="s">
        <v>1025</v>
      </c>
      <c r="I250" s="49"/>
      <c r="J250" s="49" t="s">
        <v>3059</v>
      </c>
      <c r="K250" s="49" t="s">
        <v>1028</v>
      </c>
      <c r="L250" s="49" t="s">
        <v>945</v>
      </c>
      <c r="M250" s="37"/>
      <c r="N250" s="37"/>
      <c r="O250" s="37"/>
      <c r="P250" s="37"/>
      <c r="Q250" s="37"/>
      <c r="R250" s="37"/>
      <c r="S250" s="37"/>
      <c r="T250" s="37"/>
      <c r="U250" s="37"/>
      <c r="V250" s="37"/>
    </row>
    <row r="251" ht="22.5" customHeight="1">
      <c r="A251" s="48">
        <v>46072.0</v>
      </c>
      <c r="B251" s="49" t="s">
        <v>3077</v>
      </c>
      <c r="C251" s="49" t="s">
        <v>3078</v>
      </c>
      <c r="D251" s="49" t="s">
        <v>274</v>
      </c>
      <c r="E251" s="49" t="s">
        <v>858</v>
      </c>
      <c r="F251" s="49" t="s">
        <v>3079</v>
      </c>
      <c r="G251" s="49" t="s">
        <v>3080</v>
      </c>
      <c r="H251" s="49" t="s">
        <v>1107</v>
      </c>
      <c r="I251" s="49" t="s">
        <v>3081</v>
      </c>
      <c r="J251" s="49" t="s">
        <v>3082</v>
      </c>
      <c r="K251" s="49" t="s">
        <v>1028</v>
      </c>
      <c r="L251" s="49"/>
      <c r="M251" s="37"/>
      <c r="N251" s="37"/>
      <c r="O251" s="37"/>
      <c r="P251" s="37"/>
      <c r="Q251" s="37"/>
      <c r="R251" s="37"/>
      <c r="S251" s="37"/>
      <c r="T251" s="37"/>
      <c r="U251" s="37"/>
      <c r="V251" s="37"/>
    </row>
    <row r="252" ht="22.5" customHeight="1">
      <c r="A252" s="48">
        <v>46072.0</v>
      </c>
      <c r="B252" s="49" t="s">
        <v>3083</v>
      </c>
      <c r="C252" s="49" t="s">
        <v>3084</v>
      </c>
      <c r="D252" s="49" t="s">
        <v>969</v>
      </c>
      <c r="E252" s="49" t="s">
        <v>3085</v>
      </c>
      <c r="F252" s="49" t="s">
        <v>3086</v>
      </c>
      <c r="G252" s="49" t="s">
        <v>3087</v>
      </c>
      <c r="H252" s="49" t="s">
        <v>1025</v>
      </c>
      <c r="I252" s="49" t="s">
        <v>3088</v>
      </c>
      <c r="J252" s="49" t="s">
        <v>3089</v>
      </c>
      <c r="K252" s="49" t="s">
        <v>1028</v>
      </c>
      <c r="L252" s="49"/>
      <c r="M252" s="37"/>
      <c r="N252" s="37"/>
      <c r="O252" s="37"/>
      <c r="P252" s="37"/>
      <c r="Q252" s="37"/>
      <c r="R252" s="37"/>
      <c r="S252" s="37"/>
      <c r="T252" s="37"/>
      <c r="U252" s="37"/>
      <c r="V252" s="37"/>
    </row>
    <row r="253" ht="22.5" customHeight="1">
      <c r="A253" s="48">
        <v>46072.0</v>
      </c>
      <c r="B253" s="49" t="s">
        <v>3090</v>
      </c>
      <c r="C253" s="49" t="s">
        <v>3091</v>
      </c>
      <c r="D253" s="49" t="s">
        <v>971</v>
      </c>
      <c r="E253" s="49" t="s">
        <v>2750</v>
      </c>
      <c r="F253" s="49" t="s">
        <v>3092</v>
      </c>
      <c r="G253" s="49" t="s">
        <v>3093</v>
      </c>
      <c r="H253" s="49" t="s">
        <v>1063</v>
      </c>
      <c r="I253" s="49" t="s">
        <v>3094</v>
      </c>
      <c r="J253" s="49" t="s">
        <v>3095</v>
      </c>
      <c r="K253" s="49" t="s">
        <v>1028</v>
      </c>
      <c r="L253" s="49"/>
      <c r="M253" s="37"/>
      <c r="N253" s="37"/>
      <c r="O253" s="37"/>
      <c r="P253" s="37"/>
      <c r="Q253" s="37"/>
      <c r="R253" s="37"/>
      <c r="S253" s="37"/>
      <c r="T253" s="37"/>
      <c r="U253" s="37"/>
      <c r="V253" s="37"/>
    </row>
    <row r="254" ht="22.5" customHeight="1">
      <c r="A254" s="48">
        <v>46072.0</v>
      </c>
      <c r="B254" s="49" t="s">
        <v>2133</v>
      </c>
      <c r="C254" s="49" t="s">
        <v>2135</v>
      </c>
      <c r="D254" s="49" t="s">
        <v>969</v>
      </c>
      <c r="E254" s="49" t="s">
        <v>2075</v>
      </c>
      <c r="F254" s="49" t="s">
        <v>2134</v>
      </c>
      <c r="G254" s="49" t="s">
        <v>2136</v>
      </c>
      <c r="H254" s="49" t="s">
        <v>1207</v>
      </c>
      <c r="I254" s="49" t="s">
        <v>2137</v>
      </c>
      <c r="J254" s="49" t="s">
        <v>2138</v>
      </c>
      <c r="K254" s="49" t="s">
        <v>1028</v>
      </c>
      <c r="L254" s="49" t="s">
        <v>945</v>
      </c>
      <c r="M254" s="37"/>
      <c r="N254" s="37"/>
      <c r="O254" s="37"/>
      <c r="P254" s="37"/>
      <c r="Q254" s="37"/>
      <c r="R254" s="37"/>
      <c r="S254" s="37"/>
      <c r="T254" s="37"/>
      <c r="U254" s="37"/>
      <c r="V254" s="37"/>
    </row>
    <row r="255" ht="22.5" customHeight="1">
      <c r="A255" s="48">
        <v>46072.0</v>
      </c>
      <c r="B255" s="49" t="s">
        <v>3096</v>
      </c>
      <c r="C255" s="49" t="s">
        <v>3097</v>
      </c>
      <c r="D255" s="49" t="s">
        <v>971</v>
      </c>
      <c r="E255" s="49" t="s">
        <v>3098</v>
      </c>
      <c r="F255" s="55" t="s">
        <v>3099</v>
      </c>
      <c r="G255" s="49" t="s">
        <v>2203</v>
      </c>
      <c r="H255" s="49" t="s">
        <v>1057</v>
      </c>
      <c r="I255" s="49" t="s">
        <v>3100</v>
      </c>
      <c r="J255" s="49" t="s">
        <v>3101</v>
      </c>
      <c r="K255" s="49" t="s">
        <v>1028</v>
      </c>
      <c r="L255" s="49"/>
      <c r="M255" s="37"/>
      <c r="N255" s="37"/>
      <c r="O255" s="37"/>
      <c r="P255" s="37"/>
      <c r="Q255" s="37"/>
      <c r="R255" s="37"/>
      <c r="S255" s="37"/>
      <c r="T255" s="37"/>
      <c r="U255" s="37"/>
      <c r="V255" s="37"/>
    </row>
    <row r="256" ht="22.5" customHeight="1">
      <c r="A256" s="48">
        <v>46072.0</v>
      </c>
      <c r="B256" s="49" t="s">
        <v>3067</v>
      </c>
      <c r="C256" s="49" t="s">
        <v>3102</v>
      </c>
      <c r="D256" s="49" t="s">
        <v>971</v>
      </c>
      <c r="E256" s="49" t="s">
        <v>3103</v>
      </c>
      <c r="F256" s="49" t="s">
        <v>3069</v>
      </c>
      <c r="G256" s="49" t="s">
        <v>3104</v>
      </c>
      <c r="H256" s="49" t="s">
        <v>1063</v>
      </c>
      <c r="I256" s="49" t="s">
        <v>3071</v>
      </c>
      <c r="J256" s="49" t="s">
        <v>3072</v>
      </c>
      <c r="K256" s="49" t="s">
        <v>1028</v>
      </c>
      <c r="L256" s="49"/>
      <c r="M256" s="37"/>
      <c r="N256" s="37"/>
      <c r="O256" s="37"/>
      <c r="P256" s="37"/>
      <c r="Q256" s="37"/>
      <c r="R256" s="37"/>
      <c r="S256" s="37"/>
      <c r="T256" s="37"/>
      <c r="U256" s="37"/>
      <c r="V256" s="37"/>
    </row>
    <row r="257" ht="22.5" customHeight="1">
      <c r="A257" s="48">
        <v>46072.0</v>
      </c>
      <c r="B257" s="49" t="s">
        <v>3105</v>
      </c>
      <c r="C257" s="49" t="s">
        <v>3106</v>
      </c>
      <c r="D257" s="49" t="s">
        <v>274</v>
      </c>
      <c r="E257" s="49" t="s">
        <v>858</v>
      </c>
      <c r="F257" s="49" t="s">
        <v>3107</v>
      </c>
      <c r="G257" s="49" t="s">
        <v>3108</v>
      </c>
      <c r="H257" s="49" t="s">
        <v>1207</v>
      </c>
      <c r="I257" s="49"/>
      <c r="J257" s="49" t="s">
        <v>3109</v>
      </c>
      <c r="K257" s="49" t="s">
        <v>1028</v>
      </c>
      <c r="L257" s="49" t="s">
        <v>945</v>
      </c>
      <c r="M257" s="37"/>
      <c r="N257" s="37"/>
      <c r="O257" s="37"/>
      <c r="P257" s="37"/>
      <c r="Q257" s="37"/>
      <c r="R257" s="37"/>
      <c r="S257" s="37"/>
      <c r="T257" s="37"/>
      <c r="U257" s="37"/>
      <c r="V257" s="37"/>
    </row>
    <row r="258" ht="22.5" customHeight="1">
      <c r="A258" s="48">
        <v>46072.0</v>
      </c>
      <c r="B258" s="49" t="s">
        <v>3110</v>
      </c>
      <c r="C258" s="49" t="s">
        <v>3111</v>
      </c>
      <c r="D258" s="49" t="s">
        <v>971</v>
      </c>
      <c r="E258" s="49" t="s">
        <v>3112</v>
      </c>
      <c r="F258" s="49" t="s">
        <v>367</v>
      </c>
      <c r="G258" s="49" t="s">
        <v>3113</v>
      </c>
      <c r="H258" s="49" t="s">
        <v>1025</v>
      </c>
      <c r="I258" s="49" t="s">
        <v>1894</v>
      </c>
      <c r="J258" s="49" t="s">
        <v>3114</v>
      </c>
      <c r="K258" s="49" t="s">
        <v>1028</v>
      </c>
      <c r="L258" s="49"/>
      <c r="M258" s="37"/>
      <c r="N258" s="37"/>
      <c r="O258" s="37"/>
      <c r="P258" s="37"/>
      <c r="Q258" s="37"/>
      <c r="R258" s="37"/>
      <c r="S258" s="37"/>
      <c r="T258" s="37"/>
      <c r="U258" s="37"/>
      <c r="V258" s="37"/>
    </row>
    <row r="259" ht="22.5" customHeight="1">
      <c r="A259" s="48">
        <v>46072.0</v>
      </c>
      <c r="B259" s="49" t="s">
        <v>3051</v>
      </c>
      <c r="C259" s="49" t="s">
        <v>3115</v>
      </c>
      <c r="D259" s="49" t="s">
        <v>971</v>
      </c>
      <c r="E259" s="49" t="s">
        <v>3116</v>
      </c>
      <c r="F259" s="49" t="s">
        <v>416</v>
      </c>
      <c r="G259" s="49" t="s">
        <v>3117</v>
      </c>
      <c r="H259" s="49" t="s">
        <v>1025</v>
      </c>
      <c r="I259" s="49" t="s">
        <v>1094</v>
      </c>
      <c r="J259" s="49" t="s">
        <v>3054</v>
      </c>
      <c r="K259" s="49" t="s">
        <v>1028</v>
      </c>
      <c r="L259" s="49"/>
      <c r="M259" s="37"/>
      <c r="N259" s="37"/>
      <c r="O259" s="37"/>
      <c r="P259" s="37"/>
      <c r="Q259" s="37"/>
      <c r="R259" s="37"/>
      <c r="S259" s="37"/>
      <c r="T259" s="37"/>
      <c r="U259" s="37"/>
      <c r="V259" s="37"/>
    </row>
    <row r="260" ht="22.5" customHeight="1">
      <c r="A260" s="48">
        <v>46072.0</v>
      </c>
      <c r="B260" s="49" t="s">
        <v>2981</v>
      </c>
      <c r="C260" s="49" t="s">
        <v>3118</v>
      </c>
      <c r="D260" s="49" t="s">
        <v>274</v>
      </c>
      <c r="E260" s="49" t="s">
        <v>3119</v>
      </c>
      <c r="F260" s="49" t="s">
        <v>3120</v>
      </c>
      <c r="G260" s="49" t="s">
        <v>2079</v>
      </c>
      <c r="H260" s="49" t="s">
        <v>1025</v>
      </c>
      <c r="I260" s="49" t="s">
        <v>3121</v>
      </c>
      <c r="J260" s="49" t="s">
        <v>3122</v>
      </c>
      <c r="K260" s="49" t="s">
        <v>1028</v>
      </c>
      <c r="L260" s="49" t="s">
        <v>945</v>
      </c>
      <c r="M260" s="37"/>
      <c r="N260" s="37"/>
      <c r="O260" s="37"/>
      <c r="P260" s="37"/>
      <c r="Q260" s="37"/>
      <c r="R260" s="37"/>
      <c r="S260" s="37"/>
      <c r="T260" s="37"/>
      <c r="U260" s="37"/>
      <c r="V260" s="37"/>
    </row>
    <row r="261" ht="22.5" customHeight="1">
      <c r="A261" s="48">
        <v>46072.0</v>
      </c>
      <c r="B261" s="49" t="s">
        <v>960</v>
      </c>
      <c r="C261" s="49" t="s">
        <v>3123</v>
      </c>
      <c r="D261" s="49" t="s">
        <v>971</v>
      </c>
      <c r="E261" s="49" t="s">
        <v>3046</v>
      </c>
      <c r="F261" s="49" t="s">
        <v>3047</v>
      </c>
      <c r="G261" s="49" t="s">
        <v>3124</v>
      </c>
      <c r="H261" s="49" t="s">
        <v>1063</v>
      </c>
      <c r="I261" s="49" t="s">
        <v>3049</v>
      </c>
      <c r="J261" s="49" t="s">
        <v>3125</v>
      </c>
      <c r="K261" s="49" t="s">
        <v>1028</v>
      </c>
      <c r="L261" s="49"/>
      <c r="M261" s="37"/>
      <c r="N261" s="37"/>
      <c r="O261" s="37"/>
      <c r="P261" s="37"/>
      <c r="Q261" s="37"/>
      <c r="R261" s="37"/>
      <c r="S261" s="37"/>
      <c r="T261" s="37"/>
      <c r="U261" s="37"/>
      <c r="V261" s="37"/>
    </row>
    <row r="262" ht="22.5" customHeight="1">
      <c r="A262" s="48">
        <v>46072.0</v>
      </c>
      <c r="B262" s="49" t="s">
        <v>3126</v>
      </c>
      <c r="C262" s="49" t="s">
        <v>3127</v>
      </c>
      <c r="D262" s="49" t="s">
        <v>971</v>
      </c>
      <c r="E262" s="49" t="s">
        <v>874</v>
      </c>
      <c r="F262" s="49" t="s">
        <v>3128</v>
      </c>
      <c r="G262" s="49" t="s">
        <v>3129</v>
      </c>
      <c r="H262" s="49" t="s">
        <v>1129</v>
      </c>
      <c r="I262" s="49" t="s">
        <v>3130</v>
      </c>
      <c r="J262" s="49" t="s">
        <v>3131</v>
      </c>
      <c r="K262" s="49" t="s">
        <v>1028</v>
      </c>
      <c r="L262" s="49"/>
      <c r="M262" s="37"/>
      <c r="N262" s="37"/>
      <c r="O262" s="37"/>
      <c r="P262" s="37"/>
      <c r="Q262" s="37"/>
      <c r="R262" s="37"/>
      <c r="S262" s="37"/>
      <c r="T262" s="37"/>
      <c r="U262" s="37"/>
      <c r="V262" s="37"/>
    </row>
    <row r="263" ht="22.5" customHeight="1">
      <c r="A263" s="48">
        <v>46072.0</v>
      </c>
      <c r="B263" s="49" t="s">
        <v>3132</v>
      </c>
      <c r="C263" s="49" t="s">
        <v>3133</v>
      </c>
      <c r="D263" s="49" t="s">
        <v>971</v>
      </c>
      <c r="E263" s="49" t="s">
        <v>3134</v>
      </c>
      <c r="F263" s="49" t="s">
        <v>3135</v>
      </c>
      <c r="G263" s="49" t="s">
        <v>3136</v>
      </c>
      <c r="H263" s="49" t="s">
        <v>1088</v>
      </c>
      <c r="I263" s="49"/>
      <c r="J263" s="49" t="s">
        <v>3137</v>
      </c>
      <c r="K263" s="49" t="s">
        <v>1028</v>
      </c>
      <c r="L263" s="49"/>
      <c r="M263" s="37"/>
      <c r="N263" s="37"/>
      <c r="O263" s="37"/>
      <c r="P263" s="37"/>
      <c r="Q263" s="37"/>
      <c r="R263" s="37"/>
      <c r="S263" s="37"/>
      <c r="T263" s="37"/>
      <c r="U263" s="37"/>
      <c r="V263" s="37"/>
    </row>
    <row r="264" ht="22.5" customHeight="1">
      <c r="A264" s="48">
        <v>46072.0</v>
      </c>
      <c r="B264" s="49" t="s">
        <v>3138</v>
      </c>
      <c r="C264" s="49" t="s">
        <v>3139</v>
      </c>
      <c r="D264" s="49" t="s">
        <v>969</v>
      </c>
      <c r="E264" s="49" t="s">
        <v>3140</v>
      </c>
      <c r="F264" s="49" t="s">
        <v>3141</v>
      </c>
      <c r="G264" s="49" t="s">
        <v>3142</v>
      </c>
      <c r="H264" s="50">
        <v>46032.0</v>
      </c>
      <c r="I264" s="49" t="s">
        <v>3143</v>
      </c>
      <c r="J264" s="49" t="s">
        <v>3144</v>
      </c>
      <c r="K264" s="49" t="s">
        <v>1028</v>
      </c>
      <c r="L264" s="49"/>
      <c r="M264" s="37"/>
      <c r="N264" s="37"/>
      <c r="O264" s="37"/>
      <c r="P264" s="37"/>
      <c r="Q264" s="37"/>
      <c r="R264" s="37"/>
      <c r="S264" s="37"/>
      <c r="T264" s="37"/>
      <c r="U264" s="37"/>
      <c r="V264" s="37"/>
    </row>
    <row r="265" ht="22.5" customHeight="1">
      <c r="A265" s="48">
        <v>46072.0</v>
      </c>
      <c r="B265" s="49" t="s">
        <v>3145</v>
      </c>
      <c r="C265" s="49" t="s">
        <v>3146</v>
      </c>
      <c r="D265" s="49" t="s">
        <v>971</v>
      </c>
      <c r="E265" s="49" t="s">
        <v>874</v>
      </c>
      <c r="F265" s="49" t="s">
        <v>3135</v>
      </c>
      <c r="G265" s="49" t="s">
        <v>3147</v>
      </c>
      <c r="H265" s="49" t="s">
        <v>1088</v>
      </c>
      <c r="I265" s="49"/>
      <c r="J265" s="49" t="s">
        <v>3148</v>
      </c>
      <c r="K265" s="49" t="s">
        <v>1028</v>
      </c>
      <c r="L265" s="49"/>
      <c r="M265" s="37"/>
      <c r="N265" s="37"/>
      <c r="O265" s="37"/>
      <c r="P265" s="37"/>
      <c r="Q265" s="37"/>
      <c r="R265" s="37"/>
      <c r="S265" s="37"/>
      <c r="T265" s="37"/>
      <c r="U265" s="37"/>
      <c r="V265" s="37"/>
    </row>
    <row r="266" ht="22.5" customHeight="1">
      <c r="A266" s="48">
        <v>46072.0</v>
      </c>
      <c r="B266" s="49" t="s">
        <v>2971</v>
      </c>
      <c r="C266" s="49" t="s">
        <v>3149</v>
      </c>
      <c r="D266" s="49" t="s">
        <v>971</v>
      </c>
      <c r="E266" s="49" t="s">
        <v>2973</v>
      </c>
      <c r="F266" s="49" t="s">
        <v>3150</v>
      </c>
      <c r="G266" s="49" t="s">
        <v>2975</v>
      </c>
      <c r="H266" s="49" t="s">
        <v>1129</v>
      </c>
      <c r="I266" s="49" t="s">
        <v>3151</v>
      </c>
      <c r="J266" s="49" t="s">
        <v>2976</v>
      </c>
      <c r="K266" s="49" t="s">
        <v>1028</v>
      </c>
      <c r="L266" s="49" t="s">
        <v>945</v>
      </c>
      <c r="M266" s="37"/>
      <c r="N266" s="37"/>
      <c r="O266" s="37"/>
      <c r="P266" s="37"/>
      <c r="Q266" s="37"/>
      <c r="R266" s="37"/>
      <c r="S266" s="37"/>
      <c r="T266" s="37"/>
      <c r="U266" s="37"/>
      <c r="V266" s="37"/>
    </row>
    <row r="267" ht="22.5" customHeight="1">
      <c r="A267" s="48">
        <v>46072.0</v>
      </c>
      <c r="B267" s="49" t="s">
        <v>88</v>
      </c>
      <c r="C267" s="49" t="s">
        <v>3152</v>
      </c>
      <c r="D267" s="49" t="s">
        <v>274</v>
      </c>
      <c r="E267" s="49" t="s">
        <v>858</v>
      </c>
      <c r="F267" s="49" t="s">
        <v>3153</v>
      </c>
      <c r="G267" s="49" t="s">
        <v>1298</v>
      </c>
      <c r="H267" s="49" t="s">
        <v>1057</v>
      </c>
      <c r="I267" s="49" t="s">
        <v>2764</v>
      </c>
      <c r="J267" s="49" t="s">
        <v>3154</v>
      </c>
      <c r="K267" s="49" t="s">
        <v>1028</v>
      </c>
      <c r="L267" s="49"/>
      <c r="M267" s="37"/>
      <c r="N267" s="37"/>
      <c r="O267" s="37"/>
      <c r="P267" s="37"/>
      <c r="Q267" s="37"/>
      <c r="R267" s="37"/>
      <c r="S267" s="37"/>
      <c r="T267" s="37"/>
      <c r="U267" s="37"/>
      <c r="V267" s="37"/>
    </row>
    <row r="268" ht="22.5" customHeight="1">
      <c r="A268" s="48">
        <v>46072.0</v>
      </c>
      <c r="B268" s="49" t="s">
        <v>1342</v>
      </c>
      <c r="C268" s="49" t="s">
        <v>3155</v>
      </c>
      <c r="D268" s="49" t="s">
        <v>971</v>
      </c>
      <c r="E268" s="49" t="s">
        <v>1345</v>
      </c>
      <c r="F268" s="49" t="s">
        <v>558</v>
      </c>
      <c r="G268" s="49" t="s">
        <v>1343</v>
      </c>
      <c r="H268" s="49" t="s">
        <v>1088</v>
      </c>
      <c r="I268" s="49" t="s">
        <v>1346</v>
      </c>
      <c r="J268" s="49" t="s">
        <v>1347</v>
      </c>
      <c r="K268" s="49" t="s">
        <v>1028</v>
      </c>
      <c r="L268" s="49"/>
      <c r="M268" s="37"/>
      <c r="N268" s="37"/>
      <c r="O268" s="37"/>
      <c r="P268" s="37"/>
      <c r="Q268" s="37"/>
      <c r="R268" s="37"/>
      <c r="S268" s="37"/>
      <c r="T268" s="37"/>
      <c r="U268" s="37"/>
      <c r="V268" s="37"/>
    </row>
    <row r="269" ht="22.5" customHeight="1">
      <c r="A269" s="48">
        <v>46072.0</v>
      </c>
      <c r="B269" s="49" t="s">
        <v>3156</v>
      </c>
      <c r="C269" s="49" t="s">
        <v>3157</v>
      </c>
      <c r="D269" s="49" t="s">
        <v>971</v>
      </c>
      <c r="E269" s="49" t="s">
        <v>3158</v>
      </c>
      <c r="F269" s="49" t="s">
        <v>3159</v>
      </c>
      <c r="G269" s="49" t="s">
        <v>3160</v>
      </c>
      <c r="H269" s="49" t="s">
        <v>1207</v>
      </c>
      <c r="I269" s="49" t="s">
        <v>2443</v>
      </c>
      <c r="J269" s="49" t="s">
        <v>3161</v>
      </c>
      <c r="K269" s="49" t="s">
        <v>1028</v>
      </c>
      <c r="L269" s="49"/>
      <c r="M269" s="37"/>
      <c r="N269" s="37"/>
      <c r="O269" s="37"/>
      <c r="P269" s="37"/>
      <c r="Q269" s="37"/>
      <c r="R269" s="37"/>
      <c r="S269" s="37"/>
      <c r="T269" s="37"/>
      <c r="U269" s="37"/>
      <c r="V269" s="37"/>
    </row>
    <row r="270" ht="22.5" customHeight="1">
      <c r="A270" s="48">
        <v>46072.0</v>
      </c>
      <c r="B270" s="49" t="s">
        <v>3162</v>
      </c>
      <c r="C270" s="49" t="s">
        <v>3163</v>
      </c>
      <c r="D270" s="49" t="s">
        <v>971</v>
      </c>
      <c r="E270" s="49" t="s">
        <v>3164</v>
      </c>
      <c r="F270" s="49" t="s">
        <v>3165</v>
      </c>
      <c r="G270" s="49" t="s">
        <v>3166</v>
      </c>
      <c r="H270" s="49" t="s">
        <v>1063</v>
      </c>
      <c r="I270" s="49" t="s">
        <v>3167</v>
      </c>
      <c r="J270" s="49" t="s">
        <v>3168</v>
      </c>
      <c r="K270" s="49" t="s">
        <v>1028</v>
      </c>
      <c r="L270" s="49"/>
      <c r="M270" s="37"/>
      <c r="N270" s="37"/>
      <c r="O270" s="37"/>
      <c r="P270" s="37"/>
      <c r="Q270" s="37"/>
      <c r="R270" s="37"/>
      <c r="S270" s="37"/>
      <c r="T270" s="37"/>
      <c r="U270" s="37"/>
      <c r="V270" s="37"/>
    </row>
    <row r="271" ht="22.5" customHeight="1">
      <c r="A271" s="48">
        <v>46072.0</v>
      </c>
      <c r="B271" s="49" t="s">
        <v>3162</v>
      </c>
      <c r="C271" s="49" t="s">
        <v>3169</v>
      </c>
      <c r="D271" s="49" t="s">
        <v>971</v>
      </c>
      <c r="E271" s="49" t="s">
        <v>3164</v>
      </c>
      <c r="F271" s="49" t="s">
        <v>3165</v>
      </c>
      <c r="G271" s="49" t="s">
        <v>3170</v>
      </c>
      <c r="H271" s="49" t="s">
        <v>1063</v>
      </c>
      <c r="I271" s="49" t="s">
        <v>3167</v>
      </c>
      <c r="J271" s="49" t="s">
        <v>3168</v>
      </c>
      <c r="K271" s="49" t="s">
        <v>1028</v>
      </c>
      <c r="L271" s="49"/>
      <c r="M271" s="37"/>
      <c r="N271" s="37"/>
      <c r="O271" s="37"/>
      <c r="P271" s="37"/>
      <c r="Q271" s="37"/>
      <c r="R271" s="37"/>
      <c r="S271" s="37"/>
      <c r="T271" s="37"/>
      <c r="U271" s="37"/>
      <c r="V271" s="37"/>
    </row>
    <row r="272" ht="22.5" customHeight="1">
      <c r="A272" s="48">
        <v>46072.0</v>
      </c>
      <c r="B272" s="49" t="s">
        <v>3171</v>
      </c>
      <c r="C272" s="49" t="s">
        <v>3172</v>
      </c>
      <c r="D272" s="49" t="s">
        <v>969</v>
      </c>
      <c r="E272" s="49" t="s">
        <v>874</v>
      </c>
      <c r="F272" s="49" t="s">
        <v>3173</v>
      </c>
      <c r="G272" s="49" t="s">
        <v>3174</v>
      </c>
      <c r="H272" s="49" t="s">
        <v>1088</v>
      </c>
      <c r="I272" s="49"/>
      <c r="J272" s="49" t="s">
        <v>3175</v>
      </c>
      <c r="K272" s="49" t="s">
        <v>1028</v>
      </c>
      <c r="L272" s="49" t="s">
        <v>945</v>
      </c>
      <c r="M272" s="37"/>
      <c r="N272" s="37"/>
      <c r="O272" s="37"/>
      <c r="P272" s="37"/>
      <c r="Q272" s="37"/>
      <c r="R272" s="37"/>
      <c r="S272" s="37"/>
      <c r="T272" s="37"/>
      <c r="U272" s="37"/>
      <c r="V272" s="37"/>
    </row>
    <row r="273" ht="22.5" customHeight="1">
      <c r="A273" s="48">
        <v>46072.0</v>
      </c>
      <c r="B273" s="49" t="s">
        <v>3176</v>
      </c>
      <c r="C273" s="49" t="s">
        <v>3177</v>
      </c>
      <c r="D273" s="49" t="s">
        <v>971</v>
      </c>
      <c r="E273" s="49" t="s">
        <v>3178</v>
      </c>
      <c r="F273" s="49" t="s">
        <v>562</v>
      </c>
      <c r="G273" s="49" t="s">
        <v>2188</v>
      </c>
      <c r="H273" s="49" t="s">
        <v>1025</v>
      </c>
      <c r="I273" s="49" t="s">
        <v>1291</v>
      </c>
      <c r="J273" s="49" t="s">
        <v>3179</v>
      </c>
      <c r="K273" s="49" t="s">
        <v>1028</v>
      </c>
      <c r="L273" s="49"/>
      <c r="M273" s="37"/>
      <c r="N273" s="37"/>
      <c r="O273" s="37"/>
      <c r="P273" s="37"/>
      <c r="Q273" s="37"/>
      <c r="R273" s="37"/>
      <c r="S273" s="37"/>
      <c r="T273" s="37"/>
      <c r="U273" s="37"/>
      <c r="V273" s="37"/>
    </row>
    <row r="274" ht="22.5" customHeight="1">
      <c r="A274" s="48">
        <v>46072.0</v>
      </c>
      <c r="B274" s="49" t="s">
        <v>3180</v>
      </c>
      <c r="C274" s="49" t="s">
        <v>3181</v>
      </c>
      <c r="D274" s="49" t="s">
        <v>274</v>
      </c>
      <c r="E274" s="49" t="s">
        <v>1740</v>
      </c>
      <c r="F274" s="49" t="s">
        <v>3182</v>
      </c>
      <c r="G274" s="49" t="s">
        <v>3183</v>
      </c>
      <c r="H274" s="49" t="s">
        <v>1025</v>
      </c>
      <c r="I274" s="49" t="s">
        <v>3184</v>
      </c>
      <c r="J274" s="49" t="s">
        <v>3185</v>
      </c>
      <c r="K274" s="49" t="s">
        <v>1028</v>
      </c>
      <c r="L274" s="49"/>
      <c r="M274" s="37"/>
      <c r="N274" s="37"/>
      <c r="O274" s="37"/>
      <c r="P274" s="37"/>
      <c r="Q274" s="37"/>
      <c r="R274" s="37"/>
      <c r="S274" s="37"/>
      <c r="T274" s="37"/>
      <c r="U274" s="37"/>
      <c r="V274" s="37"/>
    </row>
    <row r="275" ht="22.5" customHeight="1">
      <c r="A275" s="48">
        <v>46072.0</v>
      </c>
      <c r="B275" s="49" t="s">
        <v>549</v>
      </c>
      <c r="C275" s="49" t="s">
        <v>3186</v>
      </c>
      <c r="D275" s="49" t="s">
        <v>969</v>
      </c>
      <c r="E275" s="49" t="s">
        <v>866</v>
      </c>
      <c r="F275" s="49" t="s">
        <v>808</v>
      </c>
      <c r="G275" s="49" t="s">
        <v>3187</v>
      </c>
      <c r="H275" s="49" t="s">
        <v>1025</v>
      </c>
      <c r="I275" s="49" t="s">
        <v>2247</v>
      </c>
      <c r="J275" s="49" t="s">
        <v>3188</v>
      </c>
      <c r="K275" s="49" t="s">
        <v>1028</v>
      </c>
      <c r="L275" s="49"/>
      <c r="M275" s="37"/>
      <c r="N275" s="37"/>
      <c r="O275" s="37"/>
      <c r="P275" s="37"/>
      <c r="Q275" s="37"/>
      <c r="R275" s="37"/>
      <c r="S275" s="37"/>
      <c r="T275" s="37"/>
      <c r="U275" s="37"/>
      <c r="V275" s="37"/>
    </row>
    <row r="276" ht="22.5" customHeight="1">
      <c r="A276" s="48">
        <v>46072.0</v>
      </c>
      <c r="B276" s="49" t="s">
        <v>975</v>
      </c>
      <c r="C276" s="49" t="s">
        <v>976</v>
      </c>
      <c r="D276" s="49" t="s">
        <v>969</v>
      </c>
      <c r="E276" s="49" t="s">
        <v>3189</v>
      </c>
      <c r="F276" s="49" t="s">
        <v>974</v>
      </c>
      <c r="G276" s="49" t="s">
        <v>3190</v>
      </c>
      <c r="H276" s="49" t="s">
        <v>1129</v>
      </c>
      <c r="I276" s="49" t="s">
        <v>3191</v>
      </c>
      <c r="J276" s="49" t="s">
        <v>3192</v>
      </c>
      <c r="K276" s="49" t="s">
        <v>1028</v>
      </c>
      <c r="L276" s="49"/>
      <c r="M276" s="37"/>
      <c r="N276" s="37"/>
      <c r="O276" s="37"/>
      <c r="P276" s="37"/>
      <c r="Q276" s="37"/>
      <c r="R276" s="37"/>
      <c r="S276" s="37"/>
      <c r="T276" s="37"/>
      <c r="U276" s="37"/>
      <c r="V276" s="37"/>
    </row>
    <row r="277" ht="22.5" customHeight="1">
      <c r="A277" s="48">
        <v>46072.0</v>
      </c>
      <c r="B277" s="49" t="s">
        <v>3193</v>
      </c>
      <c r="C277" s="49" t="s">
        <v>3194</v>
      </c>
      <c r="D277" s="49" t="s">
        <v>971</v>
      </c>
      <c r="E277" s="49" t="s">
        <v>959</v>
      </c>
      <c r="F277" s="49" t="s">
        <v>956</v>
      </c>
      <c r="G277" s="49" t="s">
        <v>3195</v>
      </c>
      <c r="H277" s="49" t="s">
        <v>1025</v>
      </c>
      <c r="I277" s="49" t="s">
        <v>1620</v>
      </c>
      <c r="J277" s="49" t="s">
        <v>3196</v>
      </c>
      <c r="K277" s="49" t="s">
        <v>1028</v>
      </c>
      <c r="L277" s="49"/>
      <c r="M277" s="37"/>
      <c r="N277" s="37"/>
      <c r="O277" s="37"/>
      <c r="P277" s="37"/>
      <c r="Q277" s="37"/>
      <c r="R277" s="37"/>
      <c r="S277" s="37"/>
      <c r="T277" s="37"/>
      <c r="U277" s="37"/>
      <c r="V277" s="37"/>
    </row>
    <row r="278" ht="22.5" customHeight="1">
      <c r="A278" s="48">
        <v>46072.0</v>
      </c>
      <c r="B278" s="49" t="s">
        <v>3197</v>
      </c>
      <c r="C278" s="49" t="s">
        <v>3198</v>
      </c>
      <c r="D278" s="49" t="s">
        <v>971</v>
      </c>
      <c r="E278" s="49" t="s">
        <v>1077</v>
      </c>
      <c r="F278" s="49" t="s">
        <v>877</v>
      </c>
      <c r="G278" s="49" t="s">
        <v>3199</v>
      </c>
      <c r="H278" s="49" t="s">
        <v>1129</v>
      </c>
      <c r="I278" s="49" t="s">
        <v>1301</v>
      </c>
      <c r="J278" s="49" t="s">
        <v>3200</v>
      </c>
      <c r="K278" s="49" t="s">
        <v>1028</v>
      </c>
      <c r="L278" s="49"/>
      <c r="M278" s="37"/>
      <c r="N278" s="37"/>
      <c r="O278" s="37"/>
      <c r="P278" s="37"/>
      <c r="Q278" s="37"/>
      <c r="R278" s="37"/>
      <c r="S278" s="37"/>
      <c r="T278" s="37"/>
      <c r="U278" s="37"/>
      <c r="V278" s="37"/>
    </row>
    <row r="279" ht="22.5" customHeight="1">
      <c r="A279" s="48">
        <v>46072.0</v>
      </c>
      <c r="B279" s="49" t="s">
        <v>3201</v>
      </c>
      <c r="C279" s="49" t="s">
        <v>3202</v>
      </c>
      <c r="D279" s="49" t="s">
        <v>969</v>
      </c>
      <c r="E279" s="49" t="s">
        <v>3203</v>
      </c>
      <c r="F279" s="49" t="s">
        <v>2385</v>
      </c>
      <c r="G279" s="49" t="s">
        <v>2517</v>
      </c>
      <c r="H279" s="49" t="s">
        <v>1207</v>
      </c>
      <c r="I279" s="49" t="s">
        <v>2387</v>
      </c>
      <c r="J279" s="49" t="s">
        <v>2388</v>
      </c>
      <c r="K279" s="49" t="s">
        <v>1028</v>
      </c>
      <c r="L279" s="49"/>
      <c r="M279" s="37"/>
      <c r="N279" s="37"/>
      <c r="O279" s="37"/>
      <c r="P279" s="37"/>
      <c r="Q279" s="37"/>
      <c r="R279" s="37"/>
      <c r="S279" s="37"/>
      <c r="T279" s="37"/>
      <c r="U279" s="37"/>
      <c r="V279" s="37"/>
    </row>
    <row r="280" ht="22.5" customHeight="1">
      <c r="A280" s="48">
        <v>46072.0</v>
      </c>
      <c r="B280" s="49" t="s">
        <v>3204</v>
      </c>
      <c r="C280" s="49" t="s">
        <v>3205</v>
      </c>
      <c r="D280" s="49" t="s">
        <v>971</v>
      </c>
      <c r="E280" s="49" t="s">
        <v>3206</v>
      </c>
      <c r="F280" s="49" t="s">
        <v>562</v>
      </c>
      <c r="G280" s="49" t="s">
        <v>2188</v>
      </c>
      <c r="H280" s="49" t="s">
        <v>1025</v>
      </c>
      <c r="I280" s="49" t="s">
        <v>1291</v>
      </c>
      <c r="J280" s="49" t="s">
        <v>2515</v>
      </c>
      <c r="K280" s="49" t="s">
        <v>1028</v>
      </c>
      <c r="L280" s="49"/>
      <c r="M280" s="37"/>
      <c r="N280" s="37"/>
      <c r="O280" s="37"/>
      <c r="P280" s="37"/>
      <c r="Q280" s="37"/>
      <c r="R280" s="37"/>
      <c r="S280" s="37"/>
      <c r="T280" s="37"/>
      <c r="U280" s="37"/>
      <c r="V280" s="37"/>
    </row>
    <row r="281" ht="22.5" customHeight="1">
      <c r="A281" s="48">
        <v>46072.0</v>
      </c>
      <c r="B281" s="49" t="s">
        <v>3207</v>
      </c>
      <c r="C281" s="49" t="s">
        <v>3208</v>
      </c>
      <c r="D281" s="49" t="s">
        <v>971</v>
      </c>
      <c r="E281" s="49" t="s">
        <v>1420</v>
      </c>
      <c r="F281" s="49" t="s">
        <v>3209</v>
      </c>
      <c r="G281" s="49" t="s">
        <v>3210</v>
      </c>
      <c r="H281" s="49" t="s">
        <v>1025</v>
      </c>
      <c r="I281" s="49" t="s">
        <v>3211</v>
      </c>
      <c r="J281" s="49" t="s">
        <v>3212</v>
      </c>
      <c r="K281" s="49" t="s">
        <v>1028</v>
      </c>
      <c r="L281" s="49"/>
      <c r="M281" s="37"/>
      <c r="N281" s="37"/>
      <c r="O281" s="37"/>
      <c r="P281" s="37"/>
      <c r="Q281" s="37"/>
      <c r="R281" s="37"/>
      <c r="S281" s="37"/>
      <c r="T281" s="37"/>
      <c r="U281" s="37"/>
      <c r="V281" s="37"/>
    </row>
    <row r="282" ht="22.5" customHeight="1">
      <c r="A282" s="48">
        <v>46072.0</v>
      </c>
      <c r="B282" s="49" t="s">
        <v>841</v>
      </c>
      <c r="C282" s="49" t="s">
        <v>3213</v>
      </c>
      <c r="D282" s="49" t="s">
        <v>274</v>
      </c>
      <c r="E282" s="49" t="s">
        <v>3214</v>
      </c>
      <c r="F282" s="49" t="s">
        <v>842</v>
      </c>
      <c r="G282" s="49" t="s">
        <v>1687</v>
      </c>
      <c r="H282" s="49" t="s">
        <v>1129</v>
      </c>
      <c r="I282" s="49" t="s">
        <v>1684</v>
      </c>
      <c r="J282" s="49" t="s">
        <v>1685</v>
      </c>
      <c r="K282" s="49" t="s">
        <v>1028</v>
      </c>
      <c r="L282" s="49"/>
      <c r="M282" s="37"/>
      <c r="N282" s="37"/>
      <c r="O282" s="37"/>
      <c r="P282" s="37"/>
      <c r="Q282" s="37"/>
      <c r="R282" s="37"/>
      <c r="S282" s="37"/>
      <c r="T282" s="37"/>
      <c r="U282" s="37"/>
      <c r="V282" s="37"/>
    </row>
    <row r="283" ht="22.5" customHeight="1">
      <c r="A283" s="48">
        <v>46072.0</v>
      </c>
      <c r="B283" s="49" t="s">
        <v>88</v>
      </c>
      <c r="C283" s="49" t="s">
        <v>3215</v>
      </c>
      <c r="D283" s="49" t="s">
        <v>969</v>
      </c>
      <c r="E283" s="49" t="s">
        <v>3216</v>
      </c>
      <c r="F283" s="49" t="s">
        <v>3217</v>
      </c>
      <c r="G283" s="49" t="s">
        <v>3218</v>
      </c>
      <c r="H283" s="49" t="s">
        <v>1107</v>
      </c>
      <c r="I283" s="49" t="s">
        <v>1684</v>
      </c>
      <c r="J283" s="49" t="s">
        <v>3219</v>
      </c>
      <c r="K283" s="49" t="s">
        <v>1028</v>
      </c>
      <c r="L283" s="49"/>
      <c r="M283" s="37"/>
      <c r="N283" s="37"/>
      <c r="O283" s="37"/>
      <c r="P283" s="37"/>
      <c r="Q283" s="37"/>
      <c r="R283" s="37"/>
      <c r="S283" s="37"/>
      <c r="T283" s="37"/>
      <c r="U283" s="37"/>
      <c r="V283" s="37"/>
    </row>
    <row r="284" ht="22.5" customHeight="1">
      <c r="A284" s="48">
        <v>46072.0</v>
      </c>
      <c r="B284" s="49" t="s">
        <v>2563</v>
      </c>
      <c r="C284" s="49" t="s">
        <v>3220</v>
      </c>
      <c r="D284" s="49" t="s">
        <v>971</v>
      </c>
      <c r="E284" s="49" t="s">
        <v>3221</v>
      </c>
      <c r="F284" s="49" t="s">
        <v>2853</v>
      </c>
      <c r="G284" s="49" t="s">
        <v>2566</v>
      </c>
      <c r="H284" s="49" t="s">
        <v>1025</v>
      </c>
      <c r="I284" s="49" t="s">
        <v>2855</v>
      </c>
      <c r="J284" s="49" t="s">
        <v>2567</v>
      </c>
      <c r="K284" s="49" t="s">
        <v>1028</v>
      </c>
      <c r="L284" s="49"/>
      <c r="M284" s="37"/>
      <c r="N284" s="37"/>
      <c r="O284" s="37"/>
      <c r="P284" s="37"/>
      <c r="Q284" s="37"/>
      <c r="R284" s="37"/>
      <c r="S284" s="37"/>
      <c r="T284" s="37"/>
      <c r="U284" s="37"/>
      <c r="V284" s="37"/>
    </row>
    <row r="285" ht="22.5" customHeight="1">
      <c r="A285" s="48">
        <v>46072.0</v>
      </c>
      <c r="B285" s="49" t="s">
        <v>984</v>
      </c>
      <c r="C285" s="49" t="s">
        <v>985</v>
      </c>
      <c r="D285" s="49" t="s">
        <v>969</v>
      </c>
      <c r="E285" s="49" t="s">
        <v>944</v>
      </c>
      <c r="F285" s="49" t="s">
        <v>983</v>
      </c>
      <c r="G285" s="49" t="s">
        <v>2538</v>
      </c>
      <c r="H285" s="49" t="s">
        <v>1025</v>
      </c>
      <c r="I285" s="49" t="s">
        <v>2539</v>
      </c>
      <c r="J285" s="49" t="s">
        <v>3222</v>
      </c>
      <c r="K285" s="49" t="s">
        <v>1028</v>
      </c>
      <c r="L285" s="49"/>
      <c r="M285" s="37"/>
      <c r="N285" s="37"/>
      <c r="O285" s="37"/>
      <c r="P285" s="37"/>
      <c r="Q285" s="37"/>
      <c r="R285" s="37"/>
      <c r="S285" s="37"/>
      <c r="T285" s="37"/>
      <c r="U285" s="37"/>
      <c r="V285" s="37"/>
    </row>
    <row r="286" ht="22.5" customHeight="1">
      <c r="A286" s="48">
        <v>46072.0</v>
      </c>
      <c r="B286" s="49" t="s">
        <v>3223</v>
      </c>
      <c r="C286" s="49" t="s">
        <v>3224</v>
      </c>
      <c r="D286" s="49" t="s">
        <v>971</v>
      </c>
      <c r="E286" s="49" t="s">
        <v>3225</v>
      </c>
      <c r="F286" s="49" t="s">
        <v>914</v>
      </c>
      <c r="G286" s="49" t="s">
        <v>3226</v>
      </c>
      <c r="H286" s="49" t="s">
        <v>1025</v>
      </c>
      <c r="I286" s="49" t="s">
        <v>1135</v>
      </c>
      <c r="J286" s="49" t="s">
        <v>3227</v>
      </c>
      <c r="K286" s="49" t="s">
        <v>1028</v>
      </c>
      <c r="L286" s="49"/>
      <c r="M286" s="37"/>
      <c r="N286" s="37"/>
      <c r="O286" s="37"/>
      <c r="P286" s="37"/>
      <c r="Q286" s="37"/>
      <c r="R286" s="37"/>
      <c r="S286" s="37"/>
      <c r="T286" s="37"/>
      <c r="U286" s="37"/>
      <c r="V286" s="37"/>
    </row>
    <row r="287" ht="22.5" customHeight="1">
      <c r="A287" s="48">
        <v>46072.0</v>
      </c>
      <c r="B287" s="49" t="s">
        <v>844</v>
      </c>
      <c r="C287" s="49" t="s">
        <v>846</v>
      </c>
      <c r="D287" s="49" t="s">
        <v>971</v>
      </c>
      <c r="E287" s="49" t="s">
        <v>1077</v>
      </c>
      <c r="F287" s="49" t="s">
        <v>845</v>
      </c>
      <c r="G287" s="49" t="s">
        <v>3218</v>
      </c>
      <c r="H287" s="50">
        <v>46032.0</v>
      </c>
      <c r="I287" s="49" t="s">
        <v>3228</v>
      </c>
      <c r="J287" s="49" t="s">
        <v>3229</v>
      </c>
      <c r="K287" s="49" t="s">
        <v>1028</v>
      </c>
      <c r="L287" s="49"/>
      <c r="M287" s="37"/>
      <c r="N287" s="37"/>
      <c r="O287" s="37"/>
      <c r="P287" s="37"/>
      <c r="Q287" s="37"/>
      <c r="R287" s="37"/>
      <c r="S287" s="37"/>
      <c r="T287" s="37"/>
      <c r="U287" s="37"/>
      <c r="V287" s="37"/>
    </row>
    <row r="288" ht="22.5" customHeight="1">
      <c r="A288" s="48">
        <v>46072.0</v>
      </c>
      <c r="B288" s="49" t="s">
        <v>572</v>
      </c>
      <c r="C288" s="49" t="s">
        <v>3230</v>
      </c>
      <c r="D288" s="49" t="s">
        <v>969</v>
      </c>
      <c r="E288" s="49" t="s">
        <v>3231</v>
      </c>
      <c r="F288" s="49" t="s">
        <v>3232</v>
      </c>
      <c r="G288" s="49" t="s">
        <v>3043</v>
      </c>
      <c r="H288" s="49" t="s">
        <v>1129</v>
      </c>
      <c r="I288" s="49" t="s">
        <v>3233</v>
      </c>
      <c r="J288" s="49" t="s">
        <v>3234</v>
      </c>
      <c r="K288" s="49" t="s">
        <v>1028</v>
      </c>
      <c r="L288" s="49"/>
      <c r="M288" s="37"/>
      <c r="N288" s="37"/>
      <c r="O288" s="37"/>
      <c r="P288" s="37"/>
      <c r="Q288" s="37"/>
      <c r="R288" s="37"/>
      <c r="S288" s="37"/>
      <c r="T288" s="37"/>
      <c r="U288" s="37"/>
      <c r="V288" s="37"/>
    </row>
    <row r="289" ht="22.5" customHeight="1">
      <c r="A289" s="48">
        <v>46072.0</v>
      </c>
      <c r="B289" s="49" t="s">
        <v>2579</v>
      </c>
      <c r="C289" s="49" t="s">
        <v>3235</v>
      </c>
      <c r="D289" s="49" t="s">
        <v>971</v>
      </c>
      <c r="E289" s="49" t="s">
        <v>3236</v>
      </c>
      <c r="F289" s="49" t="s">
        <v>914</v>
      </c>
      <c r="G289" s="49" t="s">
        <v>3237</v>
      </c>
      <c r="H289" s="49" t="s">
        <v>1025</v>
      </c>
      <c r="I289" s="49" t="s">
        <v>1135</v>
      </c>
      <c r="J289" s="49" t="s">
        <v>2583</v>
      </c>
      <c r="K289" s="49" t="s">
        <v>1028</v>
      </c>
      <c r="L289" s="49"/>
      <c r="M289" s="37"/>
      <c r="N289" s="37"/>
      <c r="O289" s="37"/>
      <c r="P289" s="37"/>
      <c r="Q289" s="37"/>
      <c r="R289" s="37"/>
      <c r="S289" s="37"/>
      <c r="T289" s="37"/>
      <c r="U289" s="37"/>
      <c r="V289" s="37"/>
    </row>
    <row r="290" ht="22.5" customHeight="1">
      <c r="A290" s="48">
        <v>46072.0</v>
      </c>
      <c r="B290" s="49" t="s">
        <v>3238</v>
      </c>
      <c r="C290" s="49" t="s">
        <v>3239</v>
      </c>
      <c r="D290" s="49" t="s">
        <v>971</v>
      </c>
      <c r="E290" s="49" t="s">
        <v>3240</v>
      </c>
      <c r="F290" s="49" t="s">
        <v>3241</v>
      </c>
      <c r="G290" s="49" t="s">
        <v>3242</v>
      </c>
      <c r="H290" s="49" t="s">
        <v>1025</v>
      </c>
      <c r="I290" s="49" t="s">
        <v>3243</v>
      </c>
      <c r="J290" s="49" t="s">
        <v>3244</v>
      </c>
      <c r="K290" s="49" t="s">
        <v>945</v>
      </c>
      <c r="L290" s="49"/>
      <c r="M290" s="37"/>
      <c r="N290" s="37"/>
      <c r="O290" s="37"/>
      <c r="P290" s="37"/>
      <c r="Q290" s="37"/>
      <c r="R290" s="37"/>
      <c r="S290" s="37"/>
      <c r="T290" s="37"/>
      <c r="U290" s="37"/>
      <c r="V290" s="37"/>
    </row>
    <row r="291" ht="22.5" customHeight="1">
      <c r="A291" s="48">
        <v>46073.0</v>
      </c>
      <c r="B291" s="49" t="s">
        <v>3245</v>
      </c>
      <c r="C291" s="49" t="s">
        <v>3246</v>
      </c>
      <c r="D291" s="49" t="s">
        <v>971</v>
      </c>
      <c r="E291" s="49" t="s">
        <v>3247</v>
      </c>
      <c r="F291" s="49" t="s">
        <v>3248</v>
      </c>
      <c r="G291" s="49" t="s">
        <v>3249</v>
      </c>
      <c r="H291" s="49" t="s">
        <v>1025</v>
      </c>
      <c r="I291" s="49" t="s">
        <v>3250</v>
      </c>
      <c r="J291" s="49" t="s">
        <v>3251</v>
      </c>
      <c r="K291" s="49" t="s">
        <v>1028</v>
      </c>
      <c r="L291" s="49"/>
      <c r="M291" s="37"/>
      <c r="N291" s="37"/>
      <c r="O291" s="37"/>
      <c r="P291" s="37"/>
      <c r="Q291" s="37"/>
      <c r="R291" s="37"/>
      <c r="S291" s="37"/>
      <c r="T291" s="37"/>
      <c r="U291" s="37"/>
      <c r="V291" s="37"/>
    </row>
    <row r="292" ht="22.5" customHeight="1">
      <c r="A292" s="48">
        <v>46073.0</v>
      </c>
      <c r="B292" s="49" t="s">
        <v>3252</v>
      </c>
      <c r="C292" s="49" t="s">
        <v>3253</v>
      </c>
      <c r="D292" s="49" t="s">
        <v>274</v>
      </c>
      <c r="E292" s="49" t="s">
        <v>3254</v>
      </c>
      <c r="F292" s="49" t="s">
        <v>1382</v>
      </c>
      <c r="G292" s="49" t="s">
        <v>1383</v>
      </c>
      <c r="H292" s="49" t="s">
        <v>1207</v>
      </c>
      <c r="I292" s="49"/>
      <c r="J292" s="49" t="s">
        <v>1385</v>
      </c>
      <c r="K292" s="49" t="s">
        <v>1028</v>
      </c>
      <c r="L292" s="49"/>
      <c r="M292" s="37"/>
      <c r="N292" s="37"/>
      <c r="O292" s="37"/>
      <c r="P292" s="37"/>
      <c r="Q292" s="37"/>
      <c r="R292" s="37"/>
      <c r="S292" s="37"/>
      <c r="T292" s="37"/>
      <c r="U292" s="37"/>
      <c r="V292" s="37"/>
    </row>
    <row r="293" ht="22.5" customHeight="1">
      <c r="A293" s="48">
        <v>46073.0</v>
      </c>
      <c r="B293" s="49" t="s">
        <v>3255</v>
      </c>
      <c r="C293" s="49" t="s">
        <v>3256</v>
      </c>
      <c r="D293" s="49" t="s">
        <v>971</v>
      </c>
      <c r="E293" s="49" t="s">
        <v>3257</v>
      </c>
      <c r="F293" s="49" t="s">
        <v>3258</v>
      </c>
      <c r="G293" s="49" t="s">
        <v>3259</v>
      </c>
      <c r="H293" s="49" t="s">
        <v>1025</v>
      </c>
      <c r="I293" s="49" t="s">
        <v>3260</v>
      </c>
      <c r="J293" s="49" t="s">
        <v>3261</v>
      </c>
      <c r="K293" s="49" t="s">
        <v>1028</v>
      </c>
      <c r="L293" s="49"/>
      <c r="M293" s="37"/>
      <c r="N293" s="37"/>
      <c r="O293" s="37"/>
      <c r="P293" s="37"/>
      <c r="Q293" s="37"/>
      <c r="R293" s="37"/>
      <c r="S293" s="37"/>
      <c r="T293" s="37"/>
      <c r="U293" s="37"/>
      <c r="V293" s="37"/>
    </row>
    <row r="294" ht="22.5" customHeight="1">
      <c r="A294" s="48">
        <v>46073.0</v>
      </c>
      <c r="B294" s="49" t="s">
        <v>3262</v>
      </c>
      <c r="C294" s="49" t="s">
        <v>3263</v>
      </c>
      <c r="D294" s="49" t="s">
        <v>971</v>
      </c>
      <c r="E294" s="49" t="s">
        <v>3264</v>
      </c>
      <c r="F294" s="49" t="s">
        <v>3265</v>
      </c>
      <c r="G294" s="49" t="s">
        <v>2079</v>
      </c>
      <c r="H294" s="49" t="s">
        <v>1057</v>
      </c>
      <c r="I294" s="49" t="s">
        <v>3266</v>
      </c>
      <c r="J294" s="49" t="s">
        <v>3267</v>
      </c>
      <c r="K294" s="49" t="s">
        <v>1028</v>
      </c>
      <c r="L294" s="49"/>
      <c r="M294" s="37"/>
      <c r="N294" s="37"/>
      <c r="O294" s="37"/>
      <c r="P294" s="37"/>
      <c r="Q294" s="37"/>
      <c r="R294" s="37"/>
      <c r="S294" s="37"/>
      <c r="T294" s="37"/>
      <c r="U294" s="37"/>
      <c r="V294" s="37"/>
    </row>
    <row r="295" ht="22.5" customHeight="1">
      <c r="A295" s="48">
        <v>46073.0</v>
      </c>
      <c r="B295" s="49" t="s">
        <v>88</v>
      </c>
      <c r="C295" s="49" t="s">
        <v>3268</v>
      </c>
      <c r="D295" s="49" t="s">
        <v>274</v>
      </c>
      <c r="E295" s="49" t="s">
        <v>858</v>
      </c>
      <c r="F295" s="49" t="s">
        <v>3269</v>
      </c>
      <c r="G295" s="49" t="s">
        <v>1643</v>
      </c>
      <c r="H295" s="49" t="s">
        <v>1025</v>
      </c>
      <c r="I295" s="49" t="s">
        <v>3270</v>
      </c>
      <c r="J295" s="49" t="s">
        <v>3271</v>
      </c>
      <c r="K295" s="49" t="s">
        <v>1028</v>
      </c>
      <c r="L295" s="49"/>
      <c r="M295" s="37"/>
      <c r="N295" s="37"/>
      <c r="O295" s="37"/>
      <c r="P295" s="37"/>
      <c r="Q295" s="37"/>
      <c r="R295" s="37"/>
      <c r="S295" s="37"/>
      <c r="T295" s="37"/>
      <c r="U295" s="37"/>
      <c r="V295" s="37"/>
    </row>
    <row r="296" ht="22.5" customHeight="1">
      <c r="A296" s="48">
        <v>46073.0</v>
      </c>
      <c r="B296" s="49" t="s">
        <v>88</v>
      </c>
      <c r="C296" s="49" t="s">
        <v>3272</v>
      </c>
      <c r="D296" s="49" t="s">
        <v>969</v>
      </c>
      <c r="E296" s="49" t="s">
        <v>1560</v>
      </c>
      <c r="F296" s="49" t="s">
        <v>3273</v>
      </c>
      <c r="G296" s="49" t="s">
        <v>3274</v>
      </c>
      <c r="H296" s="49" t="s">
        <v>1107</v>
      </c>
      <c r="I296" s="49" t="s">
        <v>3275</v>
      </c>
      <c r="J296" s="49" t="s">
        <v>3276</v>
      </c>
      <c r="K296" s="49" t="s">
        <v>1028</v>
      </c>
      <c r="L296" s="49"/>
      <c r="M296" s="37"/>
      <c r="N296" s="37"/>
      <c r="O296" s="37"/>
      <c r="P296" s="37"/>
      <c r="Q296" s="37"/>
      <c r="R296" s="37"/>
      <c r="S296" s="37"/>
      <c r="T296" s="37"/>
      <c r="U296" s="37"/>
      <c r="V296" s="37"/>
    </row>
    <row r="297" ht="22.5" customHeight="1">
      <c r="A297" s="48">
        <v>46073.0</v>
      </c>
      <c r="B297" s="49" t="s">
        <v>3277</v>
      </c>
      <c r="C297" s="49" t="s">
        <v>3278</v>
      </c>
      <c r="D297" s="49" t="s">
        <v>274</v>
      </c>
      <c r="E297" s="49" t="s">
        <v>3279</v>
      </c>
      <c r="F297" s="49" t="s">
        <v>1382</v>
      </c>
      <c r="G297" s="49" t="s">
        <v>1654</v>
      </c>
      <c r="H297" s="49" t="s">
        <v>1207</v>
      </c>
      <c r="I297" s="49"/>
      <c r="J297" s="49" t="s">
        <v>3280</v>
      </c>
      <c r="K297" s="49" t="s">
        <v>1028</v>
      </c>
      <c r="L297" s="49" t="s">
        <v>945</v>
      </c>
      <c r="M297" s="37"/>
      <c r="N297" s="37"/>
      <c r="O297" s="37"/>
      <c r="P297" s="37"/>
      <c r="Q297" s="37"/>
      <c r="R297" s="37"/>
      <c r="S297" s="37"/>
      <c r="T297" s="37"/>
      <c r="U297" s="37"/>
      <c r="V297" s="37"/>
    </row>
    <row r="298" ht="22.5" customHeight="1">
      <c r="A298" s="48">
        <v>46073.0</v>
      </c>
      <c r="B298" s="49" t="s">
        <v>3281</v>
      </c>
      <c r="C298" s="49" t="s">
        <v>3282</v>
      </c>
      <c r="D298" s="49" t="s">
        <v>969</v>
      </c>
      <c r="E298" s="49" t="s">
        <v>379</v>
      </c>
      <c r="F298" s="49" t="s">
        <v>3283</v>
      </c>
      <c r="G298" s="49" t="s">
        <v>3284</v>
      </c>
      <c r="H298" s="49" t="s">
        <v>1129</v>
      </c>
      <c r="I298" s="49" t="s">
        <v>3285</v>
      </c>
      <c r="J298" s="49" t="s">
        <v>3286</v>
      </c>
      <c r="K298" s="49" t="s">
        <v>1028</v>
      </c>
      <c r="L298" s="49"/>
      <c r="M298" s="37"/>
      <c r="N298" s="37"/>
      <c r="O298" s="37"/>
      <c r="P298" s="37"/>
      <c r="Q298" s="37"/>
      <c r="R298" s="37"/>
      <c r="S298" s="37"/>
      <c r="T298" s="37"/>
      <c r="U298" s="37"/>
      <c r="V298" s="37"/>
    </row>
    <row r="299" ht="22.5" customHeight="1">
      <c r="A299" s="48">
        <v>46073.0</v>
      </c>
      <c r="B299" s="49" t="s">
        <v>88</v>
      </c>
      <c r="C299" s="49" t="s">
        <v>3287</v>
      </c>
      <c r="D299" s="49" t="s">
        <v>969</v>
      </c>
      <c r="E299" s="49" t="s">
        <v>1560</v>
      </c>
      <c r="F299" s="49" t="s">
        <v>3273</v>
      </c>
      <c r="G299" s="49" t="s">
        <v>3288</v>
      </c>
      <c r="H299" s="49" t="s">
        <v>1107</v>
      </c>
      <c r="I299" s="49" t="s">
        <v>3275</v>
      </c>
      <c r="J299" s="49" t="s">
        <v>3289</v>
      </c>
      <c r="K299" s="49" t="s">
        <v>1028</v>
      </c>
      <c r="L299" s="49"/>
      <c r="M299" s="37"/>
      <c r="N299" s="37"/>
      <c r="O299" s="37"/>
      <c r="P299" s="37"/>
      <c r="Q299" s="37"/>
      <c r="R299" s="37"/>
      <c r="S299" s="37"/>
      <c r="T299" s="37"/>
      <c r="U299" s="37"/>
      <c r="V299" s="37"/>
    </row>
    <row r="300" ht="22.5" customHeight="1">
      <c r="A300" s="48">
        <v>46073.0</v>
      </c>
      <c r="B300" s="49" t="s">
        <v>3290</v>
      </c>
      <c r="C300" s="49" t="s">
        <v>3291</v>
      </c>
      <c r="D300" s="49" t="s">
        <v>971</v>
      </c>
      <c r="E300" s="49" t="s">
        <v>1937</v>
      </c>
      <c r="F300" s="49" t="s">
        <v>3292</v>
      </c>
      <c r="G300" s="49" t="s">
        <v>3293</v>
      </c>
      <c r="H300" s="49" t="s">
        <v>1129</v>
      </c>
      <c r="I300" s="49" t="s">
        <v>3294</v>
      </c>
      <c r="J300" s="49" t="s">
        <v>3295</v>
      </c>
      <c r="K300" s="49" t="s">
        <v>1028</v>
      </c>
      <c r="L300" s="49"/>
      <c r="M300" s="37"/>
      <c r="N300" s="37"/>
      <c r="O300" s="37"/>
      <c r="P300" s="37"/>
      <c r="Q300" s="37"/>
      <c r="R300" s="37"/>
      <c r="S300" s="37"/>
      <c r="T300" s="37"/>
      <c r="U300" s="37"/>
      <c r="V300" s="37"/>
    </row>
    <row r="301" ht="22.5" customHeight="1">
      <c r="A301" s="48">
        <v>46073.0</v>
      </c>
      <c r="B301" s="49" t="s">
        <v>3277</v>
      </c>
      <c r="C301" s="49" t="s">
        <v>3296</v>
      </c>
      <c r="D301" s="49" t="s">
        <v>274</v>
      </c>
      <c r="E301" s="49" t="s">
        <v>3297</v>
      </c>
      <c r="F301" s="49" t="s">
        <v>1382</v>
      </c>
      <c r="G301" s="49" t="s">
        <v>3298</v>
      </c>
      <c r="H301" s="49" t="s">
        <v>1207</v>
      </c>
      <c r="I301" s="49"/>
      <c r="J301" s="49" t="s">
        <v>3280</v>
      </c>
      <c r="K301" s="49" t="s">
        <v>1028</v>
      </c>
      <c r="L301" s="49" t="s">
        <v>945</v>
      </c>
      <c r="M301" s="37"/>
      <c r="N301" s="37"/>
      <c r="O301" s="37"/>
      <c r="P301" s="37"/>
      <c r="Q301" s="37"/>
      <c r="R301" s="37"/>
      <c r="S301" s="37"/>
      <c r="T301" s="37"/>
      <c r="U301" s="37"/>
      <c r="V301" s="37"/>
    </row>
    <row r="302" ht="22.5" customHeight="1">
      <c r="A302" s="48">
        <v>46073.0</v>
      </c>
      <c r="B302" s="49" t="s">
        <v>960</v>
      </c>
      <c r="C302" s="49" t="s">
        <v>3299</v>
      </c>
      <c r="D302" s="49" t="s">
        <v>969</v>
      </c>
      <c r="E302" s="49" t="s">
        <v>3300</v>
      </c>
      <c r="F302" s="49" t="s">
        <v>3301</v>
      </c>
      <c r="G302" s="49" t="s">
        <v>3302</v>
      </c>
      <c r="H302" s="49" t="s">
        <v>1025</v>
      </c>
      <c r="I302" s="49" t="s">
        <v>3303</v>
      </c>
      <c r="J302" s="49" t="s">
        <v>3304</v>
      </c>
      <c r="K302" s="49" t="s">
        <v>1028</v>
      </c>
      <c r="L302" s="49"/>
      <c r="M302" s="37"/>
      <c r="N302" s="37"/>
      <c r="O302" s="37"/>
      <c r="P302" s="37"/>
      <c r="Q302" s="37"/>
      <c r="R302" s="37"/>
      <c r="S302" s="37"/>
      <c r="T302" s="37"/>
      <c r="U302" s="37"/>
      <c r="V302" s="37"/>
    </row>
    <row r="303" ht="22.5" customHeight="1">
      <c r="A303" s="48">
        <v>46073.0</v>
      </c>
      <c r="B303" s="49" t="s">
        <v>3305</v>
      </c>
      <c r="C303" s="49" t="s">
        <v>3306</v>
      </c>
      <c r="D303" s="49" t="s">
        <v>971</v>
      </c>
      <c r="E303" s="49" t="s">
        <v>2500</v>
      </c>
      <c r="F303" s="49" t="s">
        <v>3307</v>
      </c>
      <c r="G303" s="49" t="s">
        <v>3308</v>
      </c>
      <c r="H303" s="49" t="s">
        <v>1129</v>
      </c>
      <c r="I303" s="49" t="s">
        <v>1244</v>
      </c>
      <c r="J303" s="49" t="s">
        <v>3309</v>
      </c>
      <c r="K303" s="49" t="s">
        <v>1028</v>
      </c>
      <c r="L303" s="49"/>
      <c r="M303" s="37"/>
      <c r="N303" s="37"/>
      <c r="O303" s="37"/>
      <c r="P303" s="37"/>
      <c r="Q303" s="37"/>
      <c r="R303" s="37"/>
      <c r="S303" s="37"/>
      <c r="T303" s="37"/>
      <c r="U303" s="37"/>
      <c r="V303" s="37"/>
    </row>
    <row r="304" ht="22.5" customHeight="1">
      <c r="A304" s="48">
        <v>46073.0</v>
      </c>
      <c r="B304" s="49" t="s">
        <v>381</v>
      </c>
      <c r="C304" s="49" t="s">
        <v>3310</v>
      </c>
      <c r="D304" s="49" t="s">
        <v>971</v>
      </c>
      <c r="E304" s="49" t="s">
        <v>3311</v>
      </c>
      <c r="F304" s="49" t="s">
        <v>416</v>
      </c>
      <c r="G304" s="49" t="s">
        <v>3312</v>
      </c>
      <c r="H304" s="49" t="s">
        <v>1025</v>
      </c>
      <c r="I304" s="49" t="s">
        <v>1094</v>
      </c>
      <c r="J304" s="49" t="s">
        <v>3313</v>
      </c>
      <c r="K304" s="49" t="s">
        <v>1028</v>
      </c>
      <c r="L304" s="49"/>
      <c r="M304" s="37"/>
      <c r="N304" s="37"/>
      <c r="O304" s="37"/>
      <c r="P304" s="37"/>
      <c r="Q304" s="37"/>
      <c r="R304" s="37"/>
      <c r="S304" s="37"/>
      <c r="T304" s="37"/>
      <c r="U304" s="37"/>
      <c r="V304" s="37"/>
    </row>
    <row r="305" ht="22.5" customHeight="1">
      <c r="A305" s="48">
        <v>46073.0</v>
      </c>
      <c r="B305" s="49" t="s">
        <v>3314</v>
      </c>
      <c r="C305" s="49" t="s">
        <v>3315</v>
      </c>
      <c r="D305" s="49" t="s">
        <v>969</v>
      </c>
      <c r="E305" s="49" t="s">
        <v>3316</v>
      </c>
      <c r="F305" s="49" t="s">
        <v>3317</v>
      </c>
      <c r="G305" s="49" t="s">
        <v>3318</v>
      </c>
      <c r="H305" s="49" t="s">
        <v>1025</v>
      </c>
      <c r="I305" s="49" t="s">
        <v>3319</v>
      </c>
      <c r="J305" s="49" t="s">
        <v>3320</v>
      </c>
      <c r="K305" s="49" t="s">
        <v>1028</v>
      </c>
      <c r="L305" s="49"/>
      <c r="M305" s="37"/>
      <c r="N305" s="37"/>
      <c r="O305" s="37"/>
      <c r="P305" s="37"/>
      <c r="Q305" s="37"/>
      <c r="R305" s="37"/>
      <c r="S305" s="37"/>
      <c r="T305" s="37"/>
      <c r="U305" s="37"/>
      <c r="V305" s="37"/>
    </row>
    <row r="306" ht="22.5" customHeight="1">
      <c r="A306" s="48">
        <v>46073.0</v>
      </c>
      <c r="B306" s="49" t="s">
        <v>3252</v>
      </c>
      <c r="C306" s="49" t="s">
        <v>3321</v>
      </c>
      <c r="D306" s="49" t="s">
        <v>274</v>
      </c>
      <c r="E306" s="49" t="s">
        <v>3322</v>
      </c>
      <c r="F306" s="49" t="s">
        <v>1382</v>
      </c>
      <c r="G306" s="49" t="s">
        <v>1508</v>
      </c>
      <c r="H306" s="49" t="s">
        <v>1207</v>
      </c>
      <c r="I306" s="49"/>
      <c r="J306" s="49" t="s">
        <v>1385</v>
      </c>
      <c r="K306" s="49" t="s">
        <v>1028</v>
      </c>
      <c r="L306" s="49"/>
      <c r="M306" s="37"/>
      <c r="N306" s="37"/>
      <c r="O306" s="37"/>
      <c r="P306" s="37"/>
      <c r="Q306" s="37"/>
      <c r="R306" s="37"/>
      <c r="S306" s="37"/>
      <c r="T306" s="37"/>
      <c r="U306" s="37"/>
      <c r="V306" s="37"/>
    </row>
    <row r="307" ht="22.5" customHeight="1">
      <c r="A307" s="48">
        <v>46073.0</v>
      </c>
      <c r="B307" s="49" t="s">
        <v>774</v>
      </c>
      <c r="C307" s="49" t="s">
        <v>3323</v>
      </c>
      <c r="D307" s="49" t="s">
        <v>969</v>
      </c>
      <c r="E307" s="49" t="s">
        <v>3324</v>
      </c>
      <c r="F307" s="49" t="s">
        <v>3325</v>
      </c>
      <c r="G307" s="49" t="s">
        <v>3326</v>
      </c>
      <c r="H307" s="49" t="s">
        <v>1025</v>
      </c>
      <c r="I307" s="49" t="s">
        <v>3327</v>
      </c>
      <c r="J307" s="49" t="s">
        <v>3328</v>
      </c>
      <c r="K307" s="49" t="s">
        <v>1028</v>
      </c>
      <c r="L307" s="49"/>
      <c r="M307" s="37"/>
      <c r="N307" s="37"/>
      <c r="O307" s="37"/>
      <c r="P307" s="37"/>
      <c r="Q307" s="37"/>
      <c r="R307" s="37"/>
      <c r="S307" s="37"/>
      <c r="T307" s="37"/>
      <c r="U307" s="37"/>
      <c r="V307" s="37"/>
    </row>
    <row r="308" ht="22.5" customHeight="1">
      <c r="A308" s="48">
        <v>46073.0</v>
      </c>
      <c r="B308" s="49" t="s">
        <v>3329</v>
      </c>
      <c r="C308" s="49" t="s">
        <v>3330</v>
      </c>
      <c r="D308" s="49" t="s">
        <v>971</v>
      </c>
      <c r="E308" s="49" t="s">
        <v>2900</v>
      </c>
      <c r="F308" s="49" t="s">
        <v>3331</v>
      </c>
      <c r="G308" s="49" t="s">
        <v>1776</v>
      </c>
      <c r="H308" s="49" t="s">
        <v>1025</v>
      </c>
      <c r="I308" s="49" t="s">
        <v>3332</v>
      </c>
      <c r="J308" s="49" t="s">
        <v>3333</v>
      </c>
      <c r="K308" s="49" t="s">
        <v>1028</v>
      </c>
      <c r="L308" s="49"/>
      <c r="M308" s="37"/>
      <c r="N308" s="37"/>
      <c r="O308" s="37"/>
      <c r="P308" s="37"/>
      <c r="Q308" s="37"/>
      <c r="R308" s="37"/>
      <c r="S308" s="37"/>
      <c r="T308" s="37"/>
      <c r="U308" s="37"/>
      <c r="V308" s="37"/>
    </row>
    <row r="309" ht="22.5" customHeight="1">
      <c r="A309" s="48">
        <v>46073.0</v>
      </c>
      <c r="B309" s="49" t="s">
        <v>3334</v>
      </c>
      <c r="C309" s="49" t="s">
        <v>3335</v>
      </c>
      <c r="D309" s="49" t="s">
        <v>971</v>
      </c>
      <c r="E309" s="49" t="s">
        <v>3336</v>
      </c>
      <c r="F309" s="49" t="s">
        <v>3337</v>
      </c>
      <c r="G309" s="49" t="s">
        <v>3338</v>
      </c>
      <c r="H309" s="49" t="s">
        <v>1025</v>
      </c>
      <c r="I309" s="49" t="s">
        <v>3339</v>
      </c>
      <c r="J309" s="49" t="s">
        <v>3340</v>
      </c>
      <c r="K309" s="49" t="s">
        <v>1028</v>
      </c>
      <c r="L309" s="49"/>
      <c r="M309" s="37"/>
      <c r="N309" s="37"/>
      <c r="O309" s="37"/>
      <c r="P309" s="37"/>
      <c r="Q309" s="37"/>
      <c r="R309" s="37"/>
      <c r="S309" s="37"/>
      <c r="T309" s="37"/>
      <c r="U309" s="37"/>
      <c r="V309" s="37"/>
    </row>
    <row r="310" ht="22.5" customHeight="1">
      <c r="A310" s="48">
        <v>46073.0</v>
      </c>
      <c r="B310" s="49" t="s">
        <v>3341</v>
      </c>
      <c r="C310" s="49" t="s">
        <v>3342</v>
      </c>
      <c r="D310" s="49" t="s">
        <v>971</v>
      </c>
      <c r="E310" s="49" t="s">
        <v>1112</v>
      </c>
      <c r="F310" s="49" t="s">
        <v>562</v>
      </c>
      <c r="G310" s="49" t="s">
        <v>2188</v>
      </c>
      <c r="H310" s="49" t="s">
        <v>1025</v>
      </c>
      <c r="I310" s="49" t="s">
        <v>1291</v>
      </c>
      <c r="J310" s="49" t="s">
        <v>3343</v>
      </c>
      <c r="K310" s="49" t="s">
        <v>1028</v>
      </c>
      <c r="L310" s="49"/>
      <c r="M310" s="37"/>
      <c r="N310" s="37"/>
      <c r="O310" s="37"/>
      <c r="P310" s="37"/>
      <c r="Q310" s="37"/>
      <c r="R310" s="37"/>
      <c r="S310" s="37"/>
      <c r="T310" s="37"/>
      <c r="U310" s="37"/>
      <c r="V310" s="37"/>
    </row>
    <row r="311" ht="22.5" customHeight="1">
      <c r="A311" s="48">
        <v>46073.0</v>
      </c>
      <c r="B311" s="49" t="s">
        <v>3344</v>
      </c>
      <c r="C311" s="49" t="s">
        <v>3345</v>
      </c>
      <c r="D311" s="49" t="s">
        <v>971</v>
      </c>
      <c r="E311" s="49" t="s">
        <v>3346</v>
      </c>
      <c r="F311" s="49" t="s">
        <v>2018</v>
      </c>
      <c r="G311" s="49" t="s">
        <v>3347</v>
      </c>
      <c r="H311" s="49" t="s">
        <v>1025</v>
      </c>
      <c r="I311" s="49" t="s">
        <v>2022</v>
      </c>
      <c r="J311" s="49" t="s">
        <v>3348</v>
      </c>
      <c r="K311" s="49" t="s">
        <v>1028</v>
      </c>
      <c r="L311" s="49"/>
      <c r="M311" s="37"/>
      <c r="N311" s="37"/>
      <c r="O311" s="37"/>
      <c r="P311" s="37"/>
      <c r="Q311" s="37"/>
      <c r="R311" s="37"/>
      <c r="S311" s="37"/>
      <c r="T311" s="37"/>
      <c r="U311" s="37"/>
      <c r="V311" s="37"/>
    </row>
    <row r="312" ht="22.5" customHeight="1">
      <c r="A312" s="48">
        <v>46073.0</v>
      </c>
      <c r="B312" s="49" t="s">
        <v>3349</v>
      </c>
      <c r="C312" s="49" t="s">
        <v>3350</v>
      </c>
      <c r="D312" s="49" t="s">
        <v>971</v>
      </c>
      <c r="E312" s="49" t="s">
        <v>2581</v>
      </c>
      <c r="F312" s="49" t="s">
        <v>914</v>
      </c>
      <c r="G312" s="49" t="s">
        <v>3351</v>
      </c>
      <c r="H312" s="49" t="s">
        <v>1025</v>
      </c>
      <c r="I312" s="49" t="s">
        <v>1135</v>
      </c>
      <c r="J312" s="49" t="s">
        <v>2583</v>
      </c>
      <c r="K312" s="49" t="s">
        <v>1028</v>
      </c>
      <c r="L312" s="49"/>
      <c r="M312" s="37"/>
      <c r="N312" s="37"/>
      <c r="O312" s="37"/>
      <c r="P312" s="37"/>
      <c r="Q312" s="37"/>
      <c r="R312" s="37"/>
      <c r="S312" s="37"/>
      <c r="T312" s="37"/>
      <c r="U312" s="37"/>
      <c r="V312" s="37"/>
    </row>
    <row r="313" ht="22.5" customHeight="1">
      <c r="A313" s="48">
        <v>46073.0</v>
      </c>
      <c r="B313" s="49" t="s">
        <v>3352</v>
      </c>
      <c r="C313" s="49" t="s">
        <v>3353</v>
      </c>
      <c r="D313" s="49" t="s">
        <v>971</v>
      </c>
      <c r="E313" s="49" t="s">
        <v>3354</v>
      </c>
      <c r="F313" s="49" t="s">
        <v>914</v>
      </c>
      <c r="G313" s="49" t="s">
        <v>3355</v>
      </c>
      <c r="H313" s="49" t="s">
        <v>1025</v>
      </c>
      <c r="I313" s="49" t="s">
        <v>1135</v>
      </c>
      <c r="J313" s="49" t="s">
        <v>3356</v>
      </c>
      <c r="K313" s="49" t="s">
        <v>1028</v>
      </c>
      <c r="L313" s="49"/>
      <c r="M313" s="37"/>
      <c r="N313" s="37"/>
      <c r="O313" s="37"/>
      <c r="P313" s="37"/>
      <c r="Q313" s="37"/>
      <c r="R313" s="37"/>
      <c r="S313" s="37"/>
      <c r="T313" s="37"/>
      <c r="U313" s="37"/>
      <c r="V313" s="37"/>
    </row>
    <row r="314" ht="22.5" customHeight="1">
      <c r="A314" s="48">
        <v>46073.0</v>
      </c>
      <c r="B314" s="49" t="s">
        <v>3255</v>
      </c>
      <c r="C314" s="49" t="s">
        <v>3357</v>
      </c>
      <c r="D314" s="49" t="s">
        <v>969</v>
      </c>
      <c r="E314" s="49" t="s">
        <v>3358</v>
      </c>
      <c r="F314" s="49" t="s">
        <v>3258</v>
      </c>
      <c r="G314" s="49" t="s">
        <v>3359</v>
      </c>
      <c r="H314" s="49" t="s">
        <v>1025</v>
      </c>
      <c r="I314" s="49" t="s">
        <v>3260</v>
      </c>
      <c r="J314" s="49" t="s">
        <v>3261</v>
      </c>
      <c r="K314" s="49" t="s">
        <v>1028</v>
      </c>
      <c r="L314" s="49"/>
      <c r="M314" s="37"/>
      <c r="N314" s="37"/>
      <c r="O314" s="37"/>
      <c r="P314" s="37"/>
      <c r="Q314" s="37"/>
      <c r="R314" s="37"/>
      <c r="S314" s="37"/>
      <c r="T314" s="37"/>
      <c r="U314" s="37"/>
      <c r="V314" s="37"/>
    </row>
    <row r="315" ht="22.5" customHeight="1">
      <c r="A315" s="48">
        <v>46073.0</v>
      </c>
      <c r="B315" s="49" t="s">
        <v>3360</v>
      </c>
      <c r="C315" s="49" t="s">
        <v>3361</v>
      </c>
      <c r="D315" s="49" t="s">
        <v>971</v>
      </c>
      <c r="E315" s="49" t="s">
        <v>3362</v>
      </c>
      <c r="F315" s="49" t="s">
        <v>1382</v>
      </c>
      <c r="G315" s="49" t="s">
        <v>3298</v>
      </c>
      <c r="H315" s="49" t="s">
        <v>1207</v>
      </c>
      <c r="I315" s="49"/>
      <c r="J315" s="49" t="s">
        <v>3363</v>
      </c>
      <c r="K315" s="49" t="s">
        <v>1028</v>
      </c>
      <c r="L315" s="49" t="s">
        <v>945</v>
      </c>
      <c r="M315" s="37"/>
      <c r="N315" s="37"/>
      <c r="O315" s="37"/>
      <c r="P315" s="37"/>
      <c r="Q315" s="37"/>
      <c r="R315" s="37"/>
      <c r="S315" s="37"/>
      <c r="T315" s="37"/>
      <c r="U315" s="37"/>
      <c r="V315" s="37"/>
    </row>
    <row r="316" ht="22.5" customHeight="1">
      <c r="A316" s="48">
        <v>46073.0</v>
      </c>
      <c r="B316" s="49" t="s">
        <v>3364</v>
      </c>
      <c r="C316" s="49" t="s">
        <v>3365</v>
      </c>
      <c r="D316" s="49" t="s">
        <v>969</v>
      </c>
      <c r="E316" s="49" t="s">
        <v>3366</v>
      </c>
      <c r="F316" s="49" t="s">
        <v>3367</v>
      </c>
      <c r="G316" s="49" t="s">
        <v>3368</v>
      </c>
      <c r="H316" s="49" t="s">
        <v>1107</v>
      </c>
      <c r="I316" s="49" t="s">
        <v>3369</v>
      </c>
      <c r="J316" s="49" t="s">
        <v>3370</v>
      </c>
      <c r="K316" s="49" t="s">
        <v>945</v>
      </c>
      <c r="L316" s="49"/>
      <c r="M316" s="37"/>
      <c r="N316" s="37"/>
      <c r="O316" s="37"/>
      <c r="P316" s="37"/>
      <c r="Q316" s="37"/>
      <c r="R316" s="37"/>
      <c r="S316" s="37"/>
      <c r="T316" s="37"/>
      <c r="U316" s="37"/>
      <c r="V316" s="37"/>
    </row>
    <row r="317" ht="22.5" customHeight="1">
      <c r="A317" s="48">
        <v>46073.0</v>
      </c>
      <c r="B317" s="49" t="s">
        <v>381</v>
      </c>
      <c r="C317" s="49" t="s">
        <v>3371</v>
      </c>
      <c r="D317" s="49" t="s">
        <v>274</v>
      </c>
      <c r="E317" s="49" t="s">
        <v>3372</v>
      </c>
      <c r="F317" s="49" t="s">
        <v>416</v>
      </c>
      <c r="G317" s="49" t="s">
        <v>1672</v>
      </c>
      <c r="H317" s="49" t="s">
        <v>1025</v>
      </c>
      <c r="I317" s="49" t="s">
        <v>1094</v>
      </c>
      <c r="J317" s="49" t="s">
        <v>3313</v>
      </c>
      <c r="K317" s="49" t="s">
        <v>1028</v>
      </c>
      <c r="L317" s="49"/>
      <c r="M317" s="37"/>
      <c r="N317" s="37"/>
      <c r="O317" s="37"/>
      <c r="P317" s="37"/>
      <c r="Q317" s="37"/>
      <c r="R317" s="37"/>
      <c r="S317" s="37"/>
      <c r="T317" s="37"/>
      <c r="U317" s="37"/>
      <c r="V317" s="37"/>
    </row>
    <row r="318" ht="22.5" customHeight="1">
      <c r="A318" s="48">
        <v>46073.0</v>
      </c>
      <c r="B318" s="49" t="s">
        <v>397</v>
      </c>
      <c r="C318" s="49" t="s">
        <v>3373</v>
      </c>
      <c r="D318" s="49" t="s">
        <v>969</v>
      </c>
      <c r="E318" s="49" t="s">
        <v>3324</v>
      </c>
      <c r="F318" s="49" t="s">
        <v>3374</v>
      </c>
      <c r="G318" s="49" t="s">
        <v>2198</v>
      </c>
      <c r="H318" s="49" t="s">
        <v>1207</v>
      </c>
      <c r="I318" s="49" t="s">
        <v>3375</v>
      </c>
      <c r="J318" s="49" t="s">
        <v>3376</v>
      </c>
      <c r="K318" s="49" t="s">
        <v>1028</v>
      </c>
      <c r="L318" s="49"/>
      <c r="M318" s="37"/>
      <c r="N318" s="37"/>
      <c r="O318" s="37"/>
      <c r="P318" s="37"/>
      <c r="Q318" s="37"/>
      <c r="R318" s="37"/>
      <c r="S318" s="37"/>
      <c r="T318" s="37"/>
      <c r="U318" s="37"/>
      <c r="V318" s="37"/>
    </row>
    <row r="319" ht="22.5" customHeight="1">
      <c r="A319" s="48">
        <v>46073.0</v>
      </c>
      <c r="B319" s="49" t="s">
        <v>3341</v>
      </c>
      <c r="C319" s="49" t="s">
        <v>3377</v>
      </c>
      <c r="D319" s="49" t="s">
        <v>971</v>
      </c>
      <c r="E319" s="49" t="s">
        <v>3378</v>
      </c>
      <c r="F319" s="49" t="s">
        <v>562</v>
      </c>
      <c r="G319" s="49" t="s">
        <v>2079</v>
      </c>
      <c r="H319" s="49" t="s">
        <v>1025</v>
      </c>
      <c r="I319" s="49" t="s">
        <v>1291</v>
      </c>
      <c r="J319" s="49" t="s">
        <v>3343</v>
      </c>
      <c r="K319" s="49" t="s">
        <v>1028</v>
      </c>
      <c r="L319" s="49"/>
      <c r="M319" s="37"/>
      <c r="N319" s="37"/>
      <c r="O319" s="37"/>
      <c r="P319" s="37"/>
      <c r="Q319" s="37"/>
      <c r="R319" s="37"/>
      <c r="S319" s="37"/>
      <c r="T319" s="37"/>
      <c r="U319" s="37"/>
      <c r="V319" s="37"/>
    </row>
    <row r="320" ht="22.5" customHeight="1">
      <c r="A320" s="48">
        <v>46073.0</v>
      </c>
      <c r="B320" s="49" t="s">
        <v>381</v>
      </c>
      <c r="C320" s="49" t="s">
        <v>3379</v>
      </c>
      <c r="D320" s="49" t="s">
        <v>274</v>
      </c>
      <c r="E320" s="49" t="s">
        <v>3380</v>
      </c>
      <c r="F320" s="49" t="s">
        <v>3381</v>
      </c>
      <c r="G320" s="49" t="s">
        <v>3382</v>
      </c>
      <c r="H320" s="49" t="s">
        <v>1107</v>
      </c>
      <c r="I320" s="49" t="s">
        <v>3383</v>
      </c>
      <c r="J320" s="49" t="s">
        <v>3384</v>
      </c>
      <c r="K320" s="49" t="s">
        <v>1028</v>
      </c>
      <c r="L320" s="49"/>
      <c r="M320" s="37"/>
      <c r="N320" s="37"/>
      <c r="O320" s="37"/>
      <c r="P320" s="37"/>
      <c r="Q320" s="37"/>
      <c r="R320" s="37"/>
      <c r="S320" s="37"/>
      <c r="T320" s="37"/>
      <c r="U320" s="37"/>
      <c r="V320" s="37"/>
    </row>
    <row r="321" ht="22.5" customHeight="1">
      <c r="A321" s="48">
        <v>46073.0</v>
      </c>
      <c r="B321" s="49" t="s">
        <v>3385</v>
      </c>
      <c r="C321" s="49" t="s">
        <v>3386</v>
      </c>
      <c r="D321" s="49" t="s">
        <v>971</v>
      </c>
      <c r="E321" s="49" t="s">
        <v>3387</v>
      </c>
      <c r="F321" s="49" t="s">
        <v>3388</v>
      </c>
      <c r="G321" s="49" t="s">
        <v>3389</v>
      </c>
      <c r="H321" s="49" t="s">
        <v>1178</v>
      </c>
      <c r="I321" s="49" t="s">
        <v>3390</v>
      </c>
      <c r="J321" s="49" t="s">
        <v>3391</v>
      </c>
      <c r="K321" s="49" t="s">
        <v>1028</v>
      </c>
      <c r="L321" s="49"/>
      <c r="M321" s="37"/>
      <c r="N321" s="37"/>
      <c r="O321" s="37"/>
      <c r="P321" s="37"/>
      <c r="Q321" s="37"/>
      <c r="R321" s="37"/>
      <c r="S321" s="37"/>
      <c r="T321" s="37"/>
      <c r="U321" s="37"/>
      <c r="V321" s="37"/>
    </row>
    <row r="322" ht="22.5" customHeight="1">
      <c r="A322" s="48">
        <v>46073.0</v>
      </c>
      <c r="B322" s="49" t="s">
        <v>3011</v>
      </c>
      <c r="C322" s="49" t="s">
        <v>3392</v>
      </c>
      <c r="D322" s="49" t="s">
        <v>969</v>
      </c>
      <c r="E322" s="49" t="s">
        <v>2161</v>
      </c>
      <c r="F322" s="49" t="s">
        <v>3013</v>
      </c>
      <c r="G322" s="49" t="s">
        <v>3393</v>
      </c>
      <c r="H322" s="49" t="s">
        <v>1207</v>
      </c>
      <c r="I322" s="49" t="s">
        <v>1620</v>
      </c>
      <c r="J322" s="49" t="s">
        <v>3014</v>
      </c>
      <c r="K322" s="49" t="s">
        <v>1028</v>
      </c>
      <c r="L322" s="49"/>
      <c r="M322" s="37"/>
      <c r="N322" s="37"/>
      <c r="O322" s="37"/>
      <c r="P322" s="37"/>
      <c r="Q322" s="37"/>
      <c r="R322" s="37"/>
      <c r="S322" s="37"/>
      <c r="T322" s="37"/>
      <c r="U322" s="37"/>
      <c r="V322" s="37"/>
    </row>
    <row r="323" ht="22.5" customHeight="1">
      <c r="A323" s="48">
        <v>46073.0</v>
      </c>
      <c r="B323" s="49" t="s">
        <v>3394</v>
      </c>
      <c r="C323" s="49" t="s">
        <v>3395</v>
      </c>
      <c r="D323" s="49" t="s">
        <v>971</v>
      </c>
      <c r="E323" s="49" t="s">
        <v>3396</v>
      </c>
      <c r="F323" s="49" t="s">
        <v>1382</v>
      </c>
      <c r="G323" s="49" t="s">
        <v>3298</v>
      </c>
      <c r="H323" s="49" t="s">
        <v>1207</v>
      </c>
      <c r="I323" s="49"/>
      <c r="J323" s="49" t="s">
        <v>3397</v>
      </c>
      <c r="K323" s="49" t="s">
        <v>1028</v>
      </c>
      <c r="L323" s="49" t="s">
        <v>945</v>
      </c>
      <c r="M323" s="37"/>
      <c r="N323" s="37"/>
      <c r="O323" s="37"/>
      <c r="P323" s="37"/>
      <c r="Q323" s="37"/>
      <c r="R323" s="37"/>
      <c r="S323" s="37"/>
      <c r="T323" s="37"/>
      <c r="U323" s="37"/>
      <c r="V323" s="37"/>
    </row>
    <row r="324" ht="22.5" customHeight="1">
      <c r="A324" s="48">
        <v>46073.0</v>
      </c>
      <c r="B324" s="49" t="s">
        <v>3398</v>
      </c>
      <c r="C324" s="49" t="s">
        <v>3399</v>
      </c>
      <c r="D324" s="49" t="s">
        <v>971</v>
      </c>
      <c r="E324" s="49" t="s">
        <v>874</v>
      </c>
      <c r="F324" s="49" t="s">
        <v>3400</v>
      </c>
      <c r="G324" s="49" t="s">
        <v>1985</v>
      </c>
      <c r="H324" s="49" t="s">
        <v>1207</v>
      </c>
      <c r="I324" s="49" t="s">
        <v>3401</v>
      </c>
      <c r="J324" s="49" t="s">
        <v>3402</v>
      </c>
      <c r="K324" s="49" t="s">
        <v>1028</v>
      </c>
      <c r="L324" s="49"/>
      <c r="M324" s="37"/>
      <c r="N324" s="37"/>
      <c r="O324" s="37"/>
      <c r="P324" s="37"/>
      <c r="Q324" s="37"/>
      <c r="R324" s="37"/>
      <c r="S324" s="37"/>
      <c r="T324" s="37"/>
      <c r="U324" s="37"/>
      <c r="V324" s="37"/>
    </row>
    <row r="325" ht="22.5" customHeight="1">
      <c r="A325" s="48">
        <v>46073.0</v>
      </c>
      <c r="B325" s="49" t="s">
        <v>3403</v>
      </c>
      <c r="C325" s="49" t="s">
        <v>3404</v>
      </c>
      <c r="D325" s="49" t="s">
        <v>274</v>
      </c>
      <c r="E325" s="49" t="s">
        <v>3405</v>
      </c>
      <c r="F325" s="49" t="s">
        <v>3406</v>
      </c>
      <c r="G325" s="49" t="s">
        <v>3407</v>
      </c>
      <c r="H325" s="49" t="s">
        <v>1025</v>
      </c>
      <c r="I325" s="49" t="s">
        <v>3408</v>
      </c>
      <c r="J325" s="49" t="s">
        <v>3409</v>
      </c>
      <c r="K325" s="49" t="s">
        <v>1028</v>
      </c>
      <c r="L325" s="49" t="s">
        <v>945</v>
      </c>
      <c r="M325" s="37"/>
      <c r="N325" s="37"/>
      <c r="O325" s="37"/>
      <c r="P325" s="37"/>
      <c r="Q325" s="37"/>
      <c r="R325" s="37"/>
      <c r="S325" s="37"/>
      <c r="T325" s="37"/>
      <c r="U325" s="37"/>
      <c r="V325" s="37"/>
    </row>
    <row r="326" ht="22.5" customHeight="1">
      <c r="A326" s="48">
        <v>46073.0</v>
      </c>
      <c r="B326" s="49" t="s">
        <v>88</v>
      </c>
      <c r="C326" s="49" t="s">
        <v>3410</v>
      </c>
      <c r="D326" s="49" t="s">
        <v>969</v>
      </c>
      <c r="E326" s="49" t="s">
        <v>3411</v>
      </c>
      <c r="F326" s="49" t="s">
        <v>3273</v>
      </c>
      <c r="G326" s="49" t="s">
        <v>3412</v>
      </c>
      <c r="H326" s="49" t="s">
        <v>1107</v>
      </c>
      <c r="I326" s="49" t="s">
        <v>3275</v>
      </c>
      <c r="J326" s="49" t="s">
        <v>3289</v>
      </c>
      <c r="K326" s="49" t="s">
        <v>1028</v>
      </c>
      <c r="L326" s="49"/>
      <c r="M326" s="37"/>
      <c r="N326" s="37"/>
      <c r="O326" s="37"/>
      <c r="P326" s="37"/>
      <c r="Q326" s="37"/>
      <c r="R326" s="37"/>
      <c r="S326" s="37"/>
      <c r="T326" s="37"/>
      <c r="U326" s="37"/>
      <c r="V326" s="37"/>
    </row>
    <row r="327" ht="22.5" customHeight="1">
      <c r="A327" s="48">
        <v>46073.0</v>
      </c>
      <c r="B327" s="49" t="s">
        <v>3413</v>
      </c>
      <c r="C327" s="49" t="s">
        <v>3414</v>
      </c>
      <c r="D327" s="49" t="s">
        <v>971</v>
      </c>
      <c r="E327" s="49" t="s">
        <v>1077</v>
      </c>
      <c r="F327" s="49" t="s">
        <v>3415</v>
      </c>
      <c r="G327" s="49" t="s">
        <v>3416</v>
      </c>
      <c r="H327" s="49" t="s">
        <v>1088</v>
      </c>
      <c r="I327" s="49"/>
      <c r="J327" s="49" t="s">
        <v>3417</v>
      </c>
      <c r="K327" s="49" t="s">
        <v>1028</v>
      </c>
      <c r="L327" s="49"/>
      <c r="M327" s="37"/>
      <c r="N327" s="37"/>
      <c r="O327" s="37"/>
      <c r="P327" s="37"/>
      <c r="Q327" s="37"/>
      <c r="R327" s="37"/>
      <c r="S327" s="37"/>
      <c r="T327" s="37"/>
      <c r="U327" s="37"/>
      <c r="V327" s="37"/>
    </row>
    <row r="328" ht="22.5" customHeight="1">
      <c r="A328" s="48">
        <v>46073.0</v>
      </c>
      <c r="B328" s="49" t="s">
        <v>2213</v>
      </c>
      <c r="C328" s="49" t="s">
        <v>3418</v>
      </c>
      <c r="D328" s="49" t="s">
        <v>969</v>
      </c>
      <c r="E328" s="49" t="s">
        <v>2215</v>
      </c>
      <c r="F328" s="49" t="s">
        <v>3419</v>
      </c>
      <c r="G328" s="49" t="s">
        <v>2369</v>
      </c>
      <c r="H328" s="49" t="s">
        <v>1129</v>
      </c>
      <c r="I328" s="49" t="s">
        <v>3420</v>
      </c>
      <c r="J328" s="49" t="s">
        <v>3421</v>
      </c>
      <c r="K328" s="49" t="s">
        <v>1028</v>
      </c>
      <c r="L328" s="49"/>
      <c r="M328" s="37"/>
      <c r="N328" s="37"/>
      <c r="O328" s="37"/>
      <c r="P328" s="37"/>
      <c r="Q328" s="37"/>
      <c r="R328" s="37"/>
      <c r="S328" s="37"/>
      <c r="T328" s="37"/>
      <c r="U328" s="37"/>
      <c r="V328" s="37"/>
    </row>
    <row r="329" ht="22.5" customHeight="1">
      <c r="A329" s="48">
        <v>46073.0</v>
      </c>
      <c r="B329" s="49" t="s">
        <v>3422</v>
      </c>
      <c r="C329" s="49" t="s">
        <v>3423</v>
      </c>
      <c r="D329" s="49" t="s">
        <v>971</v>
      </c>
      <c r="E329" s="49" t="s">
        <v>3424</v>
      </c>
      <c r="F329" s="49" t="s">
        <v>3425</v>
      </c>
      <c r="G329" s="49" t="s">
        <v>3426</v>
      </c>
      <c r="H329" s="49" t="s">
        <v>1178</v>
      </c>
      <c r="I329" s="49" t="s">
        <v>3427</v>
      </c>
      <c r="J329" s="49" t="s">
        <v>3428</v>
      </c>
      <c r="K329" s="49" t="s">
        <v>1028</v>
      </c>
      <c r="L329" s="49"/>
      <c r="M329" s="37"/>
      <c r="N329" s="37"/>
      <c r="O329" s="37"/>
      <c r="P329" s="37"/>
      <c r="Q329" s="37"/>
      <c r="R329" s="37"/>
      <c r="S329" s="37"/>
      <c r="T329" s="37"/>
      <c r="U329" s="37"/>
      <c r="V329" s="37"/>
    </row>
    <row r="330" ht="22.5" customHeight="1">
      <c r="A330" s="48">
        <v>46073.0</v>
      </c>
      <c r="B330" s="49" t="s">
        <v>3329</v>
      </c>
      <c r="C330" s="49" t="s">
        <v>3429</v>
      </c>
      <c r="D330" s="49" t="s">
        <v>971</v>
      </c>
      <c r="E330" s="49" t="s">
        <v>3430</v>
      </c>
      <c r="F330" s="49" t="s">
        <v>3331</v>
      </c>
      <c r="G330" s="49" t="s">
        <v>3431</v>
      </c>
      <c r="H330" s="49" t="s">
        <v>1025</v>
      </c>
      <c r="I330" s="49" t="s">
        <v>3332</v>
      </c>
      <c r="J330" s="49" t="s">
        <v>3333</v>
      </c>
      <c r="K330" s="49" t="s">
        <v>1028</v>
      </c>
      <c r="L330" s="49"/>
      <c r="M330" s="37"/>
      <c r="N330" s="37"/>
      <c r="O330" s="37"/>
      <c r="P330" s="37"/>
      <c r="Q330" s="37"/>
      <c r="R330" s="37"/>
      <c r="S330" s="37"/>
      <c r="T330" s="37"/>
      <c r="U330" s="37"/>
      <c r="V330" s="37"/>
    </row>
    <row r="331" ht="22.5" customHeight="1">
      <c r="A331" s="48">
        <v>46073.0</v>
      </c>
      <c r="B331" s="49" t="s">
        <v>88</v>
      </c>
      <c r="C331" s="49" t="s">
        <v>3432</v>
      </c>
      <c r="D331" s="49" t="s">
        <v>969</v>
      </c>
      <c r="E331" s="49" t="s">
        <v>3411</v>
      </c>
      <c r="F331" s="49" t="s">
        <v>3273</v>
      </c>
      <c r="G331" s="49" t="s">
        <v>3433</v>
      </c>
      <c r="H331" s="49" t="s">
        <v>1107</v>
      </c>
      <c r="I331" s="49" t="s">
        <v>3275</v>
      </c>
      <c r="J331" s="49" t="s">
        <v>3434</v>
      </c>
      <c r="K331" s="49" t="s">
        <v>1028</v>
      </c>
      <c r="L331" s="49"/>
      <c r="M331" s="37"/>
      <c r="N331" s="37"/>
      <c r="O331" s="37"/>
      <c r="P331" s="37"/>
      <c r="Q331" s="37"/>
      <c r="R331" s="37"/>
      <c r="S331" s="37"/>
      <c r="T331" s="37"/>
      <c r="U331" s="37"/>
      <c r="V331" s="37"/>
    </row>
    <row r="332" ht="22.5" customHeight="1">
      <c r="A332" s="48">
        <v>46073.0</v>
      </c>
      <c r="B332" s="49" t="s">
        <v>397</v>
      </c>
      <c r="C332" s="49" t="s">
        <v>3435</v>
      </c>
      <c r="D332" s="49" t="s">
        <v>969</v>
      </c>
      <c r="E332" s="49" t="s">
        <v>3324</v>
      </c>
      <c r="F332" s="49" t="s">
        <v>3374</v>
      </c>
      <c r="G332" s="49" t="s">
        <v>3436</v>
      </c>
      <c r="H332" s="49" t="s">
        <v>1207</v>
      </c>
      <c r="I332" s="49" t="s">
        <v>3375</v>
      </c>
      <c r="J332" s="49" t="s">
        <v>3376</v>
      </c>
      <c r="K332" s="49" t="s">
        <v>1028</v>
      </c>
      <c r="L332" s="49"/>
      <c r="M332" s="37"/>
      <c r="N332" s="37"/>
      <c r="O332" s="37"/>
      <c r="P332" s="37"/>
      <c r="Q332" s="37"/>
      <c r="R332" s="37"/>
      <c r="S332" s="37"/>
      <c r="T332" s="37"/>
      <c r="U332" s="37"/>
      <c r="V332" s="37"/>
    </row>
    <row r="333" ht="22.5" customHeight="1">
      <c r="A333" s="48">
        <v>46073.0</v>
      </c>
      <c r="B333" s="49" t="s">
        <v>2100</v>
      </c>
      <c r="C333" s="49" t="s">
        <v>3437</v>
      </c>
      <c r="D333" s="49" t="s">
        <v>971</v>
      </c>
      <c r="E333" s="49" t="s">
        <v>2479</v>
      </c>
      <c r="F333" s="49" t="s">
        <v>2102</v>
      </c>
      <c r="G333" s="49" t="s">
        <v>1643</v>
      </c>
      <c r="H333" s="49" t="s">
        <v>1129</v>
      </c>
      <c r="I333" s="49" t="s">
        <v>2104</v>
      </c>
      <c r="J333" s="49" t="s">
        <v>3438</v>
      </c>
      <c r="K333" s="49" t="s">
        <v>1028</v>
      </c>
      <c r="L333" s="49"/>
      <c r="M333" s="37"/>
      <c r="N333" s="37"/>
      <c r="O333" s="37"/>
      <c r="P333" s="37"/>
      <c r="Q333" s="37"/>
      <c r="R333" s="37"/>
      <c r="S333" s="37"/>
      <c r="T333" s="37"/>
      <c r="U333" s="37"/>
      <c r="V333" s="37"/>
    </row>
    <row r="334" ht="22.5" customHeight="1">
      <c r="A334" s="48">
        <v>46073.0</v>
      </c>
      <c r="B334" s="49" t="s">
        <v>3439</v>
      </c>
      <c r="C334" s="49" t="s">
        <v>3440</v>
      </c>
      <c r="D334" s="49" t="s">
        <v>969</v>
      </c>
      <c r="E334" s="49" t="s">
        <v>952</v>
      </c>
      <c r="F334" s="49" t="s">
        <v>1596</v>
      </c>
      <c r="G334" s="49" t="s">
        <v>1597</v>
      </c>
      <c r="H334" s="49" t="s">
        <v>1025</v>
      </c>
      <c r="I334" s="49" t="s">
        <v>1599</v>
      </c>
      <c r="J334" s="49" t="s">
        <v>3441</v>
      </c>
      <c r="K334" s="49" t="s">
        <v>1028</v>
      </c>
      <c r="L334" s="49"/>
      <c r="M334" s="37"/>
      <c r="N334" s="37"/>
      <c r="O334" s="37"/>
      <c r="P334" s="37"/>
      <c r="Q334" s="37"/>
      <c r="R334" s="37"/>
      <c r="S334" s="37"/>
      <c r="T334" s="37"/>
      <c r="U334" s="37"/>
      <c r="V334" s="37"/>
    </row>
    <row r="335" ht="22.5" customHeight="1">
      <c r="A335" s="48">
        <v>46073.0</v>
      </c>
      <c r="B335" s="49" t="s">
        <v>397</v>
      </c>
      <c r="C335" s="49" t="s">
        <v>3442</v>
      </c>
      <c r="D335" s="49" t="s">
        <v>971</v>
      </c>
      <c r="E335" s="49" t="s">
        <v>3443</v>
      </c>
      <c r="F335" s="49" t="s">
        <v>416</v>
      </c>
      <c r="G335" s="49" t="s">
        <v>3053</v>
      </c>
      <c r="H335" s="49" t="s">
        <v>1025</v>
      </c>
      <c r="I335" s="49" t="s">
        <v>1094</v>
      </c>
      <c r="J335" s="49" t="s">
        <v>3444</v>
      </c>
      <c r="K335" s="49" t="s">
        <v>1028</v>
      </c>
      <c r="L335" s="49" t="s">
        <v>945</v>
      </c>
      <c r="M335" s="37"/>
      <c r="N335" s="37"/>
      <c r="O335" s="37"/>
      <c r="P335" s="37"/>
      <c r="Q335" s="37"/>
      <c r="R335" s="37"/>
      <c r="S335" s="37"/>
      <c r="T335" s="37"/>
      <c r="U335" s="37"/>
      <c r="V335" s="37"/>
    </row>
    <row r="336" ht="22.5" customHeight="1">
      <c r="A336" s="48">
        <v>46073.0</v>
      </c>
      <c r="B336" s="49" t="s">
        <v>1004</v>
      </c>
      <c r="C336" s="49" t="s">
        <v>3445</v>
      </c>
      <c r="D336" s="49" t="s">
        <v>971</v>
      </c>
      <c r="E336" s="49" t="s">
        <v>1560</v>
      </c>
      <c r="F336" s="49" t="s">
        <v>3446</v>
      </c>
      <c r="G336" s="49" t="s">
        <v>3447</v>
      </c>
      <c r="H336" s="49" t="s">
        <v>1178</v>
      </c>
      <c r="I336" s="49" t="s">
        <v>1684</v>
      </c>
      <c r="J336" s="49" t="s">
        <v>3448</v>
      </c>
      <c r="K336" s="49" t="s">
        <v>1028</v>
      </c>
      <c r="L336" s="49"/>
      <c r="M336" s="37"/>
      <c r="N336" s="37"/>
      <c r="O336" s="37"/>
      <c r="P336" s="37"/>
      <c r="Q336" s="37"/>
      <c r="R336" s="37"/>
      <c r="S336" s="37"/>
      <c r="T336" s="37"/>
      <c r="U336" s="37"/>
      <c r="V336" s="37"/>
    </row>
    <row r="337" ht="22.5" customHeight="1">
      <c r="A337" s="48">
        <v>46073.0</v>
      </c>
      <c r="B337" s="49" t="s">
        <v>716</v>
      </c>
      <c r="C337" s="49" t="s">
        <v>3449</v>
      </c>
      <c r="D337" s="49" t="s">
        <v>969</v>
      </c>
      <c r="E337" s="49" t="s">
        <v>874</v>
      </c>
      <c r="F337" s="49" t="s">
        <v>3450</v>
      </c>
      <c r="G337" s="49" t="s">
        <v>1553</v>
      </c>
      <c r="H337" s="50">
        <v>46032.0</v>
      </c>
      <c r="I337" s="49"/>
      <c r="J337" s="49" t="s">
        <v>3451</v>
      </c>
      <c r="K337" s="49" t="s">
        <v>1028</v>
      </c>
      <c r="L337" s="49"/>
      <c r="M337" s="37"/>
      <c r="N337" s="37"/>
      <c r="O337" s="37"/>
      <c r="P337" s="37"/>
      <c r="Q337" s="37"/>
      <c r="R337" s="37"/>
      <c r="S337" s="37"/>
      <c r="T337" s="37"/>
      <c r="U337" s="37"/>
      <c r="V337" s="37"/>
    </row>
    <row r="338" ht="22.5" customHeight="1">
      <c r="A338" s="48">
        <v>46073.0</v>
      </c>
      <c r="B338" s="49" t="s">
        <v>3452</v>
      </c>
      <c r="C338" s="49" t="s">
        <v>3453</v>
      </c>
      <c r="D338" s="49" t="s">
        <v>971</v>
      </c>
      <c r="E338" s="49" t="s">
        <v>3454</v>
      </c>
      <c r="F338" s="49" t="s">
        <v>3455</v>
      </c>
      <c r="G338" s="49" t="s">
        <v>3456</v>
      </c>
      <c r="H338" s="49" t="s">
        <v>1178</v>
      </c>
      <c r="I338" s="49"/>
      <c r="J338" s="49" t="s">
        <v>3457</v>
      </c>
      <c r="K338" s="49" t="s">
        <v>1028</v>
      </c>
      <c r="L338" s="49"/>
      <c r="M338" s="37"/>
      <c r="N338" s="37"/>
      <c r="O338" s="37"/>
      <c r="P338" s="37"/>
      <c r="Q338" s="37"/>
      <c r="R338" s="37"/>
      <c r="S338" s="37"/>
      <c r="T338" s="37"/>
      <c r="U338" s="37"/>
      <c r="V338" s="37"/>
    </row>
    <row r="339" ht="22.5" customHeight="1">
      <c r="A339" s="48">
        <v>46073.0</v>
      </c>
      <c r="B339" s="49" t="s">
        <v>381</v>
      </c>
      <c r="C339" s="49" t="s">
        <v>3458</v>
      </c>
      <c r="D339" s="49" t="s">
        <v>969</v>
      </c>
      <c r="E339" s="49" t="s">
        <v>2075</v>
      </c>
      <c r="F339" s="49" t="s">
        <v>2073</v>
      </c>
      <c r="G339" s="49" t="s">
        <v>2076</v>
      </c>
      <c r="H339" s="49" t="s">
        <v>1063</v>
      </c>
      <c r="I339" s="49" t="s">
        <v>1172</v>
      </c>
      <c r="J339" s="49" t="s">
        <v>3459</v>
      </c>
      <c r="K339" s="49" t="s">
        <v>1028</v>
      </c>
      <c r="L339" s="49"/>
      <c r="M339" s="37"/>
      <c r="N339" s="37"/>
      <c r="O339" s="37"/>
      <c r="P339" s="37"/>
      <c r="Q339" s="37"/>
      <c r="R339" s="37"/>
      <c r="S339" s="37"/>
      <c r="T339" s="37"/>
      <c r="U339" s="37"/>
      <c r="V339" s="37"/>
    </row>
    <row r="340" ht="22.5" customHeight="1">
      <c r="A340" s="48">
        <v>46073.0</v>
      </c>
      <c r="B340" s="49" t="s">
        <v>3460</v>
      </c>
      <c r="C340" s="49" t="s">
        <v>3461</v>
      </c>
      <c r="D340" s="49" t="s">
        <v>971</v>
      </c>
      <c r="E340" s="49" t="s">
        <v>959</v>
      </c>
      <c r="F340" s="49" t="s">
        <v>956</v>
      </c>
      <c r="G340" s="49" t="s">
        <v>3462</v>
      </c>
      <c r="H340" s="49" t="s">
        <v>1025</v>
      </c>
      <c r="I340" s="49" t="s">
        <v>1620</v>
      </c>
      <c r="J340" s="49" t="s">
        <v>3463</v>
      </c>
      <c r="K340" s="49" t="s">
        <v>1028</v>
      </c>
      <c r="L340" s="49"/>
      <c r="M340" s="37"/>
      <c r="N340" s="37"/>
      <c r="O340" s="37"/>
      <c r="P340" s="37"/>
      <c r="Q340" s="37"/>
      <c r="R340" s="37"/>
      <c r="S340" s="37"/>
      <c r="T340" s="37"/>
      <c r="U340" s="37"/>
      <c r="V340" s="37"/>
    </row>
    <row r="341" ht="22.5" customHeight="1">
      <c r="A341" s="48">
        <v>46073.0</v>
      </c>
      <c r="B341" s="49" t="s">
        <v>3464</v>
      </c>
      <c r="C341" s="49" t="s">
        <v>3465</v>
      </c>
      <c r="D341" s="49" t="s">
        <v>971</v>
      </c>
      <c r="E341" s="49" t="s">
        <v>2900</v>
      </c>
      <c r="F341" s="49" t="s">
        <v>3466</v>
      </c>
      <c r="G341" s="49" t="s">
        <v>3467</v>
      </c>
      <c r="H341" s="49" t="s">
        <v>1178</v>
      </c>
      <c r="I341" s="49" t="s">
        <v>3468</v>
      </c>
      <c r="J341" s="49" t="s">
        <v>3469</v>
      </c>
      <c r="K341" s="49" t="s">
        <v>1028</v>
      </c>
      <c r="L341" s="49"/>
      <c r="M341" s="37"/>
      <c r="N341" s="37"/>
      <c r="O341" s="37"/>
      <c r="P341" s="37"/>
      <c r="Q341" s="37"/>
      <c r="R341" s="37"/>
      <c r="S341" s="37"/>
      <c r="T341" s="37"/>
      <c r="U341" s="37"/>
      <c r="V341" s="37"/>
    </row>
    <row r="342" ht="22.5" customHeight="1">
      <c r="A342" s="48">
        <v>46073.0</v>
      </c>
      <c r="B342" s="49" t="s">
        <v>3470</v>
      </c>
      <c r="C342" s="49" t="s">
        <v>3471</v>
      </c>
      <c r="D342" s="49" t="s">
        <v>274</v>
      </c>
      <c r="E342" s="49" t="s">
        <v>3472</v>
      </c>
      <c r="F342" s="49" t="s">
        <v>3473</v>
      </c>
      <c r="G342" s="49" t="s">
        <v>1371</v>
      </c>
      <c r="H342" s="49" t="s">
        <v>1178</v>
      </c>
      <c r="I342" s="49" t="s">
        <v>3474</v>
      </c>
      <c r="J342" s="49" t="s">
        <v>3475</v>
      </c>
      <c r="K342" s="49" t="s">
        <v>1028</v>
      </c>
      <c r="L342" s="49" t="s">
        <v>945</v>
      </c>
      <c r="M342" s="37"/>
      <c r="N342" s="37"/>
      <c r="O342" s="37"/>
      <c r="P342" s="37"/>
      <c r="Q342" s="37"/>
      <c r="R342" s="37"/>
      <c r="S342" s="37"/>
      <c r="T342" s="37"/>
      <c r="U342" s="37"/>
      <c r="V342" s="37"/>
    </row>
    <row r="343" ht="22.5" customHeight="1">
      <c r="A343" s="48">
        <v>46073.0</v>
      </c>
      <c r="B343" s="49" t="s">
        <v>3476</v>
      </c>
      <c r="C343" s="49" t="s">
        <v>3477</v>
      </c>
      <c r="D343" s="49" t="s">
        <v>969</v>
      </c>
      <c r="E343" s="49" t="s">
        <v>3478</v>
      </c>
      <c r="F343" s="49" t="s">
        <v>3479</v>
      </c>
      <c r="G343" s="49" t="s">
        <v>3480</v>
      </c>
      <c r="H343" s="49" t="s">
        <v>1207</v>
      </c>
      <c r="I343" s="49" t="s">
        <v>3481</v>
      </c>
      <c r="J343" s="49" t="s">
        <v>3482</v>
      </c>
      <c r="K343" s="49" t="s">
        <v>1028</v>
      </c>
      <c r="L343" s="49"/>
      <c r="M343" s="37"/>
      <c r="N343" s="37"/>
      <c r="O343" s="37"/>
      <c r="P343" s="37"/>
      <c r="Q343" s="37"/>
      <c r="R343" s="37"/>
      <c r="S343" s="37"/>
      <c r="T343" s="37"/>
      <c r="U343" s="37"/>
      <c r="V343" s="37"/>
    </row>
    <row r="344" ht="22.5" customHeight="1">
      <c r="A344" s="48">
        <v>46073.0</v>
      </c>
      <c r="B344" s="49" t="s">
        <v>3483</v>
      </c>
      <c r="C344" s="49" t="s">
        <v>3484</v>
      </c>
      <c r="D344" s="49" t="s">
        <v>969</v>
      </c>
      <c r="E344" s="49" t="s">
        <v>3485</v>
      </c>
      <c r="F344" s="49" t="s">
        <v>3486</v>
      </c>
      <c r="G344" s="49" t="s">
        <v>3487</v>
      </c>
      <c r="H344" s="49" t="s">
        <v>1025</v>
      </c>
      <c r="I344" s="49" t="s">
        <v>1250</v>
      </c>
      <c r="J344" s="49" t="s">
        <v>3488</v>
      </c>
      <c r="K344" s="49" t="s">
        <v>1028</v>
      </c>
      <c r="L344" s="49" t="s">
        <v>945</v>
      </c>
      <c r="M344" s="37"/>
      <c r="N344" s="37"/>
      <c r="O344" s="37"/>
      <c r="P344" s="37"/>
      <c r="Q344" s="37"/>
      <c r="R344" s="37"/>
      <c r="S344" s="37"/>
      <c r="T344" s="37"/>
      <c r="U344" s="37"/>
      <c r="V344" s="37"/>
    </row>
    <row r="345" ht="22.5" customHeight="1">
      <c r="A345" s="48">
        <v>46073.0</v>
      </c>
      <c r="B345" s="49" t="s">
        <v>572</v>
      </c>
      <c r="C345" s="49" t="s">
        <v>3489</v>
      </c>
      <c r="D345" s="49" t="s">
        <v>971</v>
      </c>
      <c r="E345" s="49" t="s">
        <v>3490</v>
      </c>
      <c r="F345" s="49" t="s">
        <v>3491</v>
      </c>
      <c r="G345" s="49" t="s">
        <v>3492</v>
      </c>
      <c r="H345" s="49" t="s">
        <v>1025</v>
      </c>
      <c r="I345" s="49" t="s">
        <v>3493</v>
      </c>
      <c r="J345" s="49" t="s">
        <v>3494</v>
      </c>
      <c r="K345" s="49" t="s">
        <v>1028</v>
      </c>
      <c r="L345" s="49"/>
      <c r="M345" s="37"/>
      <c r="N345" s="37"/>
      <c r="O345" s="37"/>
      <c r="P345" s="37"/>
      <c r="Q345" s="37"/>
      <c r="R345" s="37"/>
      <c r="S345" s="37"/>
      <c r="T345" s="37"/>
      <c r="U345" s="37"/>
      <c r="V345" s="37"/>
    </row>
    <row r="346" ht="22.5" customHeight="1">
      <c r="A346" s="48">
        <v>46073.0</v>
      </c>
      <c r="B346" s="49" t="s">
        <v>3476</v>
      </c>
      <c r="C346" s="49" t="s">
        <v>3495</v>
      </c>
      <c r="D346" s="49" t="s">
        <v>969</v>
      </c>
      <c r="E346" s="49" t="s">
        <v>1077</v>
      </c>
      <c r="F346" s="49" t="s">
        <v>3479</v>
      </c>
      <c r="G346" s="49" t="s">
        <v>1781</v>
      </c>
      <c r="H346" s="49" t="s">
        <v>1207</v>
      </c>
      <c r="I346" s="49" t="s">
        <v>3481</v>
      </c>
      <c r="J346" s="49" t="s">
        <v>3496</v>
      </c>
      <c r="K346" s="49" t="s">
        <v>1028</v>
      </c>
      <c r="L346" s="49"/>
      <c r="M346" s="37"/>
      <c r="N346" s="37"/>
      <c r="O346" s="37"/>
      <c r="P346" s="37"/>
      <c r="Q346" s="37"/>
      <c r="R346" s="37"/>
      <c r="S346" s="37"/>
      <c r="T346" s="37"/>
      <c r="U346" s="37"/>
      <c r="V346" s="37"/>
    </row>
    <row r="347" ht="22.5" customHeight="1">
      <c r="A347" s="48">
        <v>46073.0</v>
      </c>
      <c r="B347" s="49" t="s">
        <v>3497</v>
      </c>
      <c r="C347" s="49" t="s">
        <v>3498</v>
      </c>
      <c r="D347" s="49" t="s">
        <v>969</v>
      </c>
      <c r="E347" s="49" t="s">
        <v>1077</v>
      </c>
      <c r="F347" s="49" t="s">
        <v>3499</v>
      </c>
      <c r="G347" s="49" t="s">
        <v>3500</v>
      </c>
      <c r="H347" s="49" t="s">
        <v>1178</v>
      </c>
      <c r="I347" s="49"/>
      <c r="J347" s="49" t="s">
        <v>3501</v>
      </c>
      <c r="K347" s="49" t="s">
        <v>1028</v>
      </c>
      <c r="L347" s="49"/>
      <c r="M347" s="37"/>
      <c r="N347" s="37"/>
      <c r="O347" s="37"/>
      <c r="P347" s="37"/>
      <c r="Q347" s="37"/>
      <c r="R347" s="37"/>
      <c r="S347" s="37"/>
      <c r="T347" s="37"/>
      <c r="U347" s="37"/>
      <c r="V347" s="37"/>
    </row>
    <row r="348" ht="22.5" customHeight="1">
      <c r="A348" s="48">
        <v>46073.0</v>
      </c>
      <c r="B348" s="49" t="s">
        <v>3502</v>
      </c>
      <c r="C348" s="49" t="s">
        <v>3503</v>
      </c>
      <c r="D348" s="49" t="s">
        <v>969</v>
      </c>
      <c r="E348" s="49" t="s">
        <v>1043</v>
      </c>
      <c r="F348" s="49" t="s">
        <v>3504</v>
      </c>
      <c r="G348" s="49" t="s">
        <v>3505</v>
      </c>
      <c r="H348" s="49" t="s">
        <v>1025</v>
      </c>
      <c r="I348" s="49" t="s">
        <v>2272</v>
      </c>
      <c r="J348" s="49" t="s">
        <v>3506</v>
      </c>
      <c r="K348" s="49" t="s">
        <v>1028</v>
      </c>
      <c r="L348" s="49"/>
      <c r="M348" s="37"/>
      <c r="N348" s="37"/>
      <c r="O348" s="37"/>
      <c r="P348" s="37"/>
      <c r="Q348" s="37"/>
      <c r="R348" s="37"/>
      <c r="S348" s="37"/>
      <c r="T348" s="37"/>
      <c r="U348" s="37"/>
      <c r="V348" s="37"/>
    </row>
    <row r="349" ht="22.5" customHeight="1">
      <c r="A349" s="48">
        <v>46073.0</v>
      </c>
      <c r="B349" s="49" t="s">
        <v>1928</v>
      </c>
      <c r="C349" s="49" t="s">
        <v>3507</v>
      </c>
      <c r="D349" s="49" t="s">
        <v>971</v>
      </c>
      <c r="E349" s="49" t="s">
        <v>1077</v>
      </c>
      <c r="F349" s="49" t="s">
        <v>1382</v>
      </c>
      <c r="G349" s="49" t="s">
        <v>1654</v>
      </c>
      <c r="H349" s="49" t="s">
        <v>1207</v>
      </c>
      <c r="I349" s="49"/>
      <c r="J349" s="49" t="s">
        <v>1388</v>
      </c>
      <c r="K349" s="49" t="s">
        <v>1028</v>
      </c>
      <c r="L349" s="49" t="s">
        <v>945</v>
      </c>
      <c r="M349" s="37"/>
      <c r="N349" s="37"/>
      <c r="O349" s="37"/>
      <c r="P349" s="37"/>
      <c r="Q349" s="37"/>
      <c r="R349" s="37"/>
      <c r="S349" s="37"/>
      <c r="T349" s="37"/>
      <c r="U349" s="37"/>
      <c r="V349" s="37"/>
    </row>
    <row r="350" ht="22.5" customHeight="1">
      <c r="A350" s="48">
        <v>46073.0</v>
      </c>
      <c r="B350" s="49" t="s">
        <v>3508</v>
      </c>
      <c r="C350" s="49" t="s">
        <v>3509</v>
      </c>
      <c r="D350" s="49" t="s">
        <v>969</v>
      </c>
      <c r="E350" s="49" t="s">
        <v>3510</v>
      </c>
      <c r="F350" s="49" t="s">
        <v>3511</v>
      </c>
      <c r="G350" s="49" t="s">
        <v>3512</v>
      </c>
      <c r="H350" s="49" t="s">
        <v>1025</v>
      </c>
      <c r="I350" s="49" t="s">
        <v>2764</v>
      </c>
      <c r="J350" s="49" t="s">
        <v>3513</v>
      </c>
      <c r="K350" s="49" t="s">
        <v>1028</v>
      </c>
      <c r="L350" s="49"/>
      <c r="M350" s="37"/>
      <c r="N350" s="37"/>
      <c r="O350" s="37"/>
      <c r="P350" s="37"/>
      <c r="Q350" s="37"/>
      <c r="R350" s="37"/>
      <c r="S350" s="37"/>
      <c r="T350" s="37"/>
      <c r="U350" s="37"/>
      <c r="V350" s="37"/>
    </row>
    <row r="351" ht="22.5" customHeight="1">
      <c r="A351" s="48">
        <v>46073.0</v>
      </c>
      <c r="B351" s="49" t="s">
        <v>3439</v>
      </c>
      <c r="C351" s="49" t="s">
        <v>3514</v>
      </c>
      <c r="D351" s="49" t="s">
        <v>969</v>
      </c>
      <c r="E351" s="49" t="s">
        <v>3515</v>
      </c>
      <c r="F351" s="49" t="s">
        <v>1596</v>
      </c>
      <c r="G351" s="49" t="s">
        <v>3516</v>
      </c>
      <c r="H351" s="49" t="s">
        <v>1025</v>
      </c>
      <c r="I351" s="49" t="s">
        <v>1599</v>
      </c>
      <c r="J351" s="49" t="s">
        <v>3441</v>
      </c>
      <c r="K351" s="49" t="s">
        <v>1028</v>
      </c>
      <c r="L351" s="49"/>
      <c r="M351" s="37"/>
      <c r="N351" s="37"/>
      <c r="O351" s="37"/>
      <c r="P351" s="37"/>
      <c r="Q351" s="37"/>
      <c r="R351" s="37"/>
      <c r="S351" s="37"/>
      <c r="T351" s="37"/>
      <c r="U351" s="37"/>
      <c r="V351" s="37"/>
    </row>
    <row r="352" ht="22.5" customHeight="1">
      <c r="A352" s="48">
        <v>46073.0</v>
      </c>
      <c r="B352" s="49" t="s">
        <v>3517</v>
      </c>
      <c r="C352" s="49" t="s">
        <v>3518</v>
      </c>
      <c r="D352" s="49" t="s">
        <v>971</v>
      </c>
      <c r="E352" s="49" t="s">
        <v>266</v>
      </c>
      <c r="F352" s="49" t="s">
        <v>3519</v>
      </c>
      <c r="G352" s="49" t="s">
        <v>3520</v>
      </c>
      <c r="H352" s="49" t="s">
        <v>1025</v>
      </c>
      <c r="I352" s="49" t="s">
        <v>2307</v>
      </c>
      <c r="J352" s="49"/>
      <c r="K352" s="49" t="s">
        <v>1028</v>
      </c>
      <c r="L352" s="49"/>
      <c r="M352" s="37"/>
      <c r="N352" s="37"/>
      <c r="O352" s="37"/>
      <c r="P352" s="37"/>
      <c r="Q352" s="37"/>
      <c r="R352" s="37"/>
      <c r="S352" s="37"/>
      <c r="T352" s="37"/>
      <c r="U352" s="37"/>
      <c r="V352" s="37"/>
    </row>
    <row r="353" ht="22.5" customHeight="1">
      <c r="A353" s="48">
        <v>46073.0</v>
      </c>
      <c r="B353" s="49" t="s">
        <v>3521</v>
      </c>
      <c r="C353" s="49" t="s">
        <v>3522</v>
      </c>
      <c r="D353" s="49" t="s">
        <v>971</v>
      </c>
      <c r="E353" s="49" t="s">
        <v>1087</v>
      </c>
      <c r="F353" s="49" t="s">
        <v>424</v>
      </c>
      <c r="G353" s="49" t="s">
        <v>3523</v>
      </c>
      <c r="H353" s="49" t="s">
        <v>1025</v>
      </c>
      <c r="I353" s="49" t="s">
        <v>2272</v>
      </c>
      <c r="J353" s="49" t="s">
        <v>3524</v>
      </c>
      <c r="K353" s="49" t="s">
        <v>1028</v>
      </c>
      <c r="L353" s="49"/>
      <c r="M353" s="37"/>
      <c r="N353" s="37"/>
      <c r="O353" s="37"/>
      <c r="P353" s="37"/>
      <c r="Q353" s="37"/>
      <c r="R353" s="37"/>
      <c r="S353" s="37"/>
      <c r="T353" s="37"/>
      <c r="U353" s="37"/>
      <c r="V353" s="37"/>
    </row>
    <row r="354" ht="22.5" customHeight="1">
      <c r="A354" s="48">
        <v>46073.0</v>
      </c>
      <c r="B354" s="49" t="s">
        <v>3502</v>
      </c>
      <c r="C354" s="49" t="s">
        <v>3525</v>
      </c>
      <c r="D354" s="49" t="s">
        <v>969</v>
      </c>
      <c r="E354" s="49" t="s">
        <v>3526</v>
      </c>
      <c r="F354" s="49" t="s">
        <v>3504</v>
      </c>
      <c r="G354" s="49" t="s">
        <v>3527</v>
      </c>
      <c r="H354" s="49" t="s">
        <v>1025</v>
      </c>
      <c r="I354" s="49" t="s">
        <v>2272</v>
      </c>
      <c r="J354" s="49" t="s">
        <v>3506</v>
      </c>
      <c r="K354" s="49" t="s">
        <v>1028</v>
      </c>
      <c r="L354" s="49"/>
      <c r="M354" s="37"/>
      <c r="N354" s="37"/>
      <c r="O354" s="37"/>
      <c r="P354" s="37"/>
      <c r="Q354" s="37"/>
      <c r="R354" s="37"/>
      <c r="S354" s="37"/>
      <c r="T354" s="37"/>
      <c r="U354" s="37"/>
      <c r="V354" s="37"/>
    </row>
    <row r="355" ht="22.5" customHeight="1">
      <c r="A355" s="48">
        <v>46073.0</v>
      </c>
      <c r="B355" s="49" t="s">
        <v>397</v>
      </c>
      <c r="C355" s="49" t="s">
        <v>3528</v>
      </c>
      <c r="D355" s="49" t="s">
        <v>971</v>
      </c>
      <c r="E355" s="49" t="s">
        <v>3529</v>
      </c>
      <c r="F355" s="49" t="s">
        <v>416</v>
      </c>
      <c r="G355" s="49" t="s">
        <v>3530</v>
      </c>
      <c r="H355" s="49" t="s">
        <v>1025</v>
      </c>
      <c r="I355" s="49" t="s">
        <v>1094</v>
      </c>
      <c r="J355" s="49" t="s">
        <v>3444</v>
      </c>
      <c r="K355" s="49" t="s">
        <v>1028</v>
      </c>
      <c r="L355" s="49" t="s">
        <v>945</v>
      </c>
      <c r="M355" s="37"/>
      <c r="N355" s="37"/>
      <c r="O355" s="37"/>
      <c r="P355" s="37"/>
      <c r="Q355" s="37"/>
      <c r="R355" s="37"/>
      <c r="S355" s="37"/>
      <c r="T355" s="37"/>
      <c r="U355" s="37"/>
      <c r="V355" s="37"/>
    </row>
    <row r="356" ht="22.5" customHeight="1">
      <c r="A356" s="48">
        <v>46073.0</v>
      </c>
      <c r="B356" s="49" t="s">
        <v>2100</v>
      </c>
      <c r="C356" s="49" t="s">
        <v>3531</v>
      </c>
      <c r="D356" s="49" t="s">
        <v>969</v>
      </c>
      <c r="E356" s="49" t="s">
        <v>3532</v>
      </c>
      <c r="F356" s="49" t="s">
        <v>2102</v>
      </c>
      <c r="G356" s="49" t="s">
        <v>2103</v>
      </c>
      <c r="H356" s="49" t="s">
        <v>1129</v>
      </c>
      <c r="I356" s="49" t="s">
        <v>2104</v>
      </c>
      <c r="J356" s="49" t="s">
        <v>3438</v>
      </c>
      <c r="K356" s="49" t="s">
        <v>1028</v>
      </c>
      <c r="L356" s="49"/>
      <c r="M356" s="37"/>
      <c r="N356" s="37"/>
      <c r="O356" s="37"/>
      <c r="P356" s="37"/>
      <c r="Q356" s="37"/>
      <c r="R356" s="37"/>
      <c r="S356" s="37"/>
      <c r="T356" s="37"/>
      <c r="U356" s="37"/>
      <c r="V356" s="37"/>
    </row>
    <row r="357" ht="22.5" customHeight="1">
      <c r="A357" s="48">
        <v>46073.0</v>
      </c>
      <c r="B357" s="49" t="s">
        <v>2870</v>
      </c>
      <c r="C357" s="49" t="s">
        <v>3533</v>
      </c>
      <c r="D357" s="49" t="s">
        <v>971</v>
      </c>
      <c r="E357" s="49" t="s">
        <v>2872</v>
      </c>
      <c r="F357" s="49" t="s">
        <v>3534</v>
      </c>
      <c r="G357" s="49" t="s">
        <v>2874</v>
      </c>
      <c r="H357" s="49"/>
      <c r="I357" s="49"/>
      <c r="J357" s="49" t="s">
        <v>3535</v>
      </c>
      <c r="K357" s="49" t="s">
        <v>1028</v>
      </c>
      <c r="L357" s="49"/>
      <c r="M357" s="37"/>
      <c r="N357" s="37"/>
      <c r="O357" s="37"/>
      <c r="P357" s="37"/>
      <c r="Q357" s="37"/>
      <c r="R357" s="37"/>
      <c r="S357" s="37"/>
      <c r="T357" s="37"/>
      <c r="U357" s="37"/>
      <c r="V357" s="37"/>
    </row>
    <row r="358" ht="22.5" customHeight="1">
      <c r="A358" s="48">
        <v>46073.0</v>
      </c>
      <c r="B358" s="49" t="s">
        <v>3536</v>
      </c>
      <c r="C358" s="49" t="s">
        <v>3537</v>
      </c>
      <c r="D358" s="49" t="s">
        <v>274</v>
      </c>
      <c r="E358" s="49" t="s">
        <v>3538</v>
      </c>
      <c r="F358" s="49" t="s">
        <v>3539</v>
      </c>
      <c r="G358" s="49" t="s">
        <v>3540</v>
      </c>
      <c r="H358" s="49" t="s">
        <v>1207</v>
      </c>
      <c r="I358" s="49" t="s">
        <v>2051</v>
      </c>
      <c r="J358" s="49" t="s">
        <v>3541</v>
      </c>
      <c r="K358" s="49" t="s">
        <v>1028</v>
      </c>
      <c r="L358" s="49"/>
      <c r="M358" s="37"/>
      <c r="N358" s="37"/>
      <c r="O358" s="37"/>
      <c r="P358" s="37"/>
      <c r="Q358" s="37"/>
      <c r="R358" s="37"/>
      <c r="S358" s="37"/>
      <c r="T358" s="37"/>
      <c r="U358" s="37"/>
      <c r="V358" s="37"/>
    </row>
    <row r="359" ht="22.5" customHeight="1">
      <c r="A359" s="48">
        <v>46073.0</v>
      </c>
      <c r="B359" s="49" t="s">
        <v>3542</v>
      </c>
      <c r="C359" s="49" t="s">
        <v>3543</v>
      </c>
      <c r="D359" s="49" t="s">
        <v>971</v>
      </c>
      <c r="E359" s="49" t="s">
        <v>3544</v>
      </c>
      <c r="F359" s="49" t="s">
        <v>3545</v>
      </c>
      <c r="G359" s="49" t="s">
        <v>3546</v>
      </c>
      <c r="H359" s="49" t="s">
        <v>1025</v>
      </c>
      <c r="I359" s="49" t="s">
        <v>3547</v>
      </c>
      <c r="J359" s="49" t="s">
        <v>3548</v>
      </c>
      <c r="K359" s="49" t="s">
        <v>1028</v>
      </c>
      <c r="L359" s="49"/>
      <c r="M359" s="37"/>
      <c r="N359" s="37"/>
      <c r="O359" s="37"/>
      <c r="P359" s="37"/>
      <c r="Q359" s="37"/>
      <c r="R359" s="37"/>
      <c r="S359" s="37"/>
      <c r="T359" s="37"/>
      <c r="U359" s="37"/>
      <c r="V359" s="37"/>
    </row>
    <row r="360" ht="22.5" customHeight="1">
      <c r="A360" s="48">
        <v>46073.0</v>
      </c>
      <c r="B360" s="49" t="s">
        <v>3549</v>
      </c>
      <c r="C360" s="49" t="s">
        <v>3550</v>
      </c>
      <c r="D360" s="49" t="s">
        <v>274</v>
      </c>
      <c r="E360" s="49" t="s">
        <v>328</v>
      </c>
      <c r="F360" s="49" t="s">
        <v>3551</v>
      </c>
      <c r="G360" s="49" t="s">
        <v>3552</v>
      </c>
      <c r="H360" s="49" t="s">
        <v>1129</v>
      </c>
      <c r="I360" s="49" t="s">
        <v>2307</v>
      </c>
      <c r="J360" s="49" t="s">
        <v>3553</v>
      </c>
      <c r="K360" s="49" t="s">
        <v>1028</v>
      </c>
      <c r="L360" s="49"/>
      <c r="M360" s="37"/>
      <c r="N360" s="37"/>
      <c r="O360" s="37"/>
      <c r="P360" s="37"/>
      <c r="Q360" s="37"/>
      <c r="R360" s="37"/>
      <c r="S360" s="37"/>
      <c r="T360" s="37"/>
      <c r="U360" s="37"/>
      <c r="V360" s="37"/>
    </row>
    <row r="361" ht="22.5" customHeight="1">
      <c r="A361" s="48">
        <v>46073.0</v>
      </c>
      <c r="B361" s="49" t="s">
        <v>3554</v>
      </c>
      <c r="C361" s="49" t="s">
        <v>3555</v>
      </c>
      <c r="D361" s="49" t="s">
        <v>969</v>
      </c>
      <c r="E361" s="49" t="s">
        <v>3556</v>
      </c>
      <c r="F361" s="49" t="s">
        <v>3557</v>
      </c>
      <c r="G361" s="49" t="s">
        <v>2079</v>
      </c>
      <c r="H361" s="49" t="s">
        <v>1088</v>
      </c>
      <c r="I361" s="49"/>
      <c r="J361" s="49" t="s">
        <v>3558</v>
      </c>
      <c r="K361" s="49" t="s">
        <v>1028</v>
      </c>
      <c r="L361" s="49" t="s">
        <v>945</v>
      </c>
      <c r="M361" s="37"/>
      <c r="N361" s="37"/>
      <c r="O361" s="37"/>
      <c r="P361" s="37"/>
      <c r="Q361" s="37"/>
      <c r="R361" s="37"/>
      <c r="S361" s="37"/>
      <c r="T361" s="37"/>
      <c r="U361" s="37"/>
      <c r="V361" s="37"/>
    </row>
    <row r="362" ht="22.5" customHeight="1">
      <c r="A362" s="48">
        <v>46073.0</v>
      </c>
      <c r="B362" s="49" t="s">
        <v>3559</v>
      </c>
      <c r="C362" s="49" t="s">
        <v>3560</v>
      </c>
      <c r="D362" s="49" t="s">
        <v>971</v>
      </c>
      <c r="E362" s="49" t="s">
        <v>3561</v>
      </c>
      <c r="F362" s="49" t="s">
        <v>3562</v>
      </c>
      <c r="G362" s="49" t="s">
        <v>2145</v>
      </c>
      <c r="H362" s="49" t="s">
        <v>1129</v>
      </c>
      <c r="I362" s="49" t="s">
        <v>3563</v>
      </c>
      <c r="J362" s="49" t="s">
        <v>3564</v>
      </c>
      <c r="K362" s="49" t="s">
        <v>1028</v>
      </c>
      <c r="L362" s="49" t="s">
        <v>945</v>
      </c>
      <c r="M362" s="37"/>
      <c r="N362" s="37"/>
      <c r="O362" s="37"/>
      <c r="P362" s="37"/>
      <c r="Q362" s="37"/>
      <c r="R362" s="37"/>
      <c r="S362" s="37"/>
      <c r="T362" s="37"/>
      <c r="U362" s="37"/>
      <c r="V362" s="37"/>
    </row>
    <row r="363" ht="22.5" customHeight="1">
      <c r="A363" s="48">
        <v>46073.0</v>
      </c>
      <c r="B363" s="49" t="s">
        <v>3565</v>
      </c>
      <c r="C363" s="49" t="s">
        <v>3566</v>
      </c>
      <c r="D363" s="49" t="s">
        <v>971</v>
      </c>
      <c r="E363" s="49" t="s">
        <v>1615</v>
      </c>
      <c r="F363" s="49" t="s">
        <v>1489</v>
      </c>
      <c r="G363" s="49" t="s">
        <v>2849</v>
      </c>
      <c r="H363" s="49" t="s">
        <v>1025</v>
      </c>
      <c r="I363" s="49" t="s">
        <v>1026</v>
      </c>
      <c r="J363" s="49" t="s">
        <v>3567</v>
      </c>
      <c r="K363" s="49" t="s">
        <v>1028</v>
      </c>
      <c r="L363" s="49"/>
      <c r="M363" s="37"/>
      <c r="N363" s="37"/>
      <c r="O363" s="37"/>
      <c r="P363" s="37"/>
      <c r="Q363" s="37"/>
      <c r="R363" s="37"/>
      <c r="S363" s="37"/>
      <c r="T363" s="37"/>
      <c r="U363" s="37"/>
      <c r="V363" s="37"/>
    </row>
    <row r="364" ht="22.5" customHeight="1">
      <c r="A364" s="48">
        <v>46073.0</v>
      </c>
      <c r="B364" s="49" t="s">
        <v>381</v>
      </c>
      <c r="C364" s="49" t="s">
        <v>3568</v>
      </c>
      <c r="D364" s="49" t="s">
        <v>969</v>
      </c>
      <c r="E364" s="49" t="s">
        <v>3569</v>
      </c>
      <c r="F364" s="49" t="s">
        <v>2073</v>
      </c>
      <c r="G364" s="49" t="s">
        <v>3570</v>
      </c>
      <c r="H364" s="49" t="s">
        <v>1063</v>
      </c>
      <c r="I364" s="49" t="s">
        <v>1172</v>
      </c>
      <c r="J364" s="49" t="s">
        <v>3459</v>
      </c>
      <c r="K364" s="49" t="s">
        <v>1028</v>
      </c>
      <c r="L364" s="49"/>
      <c r="M364" s="37"/>
      <c r="N364" s="37"/>
      <c r="O364" s="37"/>
      <c r="P364" s="37"/>
      <c r="Q364" s="37"/>
      <c r="R364" s="37"/>
      <c r="S364" s="37"/>
      <c r="T364" s="37"/>
      <c r="U364" s="37"/>
      <c r="V364" s="37"/>
    </row>
    <row r="365" ht="22.5" customHeight="1">
      <c r="A365" s="48">
        <v>46073.0</v>
      </c>
      <c r="B365" s="49" t="s">
        <v>3571</v>
      </c>
      <c r="C365" s="49" t="s">
        <v>3572</v>
      </c>
      <c r="D365" s="49" t="s">
        <v>971</v>
      </c>
      <c r="E365" s="49" t="s">
        <v>3573</v>
      </c>
      <c r="F365" s="49" t="s">
        <v>3574</v>
      </c>
      <c r="G365" s="49" t="s">
        <v>3575</v>
      </c>
      <c r="H365" s="49" t="s">
        <v>1088</v>
      </c>
      <c r="I365" s="49" t="s">
        <v>3576</v>
      </c>
      <c r="J365" s="49" t="s">
        <v>3577</v>
      </c>
      <c r="K365" s="49" t="s">
        <v>1028</v>
      </c>
      <c r="L365" s="49"/>
      <c r="M365" s="37"/>
      <c r="N365" s="37"/>
      <c r="O365" s="37"/>
      <c r="P365" s="37"/>
      <c r="Q365" s="37"/>
      <c r="R365" s="37"/>
      <c r="S365" s="37"/>
      <c r="T365" s="37"/>
      <c r="U365" s="37"/>
      <c r="V365" s="37"/>
    </row>
    <row r="366" ht="22.5" customHeight="1">
      <c r="A366" s="48">
        <v>46073.0</v>
      </c>
      <c r="B366" s="49" t="s">
        <v>1601</v>
      </c>
      <c r="C366" s="49" t="s">
        <v>1604</v>
      </c>
      <c r="D366" s="49" t="s">
        <v>969</v>
      </c>
      <c r="E366" s="49" t="s">
        <v>1605</v>
      </c>
      <c r="F366" s="49" t="s">
        <v>1602</v>
      </c>
      <c r="G366" s="49" t="s">
        <v>1603</v>
      </c>
      <c r="H366" s="49" t="s">
        <v>1057</v>
      </c>
      <c r="I366" s="49" t="s">
        <v>1606</v>
      </c>
      <c r="J366" s="49" t="s">
        <v>1607</v>
      </c>
      <c r="K366" s="49" t="s">
        <v>1028</v>
      </c>
      <c r="L366" s="49"/>
      <c r="M366" s="37"/>
      <c r="N366" s="37"/>
      <c r="O366" s="37"/>
      <c r="P366" s="37"/>
      <c r="Q366" s="37"/>
      <c r="R366" s="37"/>
      <c r="S366" s="37"/>
      <c r="T366" s="37"/>
      <c r="U366" s="37"/>
      <c r="V366" s="37"/>
    </row>
    <row r="367" ht="22.5" customHeight="1">
      <c r="A367" s="48">
        <v>46073.0</v>
      </c>
      <c r="B367" s="49" t="s">
        <v>3578</v>
      </c>
      <c r="C367" s="49" t="s">
        <v>3579</v>
      </c>
      <c r="D367" s="49" t="s">
        <v>971</v>
      </c>
      <c r="E367" s="49" t="s">
        <v>874</v>
      </c>
      <c r="F367" s="49" t="s">
        <v>3562</v>
      </c>
      <c r="G367" s="49" t="s">
        <v>3580</v>
      </c>
      <c r="H367" s="49" t="s">
        <v>1129</v>
      </c>
      <c r="I367" s="49" t="s">
        <v>3563</v>
      </c>
      <c r="J367" s="49" t="s">
        <v>3581</v>
      </c>
      <c r="K367" s="49" t="s">
        <v>1028</v>
      </c>
      <c r="L367" s="49"/>
      <c r="M367" s="37"/>
      <c r="N367" s="37"/>
      <c r="O367" s="37"/>
      <c r="P367" s="37"/>
      <c r="Q367" s="37"/>
      <c r="R367" s="37"/>
      <c r="S367" s="37"/>
      <c r="T367" s="37"/>
      <c r="U367" s="37"/>
      <c r="V367" s="37"/>
    </row>
    <row r="368" ht="22.5" customHeight="1">
      <c r="A368" s="48">
        <v>46073.0</v>
      </c>
      <c r="B368" s="49" t="s">
        <v>3582</v>
      </c>
      <c r="C368" s="49" t="s">
        <v>3583</v>
      </c>
      <c r="D368" s="49" t="s">
        <v>971</v>
      </c>
      <c r="E368" s="49" t="s">
        <v>2650</v>
      </c>
      <c r="F368" s="49" t="s">
        <v>3584</v>
      </c>
      <c r="G368" s="49" t="s">
        <v>2145</v>
      </c>
      <c r="H368" s="50">
        <v>46032.0</v>
      </c>
      <c r="I368" s="49"/>
      <c r="J368" s="49" t="s">
        <v>3585</v>
      </c>
      <c r="K368" s="49" t="s">
        <v>1028</v>
      </c>
      <c r="L368" s="49"/>
      <c r="M368" s="37"/>
      <c r="N368" s="37"/>
      <c r="O368" s="37"/>
      <c r="P368" s="37"/>
      <c r="Q368" s="37"/>
      <c r="R368" s="37"/>
      <c r="S368" s="37"/>
      <c r="T368" s="37"/>
      <c r="U368" s="37"/>
      <c r="V368" s="37"/>
    </row>
    <row r="369" ht="22.5" customHeight="1">
      <c r="A369" s="48">
        <v>46073.0</v>
      </c>
      <c r="B369" s="49" t="s">
        <v>3586</v>
      </c>
      <c r="C369" s="49" t="s">
        <v>3587</v>
      </c>
      <c r="D369" s="49" t="s">
        <v>971</v>
      </c>
      <c r="E369" s="49" t="s">
        <v>3588</v>
      </c>
      <c r="F369" s="49" t="s">
        <v>914</v>
      </c>
      <c r="G369" s="49" t="s">
        <v>3589</v>
      </c>
      <c r="H369" s="49" t="s">
        <v>1025</v>
      </c>
      <c r="I369" s="49" t="s">
        <v>1135</v>
      </c>
      <c r="J369" s="49" t="s">
        <v>3590</v>
      </c>
      <c r="K369" s="49" t="s">
        <v>1028</v>
      </c>
      <c r="L369" s="49"/>
      <c r="M369" s="37"/>
      <c r="N369" s="37"/>
      <c r="O369" s="37"/>
      <c r="P369" s="37"/>
      <c r="Q369" s="37"/>
      <c r="R369" s="37"/>
      <c r="S369" s="37"/>
      <c r="T369" s="37"/>
      <c r="U369" s="37"/>
      <c r="V369" s="37"/>
    </row>
    <row r="370" ht="22.5" customHeight="1">
      <c r="A370" s="48">
        <v>46073.0</v>
      </c>
      <c r="B370" s="49" t="s">
        <v>3591</v>
      </c>
      <c r="C370" s="49" t="s">
        <v>3592</v>
      </c>
      <c r="D370" s="49" t="s">
        <v>971</v>
      </c>
      <c r="E370" s="49" t="s">
        <v>3593</v>
      </c>
      <c r="F370" s="49" t="s">
        <v>2853</v>
      </c>
      <c r="G370" s="49" t="s">
        <v>3594</v>
      </c>
      <c r="H370" s="49" t="s">
        <v>1025</v>
      </c>
      <c r="I370" s="49" t="s">
        <v>2855</v>
      </c>
      <c r="J370" s="49" t="s">
        <v>3595</v>
      </c>
      <c r="K370" s="49" t="s">
        <v>1028</v>
      </c>
      <c r="L370" s="49" t="s">
        <v>945</v>
      </c>
      <c r="M370" s="37"/>
      <c r="N370" s="37"/>
      <c r="O370" s="37"/>
      <c r="P370" s="37"/>
      <c r="Q370" s="37"/>
      <c r="R370" s="37"/>
      <c r="S370" s="37"/>
      <c r="T370" s="37"/>
      <c r="U370" s="37"/>
      <c r="V370" s="37"/>
    </row>
    <row r="371" ht="22.5" customHeight="1">
      <c r="A371" s="48">
        <v>46073.0</v>
      </c>
      <c r="B371" s="49" t="s">
        <v>3565</v>
      </c>
      <c r="C371" s="49" t="s">
        <v>3596</v>
      </c>
      <c r="D371" s="49" t="s">
        <v>971</v>
      </c>
      <c r="E371" s="49" t="s">
        <v>3597</v>
      </c>
      <c r="F371" s="49" t="s">
        <v>1489</v>
      </c>
      <c r="G371" s="49" t="s">
        <v>3598</v>
      </c>
      <c r="H371" s="49" t="s">
        <v>1025</v>
      </c>
      <c r="I371" s="49" t="s">
        <v>1026</v>
      </c>
      <c r="J371" s="49" t="s">
        <v>3567</v>
      </c>
      <c r="K371" s="49" t="s">
        <v>1028</v>
      </c>
      <c r="L371" s="49"/>
      <c r="M371" s="37"/>
      <c r="N371" s="37"/>
      <c r="O371" s="37"/>
      <c r="P371" s="37"/>
      <c r="Q371" s="37"/>
      <c r="R371" s="37"/>
      <c r="S371" s="37"/>
      <c r="T371" s="37"/>
      <c r="U371" s="37"/>
      <c r="V371" s="37"/>
    </row>
    <row r="372" ht="22.5" customHeight="1">
      <c r="A372" s="48">
        <v>46073.0</v>
      </c>
      <c r="B372" s="49" t="s">
        <v>3599</v>
      </c>
      <c r="C372" s="49" t="s">
        <v>3600</v>
      </c>
      <c r="D372" s="49" t="s">
        <v>969</v>
      </c>
      <c r="E372" s="49" t="s">
        <v>3601</v>
      </c>
      <c r="F372" s="49" t="s">
        <v>3602</v>
      </c>
      <c r="G372" s="49" t="s">
        <v>3603</v>
      </c>
      <c r="H372" s="49" t="s">
        <v>1025</v>
      </c>
      <c r="I372" s="49" t="s">
        <v>1238</v>
      </c>
      <c r="J372" s="49" t="s">
        <v>3604</v>
      </c>
      <c r="K372" s="49" t="s">
        <v>1028</v>
      </c>
      <c r="L372" s="49"/>
      <c r="M372" s="37"/>
      <c r="N372" s="37"/>
      <c r="O372" s="37"/>
      <c r="P372" s="37"/>
      <c r="Q372" s="37"/>
      <c r="R372" s="37"/>
      <c r="S372" s="37"/>
      <c r="T372" s="37"/>
      <c r="U372" s="37"/>
      <c r="V372" s="37"/>
    </row>
    <row r="373" ht="22.5" customHeight="1">
      <c r="A373" s="48">
        <v>46073.0</v>
      </c>
      <c r="B373" s="49" t="s">
        <v>2366</v>
      </c>
      <c r="C373" s="49" t="s">
        <v>3605</v>
      </c>
      <c r="D373" s="49" t="s">
        <v>971</v>
      </c>
      <c r="E373" s="49" t="s">
        <v>3606</v>
      </c>
      <c r="F373" s="49" t="s">
        <v>3607</v>
      </c>
      <c r="G373" s="49" t="s">
        <v>1776</v>
      </c>
      <c r="H373" s="49" t="s">
        <v>1207</v>
      </c>
      <c r="I373" s="49" t="s">
        <v>3608</v>
      </c>
      <c r="J373" s="49" t="s">
        <v>3609</v>
      </c>
      <c r="K373" s="49" t="s">
        <v>1028</v>
      </c>
      <c r="L373" s="49"/>
      <c r="M373" s="37"/>
      <c r="N373" s="37"/>
      <c r="O373" s="37"/>
      <c r="P373" s="37"/>
      <c r="Q373" s="37"/>
      <c r="R373" s="37"/>
      <c r="S373" s="37"/>
      <c r="T373" s="37"/>
      <c r="U373" s="37"/>
      <c r="V373" s="37"/>
    </row>
    <row r="374" ht="22.5" customHeight="1">
      <c r="A374" s="48">
        <v>46073.0</v>
      </c>
      <c r="B374" s="49" t="s">
        <v>88</v>
      </c>
      <c r="C374" s="49" t="s">
        <v>3610</v>
      </c>
      <c r="D374" s="49" t="s">
        <v>969</v>
      </c>
      <c r="E374" s="49" t="s">
        <v>1978</v>
      </c>
      <c r="F374" s="49" t="s">
        <v>877</v>
      </c>
      <c r="G374" s="49" t="s">
        <v>3611</v>
      </c>
      <c r="H374" s="49" t="s">
        <v>1129</v>
      </c>
      <c r="I374" s="49" t="s">
        <v>1301</v>
      </c>
      <c r="J374" s="49" t="s">
        <v>1306</v>
      </c>
      <c r="K374" s="49" t="s">
        <v>1028</v>
      </c>
      <c r="L374" s="49"/>
      <c r="M374" s="37"/>
      <c r="N374" s="37"/>
      <c r="O374" s="37"/>
      <c r="P374" s="37"/>
      <c r="Q374" s="37"/>
      <c r="R374" s="37"/>
      <c r="S374" s="37"/>
      <c r="T374" s="37"/>
      <c r="U374" s="37"/>
      <c r="V374" s="37"/>
    </row>
    <row r="375" ht="22.5" customHeight="1">
      <c r="A375" s="48">
        <v>46073.0</v>
      </c>
      <c r="B375" s="49" t="s">
        <v>3612</v>
      </c>
      <c r="C375" s="49" t="s">
        <v>3613</v>
      </c>
      <c r="D375" s="49" t="s">
        <v>971</v>
      </c>
      <c r="E375" s="49" t="s">
        <v>1077</v>
      </c>
      <c r="F375" s="49" t="s">
        <v>877</v>
      </c>
      <c r="G375" s="49" t="s">
        <v>1308</v>
      </c>
      <c r="H375" s="49" t="s">
        <v>1129</v>
      </c>
      <c r="I375" s="49" t="s">
        <v>1301</v>
      </c>
      <c r="J375" s="49" t="s">
        <v>1306</v>
      </c>
      <c r="K375" s="49" t="s">
        <v>1028</v>
      </c>
      <c r="L375" s="49"/>
      <c r="M375" s="37"/>
      <c r="N375" s="37"/>
      <c r="O375" s="37"/>
      <c r="P375" s="37"/>
      <c r="Q375" s="37"/>
      <c r="R375" s="37"/>
      <c r="S375" s="37"/>
      <c r="T375" s="37"/>
      <c r="U375" s="37"/>
      <c r="V375" s="37"/>
    </row>
    <row r="376" ht="22.5" customHeight="1">
      <c r="A376" s="48">
        <v>46073.0</v>
      </c>
      <c r="B376" s="49" t="s">
        <v>3614</v>
      </c>
      <c r="C376" s="49" t="s">
        <v>3615</v>
      </c>
      <c r="D376" s="49" t="s">
        <v>971</v>
      </c>
      <c r="E376" s="49" t="s">
        <v>3616</v>
      </c>
      <c r="F376" s="49" t="s">
        <v>3617</v>
      </c>
      <c r="G376" s="49" t="s">
        <v>3618</v>
      </c>
      <c r="H376" s="49" t="s">
        <v>1178</v>
      </c>
      <c r="I376" s="49" t="s">
        <v>3619</v>
      </c>
      <c r="J376" s="49" t="s">
        <v>3620</v>
      </c>
      <c r="K376" s="49" t="s">
        <v>1028</v>
      </c>
      <c r="L376" s="49"/>
      <c r="M376" s="37"/>
      <c r="N376" s="37"/>
      <c r="O376" s="37"/>
      <c r="P376" s="37"/>
      <c r="Q376" s="37"/>
      <c r="R376" s="37"/>
      <c r="S376" s="37"/>
      <c r="T376" s="37"/>
      <c r="U376" s="37"/>
      <c r="V376" s="37"/>
    </row>
    <row r="377" ht="22.5" customHeight="1">
      <c r="A377" s="48">
        <v>46073.0</v>
      </c>
      <c r="B377" s="49" t="s">
        <v>3621</v>
      </c>
      <c r="C377" s="49" t="s">
        <v>3622</v>
      </c>
      <c r="D377" s="49" t="s">
        <v>971</v>
      </c>
      <c r="E377" s="49" t="s">
        <v>3623</v>
      </c>
      <c r="F377" s="49" t="s">
        <v>3624</v>
      </c>
      <c r="G377" s="49" t="s">
        <v>3625</v>
      </c>
      <c r="H377" s="49" t="s">
        <v>1025</v>
      </c>
      <c r="I377" s="49" t="s">
        <v>3626</v>
      </c>
      <c r="J377" s="49" t="s">
        <v>3627</v>
      </c>
      <c r="K377" s="49" t="s">
        <v>1028</v>
      </c>
      <c r="L377" s="49" t="s">
        <v>945</v>
      </c>
      <c r="M377" s="37"/>
      <c r="N377" s="37"/>
      <c r="O377" s="37"/>
      <c r="P377" s="37"/>
      <c r="Q377" s="37"/>
      <c r="R377" s="37"/>
      <c r="S377" s="37"/>
      <c r="T377" s="37"/>
      <c r="U377" s="37"/>
      <c r="V377" s="37"/>
    </row>
    <row r="378" ht="22.5" customHeight="1">
      <c r="A378" s="48">
        <v>46073.0</v>
      </c>
      <c r="B378" s="49" t="s">
        <v>960</v>
      </c>
      <c r="C378" s="49" t="s">
        <v>3628</v>
      </c>
      <c r="D378" s="49" t="s">
        <v>969</v>
      </c>
      <c r="E378" s="49" t="s">
        <v>1751</v>
      </c>
      <c r="F378" s="49" t="s">
        <v>3301</v>
      </c>
      <c r="G378" s="49" t="s">
        <v>3629</v>
      </c>
      <c r="H378" s="49" t="s">
        <v>1025</v>
      </c>
      <c r="I378" s="49" t="s">
        <v>3303</v>
      </c>
      <c r="J378" s="49" t="s">
        <v>3304</v>
      </c>
      <c r="K378" s="49" t="s">
        <v>1028</v>
      </c>
      <c r="L378" s="49"/>
      <c r="M378" s="37"/>
      <c r="N378" s="37"/>
      <c r="O378" s="37"/>
      <c r="P378" s="37"/>
      <c r="Q378" s="37"/>
      <c r="R378" s="37"/>
      <c r="S378" s="37"/>
      <c r="T378" s="37"/>
      <c r="U378" s="37"/>
      <c r="V378" s="37"/>
    </row>
    <row r="379" ht="22.5" customHeight="1">
      <c r="A379" s="48">
        <v>46073.0</v>
      </c>
      <c r="B379" s="49" t="s">
        <v>88</v>
      </c>
      <c r="C379" s="49" t="s">
        <v>3630</v>
      </c>
      <c r="D379" s="49" t="s">
        <v>971</v>
      </c>
      <c r="E379" s="49" t="s">
        <v>1112</v>
      </c>
      <c r="F379" s="49" t="s">
        <v>3075</v>
      </c>
      <c r="G379" s="49" t="s">
        <v>3631</v>
      </c>
      <c r="H379" s="49" t="s">
        <v>1025</v>
      </c>
      <c r="I379" s="49"/>
      <c r="J379" s="49" t="s">
        <v>3632</v>
      </c>
      <c r="K379" s="49" t="s">
        <v>1028</v>
      </c>
      <c r="L379" s="49"/>
      <c r="M379" s="37"/>
      <c r="N379" s="37"/>
      <c r="O379" s="37"/>
      <c r="P379" s="37"/>
      <c r="Q379" s="37"/>
      <c r="R379" s="37"/>
      <c r="S379" s="37"/>
      <c r="T379" s="37"/>
      <c r="U379" s="37"/>
      <c r="V379" s="37"/>
    </row>
    <row r="380" ht="22.5" customHeight="1">
      <c r="A380" s="48">
        <v>46073.0</v>
      </c>
      <c r="B380" s="49" t="s">
        <v>3633</v>
      </c>
      <c r="C380" s="49" t="s">
        <v>3634</v>
      </c>
      <c r="D380" s="49" t="s">
        <v>971</v>
      </c>
      <c r="E380" s="49" t="s">
        <v>959</v>
      </c>
      <c r="F380" s="49" t="s">
        <v>808</v>
      </c>
      <c r="G380" s="49" t="s">
        <v>2246</v>
      </c>
      <c r="H380" s="49" t="s">
        <v>1025</v>
      </c>
      <c r="I380" s="49" t="s">
        <v>2247</v>
      </c>
      <c r="J380" s="49" t="s">
        <v>3635</v>
      </c>
      <c r="K380" s="49" t="s">
        <v>1028</v>
      </c>
      <c r="L380" s="49"/>
      <c r="M380" s="37"/>
      <c r="N380" s="37"/>
      <c r="O380" s="37"/>
      <c r="P380" s="37"/>
      <c r="Q380" s="37"/>
      <c r="R380" s="37"/>
      <c r="S380" s="37"/>
      <c r="T380" s="37"/>
      <c r="U380" s="37"/>
      <c r="V380" s="37"/>
    </row>
    <row r="381" ht="22.5" customHeight="1">
      <c r="A381" s="48">
        <v>46073.0</v>
      </c>
      <c r="B381" s="49" t="s">
        <v>1680</v>
      </c>
      <c r="C381" s="49" t="s">
        <v>1788</v>
      </c>
      <c r="D381" s="49" t="s">
        <v>274</v>
      </c>
      <c r="E381" s="49" t="s">
        <v>3636</v>
      </c>
      <c r="F381" s="49" t="s">
        <v>842</v>
      </c>
      <c r="G381" s="49" t="s">
        <v>1687</v>
      </c>
      <c r="H381" s="49" t="s">
        <v>1129</v>
      </c>
      <c r="I381" s="49" t="s">
        <v>1684</v>
      </c>
      <c r="J381" s="49" t="s">
        <v>1685</v>
      </c>
      <c r="K381" s="49" t="s">
        <v>1028</v>
      </c>
      <c r="L381" s="49"/>
      <c r="M381" s="37"/>
      <c r="N381" s="37"/>
      <c r="O381" s="37"/>
      <c r="P381" s="37"/>
      <c r="Q381" s="37"/>
      <c r="R381" s="37"/>
      <c r="S381" s="37"/>
      <c r="T381" s="37"/>
      <c r="U381" s="37"/>
      <c r="V381" s="37"/>
    </row>
    <row r="382" ht="22.5" customHeight="1">
      <c r="A382" s="48">
        <v>46073.0</v>
      </c>
      <c r="B382" s="49" t="s">
        <v>3637</v>
      </c>
      <c r="C382" s="49" t="s">
        <v>3638</v>
      </c>
      <c r="D382" s="49" t="s">
        <v>971</v>
      </c>
      <c r="E382" s="49" t="s">
        <v>959</v>
      </c>
      <c r="F382" s="49" t="s">
        <v>956</v>
      </c>
      <c r="G382" s="49" t="s">
        <v>3195</v>
      </c>
      <c r="H382" s="49" t="s">
        <v>1025</v>
      </c>
      <c r="I382" s="49" t="s">
        <v>1620</v>
      </c>
      <c r="J382" s="49" t="s">
        <v>3639</v>
      </c>
      <c r="K382" s="49" t="s">
        <v>1028</v>
      </c>
      <c r="L382" s="49"/>
      <c r="M382" s="37"/>
      <c r="N382" s="37"/>
      <c r="O382" s="37"/>
      <c r="P382" s="37"/>
      <c r="Q382" s="37"/>
      <c r="R382" s="37"/>
      <c r="S382" s="37"/>
      <c r="T382" s="37"/>
      <c r="U382" s="37"/>
      <c r="V382" s="37"/>
    </row>
    <row r="383" ht="22.5" customHeight="1">
      <c r="A383" s="48">
        <v>46073.0</v>
      </c>
      <c r="B383" s="49" t="s">
        <v>876</v>
      </c>
      <c r="C383" s="49" t="s">
        <v>3640</v>
      </c>
      <c r="D383" s="49" t="s">
        <v>969</v>
      </c>
      <c r="E383" s="49" t="s">
        <v>1285</v>
      </c>
      <c r="F383" s="49" t="s">
        <v>1612</v>
      </c>
      <c r="G383" s="49" t="s">
        <v>3641</v>
      </c>
      <c r="H383" s="49" t="s">
        <v>1129</v>
      </c>
      <c r="I383" s="49" t="s">
        <v>1113</v>
      </c>
      <c r="J383" s="49" t="s">
        <v>3642</v>
      </c>
      <c r="K383" s="49" t="s">
        <v>1028</v>
      </c>
      <c r="L383" s="49"/>
      <c r="M383" s="37"/>
      <c r="N383" s="37"/>
      <c r="O383" s="37"/>
      <c r="P383" s="37"/>
      <c r="Q383" s="37"/>
      <c r="R383" s="37"/>
      <c r="S383" s="37"/>
      <c r="T383" s="37"/>
      <c r="U383" s="37"/>
      <c r="V383" s="37"/>
    </row>
    <row r="384" ht="22.5" customHeight="1">
      <c r="A384" s="48">
        <v>46073.0</v>
      </c>
      <c r="B384" s="49" t="s">
        <v>397</v>
      </c>
      <c r="C384" s="49" t="s">
        <v>3643</v>
      </c>
      <c r="D384" s="49" t="s">
        <v>274</v>
      </c>
      <c r="E384" s="49" t="s">
        <v>858</v>
      </c>
      <c r="F384" s="49" t="s">
        <v>3644</v>
      </c>
      <c r="G384" s="49" t="s">
        <v>3645</v>
      </c>
      <c r="H384" s="49" t="s">
        <v>1107</v>
      </c>
      <c r="I384" s="49" t="s">
        <v>3646</v>
      </c>
      <c r="J384" s="49" t="s">
        <v>3647</v>
      </c>
      <c r="K384" s="49" t="s">
        <v>1028</v>
      </c>
      <c r="L384" s="49"/>
      <c r="M384" s="37"/>
      <c r="N384" s="37"/>
      <c r="O384" s="37"/>
      <c r="P384" s="37"/>
      <c r="Q384" s="37"/>
      <c r="R384" s="37"/>
      <c r="S384" s="37"/>
      <c r="T384" s="37"/>
      <c r="U384" s="37"/>
      <c r="V384" s="37"/>
    </row>
    <row r="385" ht="22.5" customHeight="1">
      <c r="A385" s="48">
        <v>46073.0</v>
      </c>
      <c r="B385" s="49" t="s">
        <v>3648</v>
      </c>
      <c r="C385" s="49" t="s">
        <v>3649</v>
      </c>
      <c r="D385" s="49" t="s">
        <v>971</v>
      </c>
      <c r="E385" s="49" t="s">
        <v>1520</v>
      </c>
      <c r="F385" s="49" t="s">
        <v>3650</v>
      </c>
      <c r="G385" s="49" t="s">
        <v>3651</v>
      </c>
      <c r="H385" s="49" t="s">
        <v>1107</v>
      </c>
      <c r="I385" s="49" t="s">
        <v>3652</v>
      </c>
      <c r="J385" s="49" t="s">
        <v>3653</v>
      </c>
      <c r="K385" s="49" t="s">
        <v>1028</v>
      </c>
      <c r="L385" s="49"/>
      <c r="M385" s="37"/>
      <c r="N385" s="37"/>
      <c r="O385" s="37"/>
      <c r="P385" s="37"/>
      <c r="Q385" s="37"/>
      <c r="R385" s="37"/>
      <c r="S385" s="37"/>
      <c r="T385" s="37"/>
      <c r="U385" s="37"/>
      <c r="V385" s="37"/>
    </row>
    <row r="386" ht="22.5" customHeight="1">
      <c r="A386" s="48">
        <v>46073.0</v>
      </c>
      <c r="B386" s="49" t="s">
        <v>978</v>
      </c>
      <c r="C386" s="49" t="s">
        <v>979</v>
      </c>
      <c r="D386" s="49" t="s">
        <v>969</v>
      </c>
      <c r="E386" s="49" t="s">
        <v>1319</v>
      </c>
      <c r="F386" s="49" t="s">
        <v>977</v>
      </c>
      <c r="G386" s="49" t="s">
        <v>1317</v>
      </c>
      <c r="H386" s="49" t="s">
        <v>1129</v>
      </c>
      <c r="I386" s="49" t="s">
        <v>1320</v>
      </c>
      <c r="J386" s="49" t="s">
        <v>3654</v>
      </c>
      <c r="K386" s="49" t="s">
        <v>1028</v>
      </c>
      <c r="L386" s="49"/>
      <c r="M386" s="37"/>
      <c r="N386" s="37"/>
      <c r="O386" s="37"/>
      <c r="P386" s="37"/>
      <c r="Q386" s="37"/>
      <c r="R386" s="37"/>
      <c r="S386" s="37"/>
      <c r="T386" s="37"/>
      <c r="U386" s="37"/>
      <c r="V386" s="37"/>
    </row>
    <row r="387" ht="22.5" customHeight="1">
      <c r="A387" s="48">
        <v>46073.0</v>
      </c>
      <c r="B387" s="49" t="s">
        <v>3655</v>
      </c>
      <c r="C387" s="49" t="s">
        <v>3656</v>
      </c>
      <c r="D387" s="49" t="s">
        <v>969</v>
      </c>
      <c r="E387" s="49" t="s">
        <v>1560</v>
      </c>
      <c r="F387" s="49" t="s">
        <v>3657</v>
      </c>
      <c r="G387" s="49" t="s">
        <v>3658</v>
      </c>
      <c r="H387" s="49" t="s">
        <v>1129</v>
      </c>
      <c r="I387" s="49" t="s">
        <v>1428</v>
      </c>
      <c r="J387" s="49" t="s">
        <v>3659</v>
      </c>
      <c r="K387" s="49" t="s">
        <v>1028</v>
      </c>
      <c r="L387" s="49"/>
      <c r="M387" s="37"/>
      <c r="N387" s="37"/>
      <c r="O387" s="37"/>
      <c r="P387" s="37"/>
      <c r="Q387" s="37"/>
      <c r="R387" s="37"/>
      <c r="S387" s="37"/>
      <c r="T387" s="37"/>
      <c r="U387" s="37"/>
      <c r="V387" s="37"/>
    </row>
    <row r="388" ht="22.5" customHeight="1">
      <c r="A388" s="48">
        <v>46073.0</v>
      </c>
      <c r="B388" s="49" t="s">
        <v>3660</v>
      </c>
      <c r="C388" s="49" t="s">
        <v>3661</v>
      </c>
      <c r="D388" s="49" t="s">
        <v>971</v>
      </c>
      <c r="E388" s="49" t="s">
        <v>1077</v>
      </c>
      <c r="F388" s="49" t="s">
        <v>3415</v>
      </c>
      <c r="G388" s="49" t="s">
        <v>3416</v>
      </c>
      <c r="H388" s="49" t="s">
        <v>1088</v>
      </c>
      <c r="I388" s="49"/>
      <c r="J388" s="49" t="s">
        <v>3662</v>
      </c>
      <c r="K388" s="49" t="s">
        <v>1028</v>
      </c>
      <c r="L388" s="49"/>
      <c r="M388" s="37"/>
      <c r="N388" s="37"/>
      <c r="O388" s="37"/>
      <c r="P388" s="37"/>
      <c r="Q388" s="37"/>
      <c r="R388" s="37"/>
      <c r="S388" s="37"/>
      <c r="T388" s="37"/>
      <c r="U388" s="37"/>
      <c r="V388" s="37"/>
    </row>
    <row r="389" ht="22.5" customHeight="1">
      <c r="A389" s="48">
        <v>46073.0</v>
      </c>
      <c r="B389" s="49" t="s">
        <v>3663</v>
      </c>
      <c r="C389" s="49" t="s">
        <v>3664</v>
      </c>
      <c r="D389" s="49" t="s">
        <v>971</v>
      </c>
      <c r="E389" s="49" t="s">
        <v>1520</v>
      </c>
      <c r="F389" s="49" t="s">
        <v>3650</v>
      </c>
      <c r="G389" s="49" t="s">
        <v>3665</v>
      </c>
      <c r="H389" s="49" t="s">
        <v>1107</v>
      </c>
      <c r="I389" s="49" t="s">
        <v>3652</v>
      </c>
      <c r="J389" s="49" t="s">
        <v>3666</v>
      </c>
      <c r="K389" s="49" t="s">
        <v>1028</v>
      </c>
      <c r="L389" s="49"/>
      <c r="M389" s="37"/>
      <c r="N389" s="37"/>
      <c r="O389" s="37"/>
      <c r="P389" s="37"/>
      <c r="Q389" s="37"/>
      <c r="R389" s="37"/>
      <c r="S389" s="37"/>
      <c r="T389" s="37"/>
      <c r="U389" s="37"/>
      <c r="V389" s="37"/>
    </row>
    <row r="390" ht="22.5" customHeight="1">
      <c r="A390" s="48">
        <v>46073.0</v>
      </c>
      <c r="B390" s="49" t="s">
        <v>3667</v>
      </c>
      <c r="C390" s="49" t="s">
        <v>3668</v>
      </c>
      <c r="D390" s="49" t="s">
        <v>274</v>
      </c>
      <c r="E390" s="49" t="s">
        <v>858</v>
      </c>
      <c r="F390" s="49" t="s">
        <v>2501</v>
      </c>
      <c r="G390" s="49" t="s">
        <v>3669</v>
      </c>
      <c r="H390" s="49" t="s">
        <v>1025</v>
      </c>
      <c r="I390" s="49" t="s">
        <v>2503</v>
      </c>
      <c r="J390" s="49" t="s">
        <v>3670</v>
      </c>
      <c r="K390" s="49" t="s">
        <v>1028</v>
      </c>
      <c r="L390" s="49"/>
      <c r="M390" s="37"/>
      <c r="N390" s="37"/>
      <c r="O390" s="37"/>
      <c r="P390" s="37"/>
      <c r="Q390" s="37"/>
      <c r="R390" s="37"/>
      <c r="S390" s="37"/>
      <c r="T390" s="37"/>
      <c r="U390" s="37"/>
      <c r="V390" s="37"/>
    </row>
    <row r="391" ht="22.5" customHeight="1">
      <c r="A391" s="48">
        <v>46073.0</v>
      </c>
      <c r="B391" s="49" t="s">
        <v>88</v>
      </c>
      <c r="C391" s="49" t="s">
        <v>3671</v>
      </c>
      <c r="D391" s="49" t="s">
        <v>969</v>
      </c>
      <c r="E391" s="49" t="s">
        <v>2161</v>
      </c>
      <c r="F391" s="49" t="s">
        <v>3672</v>
      </c>
      <c r="G391" s="49" t="s">
        <v>3673</v>
      </c>
      <c r="H391" s="49" t="s">
        <v>1057</v>
      </c>
      <c r="I391" s="49" t="s">
        <v>1414</v>
      </c>
      <c r="J391" s="49" t="s">
        <v>3674</v>
      </c>
      <c r="K391" s="49" t="s">
        <v>1028</v>
      </c>
      <c r="L391" s="49"/>
      <c r="M391" s="37"/>
      <c r="N391" s="37"/>
      <c r="O391" s="37"/>
      <c r="P391" s="37"/>
      <c r="Q391" s="37"/>
      <c r="R391" s="37"/>
      <c r="S391" s="37"/>
      <c r="T391" s="37"/>
      <c r="U391" s="37"/>
      <c r="V391" s="37"/>
    </row>
    <row r="392" ht="22.5" customHeight="1">
      <c r="A392" s="48">
        <v>46073.0</v>
      </c>
      <c r="B392" s="49" t="s">
        <v>3675</v>
      </c>
      <c r="C392" s="49" t="s">
        <v>3676</v>
      </c>
      <c r="D392" s="49" t="s">
        <v>971</v>
      </c>
      <c r="E392" s="49" t="s">
        <v>1461</v>
      </c>
      <c r="F392" s="49" t="s">
        <v>1458</v>
      </c>
      <c r="G392" s="49" t="s">
        <v>3677</v>
      </c>
      <c r="H392" s="49" t="s">
        <v>1207</v>
      </c>
      <c r="I392" s="49" t="s">
        <v>1462</v>
      </c>
      <c r="J392" s="49" t="s">
        <v>3678</v>
      </c>
      <c r="K392" s="49" t="s">
        <v>1028</v>
      </c>
      <c r="L392" s="49"/>
      <c r="M392" s="37"/>
      <c r="N392" s="37"/>
      <c r="O392" s="37"/>
      <c r="P392" s="37"/>
      <c r="Q392" s="37"/>
      <c r="R392" s="37"/>
      <c r="S392" s="37"/>
      <c r="T392" s="37"/>
      <c r="U392" s="37"/>
      <c r="V392" s="37"/>
    </row>
    <row r="393" ht="22.5" customHeight="1">
      <c r="A393" s="48">
        <v>46073.0</v>
      </c>
      <c r="B393" s="49" t="s">
        <v>3679</v>
      </c>
      <c r="C393" s="49" t="s">
        <v>3680</v>
      </c>
      <c r="D393" s="49" t="s">
        <v>971</v>
      </c>
      <c r="E393" s="49" t="s">
        <v>959</v>
      </c>
      <c r="F393" s="49" t="s">
        <v>956</v>
      </c>
      <c r="G393" s="49" t="s">
        <v>3195</v>
      </c>
      <c r="H393" s="49" t="s">
        <v>1025</v>
      </c>
      <c r="I393" s="49" t="s">
        <v>1620</v>
      </c>
      <c r="J393" s="49" t="s">
        <v>3681</v>
      </c>
      <c r="K393" s="49" t="s">
        <v>1028</v>
      </c>
      <c r="L393" s="49"/>
      <c r="M393" s="37"/>
      <c r="N393" s="37"/>
      <c r="O393" s="37"/>
      <c r="P393" s="37"/>
      <c r="Q393" s="37"/>
      <c r="R393" s="37"/>
      <c r="S393" s="37"/>
      <c r="T393" s="37"/>
      <c r="U393" s="37"/>
      <c r="V393" s="37"/>
    </row>
    <row r="394" ht="22.5" customHeight="1">
      <c r="A394" s="48">
        <v>46073.0</v>
      </c>
      <c r="B394" s="49" t="s">
        <v>3682</v>
      </c>
      <c r="C394" s="49" t="s">
        <v>3683</v>
      </c>
      <c r="D394" s="49" t="s">
        <v>971</v>
      </c>
      <c r="E394" s="49" t="s">
        <v>3684</v>
      </c>
      <c r="F394" s="49" t="s">
        <v>371</v>
      </c>
      <c r="G394" s="49" t="s">
        <v>1326</v>
      </c>
      <c r="H394" s="49" t="s">
        <v>1025</v>
      </c>
      <c r="I394" s="49" t="s">
        <v>1329</v>
      </c>
      <c r="J394" s="49" t="s">
        <v>3685</v>
      </c>
      <c r="K394" s="49" t="s">
        <v>1028</v>
      </c>
      <c r="L394" s="49"/>
      <c r="M394" s="37"/>
      <c r="N394" s="37"/>
      <c r="O394" s="37"/>
      <c r="P394" s="37"/>
      <c r="Q394" s="37"/>
      <c r="R394" s="37"/>
      <c r="S394" s="37"/>
      <c r="T394" s="37"/>
      <c r="U394" s="37"/>
      <c r="V394" s="37"/>
    </row>
    <row r="395" ht="22.5" customHeight="1">
      <c r="A395" s="48">
        <v>46073.0</v>
      </c>
      <c r="B395" s="49" t="s">
        <v>3686</v>
      </c>
      <c r="C395" s="49" t="s">
        <v>3687</v>
      </c>
      <c r="D395" s="49" t="s">
        <v>969</v>
      </c>
      <c r="E395" s="49" t="s">
        <v>1093</v>
      </c>
      <c r="F395" s="49" t="s">
        <v>839</v>
      </c>
      <c r="G395" s="49" t="s">
        <v>3688</v>
      </c>
      <c r="H395" s="49" t="s">
        <v>1129</v>
      </c>
      <c r="I395" s="49" t="s">
        <v>1393</v>
      </c>
      <c r="J395" s="49" t="s">
        <v>3689</v>
      </c>
      <c r="K395" s="49" t="s">
        <v>1028</v>
      </c>
      <c r="L395" s="49" t="s">
        <v>945</v>
      </c>
      <c r="M395" s="37"/>
      <c r="N395" s="37"/>
      <c r="O395" s="37"/>
      <c r="P395" s="37"/>
      <c r="Q395" s="37"/>
      <c r="R395" s="37"/>
      <c r="S395" s="37"/>
      <c r="T395" s="37"/>
      <c r="U395" s="37"/>
      <c r="V395" s="37"/>
    </row>
    <row r="396" ht="22.5" customHeight="1">
      <c r="A396" s="48">
        <v>46073.0</v>
      </c>
      <c r="B396" s="49" t="s">
        <v>3690</v>
      </c>
      <c r="C396" s="49" t="s">
        <v>3691</v>
      </c>
      <c r="D396" s="49" t="s">
        <v>971</v>
      </c>
      <c r="E396" s="49" t="s">
        <v>1144</v>
      </c>
      <c r="F396" s="49" t="s">
        <v>3692</v>
      </c>
      <c r="G396" s="49" t="s">
        <v>3693</v>
      </c>
      <c r="H396" s="49" t="s">
        <v>1088</v>
      </c>
      <c r="I396" s="49" t="s">
        <v>3694</v>
      </c>
      <c r="J396" s="49" t="s">
        <v>3695</v>
      </c>
      <c r="K396" s="49" t="s">
        <v>1028</v>
      </c>
      <c r="L396" s="49"/>
      <c r="M396" s="37"/>
      <c r="N396" s="37"/>
      <c r="O396" s="37"/>
      <c r="P396" s="37"/>
      <c r="Q396" s="37"/>
      <c r="R396" s="37"/>
      <c r="S396" s="37"/>
      <c r="T396" s="37"/>
      <c r="U396" s="37"/>
      <c r="V396" s="37"/>
    </row>
    <row r="397" ht="22.5" customHeight="1">
      <c r="A397" s="48">
        <v>46073.0</v>
      </c>
      <c r="B397" s="49" t="s">
        <v>3696</v>
      </c>
      <c r="C397" s="49" t="s">
        <v>3697</v>
      </c>
      <c r="D397" s="49" t="s">
        <v>969</v>
      </c>
      <c r="E397" s="49" t="s">
        <v>1077</v>
      </c>
      <c r="F397" s="49" t="s">
        <v>1204</v>
      </c>
      <c r="G397" s="49" t="s">
        <v>1289</v>
      </c>
      <c r="H397" s="49" t="s">
        <v>1207</v>
      </c>
      <c r="I397" s="49" t="s">
        <v>1208</v>
      </c>
      <c r="J397" s="49" t="s">
        <v>3698</v>
      </c>
      <c r="K397" s="49" t="s">
        <v>1028</v>
      </c>
      <c r="L397" s="49" t="s">
        <v>945</v>
      </c>
      <c r="M397" s="37"/>
      <c r="N397" s="37"/>
      <c r="O397" s="37"/>
      <c r="P397" s="37"/>
      <c r="Q397" s="37"/>
      <c r="R397" s="37"/>
      <c r="S397" s="37"/>
      <c r="T397" s="37"/>
      <c r="U397" s="37"/>
      <c r="V397" s="37"/>
    </row>
    <row r="398" ht="22.5" customHeight="1">
      <c r="A398" s="48">
        <v>46073.0</v>
      </c>
      <c r="B398" s="49" t="s">
        <v>3699</v>
      </c>
      <c r="C398" s="49" t="s">
        <v>3700</v>
      </c>
      <c r="D398" s="49" t="s">
        <v>971</v>
      </c>
      <c r="E398" s="49" t="s">
        <v>2521</v>
      </c>
      <c r="F398" s="49" t="s">
        <v>3701</v>
      </c>
      <c r="G398" s="49" t="s">
        <v>3702</v>
      </c>
      <c r="H398" s="49" t="s">
        <v>1129</v>
      </c>
      <c r="I398" s="49" t="s">
        <v>3703</v>
      </c>
      <c r="J398" s="49" t="s">
        <v>3704</v>
      </c>
      <c r="K398" s="49" t="s">
        <v>1028</v>
      </c>
      <c r="L398" s="49"/>
      <c r="M398" s="37"/>
      <c r="N398" s="37"/>
      <c r="O398" s="37"/>
      <c r="P398" s="37"/>
      <c r="Q398" s="37"/>
      <c r="R398" s="37"/>
      <c r="S398" s="37"/>
      <c r="T398" s="37"/>
      <c r="U398" s="37"/>
      <c r="V398" s="37"/>
    </row>
    <row r="399" ht="22.5" customHeight="1">
      <c r="A399" s="48">
        <v>46073.0</v>
      </c>
      <c r="B399" s="49" t="s">
        <v>3705</v>
      </c>
      <c r="C399" s="49" t="s">
        <v>3706</v>
      </c>
      <c r="D399" s="49" t="s">
        <v>969</v>
      </c>
      <c r="E399" s="49" t="s">
        <v>3707</v>
      </c>
      <c r="F399" s="49" t="s">
        <v>3708</v>
      </c>
      <c r="G399" s="49" t="s">
        <v>3625</v>
      </c>
      <c r="H399" s="49" t="s">
        <v>1129</v>
      </c>
      <c r="I399" s="49"/>
      <c r="J399" s="49" t="s">
        <v>3709</v>
      </c>
      <c r="K399" s="49" t="s">
        <v>1028</v>
      </c>
      <c r="L399" s="49"/>
      <c r="M399" s="37"/>
      <c r="N399" s="37"/>
      <c r="O399" s="37"/>
      <c r="P399" s="37"/>
      <c r="Q399" s="37"/>
      <c r="R399" s="37"/>
      <c r="S399" s="37"/>
      <c r="T399" s="37"/>
      <c r="U399" s="37"/>
      <c r="V399" s="37"/>
    </row>
    <row r="400" ht="22.5" customHeight="1">
      <c r="A400" s="48">
        <v>46073.0</v>
      </c>
      <c r="B400" s="49" t="s">
        <v>3710</v>
      </c>
      <c r="C400" s="49" t="s">
        <v>3711</v>
      </c>
      <c r="D400" s="49" t="s">
        <v>969</v>
      </c>
      <c r="E400" s="49" t="s">
        <v>3712</v>
      </c>
      <c r="F400" s="49" t="s">
        <v>3713</v>
      </c>
      <c r="G400" s="49" t="s">
        <v>3714</v>
      </c>
      <c r="H400" s="50">
        <v>46032.0</v>
      </c>
      <c r="I400" s="49" t="s">
        <v>3715</v>
      </c>
      <c r="J400" s="49" t="s">
        <v>3716</v>
      </c>
      <c r="K400" s="49" t="s">
        <v>1028</v>
      </c>
      <c r="L400" s="49"/>
      <c r="M400" s="37"/>
      <c r="N400" s="37"/>
      <c r="O400" s="37"/>
      <c r="P400" s="37"/>
      <c r="Q400" s="37"/>
      <c r="R400" s="37"/>
      <c r="S400" s="37"/>
      <c r="T400" s="37"/>
      <c r="U400" s="37"/>
      <c r="V400" s="37"/>
    </row>
    <row r="401" ht="22.5" customHeight="1">
      <c r="A401" s="48">
        <v>46073.0</v>
      </c>
      <c r="B401" s="49" t="s">
        <v>3717</v>
      </c>
      <c r="C401" s="49" t="s">
        <v>3718</v>
      </c>
      <c r="D401" s="49" t="s">
        <v>971</v>
      </c>
      <c r="E401" s="49" t="s">
        <v>3719</v>
      </c>
      <c r="F401" s="49" t="s">
        <v>3720</v>
      </c>
      <c r="G401" s="49" t="s">
        <v>3721</v>
      </c>
      <c r="H401" s="49"/>
      <c r="I401" s="49"/>
      <c r="J401" s="49" t="s">
        <v>3722</v>
      </c>
      <c r="K401" s="49" t="s">
        <v>1028</v>
      </c>
      <c r="L401" s="49"/>
      <c r="M401" s="37"/>
      <c r="N401" s="37"/>
      <c r="O401" s="37"/>
      <c r="P401" s="37"/>
      <c r="Q401" s="37"/>
      <c r="R401" s="37"/>
      <c r="S401" s="37"/>
      <c r="T401" s="37"/>
      <c r="U401" s="37"/>
      <c r="V401" s="37"/>
    </row>
    <row r="402" ht="22.5" customHeight="1">
      <c r="A402" s="48">
        <v>46074.0</v>
      </c>
      <c r="B402" s="49" t="s">
        <v>3723</v>
      </c>
      <c r="C402" s="49" t="s">
        <v>3724</v>
      </c>
      <c r="D402" s="49" t="s">
        <v>971</v>
      </c>
      <c r="E402" s="49" t="s">
        <v>874</v>
      </c>
      <c r="F402" s="49" t="s">
        <v>3725</v>
      </c>
      <c r="G402" s="49" t="s">
        <v>1930</v>
      </c>
      <c r="H402" s="49" t="s">
        <v>1178</v>
      </c>
      <c r="I402" s="49" t="s">
        <v>3726</v>
      </c>
      <c r="J402" s="49" t="s">
        <v>3727</v>
      </c>
      <c r="K402" s="49" t="s">
        <v>1028</v>
      </c>
      <c r="L402" s="49" t="s">
        <v>945</v>
      </c>
      <c r="M402" s="37"/>
      <c r="N402" s="37"/>
      <c r="O402" s="37"/>
      <c r="P402" s="37"/>
      <c r="Q402" s="37"/>
      <c r="R402" s="37"/>
      <c r="S402" s="37"/>
      <c r="T402" s="37"/>
      <c r="U402" s="37"/>
      <c r="V402" s="37"/>
    </row>
    <row r="403" ht="22.5" customHeight="1">
      <c r="A403" s="48">
        <v>46074.0</v>
      </c>
      <c r="B403" s="49" t="s">
        <v>3728</v>
      </c>
      <c r="C403" s="49" t="s">
        <v>3729</v>
      </c>
      <c r="D403" s="49" t="s">
        <v>971</v>
      </c>
      <c r="E403" s="49" t="s">
        <v>3730</v>
      </c>
      <c r="F403" s="49" t="s">
        <v>562</v>
      </c>
      <c r="G403" s="49" t="s">
        <v>2630</v>
      </c>
      <c r="H403" s="49" t="s">
        <v>1025</v>
      </c>
      <c r="I403" s="49" t="s">
        <v>1291</v>
      </c>
      <c r="J403" s="49" t="s">
        <v>3343</v>
      </c>
      <c r="K403" s="49" t="s">
        <v>1028</v>
      </c>
      <c r="L403" s="49"/>
      <c r="M403" s="37"/>
      <c r="N403" s="37"/>
      <c r="O403" s="37"/>
      <c r="P403" s="37"/>
      <c r="Q403" s="37"/>
      <c r="R403" s="37"/>
      <c r="S403" s="37"/>
      <c r="T403" s="37"/>
      <c r="U403" s="37"/>
      <c r="V403" s="37"/>
    </row>
    <row r="404" ht="22.5" customHeight="1">
      <c r="A404" s="48">
        <v>46074.0</v>
      </c>
      <c r="B404" s="49" t="s">
        <v>3731</v>
      </c>
      <c r="C404" s="49" t="s">
        <v>3732</v>
      </c>
      <c r="D404" s="49" t="s">
        <v>971</v>
      </c>
      <c r="E404" s="49" t="s">
        <v>3733</v>
      </c>
      <c r="F404" s="49" t="s">
        <v>3734</v>
      </c>
      <c r="G404" s="49" t="s">
        <v>3735</v>
      </c>
      <c r="H404" s="49" t="s">
        <v>1025</v>
      </c>
      <c r="I404" s="49" t="s">
        <v>3736</v>
      </c>
      <c r="J404" s="49" t="s">
        <v>3737</v>
      </c>
      <c r="K404" s="49" t="s">
        <v>1028</v>
      </c>
      <c r="L404" s="49"/>
      <c r="M404" s="37"/>
      <c r="N404" s="37"/>
      <c r="O404" s="37"/>
      <c r="P404" s="37"/>
      <c r="Q404" s="37"/>
      <c r="R404" s="37"/>
      <c r="S404" s="37"/>
      <c r="T404" s="37"/>
      <c r="U404" s="37"/>
      <c r="V404" s="37"/>
    </row>
    <row r="405" ht="22.5" customHeight="1">
      <c r="A405" s="48">
        <v>46074.0</v>
      </c>
      <c r="B405" s="49" t="s">
        <v>3738</v>
      </c>
      <c r="C405" s="49" t="s">
        <v>3739</v>
      </c>
      <c r="D405" s="49" t="s">
        <v>274</v>
      </c>
      <c r="E405" s="49" t="s">
        <v>866</v>
      </c>
      <c r="F405" s="49" t="s">
        <v>3415</v>
      </c>
      <c r="G405" s="49" t="s">
        <v>3416</v>
      </c>
      <c r="H405" s="49" t="s">
        <v>1088</v>
      </c>
      <c r="I405" s="49"/>
      <c r="J405" s="49" t="s">
        <v>3740</v>
      </c>
      <c r="K405" s="49" t="s">
        <v>1028</v>
      </c>
      <c r="L405" s="49"/>
      <c r="M405" s="37"/>
      <c r="N405" s="37"/>
      <c r="O405" s="37"/>
      <c r="P405" s="37"/>
      <c r="Q405" s="37"/>
      <c r="R405" s="37"/>
      <c r="S405" s="37"/>
      <c r="T405" s="37"/>
      <c r="U405" s="37"/>
      <c r="V405" s="37"/>
    </row>
    <row r="406" ht="22.5" customHeight="1">
      <c r="A406" s="48">
        <v>46074.0</v>
      </c>
      <c r="B406" s="49" t="s">
        <v>3741</v>
      </c>
      <c r="C406" s="49" t="s">
        <v>3742</v>
      </c>
      <c r="D406" s="49" t="s">
        <v>971</v>
      </c>
      <c r="E406" s="49" t="s">
        <v>3743</v>
      </c>
      <c r="F406" s="49" t="s">
        <v>3744</v>
      </c>
      <c r="G406" s="49" t="s">
        <v>3745</v>
      </c>
      <c r="H406" s="49" t="s">
        <v>1025</v>
      </c>
      <c r="I406" s="49" t="s">
        <v>3746</v>
      </c>
      <c r="J406" s="49" t="s">
        <v>3747</v>
      </c>
      <c r="K406" s="49" t="s">
        <v>1028</v>
      </c>
      <c r="L406" s="49"/>
      <c r="M406" s="37"/>
      <c r="N406" s="37"/>
      <c r="O406" s="37"/>
      <c r="P406" s="37"/>
      <c r="Q406" s="37"/>
      <c r="R406" s="37"/>
      <c r="S406" s="37"/>
      <c r="T406" s="37"/>
      <c r="U406" s="37"/>
      <c r="V406" s="37"/>
    </row>
    <row r="407" ht="22.5" customHeight="1">
      <c r="A407" s="48">
        <v>46074.0</v>
      </c>
      <c r="B407" s="49" t="s">
        <v>3748</v>
      </c>
      <c r="C407" s="49" t="s">
        <v>3749</v>
      </c>
      <c r="D407" s="49" t="s">
        <v>969</v>
      </c>
      <c r="E407" s="49" t="s">
        <v>3750</v>
      </c>
      <c r="F407" s="49" t="s">
        <v>3751</v>
      </c>
      <c r="G407" s="49" t="s">
        <v>3752</v>
      </c>
      <c r="H407" s="49" t="s">
        <v>1107</v>
      </c>
      <c r="I407" s="49" t="s">
        <v>1414</v>
      </c>
      <c r="J407" s="49" t="s">
        <v>3753</v>
      </c>
      <c r="K407" s="49" t="s">
        <v>1028</v>
      </c>
      <c r="L407" s="49"/>
      <c r="M407" s="37"/>
      <c r="N407" s="37"/>
      <c r="O407" s="37"/>
      <c r="P407" s="37"/>
      <c r="Q407" s="37"/>
      <c r="R407" s="37"/>
      <c r="S407" s="37"/>
      <c r="T407" s="37"/>
      <c r="U407" s="37"/>
      <c r="V407" s="37"/>
    </row>
    <row r="408" ht="22.5" customHeight="1">
      <c r="A408" s="48">
        <v>46074.0</v>
      </c>
      <c r="B408" s="49" t="s">
        <v>1074</v>
      </c>
      <c r="C408" s="49" t="s">
        <v>1076</v>
      </c>
      <c r="D408" s="49" t="s">
        <v>969</v>
      </c>
      <c r="E408" s="49" t="s">
        <v>1077</v>
      </c>
      <c r="F408" s="49" t="s">
        <v>1073</v>
      </c>
      <c r="G408" s="49" t="s">
        <v>2155</v>
      </c>
      <c r="H408" s="49" t="s">
        <v>1057</v>
      </c>
      <c r="I408" s="49" t="s">
        <v>1078</v>
      </c>
      <c r="J408" s="49" t="s">
        <v>1079</v>
      </c>
      <c r="K408" s="49" t="s">
        <v>1028</v>
      </c>
      <c r="L408" s="49" t="s">
        <v>945</v>
      </c>
      <c r="M408" s="37"/>
      <c r="N408" s="37"/>
      <c r="O408" s="37"/>
      <c r="P408" s="37"/>
      <c r="Q408" s="37"/>
      <c r="R408" s="37"/>
      <c r="S408" s="37"/>
      <c r="T408" s="37"/>
      <c r="U408" s="37"/>
      <c r="V408" s="37"/>
    </row>
    <row r="409" ht="22.5" customHeight="1">
      <c r="A409" s="48">
        <v>46074.0</v>
      </c>
      <c r="B409" s="49" t="s">
        <v>1696</v>
      </c>
      <c r="C409" s="49" t="s">
        <v>1698</v>
      </c>
      <c r="D409" s="49" t="s">
        <v>971</v>
      </c>
      <c r="E409" s="49" t="s">
        <v>1699</v>
      </c>
      <c r="F409" s="49" t="s">
        <v>1697</v>
      </c>
      <c r="G409" s="49" t="s">
        <v>1700</v>
      </c>
      <c r="H409" s="49" t="s">
        <v>1025</v>
      </c>
      <c r="I409" s="49" t="s">
        <v>1701</v>
      </c>
      <c r="J409" s="49" t="s">
        <v>1702</v>
      </c>
      <c r="K409" s="49" t="s">
        <v>1028</v>
      </c>
      <c r="L409" s="49"/>
      <c r="M409" s="37"/>
      <c r="N409" s="37"/>
      <c r="O409" s="37"/>
      <c r="P409" s="37"/>
      <c r="Q409" s="37"/>
      <c r="R409" s="37"/>
      <c r="S409" s="37"/>
      <c r="T409" s="37"/>
      <c r="U409" s="37"/>
      <c r="V409" s="37"/>
    </row>
    <row r="410" ht="22.5" customHeight="1">
      <c r="A410" s="48">
        <v>46074.0</v>
      </c>
      <c r="B410" s="49" t="s">
        <v>2689</v>
      </c>
      <c r="C410" s="49" t="s">
        <v>3754</v>
      </c>
      <c r="D410" s="49" t="s">
        <v>971</v>
      </c>
      <c r="E410" s="49" t="s">
        <v>2701</v>
      </c>
      <c r="F410" s="49" t="s">
        <v>3755</v>
      </c>
      <c r="G410" s="49" t="s">
        <v>2693</v>
      </c>
      <c r="H410" s="49" t="s">
        <v>1088</v>
      </c>
      <c r="I410" s="49" t="s">
        <v>3756</v>
      </c>
      <c r="J410" s="49" t="s">
        <v>2695</v>
      </c>
      <c r="K410" s="49" t="s">
        <v>1028</v>
      </c>
      <c r="L410" s="49"/>
      <c r="M410" s="37"/>
      <c r="N410" s="37"/>
      <c r="O410" s="37"/>
      <c r="P410" s="37"/>
      <c r="Q410" s="37"/>
      <c r="R410" s="37"/>
      <c r="S410" s="37"/>
      <c r="T410" s="37"/>
      <c r="U410" s="37"/>
      <c r="V410" s="37"/>
    </row>
    <row r="411" ht="22.5" customHeight="1">
      <c r="A411" s="48">
        <v>46074.0</v>
      </c>
      <c r="B411" s="49" t="s">
        <v>3757</v>
      </c>
      <c r="C411" s="49" t="s">
        <v>3758</v>
      </c>
      <c r="D411" s="49" t="s">
        <v>971</v>
      </c>
      <c r="E411" s="49" t="s">
        <v>1112</v>
      </c>
      <c r="F411" s="49" t="s">
        <v>1697</v>
      </c>
      <c r="G411" s="49" t="s">
        <v>3759</v>
      </c>
      <c r="H411" s="49" t="s">
        <v>1025</v>
      </c>
      <c r="I411" s="49" t="s">
        <v>1701</v>
      </c>
      <c r="J411" s="49" t="s">
        <v>3760</v>
      </c>
      <c r="K411" s="49" t="s">
        <v>1028</v>
      </c>
      <c r="L411" s="49" t="s">
        <v>945</v>
      </c>
      <c r="M411" s="37"/>
      <c r="N411" s="37"/>
      <c r="O411" s="37"/>
      <c r="P411" s="37"/>
      <c r="Q411" s="37"/>
      <c r="R411" s="37"/>
      <c r="S411" s="37"/>
      <c r="T411" s="37"/>
      <c r="U411" s="37"/>
      <c r="V411" s="37"/>
    </row>
    <row r="412" ht="22.5" customHeight="1">
      <c r="A412" s="48">
        <v>46074.0</v>
      </c>
      <c r="B412" s="49" t="s">
        <v>2163</v>
      </c>
      <c r="C412" s="49" t="s">
        <v>2164</v>
      </c>
      <c r="D412" s="49" t="s">
        <v>971</v>
      </c>
      <c r="E412" s="49" t="s">
        <v>1699</v>
      </c>
      <c r="F412" s="49" t="s">
        <v>1697</v>
      </c>
      <c r="G412" s="49" t="s">
        <v>2165</v>
      </c>
      <c r="H412" s="49" t="s">
        <v>1025</v>
      </c>
      <c r="I412" s="49" t="s">
        <v>1701</v>
      </c>
      <c r="J412" s="49" t="s">
        <v>3761</v>
      </c>
      <c r="K412" s="49" t="s">
        <v>1028</v>
      </c>
      <c r="L412" s="49"/>
      <c r="M412" s="37"/>
      <c r="N412" s="37"/>
      <c r="O412" s="37"/>
      <c r="P412" s="37"/>
      <c r="Q412" s="37"/>
      <c r="R412" s="37"/>
      <c r="S412" s="37"/>
      <c r="T412" s="37"/>
      <c r="U412" s="37"/>
      <c r="V412" s="37"/>
    </row>
    <row r="413" ht="22.5" customHeight="1">
      <c r="A413" s="48">
        <v>46074.0</v>
      </c>
      <c r="B413" s="49" t="s">
        <v>1104</v>
      </c>
      <c r="C413" s="49" t="s">
        <v>1105</v>
      </c>
      <c r="D413" s="49" t="s">
        <v>971</v>
      </c>
      <c r="E413" s="49" t="s">
        <v>1106</v>
      </c>
      <c r="F413" s="49" t="s">
        <v>1103</v>
      </c>
      <c r="G413" s="49" t="s">
        <v>1643</v>
      </c>
      <c r="H413" s="49" t="s">
        <v>1107</v>
      </c>
      <c r="I413" s="49"/>
      <c r="J413" s="49" t="s">
        <v>1108</v>
      </c>
      <c r="K413" s="49" t="s">
        <v>1028</v>
      </c>
      <c r="L413" s="49"/>
      <c r="M413" s="37"/>
      <c r="N413" s="37"/>
      <c r="O413" s="37"/>
      <c r="P413" s="37"/>
      <c r="Q413" s="37"/>
      <c r="R413" s="37"/>
      <c r="S413" s="37"/>
      <c r="T413" s="37"/>
      <c r="U413" s="37"/>
      <c r="V413" s="37"/>
    </row>
    <row r="414" ht="22.5" customHeight="1">
      <c r="A414" s="48">
        <v>46074.0</v>
      </c>
      <c r="B414" s="49" t="s">
        <v>3762</v>
      </c>
      <c r="C414" s="49" t="s">
        <v>3763</v>
      </c>
      <c r="D414" s="49" t="s">
        <v>274</v>
      </c>
      <c r="E414" s="49" t="s">
        <v>1560</v>
      </c>
      <c r="F414" s="49" t="s">
        <v>3764</v>
      </c>
      <c r="G414" s="49" t="s">
        <v>3765</v>
      </c>
      <c r="H414" s="49" t="s">
        <v>1025</v>
      </c>
      <c r="I414" s="49"/>
      <c r="J414" s="49" t="s">
        <v>3766</v>
      </c>
      <c r="K414" s="49" t="s">
        <v>1028</v>
      </c>
      <c r="L414" s="49"/>
      <c r="M414" s="37"/>
      <c r="N414" s="37"/>
      <c r="O414" s="37"/>
      <c r="P414" s="37"/>
      <c r="Q414" s="37"/>
      <c r="R414" s="37"/>
      <c r="S414" s="37"/>
      <c r="T414" s="37"/>
      <c r="U414" s="37"/>
      <c r="V414" s="37"/>
    </row>
    <row r="415" ht="22.5" customHeight="1">
      <c r="A415" s="48">
        <v>46074.0</v>
      </c>
      <c r="B415" s="49" t="s">
        <v>88</v>
      </c>
      <c r="C415" s="49" t="s">
        <v>3767</v>
      </c>
      <c r="D415" s="49" t="s">
        <v>274</v>
      </c>
      <c r="E415" s="49" t="s">
        <v>3768</v>
      </c>
      <c r="F415" s="49" t="s">
        <v>1988</v>
      </c>
      <c r="G415" s="49" t="s">
        <v>3769</v>
      </c>
      <c r="H415" s="49" t="s">
        <v>1107</v>
      </c>
      <c r="I415" s="49" t="s">
        <v>3770</v>
      </c>
      <c r="J415" s="49" t="s">
        <v>3771</v>
      </c>
      <c r="K415" s="49" t="s">
        <v>1028</v>
      </c>
      <c r="L415" s="49"/>
      <c r="M415" s="37"/>
      <c r="N415" s="37"/>
      <c r="O415" s="37"/>
      <c r="P415" s="37"/>
      <c r="Q415" s="37"/>
      <c r="R415" s="37"/>
      <c r="S415" s="37"/>
      <c r="T415" s="37"/>
      <c r="U415" s="37"/>
      <c r="V415" s="37"/>
    </row>
    <row r="416" ht="22.5" customHeight="1">
      <c r="A416" s="48">
        <v>46074.0</v>
      </c>
      <c r="B416" s="49" t="s">
        <v>1216</v>
      </c>
      <c r="C416" s="49" t="s">
        <v>2156</v>
      </c>
      <c r="D416" s="49" t="s">
        <v>969</v>
      </c>
      <c r="E416" s="49" t="s">
        <v>2157</v>
      </c>
      <c r="F416" s="49" t="s">
        <v>1217</v>
      </c>
      <c r="G416" s="49" t="s">
        <v>1218</v>
      </c>
      <c r="H416" s="49" t="s">
        <v>1057</v>
      </c>
      <c r="I416" s="49" t="s">
        <v>1220</v>
      </c>
      <c r="J416" s="49" t="s">
        <v>3772</v>
      </c>
      <c r="K416" s="49" t="s">
        <v>1028</v>
      </c>
      <c r="L416" s="49" t="s">
        <v>945</v>
      </c>
      <c r="M416" s="37"/>
      <c r="N416" s="37"/>
      <c r="O416" s="37"/>
      <c r="P416" s="37"/>
      <c r="Q416" s="37"/>
      <c r="R416" s="37"/>
      <c r="S416" s="37"/>
      <c r="T416" s="37"/>
      <c r="U416" s="37"/>
      <c r="V416" s="37"/>
    </row>
    <row r="417" ht="22.5" customHeight="1">
      <c r="A417" s="48">
        <v>46074.0</v>
      </c>
      <c r="B417" s="49" t="s">
        <v>3773</v>
      </c>
      <c r="C417" s="49" t="s">
        <v>3774</v>
      </c>
      <c r="D417" s="49" t="s">
        <v>274</v>
      </c>
      <c r="E417" s="49" t="s">
        <v>858</v>
      </c>
      <c r="F417" s="49" t="s">
        <v>3775</v>
      </c>
      <c r="G417" s="49" t="s">
        <v>3776</v>
      </c>
      <c r="H417" s="50">
        <v>46032.0</v>
      </c>
      <c r="I417" s="49"/>
      <c r="J417" s="49" t="s">
        <v>3777</v>
      </c>
      <c r="K417" s="49" t="s">
        <v>1028</v>
      </c>
      <c r="L417" s="49" t="s">
        <v>945</v>
      </c>
      <c r="M417" s="37"/>
      <c r="N417" s="37"/>
      <c r="O417" s="37"/>
      <c r="P417" s="37"/>
      <c r="Q417" s="37"/>
      <c r="R417" s="37"/>
      <c r="S417" s="37"/>
      <c r="T417" s="37"/>
      <c r="U417" s="37"/>
      <c r="V417" s="37"/>
    </row>
    <row r="418" ht="22.5" customHeight="1">
      <c r="A418" s="48">
        <v>46074.0</v>
      </c>
      <c r="B418" s="49" t="s">
        <v>88</v>
      </c>
      <c r="C418" s="49" t="s">
        <v>3778</v>
      </c>
      <c r="D418" s="49" t="s">
        <v>971</v>
      </c>
      <c r="E418" s="49" t="s">
        <v>3074</v>
      </c>
      <c r="F418" s="49" t="s">
        <v>3779</v>
      </c>
      <c r="G418" s="49" t="s">
        <v>3780</v>
      </c>
      <c r="H418" s="49" t="s">
        <v>1057</v>
      </c>
      <c r="I418" s="49" t="s">
        <v>3781</v>
      </c>
      <c r="J418" s="49" t="s">
        <v>3782</v>
      </c>
      <c r="K418" s="49" t="s">
        <v>1028</v>
      </c>
      <c r="L418" s="49"/>
      <c r="M418" s="37"/>
      <c r="N418" s="37"/>
      <c r="O418" s="37"/>
      <c r="P418" s="37"/>
      <c r="Q418" s="37"/>
      <c r="R418" s="37"/>
      <c r="S418" s="37"/>
      <c r="T418" s="37"/>
      <c r="U418" s="37"/>
      <c r="V418" s="37"/>
    </row>
    <row r="419" ht="22.5" customHeight="1">
      <c r="A419" s="48">
        <v>46074.0</v>
      </c>
      <c r="B419" s="49" t="s">
        <v>3460</v>
      </c>
      <c r="C419" s="49" t="s">
        <v>3783</v>
      </c>
      <c r="D419" s="49" t="s">
        <v>971</v>
      </c>
      <c r="E419" s="49" t="s">
        <v>959</v>
      </c>
      <c r="F419" s="49" t="s">
        <v>956</v>
      </c>
      <c r="G419" s="49" t="s">
        <v>3784</v>
      </c>
      <c r="H419" s="49" t="s">
        <v>1025</v>
      </c>
      <c r="I419" s="49" t="s">
        <v>1620</v>
      </c>
      <c r="J419" s="49" t="s">
        <v>3463</v>
      </c>
      <c r="K419" s="49" t="s">
        <v>1028</v>
      </c>
      <c r="L419" s="49"/>
      <c r="M419" s="37"/>
      <c r="N419" s="37"/>
      <c r="O419" s="37"/>
      <c r="P419" s="37"/>
      <c r="Q419" s="37"/>
      <c r="R419" s="37"/>
      <c r="S419" s="37"/>
      <c r="T419" s="37"/>
      <c r="U419" s="37"/>
      <c r="V419" s="37"/>
    </row>
    <row r="420" ht="22.5" customHeight="1">
      <c r="A420" s="48">
        <v>46074.0</v>
      </c>
      <c r="B420" s="49" t="s">
        <v>2158</v>
      </c>
      <c r="C420" s="49" t="s">
        <v>2160</v>
      </c>
      <c r="D420" s="49" t="s">
        <v>969</v>
      </c>
      <c r="E420" s="49" t="s">
        <v>2161</v>
      </c>
      <c r="F420" s="49" t="s">
        <v>2159</v>
      </c>
      <c r="G420" s="49" t="s">
        <v>2162</v>
      </c>
      <c r="H420" s="49" t="s">
        <v>1057</v>
      </c>
      <c r="I420" s="49" t="s">
        <v>3785</v>
      </c>
      <c r="J420" s="49" t="s">
        <v>3786</v>
      </c>
      <c r="K420" s="49" t="s">
        <v>1028</v>
      </c>
      <c r="L420" s="49"/>
      <c r="M420" s="37"/>
      <c r="N420" s="37"/>
      <c r="O420" s="37"/>
      <c r="P420" s="37"/>
      <c r="Q420" s="37"/>
      <c r="R420" s="37"/>
      <c r="S420" s="37"/>
      <c r="T420" s="37"/>
      <c r="U420" s="37"/>
      <c r="V420" s="37"/>
    </row>
    <row r="421" ht="22.5" customHeight="1">
      <c r="A421" s="48">
        <v>46074.0</v>
      </c>
      <c r="B421" s="49" t="s">
        <v>2908</v>
      </c>
      <c r="C421" s="49" t="s">
        <v>3787</v>
      </c>
      <c r="D421" s="49" t="s">
        <v>969</v>
      </c>
      <c r="E421" s="49" t="s">
        <v>944</v>
      </c>
      <c r="F421" s="49" t="s">
        <v>1904</v>
      </c>
      <c r="G421" s="49" t="s">
        <v>3788</v>
      </c>
      <c r="H421" s="49" t="s">
        <v>1107</v>
      </c>
      <c r="I421" s="49" t="s">
        <v>1907</v>
      </c>
      <c r="J421" s="49" t="s">
        <v>3789</v>
      </c>
      <c r="K421" s="49" t="s">
        <v>1028</v>
      </c>
      <c r="L421" s="49"/>
      <c r="M421" s="37"/>
      <c r="N421" s="37"/>
      <c r="O421" s="37"/>
      <c r="P421" s="37"/>
      <c r="Q421" s="37"/>
      <c r="R421" s="37"/>
      <c r="S421" s="37"/>
      <c r="T421" s="37"/>
      <c r="U421" s="37"/>
      <c r="V421" s="37"/>
    </row>
    <row r="422" ht="22.5" customHeight="1">
      <c r="A422" s="48">
        <v>46074.0</v>
      </c>
      <c r="B422" s="49" t="s">
        <v>3790</v>
      </c>
      <c r="C422" s="49" t="s">
        <v>3791</v>
      </c>
      <c r="D422" s="49" t="s">
        <v>969</v>
      </c>
      <c r="E422" s="49" t="s">
        <v>379</v>
      </c>
      <c r="F422" s="49" t="s">
        <v>444</v>
      </c>
      <c r="G422" s="49" t="s">
        <v>3792</v>
      </c>
      <c r="H422" s="49" t="s">
        <v>1129</v>
      </c>
      <c r="I422" s="49" t="s">
        <v>3793</v>
      </c>
      <c r="J422" s="49" t="s">
        <v>3794</v>
      </c>
      <c r="K422" s="49" t="s">
        <v>1028</v>
      </c>
      <c r="L422" s="49"/>
      <c r="M422" s="37"/>
      <c r="N422" s="37"/>
      <c r="O422" s="37"/>
      <c r="P422" s="37"/>
      <c r="Q422" s="37"/>
      <c r="R422" s="37"/>
      <c r="S422" s="37"/>
      <c r="T422" s="37"/>
      <c r="U422" s="37"/>
      <c r="V422" s="37"/>
    </row>
    <row r="423" ht="22.5" customHeight="1">
      <c r="A423" s="48">
        <v>46074.0</v>
      </c>
      <c r="B423" s="49" t="s">
        <v>3193</v>
      </c>
      <c r="C423" s="49" t="s">
        <v>3795</v>
      </c>
      <c r="D423" s="49" t="s">
        <v>971</v>
      </c>
      <c r="E423" s="49" t="s">
        <v>959</v>
      </c>
      <c r="F423" s="49" t="s">
        <v>956</v>
      </c>
      <c r="G423" s="49" t="s">
        <v>3784</v>
      </c>
      <c r="H423" s="49" t="s">
        <v>1025</v>
      </c>
      <c r="I423" s="49" t="s">
        <v>1620</v>
      </c>
      <c r="J423" s="49" t="s">
        <v>3796</v>
      </c>
      <c r="K423" s="49" t="s">
        <v>1028</v>
      </c>
      <c r="L423" s="49"/>
      <c r="M423" s="37"/>
      <c r="N423" s="37"/>
      <c r="O423" s="37"/>
      <c r="P423" s="37"/>
      <c r="Q423" s="37"/>
      <c r="R423" s="37"/>
      <c r="S423" s="37"/>
      <c r="T423" s="37"/>
      <c r="U423" s="37"/>
      <c r="V423" s="37"/>
    </row>
    <row r="424" ht="22.5" customHeight="1">
      <c r="A424" s="48">
        <v>46074.0</v>
      </c>
      <c r="B424" s="49" t="s">
        <v>3797</v>
      </c>
      <c r="C424" s="49" t="s">
        <v>3798</v>
      </c>
      <c r="D424" s="49" t="s">
        <v>971</v>
      </c>
      <c r="E424" s="49" t="s">
        <v>944</v>
      </c>
      <c r="F424" s="49" t="s">
        <v>914</v>
      </c>
      <c r="G424" s="49" t="s">
        <v>3226</v>
      </c>
      <c r="H424" s="49" t="s">
        <v>1025</v>
      </c>
      <c r="I424" s="49" t="s">
        <v>1135</v>
      </c>
      <c r="J424" s="49" t="s">
        <v>3799</v>
      </c>
      <c r="K424" s="49" t="s">
        <v>1028</v>
      </c>
      <c r="L424" s="49"/>
      <c r="M424" s="37"/>
      <c r="N424" s="37"/>
      <c r="O424" s="37"/>
      <c r="P424" s="37"/>
      <c r="Q424" s="37"/>
      <c r="R424" s="37"/>
      <c r="S424" s="37"/>
      <c r="T424" s="37"/>
      <c r="U424" s="37"/>
      <c r="V424" s="37"/>
    </row>
    <row r="425" ht="22.5" customHeight="1">
      <c r="A425" s="48">
        <v>46074.0</v>
      </c>
      <c r="B425" s="49" t="s">
        <v>1000</v>
      </c>
      <c r="C425" s="49" t="s">
        <v>3800</v>
      </c>
      <c r="D425" s="49" t="s">
        <v>969</v>
      </c>
      <c r="E425" s="49" t="s">
        <v>3801</v>
      </c>
      <c r="F425" s="49" t="s">
        <v>842</v>
      </c>
      <c r="G425" s="49" t="s">
        <v>1687</v>
      </c>
      <c r="H425" s="49" t="s">
        <v>1129</v>
      </c>
      <c r="I425" s="49" t="s">
        <v>1684</v>
      </c>
      <c r="J425" s="49" t="s">
        <v>1685</v>
      </c>
      <c r="K425" s="49" t="s">
        <v>1028</v>
      </c>
      <c r="L425" s="49"/>
      <c r="M425" s="37"/>
      <c r="N425" s="37"/>
      <c r="O425" s="37"/>
      <c r="P425" s="37"/>
      <c r="Q425" s="37"/>
      <c r="R425" s="37"/>
      <c r="S425" s="37"/>
      <c r="T425" s="37"/>
      <c r="U425" s="37"/>
      <c r="V425" s="37"/>
    </row>
    <row r="426" ht="22.5" customHeight="1">
      <c r="A426" s="48">
        <v>46074.0</v>
      </c>
      <c r="B426" s="49" t="s">
        <v>3802</v>
      </c>
      <c r="C426" s="49" t="s">
        <v>3803</v>
      </c>
      <c r="D426" s="49" t="s">
        <v>969</v>
      </c>
      <c r="E426" s="49" t="s">
        <v>874</v>
      </c>
      <c r="F426" s="49" t="s">
        <v>3804</v>
      </c>
      <c r="G426" s="49" t="s">
        <v>2291</v>
      </c>
      <c r="H426" s="49" t="s">
        <v>1057</v>
      </c>
      <c r="I426" s="49" t="s">
        <v>3805</v>
      </c>
      <c r="J426" s="49" t="s">
        <v>3806</v>
      </c>
      <c r="K426" s="49" t="s">
        <v>1028</v>
      </c>
      <c r="L426" s="49"/>
      <c r="M426" s="37"/>
      <c r="N426" s="37"/>
      <c r="O426" s="37"/>
      <c r="P426" s="37"/>
      <c r="Q426" s="37"/>
      <c r="R426" s="37"/>
      <c r="S426" s="37"/>
      <c r="T426" s="37"/>
      <c r="U426" s="37"/>
      <c r="V426" s="37"/>
    </row>
    <row r="427" ht="22.5" customHeight="1">
      <c r="A427" s="48">
        <v>46074.0</v>
      </c>
      <c r="B427" s="49" t="s">
        <v>88</v>
      </c>
      <c r="C427" s="49" t="s">
        <v>3807</v>
      </c>
      <c r="D427" s="49" t="s">
        <v>969</v>
      </c>
      <c r="E427" s="49" t="s">
        <v>3808</v>
      </c>
      <c r="F427" s="49" t="s">
        <v>45</v>
      </c>
      <c r="G427" s="49" t="s">
        <v>2801</v>
      </c>
      <c r="H427" s="49" t="s">
        <v>1025</v>
      </c>
      <c r="I427" s="49" t="s">
        <v>2802</v>
      </c>
      <c r="J427" s="49" t="s">
        <v>3809</v>
      </c>
      <c r="K427" s="49" t="s">
        <v>1028</v>
      </c>
      <c r="L427" s="49"/>
      <c r="M427" s="37"/>
      <c r="N427" s="37"/>
      <c r="O427" s="37"/>
      <c r="P427" s="37"/>
      <c r="Q427" s="37"/>
      <c r="R427" s="37"/>
      <c r="S427" s="37"/>
      <c r="T427" s="37"/>
      <c r="U427" s="37"/>
      <c r="V427" s="37"/>
    </row>
    <row r="428" ht="22.5" customHeight="1">
      <c r="A428" s="48">
        <v>46074.0</v>
      </c>
      <c r="B428" s="49" t="s">
        <v>3810</v>
      </c>
      <c r="C428" s="49" t="s">
        <v>3811</v>
      </c>
      <c r="D428" s="49" t="s">
        <v>969</v>
      </c>
      <c r="E428" s="49" t="s">
        <v>874</v>
      </c>
      <c r="F428" s="49" t="s">
        <v>3812</v>
      </c>
      <c r="G428" s="49" t="s">
        <v>3813</v>
      </c>
      <c r="H428" s="49" t="s">
        <v>1025</v>
      </c>
      <c r="I428" s="49"/>
      <c r="J428" s="49" t="s">
        <v>3814</v>
      </c>
      <c r="K428" s="49" t="s">
        <v>1028</v>
      </c>
      <c r="L428" s="49"/>
      <c r="M428" s="37"/>
      <c r="N428" s="37"/>
      <c r="O428" s="37"/>
      <c r="P428" s="37"/>
      <c r="Q428" s="37"/>
      <c r="R428" s="37"/>
      <c r="S428" s="37"/>
      <c r="T428" s="37"/>
      <c r="U428" s="37"/>
      <c r="V428" s="37"/>
    </row>
    <row r="429" ht="22.5" customHeight="1">
      <c r="A429" s="48">
        <v>46074.0</v>
      </c>
      <c r="B429" s="49" t="s">
        <v>2282</v>
      </c>
      <c r="C429" s="49" t="s">
        <v>3815</v>
      </c>
      <c r="D429" s="49" t="s">
        <v>971</v>
      </c>
      <c r="E429" s="49" t="s">
        <v>3816</v>
      </c>
      <c r="F429" s="49" t="s">
        <v>3817</v>
      </c>
      <c r="G429" s="49" t="s">
        <v>3818</v>
      </c>
      <c r="H429" s="49" t="s">
        <v>1207</v>
      </c>
      <c r="I429" s="49" t="s">
        <v>3819</v>
      </c>
      <c r="J429" s="49" t="s">
        <v>3820</v>
      </c>
      <c r="K429" s="49" t="s">
        <v>1028</v>
      </c>
      <c r="L429" s="49"/>
      <c r="M429" s="37"/>
      <c r="N429" s="37"/>
      <c r="O429" s="37"/>
      <c r="P429" s="37"/>
      <c r="Q429" s="37"/>
      <c r="R429" s="37"/>
      <c r="S429" s="37"/>
      <c r="T429" s="37"/>
      <c r="U429" s="37"/>
      <c r="V429" s="37"/>
    </row>
    <row r="430" ht="22.5" customHeight="1">
      <c r="A430" s="48">
        <v>46074.0</v>
      </c>
      <c r="B430" s="49" t="s">
        <v>3821</v>
      </c>
      <c r="C430" s="49" t="s">
        <v>3822</v>
      </c>
      <c r="D430" s="49" t="s">
        <v>969</v>
      </c>
      <c r="E430" s="49" t="s">
        <v>3823</v>
      </c>
      <c r="F430" s="49" t="s">
        <v>3824</v>
      </c>
      <c r="G430" s="49" t="s">
        <v>1597</v>
      </c>
      <c r="H430" s="49" t="s">
        <v>1088</v>
      </c>
      <c r="I430" s="49" t="s">
        <v>2098</v>
      </c>
      <c r="J430" s="49" t="s">
        <v>3825</v>
      </c>
      <c r="K430" s="49" t="s">
        <v>1028</v>
      </c>
      <c r="L430" s="49"/>
      <c r="M430" s="37"/>
      <c r="N430" s="37"/>
      <c r="O430" s="37"/>
      <c r="P430" s="37"/>
      <c r="Q430" s="37"/>
      <c r="R430" s="37"/>
      <c r="S430" s="37"/>
      <c r="T430" s="37"/>
      <c r="U430" s="37"/>
      <c r="V430" s="37"/>
    </row>
    <row r="431" ht="22.5" customHeight="1">
      <c r="A431" s="48">
        <v>46074.0</v>
      </c>
      <c r="B431" s="49" t="s">
        <v>787</v>
      </c>
      <c r="C431" s="49" t="s">
        <v>3826</v>
      </c>
      <c r="D431" s="49" t="s">
        <v>971</v>
      </c>
      <c r="E431" s="49" t="s">
        <v>1087</v>
      </c>
      <c r="F431" s="49" t="s">
        <v>789</v>
      </c>
      <c r="G431" s="49" t="s">
        <v>2353</v>
      </c>
      <c r="H431" s="49" t="s">
        <v>1129</v>
      </c>
      <c r="I431" s="49" t="s">
        <v>2553</v>
      </c>
      <c r="J431" s="49" t="s">
        <v>3827</v>
      </c>
      <c r="K431" s="49" t="s">
        <v>1028</v>
      </c>
      <c r="L431" s="49" t="s">
        <v>945</v>
      </c>
      <c r="M431" s="37"/>
      <c r="N431" s="37"/>
      <c r="O431" s="37"/>
      <c r="P431" s="37"/>
      <c r="Q431" s="37"/>
      <c r="R431" s="37"/>
      <c r="S431" s="37"/>
      <c r="T431" s="37"/>
      <c r="U431" s="37"/>
      <c r="V431" s="37"/>
    </row>
    <row r="432" ht="22.5" customHeight="1">
      <c r="A432" s="48">
        <v>46074.0</v>
      </c>
      <c r="B432" s="49" t="s">
        <v>3828</v>
      </c>
      <c r="C432" s="49" t="s">
        <v>3829</v>
      </c>
      <c r="D432" s="49" t="s">
        <v>971</v>
      </c>
      <c r="E432" s="49" t="s">
        <v>3830</v>
      </c>
      <c r="F432" s="49" t="s">
        <v>289</v>
      </c>
      <c r="G432" s="49" t="s">
        <v>3831</v>
      </c>
      <c r="H432" s="49" t="s">
        <v>1025</v>
      </c>
      <c r="I432" s="49" t="s">
        <v>1736</v>
      </c>
      <c r="J432" s="49" t="s">
        <v>3832</v>
      </c>
      <c r="K432" s="49" t="s">
        <v>1028</v>
      </c>
      <c r="L432" s="49"/>
      <c r="M432" s="37"/>
      <c r="N432" s="37"/>
      <c r="O432" s="37"/>
      <c r="P432" s="37"/>
      <c r="Q432" s="37"/>
      <c r="R432" s="37"/>
      <c r="S432" s="37"/>
      <c r="T432" s="37"/>
      <c r="U432" s="37"/>
      <c r="V432" s="37"/>
    </row>
    <row r="433" ht="22.5" customHeight="1">
      <c r="A433" s="48">
        <v>46074.0</v>
      </c>
      <c r="B433" s="49" t="s">
        <v>88</v>
      </c>
      <c r="C433" s="49" t="s">
        <v>3833</v>
      </c>
      <c r="D433" s="49" t="s">
        <v>971</v>
      </c>
      <c r="E433" s="49" t="s">
        <v>1937</v>
      </c>
      <c r="F433" s="49" t="s">
        <v>1935</v>
      </c>
      <c r="G433" s="49" t="s">
        <v>1938</v>
      </c>
      <c r="H433" s="49" t="s">
        <v>1025</v>
      </c>
      <c r="I433" s="49" t="s">
        <v>1939</v>
      </c>
      <c r="J433" s="49" t="s">
        <v>3834</v>
      </c>
      <c r="K433" s="49" t="s">
        <v>1028</v>
      </c>
      <c r="L433" s="49"/>
      <c r="M433" s="37"/>
      <c r="N433" s="37"/>
      <c r="O433" s="37"/>
      <c r="P433" s="37"/>
      <c r="Q433" s="37"/>
      <c r="R433" s="37"/>
      <c r="S433" s="37"/>
      <c r="T433" s="37"/>
      <c r="U433" s="37"/>
      <c r="V433" s="37"/>
    </row>
    <row r="434" ht="22.5" customHeight="1">
      <c r="A434" s="48">
        <v>46074.0</v>
      </c>
      <c r="B434" s="49" t="s">
        <v>3835</v>
      </c>
      <c r="C434" s="49" t="s">
        <v>3836</v>
      </c>
      <c r="D434" s="49" t="s">
        <v>971</v>
      </c>
      <c r="E434" s="49" t="s">
        <v>1871</v>
      </c>
      <c r="F434" s="49" t="s">
        <v>3837</v>
      </c>
      <c r="G434" s="49" t="s">
        <v>3838</v>
      </c>
      <c r="H434" s="49" t="s">
        <v>1025</v>
      </c>
      <c r="I434" s="49" t="s">
        <v>3839</v>
      </c>
      <c r="J434" s="49" t="s">
        <v>3840</v>
      </c>
      <c r="K434" s="49" t="s">
        <v>1028</v>
      </c>
      <c r="L434" s="49" t="s">
        <v>945</v>
      </c>
      <c r="M434" s="37"/>
      <c r="N434" s="37"/>
      <c r="O434" s="37"/>
      <c r="P434" s="37"/>
      <c r="Q434" s="37"/>
      <c r="R434" s="37"/>
      <c r="S434" s="37"/>
      <c r="T434" s="37"/>
      <c r="U434" s="37"/>
      <c r="V434" s="37"/>
    </row>
    <row r="435" ht="22.5" customHeight="1">
      <c r="A435" s="48">
        <v>46074.0</v>
      </c>
      <c r="B435" s="49" t="s">
        <v>3470</v>
      </c>
      <c r="C435" s="49" t="s">
        <v>3841</v>
      </c>
      <c r="D435" s="49" t="s">
        <v>274</v>
      </c>
      <c r="E435" s="49" t="s">
        <v>1740</v>
      </c>
      <c r="F435" s="49" t="s">
        <v>3473</v>
      </c>
      <c r="G435" s="49" t="s">
        <v>2488</v>
      </c>
      <c r="H435" s="49" t="s">
        <v>1178</v>
      </c>
      <c r="I435" s="49" t="s">
        <v>3474</v>
      </c>
      <c r="J435" s="49" t="s">
        <v>3475</v>
      </c>
      <c r="K435" s="49" t="s">
        <v>1028</v>
      </c>
      <c r="L435" s="49" t="s">
        <v>945</v>
      </c>
      <c r="M435" s="37"/>
      <c r="N435" s="37"/>
      <c r="O435" s="37"/>
      <c r="P435" s="37"/>
      <c r="Q435" s="37"/>
      <c r="R435" s="37"/>
      <c r="S435" s="37"/>
      <c r="T435" s="37"/>
      <c r="U435" s="37"/>
      <c r="V435" s="37"/>
    </row>
    <row r="436" ht="22.5" customHeight="1">
      <c r="A436" s="48">
        <v>46074.0</v>
      </c>
      <c r="B436" s="49" t="s">
        <v>998</v>
      </c>
      <c r="C436" s="49" t="s">
        <v>3842</v>
      </c>
      <c r="D436" s="49" t="s">
        <v>971</v>
      </c>
      <c r="E436" s="49" t="s">
        <v>952</v>
      </c>
      <c r="F436" s="49" t="s">
        <v>220</v>
      </c>
      <c r="G436" s="49" t="s">
        <v>3843</v>
      </c>
      <c r="H436" s="49" t="s">
        <v>1025</v>
      </c>
      <c r="I436" s="49" t="s">
        <v>1098</v>
      </c>
      <c r="J436" s="49" t="s">
        <v>3844</v>
      </c>
      <c r="K436" s="49" t="s">
        <v>1028</v>
      </c>
      <c r="L436" s="49" t="s">
        <v>945</v>
      </c>
      <c r="M436" s="37"/>
      <c r="N436" s="37"/>
      <c r="O436" s="37"/>
      <c r="P436" s="37"/>
      <c r="Q436" s="37"/>
      <c r="R436" s="37"/>
      <c r="S436" s="37"/>
      <c r="T436" s="37"/>
      <c r="U436" s="37"/>
      <c r="V436" s="37"/>
    </row>
    <row r="437" ht="22.5" customHeight="1">
      <c r="A437" s="48">
        <v>46074.0</v>
      </c>
      <c r="B437" s="49" t="s">
        <v>1004</v>
      </c>
      <c r="C437" s="49" t="s">
        <v>3845</v>
      </c>
      <c r="D437" s="49" t="s">
        <v>969</v>
      </c>
      <c r="E437" s="49" t="s">
        <v>3846</v>
      </c>
      <c r="F437" s="49" t="s">
        <v>963</v>
      </c>
      <c r="G437" s="49" t="s">
        <v>3847</v>
      </c>
      <c r="H437" s="49" t="s">
        <v>1063</v>
      </c>
      <c r="I437" s="49"/>
      <c r="J437" s="49" t="s">
        <v>3848</v>
      </c>
      <c r="K437" s="49" t="s">
        <v>1028</v>
      </c>
      <c r="L437" s="49"/>
      <c r="M437" s="37"/>
      <c r="N437" s="37"/>
      <c r="O437" s="37"/>
      <c r="P437" s="37"/>
      <c r="Q437" s="37"/>
      <c r="R437" s="37"/>
      <c r="S437" s="37"/>
      <c r="T437" s="37"/>
      <c r="U437" s="37"/>
      <c r="V437" s="37"/>
    </row>
    <row r="438" ht="22.5" customHeight="1">
      <c r="A438" s="48">
        <v>46074.0</v>
      </c>
      <c r="B438" s="49" t="s">
        <v>3849</v>
      </c>
      <c r="C438" s="49" t="s">
        <v>3850</v>
      </c>
      <c r="D438" s="49" t="s">
        <v>969</v>
      </c>
      <c r="E438" s="49" t="s">
        <v>952</v>
      </c>
      <c r="F438" s="49" t="s">
        <v>1596</v>
      </c>
      <c r="G438" s="49" t="s">
        <v>1597</v>
      </c>
      <c r="H438" s="49" t="s">
        <v>1025</v>
      </c>
      <c r="I438" s="49" t="s">
        <v>1599</v>
      </c>
      <c r="J438" s="49" t="s">
        <v>3851</v>
      </c>
      <c r="K438" s="49" t="s">
        <v>1028</v>
      </c>
      <c r="L438" s="49"/>
      <c r="M438" s="37"/>
      <c r="N438" s="37"/>
      <c r="O438" s="37"/>
      <c r="P438" s="37"/>
      <c r="Q438" s="37"/>
      <c r="R438" s="37"/>
      <c r="S438" s="37"/>
      <c r="T438" s="37"/>
      <c r="U438" s="37"/>
      <c r="V438" s="37"/>
    </row>
    <row r="439" ht="22.5" customHeight="1">
      <c r="A439" s="48">
        <v>46074.0</v>
      </c>
      <c r="B439" s="49" t="s">
        <v>998</v>
      </c>
      <c r="C439" s="49" t="s">
        <v>3852</v>
      </c>
      <c r="D439" s="49" t="s">
        <v>971</v>
      </c>
      <c r="E439" s="49" t="s">
        <v>3853</v>
      </c>
      <c r="F439" s="49" t="s">
        <v>220</v>
      </c>
      <c r="G439" s="49" t="s">
        <v>2927</v>
      </c>
      <c r="H439" s="49" t="s">
        <v>1025</v>
      </c>
      <c r="I439" s="49" t="s">
        <v>1098</v>
      </c>
      <c r="J439" s="49" t="s">
        <v>3854</v>
      </c>
      <c r="K439" s="49" t="s">
        <v>1028</v>
      </c>
      <c r="L439" s="49"/>
      <c r="M439" s="37"/>
      <c r="N439" s="37"/>
      <c r="O439" s="37"/>
      <c r="P439" s="37"/>
      <c r="Q439" s="37"/>
      <c r="R439" s="37"/>
      <c r="S439" s="37"/>
      <c r="T439" s="37"/>
      <c r="U439" s="37"/>
      <c r="V439" s="37"/>
    </row>
    <row r="440" ht="22.5" customHeight="1">
      <c r="A440" s="48">
        <v>46074.0</v>
      </c>
      <c r="B440" s="49" t="s">
        <v>3349</v>
      </c>
      <c r="C440" s="49" t="s">
        <v>3855</v>
      </c>
      <c r="D440" s="49" t="s">
        <v>971</v>
      </c>
      <c r="E440" s="49" t="s">
        <v>3856</v>
      </c>
      <c r="F440" s="49" t="s">
        <v>914</v>
      </c>
      <c r="G440" s="49" t="s">
        <v>3237</v>
      </c>
      <c r="H440" s="49" t="s">
        <v>1025</v>
      </c>
      <c r="I440" s="49" t="s">
        <v>1135</v>
      </c>
      <c r="J440" s="49" t="s">
        <v>2583</v>
      </c>
      <c r="K440" s="49" t="s">
        <v>1028</v>
      </c>
      <c r="L440" s="49"/>
      <c r="M440" s="37"/>
      <c r="N440" s="37"/>
      <c r="O440" s="37"/>
      <c r="P440" s="37"/>
      <c r="Q440" s="37"/>
      <c r="R440" s="37"/>
      <c r="S440" s="37"/>
      <c r="T440" s="37"/>
      <c r="U440" s="37"/>
      <c r="V440" s="37"/>
    </row>
    <row r="441" ht="22.5" customHeight="1">
      <c r="A441" s="48">
        <v>46074.0</v>
      </c>
      <c r="B441" s="49" t="s">
        <v>960</v>
      </c>
      <c r="C441" s="49" t="s">
        <v>3857</v>
      </c>
      <c r="D441" s="49" t="s">
        <v>971</v>
      </c>
      <c r="E441" s="49" t="s">
        <v>1420</v>
      </c>
      <c r="F441" s="49" t="s">
        <v>3858</v>
      </c>
      <c r="G441" s="49" t="s">
        <v>3859</v>
      </c>
      <c r="H441" s="49" t="s">
        <v>1063</v>
      </c>
      <c r="I441" s="49" t="s">
        <v>3860</v>
      </c>
      <c r="J441" s="49" t="s">
        <v>3861</v>
      </c>
      <c r="K441" s="49" t="s">
        <v>1028</v>
      </c>
      <c r="L441" s="49"/>
      <c r="M441" s="37"/>
      <c r="N441" s="37"/>
      <c r="O441" s="37"/>
      <c r="P441" s="37"/>
      <c r="Q441" s="37"/>
      <c r="R441" s="37"/>
      <c r="S441" s="37"/>
      <c r="T441" s="37"/>
      <c r="U441" s="37"/>
      <c r="V441" s="37"/>
    </row>
  </sheetData>
  <hyperlinks>
    <hyperlink r:id="rId1" ref="F48"/>
    <hyperlink r:id="rId2" ref="F72"/>
    <hyperlink r:id="rId3" ref="F77"/>
    <hyperlink r:id="rId4" ref="F145"/>
    <hyperlink r:id="rId5" ref="F255"/>
  </hyperlinks>
  <drawing r:id="rId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
    <col customWidth="1" min="2" max="2" width="13.0"/>
    <col customWidth="1" min="3" max="3" width="12.5"/>
    <col customWidth="1" min="4" max="4" width="11.63"/>
    <col customWidth="1" min="5" max="6" width="27.5"/>
    <col customWidth="1" min="7" max="7" width="14.38"/>
    <col customWidth="1" min="8" max="8" width="12.38"/>
    <col customWidth="1" min="9" max="9" width="14.0"/>
    <col customWidth="1" min="10" max="10" width="12.5"/>
  </cols>
  <sheetData>
    <row r="1" ht="24.0" customHeight="1">
      <c r="A1" s="41" t="s">
        <v>1</v>
      </c>
      <c r="B1" s="41" t="s">
        <v>2</v>
      </c>
      <c r="C1" s="42" t="s">
        <v>3</v>
      </c>
      <c r="D1" s="41" t="s">
        <v>4</v>
      </c>
      <c r="E1" s="56" t="s">
        <v>2168</v>
      </c>
      <c r="F1" s="56" t="s">
        <v>5</v>
      </c>
      <c r="G1" s="41" t="s">
        <v>6</v>
      </c>
      <c r="H1" s="42" t="s">
        <v>7</v>
      </c>
      <c r="I1" s="42" t="s">
        <v>8</v>
      </c>
      <c r="J1" s="41" t="s">
        <v>9</v>
      </c>
      <c r="K1" s="57"/>
      <c r="L1" s="57"/>
      <c r="M1" s="57"/>
      <c r="N1" s="57"/>
      <c r="O1" s="57"/>
      <c r="P1" s="57"/>
      <c r="Q1" s="57"/>
      <c r="R1" s="57"/>
      <c r="S1" s="57"/>
      <c r="T1" s="57"/>
      <c r="U1" s="57"/>
      <c r="V1" s="57"/>
      <c r="W1" s="57"/>
      <c r="X1" s="57"/>
      <c r="Y1" s="57"/>
      <c r="Z1" s="57"/>
      <c r="AA1" s="57"/>
    </row>
    <row r="2" ht="24.0" customHeight="1">
      <c r="A2" s="1">
        <v>1.0</v>
      </c>
      <c r="B2" s="1" t="s">
        <v>3862</v>
      </c>
      <c r="C2" s="3" t="s">
        <v>3863</v>
      </c>
      <c r="D2" s="45">
        <v>46071.0</v>
      </c>
      <c r="E2" s="4"/>
      <c r="F2" s="46" t="s">
        <v>3864</v>
      </c>
      <c r="G2" s="1" t="s">
        <v>3865</v>
      </c>
      <c r="H2" s="3" t="s">
        <v>3866</v>
      </c>
      <c r="I2" s="2"/>
      <c r="J2" s="2"/>
    </row>
    <row r="3" ht="24.0" customHeight="1">
      <c r="A3" s="1">
        <v>2.0</v>
      </c>
      <c r="B3" s="1" t="s">
        <v>3862</v>
      </c>
      <c r="C3" s="3" t="s">
        <v>3867</v>
      </c>
      <c r="D3" s="45">
        <v>46071.0</v>
      </c>
      <c r="E3" s="10"/>
      <c r="F3" s="10"/>
      <c r="G3" s="1" t="s">
        <v>1075</v>
      </c>
      <c r="H3" s="3" t="s">
        <v>3868</v>
      </c>
      <c r="I3" s="7"/>
      <c r="J3" s="2"/>
      <c r="K3" s="49"/>
      <c r="L3" s="49"/>
      <c r="M3" s="49"/>
      <c r="N3" s="37"/>
      <c r="O3" s="37"/>
      <c r="P3" s="37"/>
      <c r="Q3" s="37"/>
      <c r="R3" s="37"/>
      <c r="S3" s="37"/>
      <c r="T3" s="37"/>
      <c r="U3" s="37"/>
      <c r="V3" s="37"/>
      <c r="W3" s="37"/>
    </row>
    <row r="4" ht="24.0" customHeight="1">
      <c r="A4" s="1">
        <v>3.0</v>
      </c>
      <c r="B4" s="1" t="s">
        <v>812</v>
      </c>
      <c r="C4" s="3" t="s">
        <v>3869</v>
      </c>
      <c r="D4" s="45">
        <v>46071.0</v>
      </c>
      <c r="E4" s="4"/>
      <c r="F4" s="46" t="s">
        <v>3870</v>
      </c>
      <c r="G4" s="1" t="s">
        <v>3871</v>
      </c>
      <c r="H4" s="3"/>
      <c r="I4" s="7"/>
      <c r="J4" s="2"/>
      <c r="K4" s="40"/>
      <c r="L4" s="40"/>
      <c r="M4" s="40"/>
      <c r="N4" s="40"/>
      <c r="O4" s="40"/>
      <c r="P4" s="40"/>
      <c r="Q4" s="40"/>
      <c r="R4" s="40"/>
      <c r="S4" s="40"/>
      <c r="T4" s="40"/>
      <c r="U4" s="40"/>
      <c r="V4" s="40"/>
      <c r="W4" s="40"/>
      <c r="X4" s="40"/>
      <c r="Y4" s="40"/>
      <c r="Z4" s="40"/>
      <c r="AA4" s="40"/>
    </row>
    <row r="5" ht="24.0" customHeight="1">
      <c r="A5" s="1">
        <v>4.0</v>
      </c>
      <c r="B5" s="1" t="s">
        <v>917</v>
      </c>
      <c r="C5" s="3" t="s">
        <v>3872</v>
      </c>
      <c r="D5" s="45">
        <v>46071.0</v>
      </c>
      <c r="E5" s="4"/>
      <c r="F5" s="46" t="s">
        <v>3873</v>
      </c>
      <c r="G5" s="1" t="s">
        <v>3871</v>
      </c>
      <c r="H5" s="3"/>
      <c r="I5" s="7"/>
      <c r="J5" s="2"/>
      <c r="K5" s="40"/>
      <c r="L5" s="40"/>
      <c r="M5" s="40"/>
      <c r="N5" s="40"/>
      <c r="O5" s="40"/>
      <c r="P5" s="40"/>
      <c r="Q5" s="40"/>
      <c r="R5" s="40"/>
      <c r="S5" s="40"/>
      <c r="T5" s="40"/>
      <c r="U5" s="40"/>
      <c r="V5" s="40"/>
      <c r="W5" s="40"/>
      <c r="X5" s="40"/>
      <c r="Y5" s="40"/>
      <c r="Z5" s="40"/>
      <c r="AA5" s="40"/>
    </row>
    <row r="6" ht="24.0" customHeight="1">
      <c r="A6" s="1">
        <v>5.0</v>
      </c>
      <c r="B6" s="1" t="s">
        <v>1489</v>
      </c>
      <c r="C6" s="3" t="s">
        <v>3874</v>
      </c>
      <c r="D6" s="45">
        <v>46069.0</v>
      </c>
      <c r="E6" s="10"/>
      <c r="F6" s="10"/>
      <c r="G6" s="1" t="s">
        <v>1075</v>
      </c>
      <c r="H6" s="7"/>
      <c r="I6" s="7"/>
      <c r="J6" s="2"/>
      <c r="K6" s="40"/>
      <c r="L6" s="40"/>
      <c r="M6" s="40"/>
      <c r="N6" s="40"/>
      <c r="O6" s="40"/>
      <c r="P6" s="40"/>
      <c r="Q6" s="40"/>
      <c r="R6" s="40"/>
      <c r="S6" s="40"/>
      <c r="T6" s="40"/>
      <c r="U6" s="40"/>
      <c r="V6" s="40"/>
      <c r="W6" s="40"/>
    </row>
    <row r="7" ht="24.0" customHeight="1">
      <c r="A7" s="1">
        <v>6.0</v>
      </c>
      <c r="B7" s="1" t="s">
        <v>914</v>
      </c>
      <c r="C7" s="3" t="s">
        <v>3875</v>
      </c>
      <c r="D7" s="45">
        <v>46069.0</v>
      </c>
      <c r="E7" s="10"/>
      <c r="F7" s="10"/>
      <c r="G7" s="1" t="s">
        <v>1075</v>
      </c>
      <c r="H7" s="3" t="s">
        <v>3876</v>
      </c>
      <c r="I7" s="7"/>
      <c r="J7" s="2"/>
      <c r="K7" s="49"/>
      <c r="L7" s="49"/>
      <c r="M7" s="49"/>
      <c r="N7" s="37"/>
      <c r="O7" s="37"/>
      <c r="P7" s="37"/>
      <c r="Q7" s="37"/>
      <c r="R7" s="37"/>
      <c r="S7" s="37"/>
      <c r="T7" s="37"/>
      <c r="U7" s="37"/>
      <c r="V7" s="37"/>
      <c r="W7" s="37"/>
    </row>
    <row r="8" ht="24.0" customHeight="1">
      <c r="A8" s="1">
        <v>7.0</v>
      </c>
      <c r="B8" s="1" t="s">
        <v>914</v>
      </c>
      <c r="C8" s="3" t="s">
        <v>3877</v>
      </c>
      <c r="D8" s="45">
        <v>46069.0</v>
      </c>
      <c r="E8" s="10"/>
      <c r="F8" s="10"/>
      <c r="G8" s="1" t="s">
        <v>1075</v>
      </c>
      <c r="H8" s="3" t="s">
        <v>3878</v>
      </c>
      <c r="I8" s="7"/>
      <c r="J8" s="2"/>
      <c r="K8" s="40"/>
      <c r="L8" s="40"/>
      <c r="M8" s="40"/>
      <c r="N8" s="40"/>
      <c r="O8" s="40"/>
      <c r="P8" s="40"/>
      <c r="Q8" s="40"/>
      <c r="R8" s="40"/>
      <c r="S8" s="40"/>
      <c r="T8" s="40"/>
      <c r="U8" s="40"/>
      <c r="V8" s="40"/>
      <c r="W8" s="40"/>
      <c r="X8" s="40"/>
      <c r="Y8" s="40"/>
      <c r="Z8" s="40"/>
      <c r="AA8" s="40"/>
    </row>
    <row r="9" ht="24.0" customHeight="1">
      <c r="A9" s="1">
        <v>8.0</v>
      </c>
      <c r="B9" s="1" t="s">
        <v>289</v>
      </c>
      <c r="C9" s="3" t="s">
        <v>3879</v>
      </c>
      <c r="D9" s="58">
        <v>46068.0</v>
      </c>
      <c r="E9" s="10"/>
      <c r="F9" s="10"/>
      <c r="G9" s="1" t="s">
        <v>1075</v>
      </c>
      <c r="H9" s="3" t="s">
        <v>3880</v>
      </c>
      <c r="I9" s="7"/>
      <c r="J9" s="2"/>
      <c r="K9" s="49"/>
      <c r="L9" s="49"/>
      <c r="M9" s="49"/>
      <c r="N9" s="37"/>
      <c r="O9" s="37"/>
      <c r="P9" s="37"/>
      <c r="Q9" s="37"/>
      <c r="R9" s="37"/>
      <c r="S9" s="37"/>
      <c r="T9" s="37"/>
      <c r="U9" s="37"/>
      <c r="V9" s="37"/>
      <c r="W9" s="37"/>
    </row>
    <row r="10" ht="24.0" customHeight="1">
      <c r="A10" s="1">
        <v>9.0</v>
      </c>
      <c r="B10" s="1" t="s">
        <v>929</v>
      </c>
      <c r="C10" s="3" t="s">
        <v>3881</v>
      </c>
      <c r="D10" s="58">
        <v>46068.0</v>
      </c>
      <c r="E10" s="10"/>
      <c r="F10" s="10"/>
      <c r="G10" s="1" t="s">
        <v>1075</v>
      </c>
      <c r="H10" s="3" t="s">
        <v>3882</v>
      </c>
      <c r="I10" s="7"/>
      <c r="J10" s="2"/>
      <c r="K10" s="40"/>
      <c r="L10" s="40"/>
      <c r="M10" s="40"/>
      <c r="N10" s="40"/>
      <c r="O10" s="40"/>
      <c r="P10" s="40"/>
      <c r="Q10" s="40"/>
      <c r="R10" s="40"/>
      <c r="S10" s="40"/>
      <c r="T10" s="40"/>
      <c r="U10" s="40"/>
      <c r="V10" s="40"/>
      <c r="W10" s="40"/>
      <c r="X10" s="40"/>
      <c r="Y10" s="40"/>
      <c r="Z10" s="40"/>
      <c r="AA10" s="40"/>
    </row>
    <row r="11" ht="24.0" customHeight="1">
      <c r="A11" s="1">
        <v>10.0</v>
      </c>
      <c r="B11" s="1" t="s">
        <v>45</v>
      </c>
      <c r="C11" s="3" t="s">
        <v>3881</v>
      </c>
      <c r="D11" s="58">
        <v>46073.0</v>
      </c>
      <c r="E11" s="10"/>
      <c r="F11" s="10"/>
      <c r="G11" s="1" t="s">
        <v>3871</v>
      </c>
      <c r="H11" s="3" t="s">
        <v>3883</v>
      </c>
      <c r="I11" s="3"/>
      <c r="J11" s="2"/>
      <c r="K11" s="40"/>
      <c r="L11" s="40"/>
      <c r="M11" s="40"/>
      <c r="N11" s="40"/>
      <c r="O11" s="40"/>
      <c r="P11" s="40"/>
      <c r="Q11" s="40"/>
      <c r="R11" s="40"/>
      <c r="S11" s="40"/>
      <c r="T11" s="40"/>
      <c r="U11" s="40"/>
      <c r="V11" s="40"/>
      <c r="W11" s="40"/>
    </row>
    <row r="12" ht="24.0" customHeight="1">
      <c r="A12" s="1">
        <v>11.0</v>
      </c>
      <c r="B12" s="1" t="s">
        <v>3884</v>
      </c>
      <c r="C12" s="3" t="s">
        <v>3881</v>
      </c>
      <c r="D12" s="58">
        <v>46073.0</v>
      </c>
      <c r="E12" s="10"/>
      <c r="F12" s="10"/>
      <c r="G12" s="1" t="s">
        <v>1075</v>
      </c>
      <c r="H12" s="3" t="s">
        <v>3885</v>
      </c>
      <c r="I12" s="7"/>
      <c r="J12" s="2"/>
    </row>
    <row r="13" ht="24.0" customHeight="1">
      <c r="A13" s="1">
        <v>12.0</v>
      </c>
      <c r="B13" s="1" t="s">
        <v>914</v>
      </c>
      <c r="C13" s="3" t="s">
        <v>998</v>
      </c>
      <c r="D13" s="58">
        <v>46073.0</v>
      </c>
      <c r="E13" s="4"/>
      <c r="F13" s="46" t="s">
        <v>3886</v>
      </c>
      <c r="G13" s="1" t="s">
        <v>3871</v>
      </c>
      <c r="H13" s="3" t="s">
        <v>3887</v>
      </c>
      <c r="I13" s="7"/>
      <c r="J13" s="2"/>
      <c r="K13" s="40"/>
      <c r="L13" s="40"/>
      <c r="M13" s="40"/>
      <c r="N13" s="40"/>
      <c r="O13" s="40"/>
      <c r="P13" s="40"/>
      <c r="Q13" s="40"/>
      <c r="R13" s="40"/>
      <c r="S13" s="40"/>
      <c r="T13" s="40"/>
      <c r="U13" s="40"/>
      <c r="V13" s="40"/>
      <c r="W13" s="40"/>
      <c r="X13" s="40"/>
      <c r="Y13" s="40"/>
      <c r="Z13" s="40"/>
      <c r="AA13" s="40"/>
    </row>
    <row r="14" ht="24.0" customHeight="1">
      <c r="A14" s="1">
        <v>13.0</v>
      </c>
      <c r="B14" s="1" t="s">
        <v>1904</v>
      </c>
      <c r="C14" s="3" t="s">
        <v>1903</v>
      </c>
      <c r="D14" s="58">
        <v>46073.0</v>
      </c>
      <c r="E14" s="4"/>
      <c r="F14" s="46" t="s">
        <v>3888</v>
      </c>
      <c r="G14" s="1" t="s">
        <v>3871</v>
      </c>
      <c r="H14" s="7"/>
      <c r="I14" s="7"/>
      <c r="J14" s="2"/>
      <c r="K14" s="40"/>
      <c r="L14" s="40"/>
      <c r="M14" s="40"/>
      <c r="N14" s="40"/>
      <c r="O14" s="40"/>
      <c r="P14" s="40"/>
      <c r="Q14" s="40"/>
      <c r="R14" s="40"/>
      <c r="S14" s="40"/>
      <c r="T14" s="40"/>
      <c r="U14" s="40"/>
      <c r="V14" s="40"/>
      <c r="W14" s="40"/>
    </row>
    <row r="15" ht="24.0" customHeight="1">
      <c r="A15" s="1">
        <v>14.0</v>
      </c>
      <c r="B15" s="1" t="s">
        <v>289</v>
      </c>
      <c r="C15" s="3" t="s">
        <v>3889</v>
      </c>
      <c r="D15" s="2"/>
      <c r="E15" s="4"/>
      <c r="F15" s="46" t="s">
        <v>3890</v>
      </c>
      <c r="G15" s="1" t="s">
        <v>3891</v>
      </c>
      <c r="H15" s="3" t="s">
        <v>3892</v>
      </c>
      <c r="I15" s="3" t="s">
        <v>3893</v>
      </c>
      <c r="J15" s="2"/>
      <c r="K15" s="40"/>
      <c r="L15" s="40"/>
      <c r="M15" s="40"/>
      <c r="N15" s="40"/>
      <c r="O15" s="40"/>
      <c r="P15" s="40"/>
      <c r="Q15" s="40"/>
      <c r="R15" s="40"/>
      <c r="S15" s="40"/>
      <c r="T15" s="40"/>
      <c r="U15" s="40"/>
      <c r="V15" s="40"/>
      <c r="W15" s="40"/>
      <c r="X15" s="40"/>
      <c r="Y15" s="40"/>
      <c r="Z15" s="40"/>
      <c r="AA15" s="40"/>
    </row>
    <row r="16" ht="24.0" customHeight="1">
      <c r="A16" s="1"/>
      <c r="B16" s="1"/>
      <c r="C16" s="3"/>
      <c r="D16" s="2"/>
      <c r="E16" s="59"/>
      <c r="F16" s="59"/>
      <c r="G16" s="1"/>
      <c r="H16" s="7"/>
      <c r="I16" s="3"/>
      <c r="J16" s="1"/>
      <c r="K16" s="49"/>
      <c r="L16" s="49"/>
      <c r="M16" s="49"/>
      <c r="N16" s="37"/>
      <c r="O16" s="37"/>
      <c r="P16" s="37"/>
      <c r="Q16" s="37"/>
      <c r="R16" s="37"/>
      <c r="S16" s="37"/>
      <c r="T16" s="37"/>
      <c r="U16" s="37"/>
      <c r="V16" s="37"/>
      <c r="W16" s="37"/>
    </row>
    <row r="17" ht="24.0" customHeight="1">
      <c r="A17" s="1">
        <v>16.0</v>
      </c>
      <c r="B17" s="1" t="s">
        <v>257</v>
      </c>
      <c r="C17" s="2" t="s">
        <v>3006</v>
      </c>
      <c r="D17" s="45">
        <v>46075.0</v>
      </c>
      <c r="E17" s="60">
        <v>46075.0</v>
      </c>
      <c r="F17" s="46" t="s">
        <v>3894</v>
      </c>
      <c r="G17" s="1" t="s">
        <v>8</v>
      </c>
      <c r="H17" s="7"/>
      <c r="I17" s="3" t="s">
        <v>3895</v>
      </c>
      <c r="J17" s="1" t="s">
        <v>3896</v>
      </c>
      <c r="K17" s="61"/>
      <c r="L17" s="61"/>
      <c r="M17" s="61"/>
      <c r="N17" s="40"/>
      <c r="O17" s="40"/>
      <c r="P17" s="40"/>
      <c r="Q17" s="40"/>
      <c r="R17" s="40"/>
      <c r="S17" s="40"/>
      <c r="T17" s="40"/>
      <c r="U17" s="40"/>
      <c r="V17" s="40"/>
      <c r="W17" s="40"/>
    </row>
    <row r="18" ht="24.0" customHeight="1">
      <c r="A18" s="1">
        <v>17.0</v>
      </c>
      <c r="B18" s="1" t="s">
        <v>3897</v>
      </c>
      <c r="C18" s="3" t="s">
        <v>3898</v>
      </c>
      <c r="D18" s="45">
        <v>46074.0</v>
      </c>
      <c r="E18" s="62">
        <v>46075.0</v>
      </c>
      <c r="F18" s="63" t="s">
        <v>3899</v>
      </c>
      <c r="G18" s="1" t="s">
        <v>3871</v>
      </c>
      <c r="H18" s="7"/>
      <c r="I18" s="3" t="s">
        <v>3900</v>
      </c>
      <c r="J18" s="2"/>
      <c r="K18" s="61"/>
      <c r="L18" s="61"/>
      <c r="M18" s="61"/>
      <c r="N18" s="40"/>
      <c r="O18" s="40"/>
      <c r="P18" s="40"/>
      <c r="Q18" s="40"/>
      <c r="R18" s="40"/>
      <c r="S18" s="40"/>
      <c r="T18" s="40"/>
      <c r="U18" s="40"/>
      <c r="V18" s="40"/>
      <c r="W18" s="40"/>
    </row>
    <row r="19" ht="24.0" customHeight="1"/>
    <row r="20" ht="24.0" customHeight="1"/>
    <row r="21" ht="24.0" customHeight="1"/>
    <row r="22" ht="24.0" customHeight="1"/>
    <row r="23" ht="24.0" customHeight="1"/>
    <row r="24" ht="24.0" customHeight="1"/>
    <row r="25" ht="24.0" customHeight="1"/>
    <row r="26" ht="24.0" customHeight="1"/>
    <row r="27" ht="24.0" customHeight="1"/>
    <row r="28" ht="24.0" customHeight="1"/>
    <row r="29" ht="24.0" customHeight="1"/>
    <row r="30" ht="24.0" customHeight="1"/>
    <row r="31" ht="24.0" customHeight="1"/>
    <row r="32" ht="24.0" customHeight="1"/>
    <row r="33" ht="24.0" customHeight="1"/>
    <row r="34" ht="24.0" customHeight="1"/>
    <row r="35" ht="24.0" customHeight="1"/>
    <row r="36" ht="24.0" customHeight="1"/>
    <row r="37" ht="24.0" customHeight="1"/>
    <row r="38" ht="24.0" customHeight="1"/>
    <row r="39" ht="24.0" customHeight="1"/>
    <row r="40" ht="24.0" customHeight="1"/>
    <row r="41" ht="24.0" customHeight="1"/>
    <row r="42" ht="24.0" customHeight="1"/>
    <row r="43" ht="24.0" customHeight="1"/>
    <row r="44" ht="24.0" customHeight="1"/>
    <row r="45" ht="24.0" customHeight="1"/>
    <row r="46" ht="24.0" customHeight="1"/>
    <row r="47" ht="24.0" customHeight="1"/>
    <row r="48" ht="24.0" customHeight="1"/>
    <row r="49" ht="24.0" customHeight="1"/>
    <row r="50" ht="24.0" customHeight="1"/>
    <row r="51" ht="24.0" customHeight="1"/>
    <row r="52" ht="24.0" customHeight="1"/>
    <row r="53" ht="24.0" customHeight="1"/>
    <row r="54" ht="24.0" customHeight="1"/>
    <row r="55" ht="24.0" customHeight="1"/>
    <row r="56" ht="24.0" customHeight="1"/>
    <row r="57" ht="24.0" customHeight="1"/>
    <row r="58" ht="24.0" customHeight="1"/>
    <row r="59" ht="24.0" customHeight="1"/>
    <row r="60" ht="24.0" customHeight="1"/>
    <row r="61" ht="24.0" customHeight="1"/>
    <row r="62" ht="24.0" customHeight="1"/>
    <row r="63" ht="24.0" customHeight="1"/>
    <row r="64" ht="24.0" customHeight="1"/>
    <row r="65" ht="24.0" customHeight="1"/>
    <row r="66" ht="24.0" customHeight="1"/>
    <row r="67" ht="24.0" customHeight="1"/>
    <row r="68" ht="24.0" customHeight="1"/>
    <row r="69" ht="24.0" customHeight="1"/>
    <row r="70" ht="24.0" customHeight="1"/>
    <row r="71" ht="24.0" customHeight="1"/>
    <row r="72" ht="24.0" customHeight="1"/>
    <row r="73" ht="24.0" customHeight="1"/>
    <row r="74" ht="24.0" customHeight="1"/>
    <row r="75" ht="24.0" customHeight="1"/>
    <row r="76" ht="24.0" customHeight="1"/>
    <row r="77" ht="24.0" customHeight="1"/>
    <row r="78" ht="24.0" customHeight="1"/>
    <row r="79" ht="24.0" customHeight="1"/>
    <row r="80" ht="24.0" customHeight="1"/>
    <row r="81" ht="24.0" customHeight="1"/>
    <row r="82" ht="24.0" customHeight="1"/>
    <row r="83" ht="24.0" customHeight="1"/>
    <row r="84" ht="24.0" customHeight="1"/>
    <row r="85" ht="24.0" customHeight="1"/>
    <row r="86" ht="24.0" customHeight="1"/>
    <row r="87" ht="24.0" customHeight="1"/>
    <row r="88" ht="24.0" customHeight="1"/>
    <row r="89" ht="24.0" customHeight="1"/>
    <row r="90" ht="24.0" customHeight="1"/>
    <row r="91" ht="24.0" customHeight="1"/>
    <row r="92" ht="24.0" customHeight="1"/>
    <row r="93" ht="24.0" customHeight="1"/>
    <row r="94" ht="24.0" customHeight="1"/>
    <row r="95" ht="24.0" customHeight="1"/>
    <row r="96" ht="24.0" customHeight="1"/>
    <row r="97" ht="24.0" customHeight="1"/>
    <row r="98" ht="24.0" customHeight="1"/>
    <row r="99" ht="24.0" customHeight="1"/>
    <row r="100" ht="24.0" customHeight="1"/>
    <row r="101" ht="24.0" customHeight="1"/>
    <row r="102" ht="24.0" customHeight="1"/>
    <row r="103" ht="24.0" customHeight="1"/>
    <row r="104" ht="24.0" customHeight="1"/>
    <row r="105" ht="24.0" customHeight="1"/>
    <row r="106" ht="24.0" customHeight="1"/>
    <row r="107" ht="24.0" customHeight="1"/>
    <row r="108" ht="24.0" customHeight="1"/>
    <row r="109" ht="24.0" customHeight="1"/>
    <row r="110" ht="24.0" customHeight="1"/>
    <row r="111" ht="24.0" customHeight="1"/>
    <row r="112" ht="24.0" customHeight="1"/>
    <row r="113" ht="24.0" customHeight="1"/>
    <row r="114" ht="24.0" customHeight="1"/>
    <row r="115" ht="24.0" customHeight="1"/>
    <row r="116" ht="24.0" customHeight="1"/>
    <row r="117" ht="24.0" customHeight="1"/>
    <row r="118" ht="24.0" customHeight="1"/>
    <row r="119" ht="24.0" customHeight="1"/>
    <row r="120" ht="24.0" customHeight="1"/>
    <row r="121" ht="24.0" customHeight="1"/>
    <row r="122" ht="24.0" customHeight="1"/>
    <row r="123" ht="24.0" customHeight="1"/>
    <row r="124" ht="24.0" customHeight="1"/>
    <row r="125" ht="24.0" customHeight="1"/>
    <row r="126" ht="24.0" customHeight="1"/>
    <row r="127" ht="24.0" customHeight="1"/>
    <row r="128" ht="24.0" customHeight="1"/>
    <row r="129" ht="24.0" customHeight="1"/>
    <row r="130" ht="24.0" customHeight="1"/>
    <row r="131" ht="24.0" customHeight="1"/>
    <row r="132" ht="24.0" customHeight="1"/>
    <row r="133" ht="24.0" customHeight="1"/>
    <row r="134" ht="24.0" customHeight="1"/>
    <row r="135" ht="24.0" customHeight="1"/>
    <row r="136" ht="24.0" customHeight="1"/>
    <row r="137" ht="24.0" customHeight="1"/>
    <row r="138" ht="24.0" customHeight="1"/>
    <row r="139" ht="24.0" customHeight="1"/>
    <row r="140" ht="24.0" customHeight="1"/>
    <row r="141" ht="24.0" customHeight="1"/>
    <row r="142" ht="24.0" customHeight="1"/>
    <row r="143" ht="24.0" customHeight="1"/>
    <row r="144" ht="24.0" customHeight="1"/>
    <row r="145" ht="24.0" customHeight="1"/>
    <row r="146" ht="24.0" customHeight="1"/>
    <row r="147" ht="24.0" customHeight="1"/>
    <row r="148" ht="24.0" customHeight="1"/>
    <row r="149" ht="24.0" customHeight="1"/>
    <row r="150" ht="24.0" customHeight="1"/>
    <row r="151" ht="24.0" customHeight="1"/>
    <row r="152" ht="24.0" customHeight="1"/>
    <row r="153" ht="24.0" customHeight="1"/>
    <row r="154" ht="24.0" customHeight="1"/>
    <row r="155" ht="24.0" customHeight="1"/>
    <row r="156" ht="24.0" customHeight="1"/>
    <row r="157" ht="24.0" customHeight="1"/>
    <row r="158" ht="24.0" customHeight="1"/>
    <row r="159" ht="24.0" customHeight="1"/>
    <row r="160" ht="24.0" customHeight="1"/>
    <row r="161" ht="24.0" customHeight="1"/>
    <row r="162" ht="24.0" customHeight="1"/>
    <row r="163" ht="24.0" customHeight="1"/>
    <row r="164" ht="24.0" customHeight="1"/>
    <row r="165" ht="24.0" customHeight="1"/>
    <row r="166" ht="24.0" customHeight="1"/>
    <row r="167" ht="24.0" customHeight="1"/>
    <row r="168" ht="24.0" customHeight="1"/>
    <row r="169" ht="24.0" customHeight="1"/>
    <row r="170" ht="24.0" customHeight="1"/>
    <row r="171" ht="24.0" customHeight="1"/>
    <row r="172" ht="24.0" customHeight="1"/>
    <row r="173" ht="24.0" customHeight="1"/>
    <row r="174" ht="24.0" customHeight="1"/>
    <row r="175" ht="24.0" customHeight="1"/>
    <row r="176" ht="24.0" customHeight="1"/>
    <row r="177" ht="24.0" customHeight="1"/>
    <row r="178" ht="24.0" customHeight="1"/>
    <row r="179" ht="24.0" customHeight="1"/>
    <row r="180" ht="24.0" customHeight="1"/>
    <row r="181" ht="24.0" customHeight="1"/>
    <row r="182" ht="24.0" customHeight="1"/>
    <row r="183" ht="24.0" customHeight="1"/>
    <row r="184" ht="24.0" customHeight="1"/>
    <row r="185" ht="24.0" customHeight="1"/>
    <row r="186" ht="24.0" customHeight="1"/>
    <row r="187" ht="24.0" customHeight="1"/>
    <row r="188" ht="24.0" customHeight="1"/>
    <row r="189" ht="24.0" customHeight="1"/>
    <row r="190" ht="24.0" customHeight="1"/>
    <row r="191" ht="24.0" customHeight="1"/>
    <row r="192" ht="24.0" customHeight="1"/>
    <row r="193" ht="24.0" customHeight="1"/>
    <row r="194" ht="24.0" customHeight="1"/>
    <row r="195" ht="24.0" customHeight="1"/>
    <row r="196" ht="24.0" customHeight="1"/>
    <row r="197" ht="24.0" customHeight="1"/>
    <row r="198" ht="24.0" customHeight="1"/>
    <row r="199" ht="24.0" customHeight="1"/>
    <row r="200" ht="24.0" customHeight="1"/>
    <row r="201" ht="24.0" customHeight="1"/>
    <row r="202" ht="24.0" customHeight="1"/>
    <row r="203" ht="24.0" customHeight="1"/>
    <row r="204" ht="24.0" customHeight="1"/>
    <row r="205" ht="24.0" customHeight="1"/>
    <row r="206" ht="24.0" customHeight="1"/>
    <row r="207" ht="24.0" customHeight="1"/>
    <row r="208" ht="24.0" customHeight="1"/>
    <row r="209" ht="24.0" customHeight="1"/>
    <row r="210" ht="24.0" customHeight="1"/>
    <row r="211" ht="24.0" customHeight="1"/>
    <row r="212" ht="24.0" customHeight="1"/>
    <row r="213" ht="24.0" customHeight="1"/>
    <row r="214" ht="24.0" customHeight="1"/>
    <row r="215" ht="24.0" customHeight="1"/>
    <row r="216" ht="24.0" customHeight="1"/>
    <row r="217" ht="24.0" customHeight="1"/>
    <row r="218" ht="24.0" customHeight="1"/>
    <row r="219" ht="24.0" customHeight="1"/>
    <row r="220" ht="24.0" customHeight="1"/>
    <row r="221" ht="24.0" customHeight="1"/>
    <row r="222" ht="24.0" customHeight="1"/>
    <row r="223" ht="24.0" customHeight="1"/>
    <row r="224" ht="24.0" customHeight="1"/>
    <row r="225" ht="24.0" customHeight="1"/>
    <row r="226" ht="24.0" customHeight="1"/>
    <row r="227" ht="24.0" customHeight="1"/>
    <row r="228" ht="24.0" customHeight="1"/>
    <row r="229" ht="24.0" customHeight="1"/>
    <row r="230" ht="24.0" customHeight="1"/>
    <row r="231" ht="24.0" customHeight="1"/>
    <row r="232" ht="24.0" customHeight="1"/>
    <row r="233" ht="24.0" customHeight="1"/>
    <row r="234" ht="24.0" customHeight="1"/>
    <row r="235" ht="24.0" customHeight="1"/>
    <row r="236" ht="24.0" customHeight="1"/>
    <row r="237" ht="24.0" customHeight="1"/>
    <row r="238" ht="24.0" customHeight="1"/>
    <row r="239" ht="24.0" customHeight="1"/>
    <row r="240" ht="24.0" customHeight="1"/>
    <row r="241" ht="24.0" customHeight="1"/>
    <row r="242" ht="24.0" customHeight="1"/>
    <row r="243" ht="24.0" customHeight="1"/>
    <row r="244" ht="24.0" customHeight="1"/>
    <row r="245" ht="24.0" customHeight="1"/>
    <row r="246" ht="24.0" customHeight="1"/>
    <row r="247" ht="24.0" customHeight="1"/>
    <row r="248" ht="24.0" customHeight="1"/>
    <row r="249" ht="24.0" customHeight="1"/>
    <row r="250" ht="24.0" customHeight="1"/>
    <row r="251" ht="24.0" customHeight="1"/>
    <row r="252" ht="24.0" customHeight="1"/>
    <row r="253" ht="24.0" customHeight="1"/>
    <row r="254" ht="24.0" customHeight="1"/>
    <row r="255" ht="24.0" customHeight="1"/>
    <row r="256" ht="24.0" customHeight="1"/>
    <row r="257" ht="24.0" customHeight="1"/>
    <row r="258" ht="24.0" customHeight="1"/>
    <row r="259" ht="24.0" customHeight="1"/>
    <row r="260" ht="24.0" customHeight="1"/>
    <row r="261" ht="24.0" customHeight="1"/>
    <row r="262" ht="24.0" customHeight="1"/>
    <row r="263" ht="24.0" customHeight="1"/>
    <row r="264" ht="24.0" customHeight="1"/>
    <row r="265" ht="24.0" customHeight="1"/>
    <row r="266" ht="24.0" customHeight="1"/>
    <row r="267" ht="24.0" customHeight="1"/>
    <row r="268" ht="24.0" customHeight="1"/>
    <row r="269" ht="24.0" customHeight="1"/>
    <row r="270" ht="24.0" customHeight="1"/>
    <row r="271" ht="24.0" customHeight="1"/>
    <row r="272" ht="24.0" customHeight="1"/>
    <row r="273" ht="24.0" customHeight="1"/>
    <row r="274" ht="24.0" customHeight="1"/>
    <row r="275" ht="24.0" customHeight="1"/>
    <row r="276" ht="24.0" customHeight="1"/>
    <row r="277" ht="24.0" customHeight="1"/>
    <row r="278" ht="24.0" customHeight="1"/>
    <row r="279" ht="24.0" customHeight="1"/>
    <row r="280" ht="24.0" customHeight="1"/>
    <row r="281" ht="24.0" customHeight="1"/>
    <row r="282" ht="24.0" customHeight="1"/>
    <row r="283" ht="24.0" customHeight="1"/>
    <row r="284" ht="24.0" customHeight="1"/>
    <row r="285" ht="24.0" customHeight="1"/>
    <row r="286" ht="24.0" customHeight="1"/>
    <row r="287" ht="24.0" customHeight="1"/>
    <row r="288" ht="24.0" customHeight="1"/>
    <row r="289" ht="24.0" customHeight="1"/>
    <row r="290" ht="24.0" customHeight="1"/>
    <row r="291" ht="24.0" customHeight="1"/>
    <row r="292" ht="24.0" customHeight="1"/>
    <row r="293" ht="24.0" customHeight="1"/>
    <row r="294" ht="24.0" customHeight="1"/>
    <row r="295" ht="24.0" customHeight="1"/>
    <row r="296" ht="24.0" customHeight="1"/>
    <row r="297" ht="24.0" customHeight="1"/>
    <row r="298" ht="24.0" customHeight="1"/>
    <row r="299" ht="24.0" customHeight="1"/>
    <row r="300" ht="24.0" customHeight="1"/>
    <row r="301" ht="24.0" customHeight="1"/>
    <row r="302" ht="24.0" customHeight="1"/>
    <row r="303" ht="24.0" customHeight="1"/>
    <row r="304" ht="24.0" customHeight="1"/>
    <row r="305" ht="24.0" customHeight="1"/>
    <row r="306" ht="24.0" customHeight="1"/>
    <row r="307" ht="24.0" customHeight="1"/>
    <row r="308" ht="24.0" customHeight="1"/>
    <row r="309" ht="24.0" customHeight="1"/>
    <row r="310" ht="24.0" customHeight="1"/>
    <row r="311" ht="24.0" customHeight="1"/>
    <row r="312" ht="24.0" customHeight="1"/>
    <row r="313" ht="24.0" customHeight="1"/>
    <row r="314" ht="24.0" customHeight="1"/>
    <row r="315" ht="24.0" customHeight="1"/>
    <row r="316" ht="24.0" customHeight="1"/>
    <row r="317" ht="24.0" customHeight="1"/>
    <row r="318" ht="24.0" customHeight="1"/>
    <row r="319" ht="24.0" customHeight="1"/>
    <row r="320" ht="24.0" customHeight="1"/>
    <row r="321" ht="24.0" customHeight="1"/>
    <row r="322" ht="24.0" customHeight="1"/>
    <row r="323" ht="24.0" customHeight="1"/>
    <row r="324" ht="24.0" customHeight="1"/>
    <row r="325" ht="24.0" customHeight="1"/>
    <row r="326" ht="24.0" customHeight="1"/>
    <row r="327" ht="24.0" customHeight="1"/>
    <row r="328" ht="24.0" customHeight="1"/>
    <row r="329" ht="24.0" customHeight="1"/>
    <row r="330" ht="24.0" customHeight="1"/>
    <row r="331" ht="24.0" customHeight="1"/>
    <row r="332" ht="24.0" customHeight="1"/>
    <row r="333" ht="24.0" customHeight="1"/>
    <row r="334" ht="24.0" customHeight="1"/>
    <row r="335" ht="24.0" customHeight="1"/>
    <row r="336" ht="24.0" customHeight="1"/>
    <row r="337" ht="24.0" customHeight="1"/>
    <row r="338" ht="24.0" customHeight="1"/>
    <row r="339" ht="24.0" customHeight="1"/>
    <row r="340" ht="24.0" customHeight="1"/>
    <row r="341" ht="24.0" customHeight="1"/>
    <row r="342" ht="24.0" customHeight="1"/>
    <row r="343" ht="24.0" customHeight="1"/>
    <row r="344" ht="24.0" customHeight="1"/>
    <row r="345" ht="24.0" customHeight="1"/>
    <row r="346" ht="24.0" customHeight="1"/>
    <row r="347" ht="24.0" customHeight="1"/>
    <row r="348" ht="24.0" customHeight="1"/>
    <row r="349" ht="24.0" customHeight="1"/>
    <row r="350" ht="24.0" customHeight="1"/>
    <row r="351" ht="24.0" customHeight="1"/>
    <row r="352" ht="24.0" customHeight="1"/>
    <row r="353" ht="24.0" customHeight="1"/>
    <row r="354" ht="24.0" customHeight="1"/>
    <row r="355" ht="24.0" customHeight="1"/>
    <row r="356" ht="24.0" customHeight="1"/>
    <row r="357" ht="24.0" customHeight="1"/>
    <row r="358" ht="24.0" customHeight="1"/>
    <row r="359" ht="24.0" customHeight="1"/>
    <row r="360" ht="24.0" customHeight="1"/>
    <row r="361" ht="24.0" customHeight="1"/>
    <row r="362" ht="24.0" customHeight="1"/>
    <row r="363" ht="24.0" customHeight="1"/>
    <row r="364" ht="24.0" customHeight="1"/>
    <row r="365" ht="24.0" customHeight="1"/>
    <row r="366" ht="24.0" customHeight="1"/>
    <row r="367" ht="24.0" customHeight="1"/>
    <row r="368" ht="24.0" customHeight="1"/>
    <row r="369" ht="24.0" customHeight="1"/>
    <row r="370" ht="24.0" customHeight="1"/>
    <row r="371" ht="24.0" customHeight="1"/>
    <row r="372" ht="24.0" customHeight="1"/>
    <row r="373" ht="24.0" customHeight="1"/>
    <row r="374" ht="24.0" customHeight="1"/>
    <row r="375" ht="24.0" customHeight="1"/>
    <row r="376" ht="24.0" customHeight="1"/>
    <row r="377" ht="24.0" customHeight="1"/>
    <row r="378" ht="24.0" customHeight="1"/>
    <row r="379" ht="24.0" customHeight="1"/>
    <row r="380" ht="24.0" customHeight="1"/>
    <row r="381" ht="24.0" customHeight="1"/>
    <row r="382" ht="24.0" customHeight="1"/>
    <row r="383" ht="24.0" customHeight="1"/>
    <row r="384" ht="24.0" customHeight="1"/>
    <row r="385" ht="24.0" customHeight="1"/>
    <row r="386" ht="24.0" customHeight="1"/>
    <row r="387" ht="24.0" customHeight="1"/>
    <row r="388" ht="24.0" customHeight="1"/>
    <row r="389" ht="24.0" customHeight="1"/>
    <row r="390" ht="24.0" customHeight="1"/>
    <row r="391" ht="24.0" customHeight="1"/>
    <row r="392" ht="24.0" customHeight="1"/>
    <row r="393" ht="24.0" customHeight="1"/>
    <row r="394" ht="24.0" customHeight="1"/>
    <row r="395" ht="24.0" customHeight="1"/>
    <row r="396" ht="24.0" customHeight="1"/>
    <row r="397" ht="24.0" customHeight="1"/>
    <row r="398" ht="24.0" customHeight="1"/>
    <row r="399" ht="24.0" customHeight="1"/>
    <row r="400" ht="24.0" customHeight="1"/>
    <row r="401" ht="24.0" customHeight="1"/>
    <row r="402" ht="24.0" customHeight="1"/>
    <row r="403" ht="24.0" customHeight="1"/>
    <row r="404" ht="24.0" customHeight="1"/>
    <row r="405" ht="24.0" customHeight="1"/>
    <row r="406" ht="24.0" customHeight="1"/>
    <row r="407" ht="24.0" customHeight="1"/>
    <row r="408" ht="24.0" customHeight="1"/>
    <row r="409" ht="24.0" customHeight="1"/>
    <row r="410" ht="24.0" customHeight="1"/>
    <row r="411" ht="24.0" customHeight="1"/>
    <row r="412" ht="24.0" customHeight="1"/>
    <row r="413" ht="24.0" customHeight="1"/>
    <row r="414" ht="24.0" customHeight="1"/>
    <row r="415" ht="24.0" customHeight="1"/>
    <row r="416" ht="24.0" customHeight="1"/>
    <row r="417" ht="24.0" customHeight="1"/>
    <row r="418" ht="24.0" customHeight="1"/>
    <row r="419" ht="24.0" customHeight="1"/>
    <row r="420" ht="24.0" customHeight="1"/>
    <row r="421" ht="24.0" customHeight="1"/>
    <row r="422" ht="24.0" customHeight="1"/>
    <row r="423" ht="24.0" customHeight="1"/>
    <row r="424" ht="24.0" customHeight="1"/>
    <row r="425" ht="24.0" customHeight="1"/>
    <row r="426" ht="24.0" customHeight="1"/>
    <row r="427" ht="24.0" customHeight="1"/>
    <row r="428" ht="24.0" customHeight="1"/>
    <row r="429" ht="24.0" customHeight="1"/>
    <row r="430" ht="24.0" customHeight="1"/>
    <row r="431" ht="24.0" customHeight="1"/>
    <row r="432" ht="24.0" customHeight="1"/>
    <row r="433" ht="24.0" customHeight="1"/>
    <row r="434" ht="24.0" customHeight="1"/>
    <row r="435" ht="24.0" customHeight="1"/>
    <row r="436" ht="24.0" customHeight="1"/>
    <row r="437" ht="24.0" customHeight="1"/>
    <row r="438" ht="24.0" customHeight="1"/>
    <row r="439" ht="24.0" customHeight="1"/>
    <row r="440" ht="24.0" customHeight="1"/>
    <row r="441" ht="24.0" customHeight="1"/>
    <row r="442" ht="24.0" customHeight="1"/>
    <row r="443" ht="24.0" customHeight="1"/>
    <row r="444" ht="24.0" customHeight="1"/>
    <row r="445" ht="24.0" customHeight="1"/>
    <row r="446" ht="24.0" customHeight="1"/>
    <row r="447" ht="24.0" customHeight="1"/>
    <row r="448" ht="24.0" customHeight="1"/>
    <row r="449" ht="24.0" customHeight="1"/>
    <row r="450" ht="24.0" customHeight="1"/>
    <row r="451" ht="24.0" customHeight="1"/>
    <row r="452" ht="24.0" customHeight="1"/>
    <row r="453" ht="24.0" customHeight="1"/>
    <row r="454" ht="24.0" customHeight="1"/>
    <row r="455" ht="24.0" customHeight="1"/>
    <row r="456" ht="24.0" customHeight="1"/>
    <row r="457" ht="24.0" customHeight="1"/>
    <row r="458" ht="24.0" customHeight="1"/>
    <row r="459" ht="24.0" customHeight="1"/>
    <row r="460" ht="24.0" customHeight="1"/>
    <row r="461" ht="24.0" customHeight="1"/>
    <row r="462" ht="24.0" customHeight="1"/>
    <row r="463" ht="24.0" customHeight="1"/>
    <row r="464" ht="24.0" customHeight="1"/>
    <row r="465" ht="24.0" customHeight="1"/>
    <row r="466" ht="24.0" customHeight="1"/>
    <row r="467" ht="24.0" customHeight="1"/>
    <row r="468" ht="24.0" customHeight="1"/>
    <row r="469" ht="24.0" customHeight="1"/>
    <row r="470" ht="24.0" customHeight="1"/>
    <row r="471" ht="24.0" customHeight="1"/>
    <row r="472" ht="24.0" customHeight="1"/>
    <row r="473" ht="24.0" customHeight="1"/>
    <row r="474" ht="24.0" customHeight="1"/>
    <row r="475" ht="24.0" customHeight="1"/>
    <row r="476" ht="24.0" customHeight="1"/>
    <row r="477" ht="24.0" customHeight="1"/>
    <row r="478" ht="24.0" customHeight="1"/>
    <row r="479" ht="24.0" customHeight="1"/>
    <row r="480" ht="24.0" customHeight="1"/>
    <row r="481" ht="24.0" customHeight="1"/>
    <row r="482" ht="24.0" customHeight="1"/>
    <row r="483" ht="24.0" customHeight="1"/>
    <row r="484" ht="24.0" customHeight="1"/>
    <row r="485" ht="24.0" customHeight="1"/>
    <row r="486" ht="24.0" customHeight="1"/>
    <row r="487" ht="24.0" customHeight="1"/>
    <row r="488" ht="24.0" customHeight="1"/>
    <row r="489" ht="24.0" customHeight="1"/>
    <row r="490" ht="24.0" customHeight="1"/>
    <row r="491" ht="24.0" customHeight="1"/>
    <row r="492" ht="24.0" customHeight="1"/>
    <row r="493" ht="24.0" customHeight="1"/>
    <row r="494" ht="24.0" customHeight="1"/>
    <row r="495" ht="24.0" customHeight="1"/>
    <row r="496" ht="24.0" customHeight="1"/>
    <row r="497" ht="24.0" customHeight="1"/>
    <row r="498" ht="24.0" customHeight="1"/>
    <row r="499" ht="24.0" customHeight="1"/>
    <row r="500" ht="24.0" customHeight="1"/>
    <row r="501" ht="24.0" customHeight="1"/>
    <row r="502" ht="24.0" customHeight="1"/>
    <row r="503" ht="24.0" customHeight="1"/>
    <row r="504" ht="24.0" customHeight="1"/>
    <row r="505" ht="24.0" customHeight="1"/>
    <row r="506" ht="24.0" customHeight="1"/>
    <row r="507" ht="24.0" customHeight="1"/>
    <row r="508" ht="24.0" customHeight="1"/>
    <row r="509" ht="24.0" customHeight="1"/>
    <row r="510" ht="24.0" customHeight="1"/>
    <row r="511" ht="24.0" customHeight="1"/>
    <row r="512" ht="24.0" customHeight="1"/>
    <row r="513" ht="24.0" customHeight="1"/>
    <row r="514" ht="24.0" customHeight="1"/>
    <row r="515" ht="24.0" customHeight="1"/>
    <row r="516" ht="24.0" customHeight="1"/>
    <row r="517" ht="24.0" customHeight="1"/>
    <row r="518" ht="24.0" customHeight="1"/>
    <row r="519" ht="24.0" customHeight="1"/>
    <row r="520" ht="24.0" customHeight="1"/>
    <row r="521" ht="24.0" customHeight="1"/>
    <row r="522" ht="24.0" customHeight="1"/>
    <row r="523" ht="24.0" customHeight="1"/>
    <row r="524" ht="24.0" customHeight="1"/>
    <row r="525" ht="24.0" customHeight="1"/>
    <row r="526" ht="24.0" customHeight="1"/>
    <row r="527" ht="24.0" customHeight="1"/>
    <row r="528" ht="24.0" customHeight="1"/>
    <row r="529" ht="24.0" customHeight="1"/>
    <row r="530" ht="24.0" customHeight="1"/>
    <row r="531" ht="24.0" customHeight="1"/>
    <row r="532" ht="24.0" customHeight="1"/>
    <row r="533" ht="24.0" customHeight="1"/>
    <row r="534" ht="24.0" customHeight="1"/>
    <row r="535" ht="24.0" customHeight="1"/>
    <row r="536" ht="24.0" customHeight="1"/>
    <row r="537" ht="24.0" customHeight="1"/>
    <row r="538" ht="24.0" customHeight="1"/>
    <row r="539" ht="24.0" customHeight="1"/>
    <row r="540" ht="24.0" customHeight="1"/>
    <row r="541" ht="24.0" customHeight="1"/>
    <row r="542" ht="24.0" customHeight="1"/>
    <row r="543" ht="24.0" customHeight="1"/>
    <row r="544" ht="24.0" customHeight="1"/>
    <row r="545" ht="24.0" customHeight="1"/>
    <row r="546" ht="24.0" customHeight="1"/>
    <row r="547" ht="24.0" customHeight="1"/>
    <row r="548" ht="24.0" customHeight="1"/>
    <row r="549" ht="24.0" customHeight="1"/>
    <row r="550" ht="24.0" customHeight="1"/>
    <row r="551" ht="24.0" customHeight="1"/>
    <row r="552" ht="24.0" customHeight="1"/>
    <row r="553" ht="24.0" customHeight="1"/>
    <row r="554" ht="24.0" customHeight="1"/>
    <row r="555" ht="24.0" customHeight="1"/>
    <row r="556" ht="24.0" customHeight="1"/>
    <row r="557" ht="24.0" customHeight="1"/>
    <row r="558" ht="24.0" customHeight="1"/>
    <row r="559" ht="24.0" customHeight="1"/>
    <row r="560" ht="24.0" customHeight="1"/>
    <row r="561" ht="24.0" customHeight="1"/>
    <row r="562" ht="24.0" customHeight="1"/>
    <row r="563" ht="24.0" customHeight="1"/>
    <row r="564" ht="24.0" customHeight="1"/>
    <row r="565" ht="24.0" customHeight="1"/>
    <row r="566" ht="24.0" customHeight="1"/>
    <row r="567" ht="24.0" customHeight="1"/>
    <row r="568" ht="24.0" customHeight="1"/>
    <row r="569" ht="24.0" customHeight="1"/>
    <row r="570" ht="24.0" customHeight="1"/>
    <row r="571" ht="24.0" customHeight="1"/>
    <row r="572" ht="24.0" customHeight="1"/>
    <row r="573" ht="24.0" customHeight="1"/>
    <row r="574" ht="24.0" customHeight="1"/>
    <row r="575" ht="24.0" customHeight="1"/>
    <row r="576" ht="24.0" customHeight="1"/>
    <row r="577" ht="24.0" customHeight="1"/>
    <row r="578" ht="24.0" customHeight="1"/>
    <row r="579" ht="24.0" customHeight="1"/>
    <row r="580" ht="24.0" customHeight="1"/>
    <row r="581" ht="24.0" customHeight="1"/>
    <row r="582" ht="24.0" customHeight="1"/>
    <row r="583" ht="24.0" customHeight="1"/>
    <row r="584" ht="24.0" customHeight="1"/>
    <row r="585" ht="24.0" customHeight="1"/>
    <row r="586" ht="24.0" customHeight="1"/>
    <row r="587" ht="24.0" customHeight="1"/>
    <row r="588" ht="24.0" customHeight="1"/>
    <row r="589" ht="24.0" customHeight="1"/>
    <row r="590" ht="24.0" customHeight="1"/>
    <row r="591" ht="24.0" customHeight="1"/>
    <row r="592" ht="24.0" customHeight="1"/>
    <row r="593" ht="24.0" customHeight="1"/>
    <row r="594" ht="24.0" customHeight="1"/>
    <row r="595" ht="24.0" customHeight="1"/>
    <row r="596" ht="24.0" customHeight="1"/>
    <row r="597" ht="24.0" customHeight="1"/>
    <row r="598" ht="24.0" customHeight="1"/>
    <row r="599" ht="24.0" customHeight="1"/>
    <row r="600" ht="24.0" customHeight="1"/>
    <row r="601" ht="24.0" customHeight="1"/>
    <row r="602" ht="24.0" customHeight="1"/>
    <row r="603" ht="24.0" customHeight="1"/>
    <row r="604" ht="24.0" customHeight="1"/>
    <row r="605" ht="24.0" customHeight="1"/>
    <row r="606" ht="24.0" customHeight="1"/>
    <row r="607" ht="24.0" customHeight="1"/>
    <row r="608" ht="24.0" customHeight="1"/>
    <row r="609" ht="24.0" customHeight="1"/>
    <row r="610" ht="24.0" customHeight="1"/>
    <row r="611" ht="24.0" customHeight="1"/>
    <row r="612" ht="24.0" customHeight="1"/>
    <row r="613" ht="24.0" customHeight="1"/>
    <row r="614" ht="24.0" customHeight="1"/>
    <row r="615" ht="24.0" customHeight="1"/>
    <row r="616" ht="24.0" customHeight="1"/>
    <row r="617" ht="24.0" customHeight="1"/>
    <row r="618" ht="24.0" customHeight="1"/>
    <row r="619" ht="24.0" customHeight="1"/>
    <row r="620" ht="24.0" customHeight="1"/>
    <row r="621" ht="24.0" customHeight="1"/>
    <row r="622" ht="24.0" customHeight="1"/>
    <row r="623" ht="24.0" customHeight="1"/>
    <row r="624" ht="24.0" customHeight="1"/>
    <row r="625" ht="24.0" customHeight="1"/>
    <row r="626" ht="24.0" customHeight="1"/>
    <row r="627" ht="24.0" customHeight="1"/>
    <row r="628" ht="24.0" customHeight="1"/>
    <row r="629" ht="24.0" customHeight="1"/>
    <row r="630" ht="24.0" customHeight="1"/>
    <row r="631" ht="24.0" customHeight="1"/>
    <row r="632" ht="24.0" customHeight="1"/>
    <row r="633" ht="24.0" customHeight="1"/>
    <row r="634" ht="24.0" customHeight="1"/>
    <row r="635" ht="24.0" customHeight="1"/>
    <row r="636" ht="24.0" customHeight="1"/>
    <row r="637" ht="24.0" customHeight="1"/>
    <row r="638" ht="24.0" customHeight="1"/>
    <row r="639" ht="24.0" customHeight="1"/>
    <row r="640" ht="24.0" customHeight="1"/>
    <row r="641" ht="24.0" customHeight="1"/>
    <row r="642" ht="24.0" customHeight="1"/>
    <row r="643" ht="24.0" customHeight="1"/>
    <row r="644" ht="24.0" customHeight="1"/>
    <row r="645" ht="24.0" customHeight="1"/>
    <row r="646" ht="24.0" customHeight="1"/>
    <row r="647" ht="24.0" customHeight="1"/>
    <row r="648" ht="24.0" customHeight="1"/>
    <row r="649" ht="24.0" customHeight="1"/>
    <row r="650" ht="24.0" customHeight="1"/>
    <row r="651" ht="24.0" customHeight="1"/>
    <row r="652" ht="24.0" customHeight="1"/>
    <row r="653" ht="24.0" customHeight="1"/>
    <row r="654" ht="24.0" customHeight="1"/>
    <row r="655" ht="24.0" customHeight="1"/>
    <row r="656" ht="24.0" customHeight="1"/>
    <row r="657" ht="24.0" customHeight="1"/>
    <row r="658" ht="24.0" customHeight="1"/>
    <row r="659" ht="24.0" customHeight="1"/>
    <row r="660" ht="24.0" customHeight="1"/>
    <row r="661" ht="24.0" customHeight="1"/>
    <row r="662" ht="24.0" customHeight="1"/>
    <row r="663" ht="24.0" customHeight="1"/>
    <row r="664" ht="24.0" customHeight="1"/>
    <row r="665" ht="24.0" customHeight="1"/>
    <row r="666" ht="24.0" customHeight="1"/>
    <row r="667" ht="24.0" customHeight="1"/>
    <row r="668" ht="24.0" customHeight="1"/>
    <row r="669" ht="24.0" customHeight="1"/>
    <row r="670" ht="24.0" customHeight="1"/>
    <row r="671" ht="24.0" customHeight="1"/>
    <row r="672" ht="24.0" customHeight="1"/>
    <row r="673" ht="24.0" customHeight="1"/>
    <row r="674" ht="24.0" customHeight="1"/>
    <row r="675" ht="24.0" customHeight="1"/>
    <row r="676" ht="24.0" customHeight="1"/>
    <row r="677" ht="24.0" customHeight="1"/>
    <row r="678" ht="24.0" customHeight="1"/>
    <row r="679" ht="24.0" customHeight="1"/>
    <row r="680" ht="24.0" customHeight="1"/>
    <row r="681" ht="24.0" customHeight="1"/>
    <row r="682" ht="24.0" customHeight="1"/>
    <row r="683" ht="24.0" customHeight="1"/>
    <row r="684" ht="24.0" customHeight="1"/>
    <row r="685" ht="24.0" customHeight="1"/>
    <row r="686" ht="24.0" customHeight="1"/>
    <row r="687" ht="24.0" customHeight="1"/>
    <row r="688" ht="24.0" customHeight="1"/>
    <row r="689" ht="24.0" customHeight="1"/>
    <row r="690" ht="24.0" customHeight="1"/>
    <row r="691" ht="24.0" customHeight="1"/>
    <row r="692" ht="24.0" customHeight="1"/>
    <row r="693" ht="24.0" customHeight="1"/>
    <row r="694" ht="24.0" customHeight="1"/>
    <row r="695" ht="24.0" customHeight="1"/>
    <row r="696" ht="24.0" customHeight="1"/>
    <row r="697" ht="24.0" customHeight="1"/>
    <row r="698" ht="24.0" customHeight="1"/>
    <row r="699" ht="24.0" customHeight="1"/>
    <row r="700" ht="24.0" customHeight="1"/>
    <row r="701" ht="24.0" customHeight="1"/>
    <row r="702" ht="24.0" customHeight="1"/>
    <row r="703" ht="24.0" customHeight="1"/>
    <row r="704" ht="24.0" customHeight="1"/>
    <row r="705" ht="24.0" customHeight="1"/>
    <row r="706" ht="24.0" customHeight="1"/>
    <row r="707" ht="24.0" customHeight="1"/>
    <row r="708" ht="24.0" customHeight="1"/>
    <row r="709" ht="24.0" customHeight="1"/>
    <row r="710" ht="24.0" customHeight="1"/>
    <row r="711" ht="24.0" customHeight="1"/>
    <row r="712" ht="24.0" customHeight="1"/>
    <row r="713" ht="24.0" customHeight="1"/>
    <row r="714" ht="24.0" customHeight="1"/>
    <row r="715" ht="24.0" customHeight="1"/>
    <row r="716" ht="24.0" customHeight="1"/>
    <row r="717" ht="24.0" customHeight="1"/>
    <row r="718" ht="24.0" customHeight="1"/>
    <row r="719" ht="24.0" customHeight="1"/>
    <row r="720" ht="24.0" customHeight="1"/>
    <row r="721" ht="24.0" customHeight="1"/>
    <row r="722" ht="24.0" customHeight="1"/>
    <row r="723" ht="24.0" customHeight="1"/>
    <row r="724" ht="24.0" customHeight="1"/>
    <row r="725" ht="24.0" customHeight="1"/>
    <row r="726" ht="24.0" customHeight="1"/>
    <row r="727" ht="24.0" customHeight="1"/>
    <row r="728" ht="24.0" customHeight="1"/>
    <row r="729" ht="24.0" customHeight="1"/>
    <row r="730" ht="24.0" customHeight="1"/>
    <row r="731" ht="24.0" customHeight="1"/>
    <row r="732" ht="24.0" customHeight="1"/>
    <row r="733" ht="24.0" customHeight="1"/>
    <row r="734" ht="24.0" customHeight="1"/>
    <row r="735" ht="24.0" customHeight="1"/>
    <row r="736" ht="24.0" customHeight="1"/>
    <row r="737" ht="24.0" customHeight="1"/>
    <row r="738" ht="24.0" customHeight="1"/>
    <row r="739" ht="24.0" customHeight="1"/>
    <row r="740" ht="24.0" customHeight="1"/>
    <row r="741" ht="24.0" customHeight="1"/>
    <row r="742" ht="24.0" customHeight="1"/>
    <row r="743" ht="24.0" customHeight="1"/>
    <row r="744" ht="24.0" customHeight="1"/>
    <row r="745" ht="24.0" customHeight="1"/>
    <row r="746" ht="24.0" customHeight="1"/>
    <row r="747" ht="24.0" customHeight="1"/>
    <row r="748" ht="24.0" customHeight="1"/>
    <row r="749" ht="24.0" customHeight="1"/>
    <row r="750" ht="24.0" customHeight="1"/>
    <row r="751" ht="24.0" customHeight="1"/>
    <row r="752" ht="24.0" customHeight="1"/>
    <row r="753" ht="24.0" customHeight="1"/>
    <row r="754" ht="24.0" customHeight="1"/>
    <row r="755" ht="24.0" customHeight="1"/>
    <row r="756" ht="24.0" customHeight="1"/>
    <row r="757" ht="24.0" customHeight="1"/>
    <row r="758" ht="24.0" customHeight="1"/>
    <row r="759" ht="24.0" customHeight="1"/>
    <row r="760" ht="24.0" customHeight="1"/>
    <row r="761" ht="24.0" customHeight="1"/>
    <row r="762" ht="24.0" customHeight="1"/>
    <row r="763" ht="24.0" customHeight="1"/>
    <row r="764" ht="24.0" customHeight="1"/>
    <row r="765" ht="24.0" customHeight="1"/>
    <row r="766" ht="24.0" customHeight="1"/>
    <row r="767" ht="24.0" customHeight="1"/>
    <row r="768" ht="24.0" customHeight="1"/>
    <row r="769" ht="24.0" customHeight="1"/>
    <row r="770" ht="24.0" customHeight="1"/>
    <row r="771" ht="24.0" customHeight="1"/>
    <row r="772" ht="24.0" customHeight="1"/>
    <row r="773" ht="24.0" customHeight="1"/>
    <row r="774" ht="24.0" customHeight="1"/>
    <row r="775" ht="24.0" customHeight="1"/>
    <row r="776" ht="24.0" customHeight="1"/>
    <row r="777" ht="24.0" customHeight="1"/>
    <row r="778" ht="24.0" customHeight="1"/>
    <row r="779" ht="24.0" customHeight="1"/>
    <row r="780" ht="24.0" customHeight="1"/>
    <row r="781" ht="24.0" customHeight="1"/>
    <row r="782" ht="24.0" customHeight="1"/>
    <row r="783" ht="24.0" customHeight="1"/>
    <row r="784" ht="24.0" customHeight="1"/>
    <row r="785" ht="24.0" customHeight="1"/>
    <row r="786" ht="24.0" customHeight="1"/>
    <row r="787" ht="24.0" customHeight="1"/>
    <row r="788" ht="24.0" customHeight="1"/>
    <row r="789" ht="24.0" customHeight="1"/>
    <row r="790" ht="24.0" customHeight="1"/>
    <row r="791" ht="24.0" customHeight="1"/>
    <row r="792" ht="24.0" customHeight="1"/>
    <row r="793" ht="24.0" customHeight="1"/>
    <row r="794" ht="24.0" customHeight="1"/>
    <row r="795" ht="24.0" customHeight="1"/>
    <row r="796" ht="24.0" customHeight="1"/>
    <row r="797" ht="24.0" customHeight="1"/>
    <row r="798" ht="24.0" customHeight="1"/>
    <row r="799" ht="24.0" customHeight="1"/>
    <row r="800" ht="24.0" customHeight="1"/>
    <row r="801" ht="24.0" customHeight="1"/>
    <row r="802" ht="24.0" customHeight="1"/>
    <row r="803" ht="24.0" customHeight="1"/>
    <row r="804" ht="24.0" customHeight="1"/>
    <row r="805" ht="24.0" customHeight="1"/>
    <row r="806" ht="24.0" customHeight="1"/>
    <row r="807" ht="24.0" customHeight="1"/>
    <row r="808" ht="24.0" customHeight="1"/>
    <row r="809" ht="24.0" customHeight="1"/>
    <row r="810" ht="24.0" customHeight="1"/>
    <row r="811" ht="24.0" customHeight="1"/>
    <row r="812" ht="24.0" customHeight="1"/>
    <row r="813" ht="24.0" customHeight="1"/>
    <row r="814" ht="24.0" customHeight="1"/>
    <row r="815" ht="24.0" customHeight="1"/>
    <row r="816" ht="24.0" customHeight="1"/>
    <row r="817" ht="24.0" customHeight="1"/>
    <row r="818" ht="24.0" customHeight="1"/>
    <row r="819" ht="24.0" customHeight="1"/>
    <row r="820" ht="24.0" customHeight="1"/>
    <row r="821" ht="24.0" customHeight="1"/>
    <row r="822" ht="24.0" customHeight="1"/>
    <row r="823" ht="24.0" customHeight="1"/>
    <row r="824" ht="24.0" customHeight="1"/>
    <row r="825" ht="24.0" customHeight="1"/>
    <row r="826" ht="24.0" customHeight="1"/>
    <row r="827" ht="24.0" customHeight="1"/>
    <row r="828" ht="24.0" customHeight="1"/>
    <row r="829" ht="24.0" customHeight="1"/>
    <row r="830" ht="24.0" customHeight="1"/>
    <row r="831" ht="24.0" customHeight="1"/>
    <row r="832" ht="24.0" customHeight="1"/>
    <row r="833" ht="24.0" customHeight="1"/>
    <row r="834" ht="24.0" customHeight="1"/>
    <row r="835" ht="24.0" customHeight="1"/>
    <row r="836" ht="24.0" customHeight="1"/>
    <row r="837" ht="24.0" customHeight="1"/>
    <row r="838" ht="24.0" customHeight="1"/>
    <row r="839" ht="24.0" customHeight="1"/>
    <row r="840" ht="24.0" customHeight="1"/>
    <row r="841" ht="24.0" customHeight="1"/>
    <row r="842" ht="24.0" customHeight="1"/>
    <row r="843" ht="24.0" customHeight="1"/>
    <row r="844" ht="24.0" customHeight="1"/>
    <row r="845" ht="24.0" customHeight="1"/>
    <row r="846" ht="24.0" customHeight="1"/>
    <row r="847" ht="24.0" customHeight="1"/>
    <row r="848" ht="24.0" customHeight="1"/>
    <row r="849" ht="24.0" customHeight="1"/>
    <row r="850" ht="24.0" customHeight="1"/>
    <row r="851" ht="24.0" customHeight="1"/>
    <row r="852" ht="24.0" customHeight="1"/>
    <row r="853" ht="24.0" customHeight="1"/>
    <row r="854" ht="24.0" customHeight="1"/>
    <row r="855" ht="24.0" customHeight="1"/>
    <row r="856" ht="24.0" customHeight="1"/>
    <row r="857" ht="24.0" customHeight="1"/>
    <row r="858" ht="24.0" customHeight="1"/>
    <row r="859" ht="24.0" customHeight="1"/>
    <row r="860" ht="24.0" customHeight="1"/>
    <row r="861" ht="24.0" customHeight="1"/>
    <row r="862" ht="24.0" customHeight="1"/>
    <row r="863" ht="24.0" customHeight="1"/>
    <row r="864" ht="24.0" customHeight="1"/>
    <row r="865" ht="24.0" customHeight="1"/>
    <row r="866" ht="24.0" customHeight="1"/>
    <row r="867" ht="24.0" customHeight="1"/>
    <row r="868" ht="24.0" customHeight="1"/>
    <row r="869" ht="24.0" customHeight="1"/>
    <row r="870" ht="24.0" customHeight="1"/>
    <row r="871" ht="24.0" customHeight="1"/>
    <row r="872" ht="24.0" customHeight="1"/>
    <row r="873" ht="24.0" customHeight="1"/>
    <row r="874" ht="24.0" customHeight="1"/>
    <row r="875" ht="24.0" customHeight="1"/>
    <row r="876" ht="24.0" customHeight="1"/>
    <row r="877" ht="24.0" customHeight="1"/>
    <row r="878" ht="24.0" customHeight="1"/>
    <row r="879" ht="24.0" customHeight="1"/>
    <row r="880" ht="24.0" customHeight="1"/>
    <row r="881" ht="24.0" customHeight="1"/>
    <row r="882" ht="24.0" customHeight="1"/>
    <row r="883" ht="24.0" customHeight="1"/>
    <row r="884" ht="24.0" customHeight="1"/>
    <row r="885" ht="24.0" customHeight="1"/>
    <row r="886" ht="24.0" customHeight="1"/>
    <row r="887" ht="24.0" customHeight="1"/>
    <row r="888" ht="24.0" customHeight="1"/>
    <row r="889" ht="24.0" customHeight="1"/>
    <row r="890" ht="24.0" customHeight="1"/>
    <row r="891" ht="24.0" customHeight="1"/>
    <row r="892" ht="24.0" customHeight="1"/>
    <row r="893" ht="24.0" customHeight="1"/>
    <row r="894" ht="24.0" customHeight="1"/>
    <row r="895" ht="24.0" customHeight="1"/>
    <row r="896" ht="24.0" customHeight="1"/>
    <row r="897" ht="24.0" customHeight="1"/>
    <row r="898" ht="24.0" customHeight="1"/>
    <row r="899" ht="24.0" customHeight="1"/>
    <row r="900" ht="24.0" customHeight="1"/>
    <row r="901" ht="24.0" customHeight="1"/>
    <row r="902" ht="24.0" customHeight="1"/>
    <row r="903" ht="24.0" customHeight="1"/>
    <row r="904" ht="24.0" customHeight="1"/>
    <row r="905" ht="24.0" customHeight="1"/>
    <row r="906" ht="24.0" customHeight="1"/>
    <row r="907" ht="24.0" customHeight="1"/>
    <row r="908" ht="24.0" customHeight="1"/>
    <row r="909" ht="24.0" customHeight="1"/>
    <row r="910" ht="24.0" customHeight="1"/>
    <row r="911" ht="24.0" customHeight="1"/>
    <row r="912" ht="24.0" customHeight="1"/>
    <row r="913" ht="24.0" customHeight="1"/>
    <row r="914" ht="24.0" customHeight="1"/>
    <row r="915" ht="24.0" customHeight="1"/>
    <row r="916" ht="24.0" customHeight="1"/>
    <row r="917" ht="24.0" customHeight="1"/>
    <row r="918" ht="24.0" customHeight="1"/>
    <row r="919" ht="24.0" customHeight="1"/>
    <row r="920" ht="24.0" customHeight="1"/>
    <row r="921" ht="24.0" customHeight="1"/>
    <row r="922" ht="24.0" customHeight="1"/>
    <row r="923" ht="24.0" customHeight="1"/>
    <row r="924" ht="24.0" customHeight="1"/>
    <row r="925" ht="24.0" customHeight="1"/>
    <row r="926" ht="24.0" customHeight="1"/>
    <row r="927" ht="24.0" customHeight="1"/>
    <row r="928" ht="24.0" customHeight="1"/>
    <row r="929" ht="24.0" customHeight="1"/>
    <row r="930" ht="24.0" customHeight="1"/>
    <row r="931" ht="24.0" customHeight="1"/>
    <row r="932" ht="24.0" customHeight="1"/>
    <row r="933" ht="24.0" customHeight="1"/>
    <row r="934" ht="24.0" customHeight="1"/>
    <row r="935" ht="24.0" customHeight="1"/>
    <row r="936" ht="24.0" customHeight="1"/>
    <row r="937" ht="24.0" customHeight="1"/>
    <row r="938" ht="24.0" customHeight="1"/>
    <row r="939" ht="24.0" customHeight="1"/>
    <row r="940" ht="24.0" customHeight="1"/>
    <row r="941" ht="24.0" customHeight="1"/>
    <row r="942" ht="24.0" customHeight="1"/>
    <row r="943" ht="24.0" customHeight="1"/>
    <row r="944" ht="24.0" customHeight="1"/>
    <row r="945" ht="24.0" customHeight="1"/>
    <row r="946" ht="24.0" customHeight="1"/>
    <row r="947" ht="24.0" customHeight="1"/>
    <row r="948" ht="24.0" customHeight="1"/>
    <row r="949" ht="24.0" customHeight="1"/>
    <row r="950" ht="24.0" customHeight="1"/>
    <row r="951" ht="24.0" customHeight="1"/>
    <row r="952" ht="24.0" customHeight="1"/>
    <row r="953" ht="24.0" customHeight="1"/>
    <row r="954" ht="24.0" customHeight="1"/>
    <row r="955" ht="24.0" customHeight="1"/>
    <row r="956" ht="24.0" customHeight="1"/>
    <row r="957" ht="24.0" customHeight="1"/>
    <row r="958" ht="24.0" customHeight="1"/>
    <row r="959" ht="24.0" customHeight="1"/>
    <row r="960" ht="24.0" customHeight="1"/>
    <row r="961" ht="24.0" customHeight="1"/>
    <row r="962" ht="24.0" customHeight="1"/>
    <row r="963" ht="24.0" customHeight="1"/>
    <row r="964" ht="24.0" customHeight="1"/>
    <row r="965" ht="24.0" customHeight="1"/>
    <row r="966" ht="24.0" customHeight="1"/>
    <row r="967" ht="24.0" customHeight="1"/>
    <row r="968" ht="24.0" customHeight="1"/>
    <row r="969" ht="24.0" customHeight="1"/>
    <row r="970" ht="24.0" customHeight="1"/>
    <row r="971" ht="24.0" customHeight="1"/>
    <row r="972" ht="24.0" customHeight="1"/>
    <row r="973" ht="24.0" customHeight="1"/>
    <row r="974" ht="24.0" customHeight="1"/>
    <row r="975" ht="24.0" customHeight="1"/>
    <row r="976" ht="24.0" customHeight="1"/>
    <row r="977" ht="24.0" customHeight="1"/>
    <row r="978" ht="24.0" customHeight="1"/>
    <row r="979" ht="24.0" customHeight="1"/>
    <row r="980" ht="24.0" customHeight="1"/>
    <row r="981" ht="24.0" customHeight="1"/>
    <row r="982" ht="24.0" customHeight="1"/>
    <row r="983" ht="24.0" customHeight="1"/>
    <row r="984" ht="24.0" customHeight="1"/>
    <row r="985" ht="24.0" customHeight="1"/>
    <row r="986" ht="24.0" customHeight="1"/>
    <row r="987" ht="24.0" customHeight="1"/>
    <row r="988" ht="24.0" customHeight="1"/>
    <row r="989" ht="24.0" customHeight="1"/>
    <row r="990" ht="24.0" customHeight="1"/>
    <row r="991" ht="24.0" customHeight="1"/>
    <row r="992" ht="24.0" customHeight="1"/>
    <row r="993" ht="24.0" customHeight="1"/>
    <row r="994" ht="24.0" customHeight="1"/>
    <row r="995" ht="24.0" customHeight="1"/>
    <row r="996" ht="24.0" customHeight="1"/>
    <row r="997" ht="24.0" customHeight="1"/>
    <row r="998" ht="24.0" customHeight="1"/>
    <row r="999" ht="24.0" customHeight="1"/>
    <row r="1000" ht="24.0" customHeight="1"/>
  </sheetData>
  <hyperlinks>
    <hyperlink r:id="rId1" ref="F2"/>
    <hyperlink r:id="rId2" ref="F4"/>
    <hyperlink r:id="rId3" ref="F5"/>
    <hyperlink r:id="rId4" ref="F13"/>
    <hyperlink r:id="rId5" ref="F14"/>
    <hyperlink r:id="rId6" ref="F15"/>
    <hyperlink r:id="rId7" ref="F17"/>
    <hyperlink r:id="rId8" ref="F18"/>
  </hyperlinks>
  <drawing r:id="rId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4.5"/>
    <col customWidth="1" min="3" max="4" width="4.38"/>
    <col customWidth="1" min="5" max="5" width="4.75"/>
    <col customWidth="1" min="6" max="7" width="4.5"/>
    <col customWidth="1" min="8" max="8" width="4.38"/>
    <col customWidth="1" min="9" max="9" width="4.13"/>
    <col customWidth="1" min="10" max="10" width="4.75"/>
    <col customWidth="1" min="11" max="11" width="4.38"/>
    <col customWidth="1" min="12" max="12" width="4.5"/>
    <col customWidth="1" min="13" max="13" width="4.63"/>
    <col customWidth="1" min="14" max="14" width="4.5"/>
    <col customWidth="1" min="15" max="15" width="5.13"/>
    <col customWidth="1" min="16" max="16" width="8.63"/>
  </cols>
  <sheetData>
    <row r="1">
      <c r="A1" s="64"/>
      <c r="B1" s="11" t="s">
        <v>3901</v>
      </c>
      <c r="C1" s="11" t="s">
        <v>3902</v>
      </c>
      <c r="D1" s="11" t="s">
        <v>3903</v>
      </c>
      <c r="E1" s="11" t="s">
        <v>3904</v>
      </c>
      <c r="F1" s="11" t="s">
        <v>3905</v>
      </c>
      <c r="G1" s="11" t="s">
        <v>3906</v>
      </c>
      <c r="H1" s="11" t="s">
        <v>3907</v>
      </c>
      <c r="I1" s="11" t="s">
        <v>3908</v>
      </c>
      <c r="J1" s="11" t="s">
        <v>3909</v>
      </c>
      <c r="K1" s="11" t="s">
        <v>3910</v>
      </c>
      <c r="L1" s="11" t="s">
        <v>3911</v>
      </c>
      <c r="M1" s="11" t="s">
        <v>3912</v>
      </c>
      <c r="N1" s="11" t="s">
        <v>3901</v>
      </c>
    </row>
    <row r="2">
      <c r="A2" s="11">
        <v>1.0</v>
      </c>
      <c r="B2" s="57"/>
      <c r="C2" s="57"/>
      <c r="D2" s="57"/>
      <c r="E2" s="57"/>
      <c r="F2" s="57"/>
      <c r="G2" s="57"/>
      <c r="H2" s="57"/>
      <c r="I2" s="57"/>
      <c r="J2" s="57"/>
      <c r="K2" s="57"/>
      <c r="L2" s="57"/>
      <c r="M2" s="57"/>
      <c r="N2" s="65"/>
    </row>
    <row r="3">
      <c r="A3" s="11">
        <v>2.0</v>
      </c>
      <c r="B3" s="57"/>
      <c r="C3" s="57"/>
      <c r="D3" s="57"/>
      <c r="E3" s="57"/>
      <c r="F3" s="57"/>
      <c r="G3" s="57"/>
      <c r="H3" s="57"/>
      <c r="I3" s="57"/>
      <c r="J3" s="57"/>
      <c r="K3" s="57"/>
      <c r="L3" s="57"/>
      <c r="M3" s="57"/>
      <c r="N3" s="65"/>
    </row>
    <row r="4">
      <c r="A4" s="11">
        <v>3.0</v>
      </c>
      <c r="B4" s="57"/>
      <c r="C4" s="57"/>
      <c r="D4" s="57"/>
      <c r="E4" s="57"/>
      <c r="F4" s="57"/>
      <c r="G4" s="57"/>
      <c r="H4" s="57"/>
      <c r="I4" s="57"/>
      <c r="J4" s="57"/>
      <c r="K4" s="57"/>
      <c r="L4" s="57"/>
      <c r="M4" s="57"/>
      <c r="N4" s="65"/>
    </row>
    <row r="5">
      <c r="A5" s="11">
        <v>4.0</v>
      </c>
      <c r="B5" s="57"/>
      <c r="C5" s="57"/>
      <c r="D5" s="57"/>
      <c r="E5" s="57"/>
      <c r="F5" s="57"/>
      <c r="G5" s="57"/>
      <c r="H5" s="57"/>
      <c r="I5" s="57"/>
      <c r="J5" s="57"/>
      <c r="K5" s="57"/>
      <c r="L5" s="57"/>
      <c r="M5" s="57"/>
      <c r="N5" s="65"/>
    </row>
    <row r="6">
      <c r="A6" s="11">
        <v>5.0</v>
      </c>
      <c r="B6" s="57"/>
      <c r="C6" s="57"/>
      <c r="D6" s="57"/>
      <c r="E6" s="57"/>
      <c r="F6" s="57"/>
      <c r="G6" s="57"/>
      <c r="H6" s="57"/>
      <c r="I6" s="57"/>
      <c r="J6" s="57"/>
      <c r="K6" s="57"/>
      <c r="L6" s="57"/>
      <c r="M6" s="57"/>
      <c r="N6" s="65"/>
    </row>
    <row r="7">
      <c r="A7" s="11">
        <v>6.0</v>
      </c>
      <c r="B7" s="57"/>
      <c r="C7" s="57"/>
      <c r="D7" s="57"/>
      <c r="E7" s="57"/>
      <c r="F7" s="57"/>
      <c r="G7" s="57"/>
      <c r="H7" s="57"/>
      <c r="I7" s="57"/>
      <c r="J7" s="57"/>
      <c r="K7" s="57"/>
      <c r="L7" s="57"/>
      <c r="M7" s="57"/>
      <c r="N7" s="65"/>
    </row>
    <row r="8">
      <c r="A8" s="11">
        <v>7.0</v>
      </c>
      <c r="B8" s="57"/>
      <c r="C8" s="57"/>
      <c r="D8" s="57"/>
      <c r="E8" s="57"/>
      <c r="F8" s="57"/>
      <c r="G8" s="57"/>
      <c r="H8" s="57"/>
      <c r="I8" s="57"/>
      <c r="J8" s="57"/>
      <c r="K8" s="57"/>
      <c r="L8" s="57"/>
      <c r="M8" s="57"/>
      <c r="N8" s="65"/>
    </row>
    <row r="9">
      <c r="A9" s="11">
        <v>8.0</v>
      </c>
      <c r="B9" s="57"/>
      <c r="C9" s="57"/>
      <c r="D9" s="57"/>
      <c r="E9" s="57"/>
      <c r="F9" s="57"/>
      <c r="G9" s="57"/>
      <c r="H9" s="57"/>
      <c r="I9" s="57"/>
      <c r="J9" s="57"/>
      <c r="K9" s="57"/>
      <c r="L9" s="57"/>
      <c r="M9" s="57"/>
      <c r="N9" s="65"/>
    </row>
    <row r="10">
      <c r="A10" s="11">
        <v>9.0</v>
      </c>
      <c r="B10" s="57"/>
      <c r="C10" s="57"/>
      <c r="D10" s="57"/>
      <c r="E10" s="57"/>
      <c r="F10" s="57"/>
      <c r="G10" s="57"/>
      <c r="H10" s="57"/>
      <c r="I10" s="57"/>
      <c r="J10" s="57"/>
      <c r="K10" s="57"/>
      <c r="L10" s="57"/>
      <c r="M10" s="57"/>
      <c r="N10" s="65"/>
    </row>
    <row r="11">
      <c r="A11" s="11">
        <v>10.0</v>
      </c>
      <c r="B11" s="57"/>
      <c r="C11" s="57"/>
      <c r="D11" s="57"/>
      <c r="E11" s="57"/>
      <c r="F11" s="57"/>
      <c r="G11" s="57"/>
      <c r="H11" s="57"/>
      <c r="I11" s="57"/>
      <c r="J11" s="57"/>
      <c r="K11" s="57"/>
      <c r="L11" s="57"/>
      <c r="M11" s="57"/>
      <c r="N11" s="65"/>
    </row>
    <row r="12">
      <c r="A12" s="11">
        <v>11.0</v>
      </c>
      <c r="B12" s="57"/>
      <c r="C12" s="57"/>
      <c r="D12" s="57"/>
      <c r="E12" s="57"/>
      <c r="F12" s="57"/>
      <c r="G12" s="57"/>
      <c r="H12" s="57"/>
      <c r="I12" s="57"/>
      <c r="J12" s="57"/>
      <c r="K12" s="57"/>
      <c r="L12" s="57"/>
      <c r="M12" s="57"/>
      <c r="N12" s="65"/>
    </row>
    <row r="13">
      <c r="A13" s="11">
        <v>12.0</v>
      </c>
      <c r="B13" s="57"/>
      <c r="C13" s="57"/>
      <c r="D13" s="57"/>
      <c r="E13" s="57"/>
      <c r="F13" s="57"/>
      <c r="G13" s="57"/>
      <c r="H13" s="57"/>
      <c r="I13" s="57"/>
      <c r="J13" s="57"/>
      <c r="K13" s="57"/>
      <c r="L13" s="57"/>
      <c r="M13" s="57"/>
      <c r="N13" s="65"/>
    </row>
    <row r="14">
      <c r="A14" s="11">
        <v>13.0</v>
      </c>
      <c r="B14" s="57"/>
      <c r="C14" s="57"/>
      <c r="D14" s="57"/>
      <c r="E14" s="57"/>
      <c r="F14" s="57"/>
      <c r="G14" s="57"/>
      <c r="H14" s="57"/>
      <c r="I14" s="57"/>
      <c r="J14" s="57"/>
      <c r="K14" s="57"/>
      <c r="L14" s="57"/>
      <c r="M14" s="57"/>
      <c r="N14" s="65"/>
    </row>
    <row r="15">
      <c r="A15" s="11">
        <v>14.0</v>
      </c>
      <c r="B15" s="57"/>
      <c r="C15" s="57"/>
      <c r="D15" s="57"/>
      <c r="E15" s="57"/>
      <c r="F15" s="57"/>
      <c r="G15" s="57"/>
      <c r="H15" s="57"/>
      <c r="I15" s="57"/>
      <c r="J15" s="57"/>
      <c r="K15" s="57"/>
      <c r="L15" s="57"/>
      <c r="M15" s="57"/>
      <c r="N15" s="65"/>
    </row>
    <row r="16">
      <c r="A16" s="11">
        <v>15.0</v>
      </c>
      <c r="B16" s="57"/>
      <c r="C16" s="57"/>
      <c r="D16" s="57"/>
      <c r="E16" s="57"/>
      <c r="F16" s="57"/>
      <c r="G16" s="57"/>
      <c r="H16" s="57"/>
      <c r="I16" s="57"/>
      <c r="J16" s="57"/>
      <c r="K16" s="57"/>
      <c r="L16" s="57"/>
      <c r="M16" s="57"/>
      <c r="N16" s="65"/>
    </row>
    <row r="17">
      <c r="A17" s="11">
        <v>16.0</v>
      </c>
      <c r="B17" s="57"/>
      <c r="C17" s="57"/>
      <c r="D17" s="57"/>
      <c r="E17" s="57"/>
      <c r="F17" s="57"/>
      <c r="G17" s="57"/>
      <c r="H17" s="57"/>
      <c r="I17" s="57"/>
      <c r="J17" s="57"/>
      <c r="K17" s="57"/>
      <c r="L17" s="57"/>
      <c r="M17" s="57"/>
      <c r="N17" s="65"/>
    </row>
    <row r="18">
      <c r="A18" s="11">
        <v>17.0</v>
      </c>
      <c r="B18" s="57"/>
      <c r="C18" s="57"/>
      <c r="D18" s="57"/>
      <c r="E18" s="57"/>
      <c r="F18" s="57"/>
      <c r="G18" s="57"/>
      <c r="H18" s="57"/>
      <c r="I18" s="57"/>
      <c r="J18" s="57"/>
      <c r="K18" s="57"/>
      <c r="L18" s="57"/>
      <c r="M18" s="57"/>
      <c r="N18" s="65"/>
    </row>
    <row r="19">
      <c r="A19" s="11">
        <v>18.0</v>
      </c>
      <c r="B19" s="57"/>
      <c r="C19" s="57"/>
      <c r="D19" s="57"/>
      <c r="E19" s="57"/>
      <c r="F19" s="57"/>
      <c r="G19" s="57"/>
      <c r="H19" s="57"/>
      <c r="I19" s="57"/>
      <c r="J19" s="57"/>
      <c r="K19" s="57"/>
      <c r="L19" s="57"/>
      <c r="M19" s="57"/>
      <c r="N19" s="65"/>
    </row>
    <row r="20">
      <c r="A20" s="11">
        <v>19.0</v>
      </c>
      <c r="B20" s="57"/>
      <c r="C20" s="57"/>
      <c r="D20" s="57"/>
      <c r="E20" s="57"/>
      <c r="F20" s="57"/>
      <c r="G20" s="57"/>
      <c r="H20" s="57"/>
      <c r="I20" s="57"/>
      <c r="J20" s="57"/>
      <c r="K20" s="57"/>
      <c r="L20" s="57"/>
      <c r="M20" s="57"/>
      <c r="N20" s="65"/>
    </row>
    <row r="21">
      <c r="A21" s="11">
        <v>20.0</v>
      </c>
      <c r="B21" s="57"/>
      <c r="C21" s="57"/>
      <c r="D21" s="57"/>
      <c r="E21" s="57"/>
      <c r="F21" s="57"/>
      <c r="G21" s="57"/>
      <c r="H21" s="57"/>
      <c r="I21" s="57"/>
      <c r="J21" s="57"/>
      <c r="K21" s="57"/>
      <c r="L21" s="57"/>
      <c r="M21" s="57"/>
      <c r="N21" s="65"/>
    </row>
    <row r="22">
      <c r="A22" s="11">
        <v>21.0</v>
      </c>
      <c r="B22" s="57"/>
      <c r="C22" s="57"/>
      <c r="D22" s="57"/>
      <c r="E22" s="57"/>
      <c r="F22" s="57"/>
      <c r="G22" s="57"/>
      <c r="H22" s="57"/>
      <c r="I22" s="57"/>
      <c r="J22" s="57"/>
      <c r="K22" s="57"/>
      <c r="L22" s="57"/>
      <c r="M22" s="57"/>
      <c r="N22" s="65"/>
    </row>
    <row r="23">
      <c r="A23" s="11">
        <v>22.0</v>
      </c>
      <c r="B23" s="57"/>
      <c r="C23" s="57"/>
      <c r="D23" s="57"/>
      <c r="E23" s="57"/>
      <c r="F23" s="57"/>
      <c r="G23" s="57"/>
      <c r="H23" s="57"/>
      <c r="I23" s="57"/>
      <c r="J23" s="57"/>
      <c r="K23" s="57"/>
      <c r="L23" s="57"/>
      <c r="M23" s="57"/>
      <c r="N23" s="65"/>
    </row>
    <row r="24">
      <c r="A24" s="11">
        <v>23.0</v>
      </c>
      <c r="B24" s="57"/>
      <c r="C24" s="57"/>
      <c r="D24" s="57"/>
      <c r="E24" s="57"/>
      <c r="F24" s="57"/>
      <c r="G24" s="57"/>
      <c r="H24" s="57"/>
      <c r="I24" s="57"/>
      <c r="J24" s="57"/>
      <c r="K24" s="57"/>
      <c r="L24" s="57"/>
      <c r="M24" s="57"/>
      <c r="N24" s="65"/>
    </row>
    <row r="25">
      <c r="A25" s="11">
        <v>24.0</v>
      </c>
      <c r="B25" s="57"/>
      <c r="C25" s="57"/>
      <c r="D25" s="57"/>
      <c r="E25" s="57"/>
      <c r="F25" s="57"/>
      <c r="G25" s="57"/>
      <c r="H25" s="57"/>
      <c r="I25" s="57"/>
      <c r="J25" s="57"/>
      <c r="K25" s="57"/>
      <c r="L25" s="57"/>
      <c r="M25" s="57"/>
      <c r="N25" s="65"/>
    </row>
    <row r="26">
      <c r="A26" s="11">
        <v>25.0</v>
      </c>
      <c r="B26" s="57"/>
      <c r="C26" s="57"/>
      <c r="D26" s="57"/>
      <c r="E26" s="57"/>
      <c r="F26" s="57"/>
      <c r="G26" s="57"/>
      <c r="H26" s="57"/>
      <c r="I26" s="57"/>
      <c r="J26" s="57"/>
      <c r="K26" s="57"/>
      <c r="L26" s="57"/>
      <c r="M26" s="57"/>
      <c r="N26" s="65"/>
    </row>
    <row r="27">
      <c r="A27" s="11">
        <v>26.0</v>
      </c>
      <c r="B27" s="57"/>
      <c r="C27" s="57"/>
      <c r="D27" s="57"/>
      <c r="E27" s="57"/>
      <c r="F27" s="57"/>
      <c r="G27" s="57"/>
      <c r="H27" s="57"/>
      <c r="I27" s="57"/>
      <c r="J27" s="57"/>
      <c r="K27" s="57"/>
      <c r="L27" s="57"/>
      <c r="M27" s="57"/>
      <c r="N27" s="65"/>
    </row>
    <row r="28">
      <c r="A28" s="11">
        <v>27.0</v>
      </c>
      <c r="B28" s="66" t="s">
        <v>3913</v>
      </c>
      <c r="C28" s="57"/>
      <c r="D28" s="57"/>
      <c r="E28" s="57"/>
      <c r="F28" s="57"/>
      <c r="G28" s="57"/>
      <c r="H28" s="57"/>
      <c r="I28" s="57"/>
      <c r="J28" s="57"/>
      <c r="K28" s="57"/>
      <c r="L28" s="57"/>
      <c r="M28" s="57"/>
      <c r="N28" s="65"/>
    </row>
    <row r="29">
      <c r="A29" s="11">
        <v>28.0</v>
      </c>
      <c r="B29" s="66" t="s">
        <v>3913</v>
      </c>
      <c r="C29" s="57"/>
      <c r="D29" s="57"/>
      <c r="E29" s="57"/>
      <c r="F29" s="57"/>
      <c r="G29" s="57"/>
      <c r="H29" s="57"/>
      <c r="I29" s="57"/>
      <c r="J29" s="57"/>
      <c r="K29" s="57"/>
      <c r="L29" s="57"/>
      <c r="M29" s="57"/>
      <c r="N29" s="65"/>
    </row>
    <row r="30">
      <c r="A30" s="11">
        <v>29.0</v>
      </c>
      <c r="B30" s="66" t="s">
        <v>3913</v>
      </c>
      <c r="C30" s="57"/>
      <c r="D30" s="57"/>
      <c r="E30" s="57"/>
      <c r="F30" s="57"/>
      <c r="G30" s="57"/>
      <c r="H30" s="57"/>
      <c r="I30" s="57"/>
      <c r="J30" s="57"/>
      <c r="K30" s="57"/>
      <c r="L30" s="57"/>
      <c r="M30" s="57"/>
      <c r="N30" s="65"/>
    </row>
    <row r="31">
      <c r="A31" s="11">
        <v>30.0</v>
      </c>
      <c r="B31" s="66" t="s">
        <v>3913</v>
      </c>
      <c r="C31" s="57"/>
      <c r="D31" s="57"/>
      <c r="E31" s="57"/>
      <c r="F31" s="57"/>
      <c r="G31" s="57"/>
      <c r="H31" s="57"/>
      <c r="I31" s="57"/>
      <c r="J31" s="57"/>
      <c r="K31" s="57"/>
      <c r="L31" s="57"/>
      <c r="M31" s="57"/>
      <c r="N31" s="65"/>
    </row>
    <row r="32">
      <c r="A32" s="11">
        <v>31.0</v>
      </c>
      <c r="B32" s="66" t="s">
        <v>3913</v>
      </c>
      <c r="C32" s="67"/>
      <c r="D32" s="67"/>
      <c r="E32" s="67"/>
      <c r="F32" s="67"/>
      <c r="G32" s="67"/>
      <c r="H32" s="67"/>
      <c r="I32" s="67"/>
      <c r="J32" s="67"/>
      <c r="K32" s="67"/>
      <c r="L32" s="67"/>
      <c r="M32" s="67"/>
      <c r="N32" s="68"/>
    </row>
    <row r="36">
      <c r="O36" s="69"/>
      <c r="P36" s="52" t="s">
        <v>3914</v>
      </c>
      <c r="S36" s="52" t="s">
        <v>3915</v>
      </c>
      <c r="T36" s="52" t="s">
        <v>3916</v>
      </c>
    </row>
    <row r="37">
      <c r="O37" s="70"/>
      <c r="P37" s="52" t="s">
        <v>3917</v>
      </c>
      <c r="S37" s="52" t="s">
        <v>3913</v>
      </c>
      <c r="T37" s="52" t="s">
        <v>3918</v>
      </c>
    </row>
    <row r="38">
      <c r="O38" s="71"/>
      <c r="P38" s="52" t="s">
        <v>3919</v>
      </c>
      <c r="S38" s="52" t="s">
        <v>3920</v>
      </c>
      <c r="T38" s="52" t="s">
        <v>3921</v>
      </c>
    </row>
    <row r="39">
      <c r="O39" s="72"/>
      <c r="P39" s="52" t="s">
        <v>3922</v>
      </c>
      <c r="S39" s="52" t="s">
        <v>3923</v>
      </c>
      <c r="T39" s="52" t="s">
        <v>3924</v>
      </c>
    </row>
    <row r="40">
      <c r="O40" s="73"/>
      <c r="P40" s="52" t="s">
        <v>3925</v>
      </c>
      <c r="S40" s="52" t="s">
        <v>3926</v>
      </c>
      <c r="T40" s="52" t="s">
        <v>3927</v>
      </c>
    </row>
    <row r="41">
      <c r="S41" s="52" t="s">
        <v>3928</v>
      </c>
      <c r="T41" s="52" t="s">
        <v>3929</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88"/>
    <col customWidth="1" min="2" max="2" width="113.0"/>
  </cols>
  <sheetData>
    <row r="1">
      <c r="A1" s="33" t="s">
        <v>3930</v>
      </c>
      <c r="B1" s="33" t="s">
        <v>3931</v>
      </c>
      <c r="C1" s="2"/>
      <c r="D1" s="2"/>
      <c r="E1" s="2"/>
      <c r="F1" s="2"/>
      <c r="G1" s="2"/>
      <c r="H1" s="2"/>
      <c r="I1" s="2"/>
      <c r="J1" s="2"/>
      <c r="K1" s="2"/>
      <c r="L1" s="2"/>
      <c r="M1" s="2"/>
      <c r="N1" s="2"/>
      <c r="O1" s="2"/>
      <c r="P1" s="2"/>
      <c r="Q1" s="2"/>
      <c r="R1" s="2"/>
      <c r="S1" s="2"/>
      <c r="T1" s="2"/>
      <c r="U1" s="2"/>
      <c r="V1" s="2"/>
      <c r="W1" s="2"/>
      <c r="X1" s="2"/>
      <c r="Y1" s="2"/>
      <c r="Z1" s="2"/>
    </row>
    <row r="2">
      <c r="A2" s="74">
        <v>45992.0</v>
      </c>
      <c r="B2" s="37"/>
      <c r="C2" s="2"/>
      <c r="D2" s="2"/>
      <c r="E2" s="2"/>
      <c r="F2" s="2"/>
      <c r="G2" s="2"/>
      <c r="H2" s="2"/>
      <c r="I2" s="2"/>
      <c r="J2" s="2"/>
      <c r="K2" s="2"/>
      <c r="L2" s="2"/>
      <c r="M2" s="2"/>
      <c r="N2" s="2"/>
      <c r="O2" s="2"/>
      <c r="P2" s="2"/>
      <c r="Q2" s="2"/>
      <c r="R2" s="2"/>
      <c r="S2" s="2"/>
      <c r="T2" s="2"/>
      <c r="U2" s="2"/>
      <c r="V2" s="2"/>
      <c r="W2" s="2"/>
      <c r="X2" s="2"/>
      <c r="Y2" s="2"/>
      <c r="Z2" s="2"/>
    </row>
    <row r="3">
      <c r="A3" s="33" t="s">
        <v>3932</v>
      </c>
      <c r="B3" s="22" t="s">
        <v>3933</v>
      </c>
      <c r="C3" s="2"/>
      <c r="D3" s="2"/>
      <c r="E3" s="2"/>
      <c r="F3" s="2"/>
      <c r="G3" s="2"/>
      <c r="H3" s="2"/>
      <c r="I3" s="2"/>
      <c r="J3" s="2"/>
      <c r="K3" s="2"/>
      <c r="L3" s="2"/>
      <c r="M3" s="2"/>
      <c r="N3" s="2"/>
      <c r="O3" s="2"/>
      <c r="P3" s="2"/>
      <c r="Q3" s="2"/>
      <c r="R3" s="2"/>
      <c r="S3" s="2"/>
      <c r="T3" s="2"/>
      <c r="U3" s="2"/>
      <c r="V3" s="2"/>
      <c r="W3" s="2"/>
      <c r="X3" s="2"/>
      <c r="Y3" s="2"/>
      <c r="Z3" s="2"/>
    </row>
    <row r="4">
      <c r="A4" s="33" t="s">
        <v>3934</v>
      </c>
      <c r="B4" s="22" t="s">
        <v>3935</v>
      </c>
      <c r="C4" s="2"/>
      <c r="D4" s="2"/>
      <c r="E4" s="2"/>
      <c r="F4" s="2"/>
      <c r="G4" s="2"/>
      <c r="H4" s="2"/>
      <c r="I4" s="2"/>
      <c r="J4" s="2"/>
      <c r="K4" s="2"/>
      <c r="L4" s="2"/>
      <c r="M4" s="2"/>
      <c r="N4" s="2"/>
      <c r="O4" s="2"/>
      <c r="P4" s="2"/>
      <c r="Q4" s="2"/>
      <c r="R4" s="2"/>
      <c r="S4" s="2"/>
      <c r="T4" s="2"/>
      <c r="U4" s="2"/>
      <c r="V4" s="2"/>
      <c r="W4" s="2"/>
      <c r="X4" s="2"/>
      <c r="Y4" s="2"/>
      <c r="Z4" s="2"/>
    </row>
    <row r="5">
      <c r="A5" s="33" t="s">
        <v>3936</v>
      </c>
      <c r="B5" s="22" t="s">
        <v>3937</v>
      </c>
      <c r="C5" s="2"/>
      <c r="D5" s="2"/>
      <c r="E5" s="2"/>
      <c r="F5" s="2"/>
      <c r="G5" s="2"/>
      <c r="H5" s="2"/>
      <c r="I5" s="2"/>
      <c r="J5" s="2"/>
      <c r="K5" s="2"/>
      <c r="L5" s="2"/>
      <c r="M5" s="2"/>
      <c r="N5" s="2"/>
      <c r="O5" s="2"/>
      <c r="P5" s="2"/>
      <c r="Q5" s="2"/>
      <c r="R5" s="2"/>
      <c r="S5" s="2"/>
      <c r="T5" s="2"/>
      <c r="U5" s="2"/>
      <c r="V5" s="2"/>
      <c r="W5" s="2"/>
      <c r="X5" s="2"/>
      <c r="Y5" s="2"/>
      <c r="Z5" s="2"/>
    </row>
    <row r="6">
      <c r="A6" s="14"/>
      <c r="B6" s="13"/>
      <c r="C6" s="2"/>
      <c r="D6" s="2"/>
      <c r="E6" s="2"/>
      <c r="F6" s="2"/>
      <c r="G6" s="2"/>
      <c r="H6" s="2"/>
      <c r="I6" s="2"/>
      <c r="J6" s="2"/>
      <c r="K6" s="2"/>
      <c r="L6" s="2"/>
      <c r="M6" s="2"/>
      <c r="N6" s="2"/>
      <c r="O6" s="2"/>
      <c r="P6" s="2"/>
      <c r="Q6" s="2"/>
      <c r="R6" s="2"/>
      <c r="S6" s="2"/>
      <c r="T6" s="2"/>
      <c r="U6" s="2"/>
      <c r="V6" s="2"/>
      <c r="W6" s="2"/>
      <c r="X6" s="2"/>
      <c r="Y6" s="2"/>
      <c r="Z6" s="2"/>
    </row>
    <row r="7">
      <c r="A7" s="75">
        <v>46023.0</v>
      </c>
      <c r="B7" s="22" t="s">
        <v>3938</v>
      </c>
      <c r="C7" s="2"/>
      <c r="D7" s="2"/>
      <c r="E7" s="2"/>
      <c r="F7" s="2"/>
      <c r="G7" s="2"/>
      <c r="H7" s="2"/>
      <c r="I7" s="2"/>
      <c r="J7" s="2"/>
      <c r="K7" s="2"/>
      <c r="L7" s="2"/>
      <c r="M7" s="2"/>
      <c r="N7" s="2"/>
      <c r="O7" s="2"/>
      <c r="P7" s="2"/>
      <c r="Q7" s="2"/>
      <c r="R7" s="2"/>
      <c r="S7" s="2"/>
      <c r="T7" s="2"/>
      <c r="U7" s="2"/>
      <c r="V7" s="2"/>
      <c r="W7" s="2"/>
      <c r="X7" s="2"/>
      <c r="Y7" s="2"/>
      <c r="Z7" s="2"/>
    </row>
    <row r="8">
      <c r="A8" s="14"/>
      <c r="B8" s="13"/>
      <c r="C8" s="2"/>
      <c r="D8" s="2"/>
      <c r="E8" s="2"/>
      <c r="F8" s="2"/>
      <c r="G8" s="2"/>
      <c r="H8" s="2"/>
      <c r="I8" s="2"/>
      <c r="J8" s="2"/>
      <c r="K8" s="2"/>
      <c r="L8" s="2"/>
      <c r="M8" s="2"/>
      <c r="N8" s="2"/>
      <c r="O8" s="2"/>
      <c r="P8" s="2"/>
      <c r="Q8" s="2"/>
      <c r="R8" s="2"/>
      <c r="S8" s="2"/>
      <c r="T8" s="2"/>
      <c r="U8" s="2"/>
      <c r="V8" s="2"/>
      <c r="W8" s="2"/>
      <c r="X8" s="2"/>
      <c r="Y8" s="2"/>
      <c r="Z8" s="2"/>
    </row>
    <row r="9">
      <c r="A9" s="14"/>
      <c r="B9" s="13"/>
      <c r="C9" s="2"/>
      <c r="D9" s="2"/>
      <c r="E9" s="2"/>
      <c r="F9" s="2"/>
      <c r="G9" s="2"/>
      <c r="H9" s="2"/>
      <c r="I9" s="2"/>
      <c r="J9" s="2"/>
      <c r="K9" s="2"/>
      <c r="L9" s="2"/>
      <c r="M9" s="2"/>
      <c r="N9" s="2"/>
      <c r="O9" s="2"/>
      <c r="P9" s="2"/>
      <c r="Q9" s="2"/>
      <c r="R9" s="2"/>
      <c r="S9" s="2"/>
      <c r="T9" s="2"/>
      <c r="U9" s="2"/>
      <c r="V9" s="2"/>
      <c r="W9" s="2"/>
      <c r="X9" s="2"/>
      <c r="Y9" s="2"/>
      <c r="Z9" s="2"/>
    </row>
    <row r="10">
      <c r="A10" s="14"/>
      <c r="B10" s="13"/>
      <c r="C10" s="2"/>
      <c r="D10" s="2"/>
      <c r="E10" s="2"/>
      <c r="F10" s="2"/>
      <c r="G10" s="2"/>
      <c r="H10" s="2"/>
      <c r="I10" s="2"/>
      <c r="J10" s="2"/>
      <c r="K10" s="2"/>
      <c r="L10" s="2"/>
      <c r="M10" s="2"/>
      <c r="N10" s="2"/>
      <c r="O10" s="2"/>
      <c r="P10" s="2"/>
      <c r="Q10" s="2"/>
      <c r="R10" s="2"/>
      <c r="S10" s="2"/>
      <c r="T10" s="2"/>
      <c r="U10" s="2"/>
      <c r="V10" s="2"/>
      <c r="W10" s="2"/>
      <c r="X10" s="2"/>
      <c r="Y10" s="2"/>
      <c r="Z10" s="2"/>
    </row>
    <row r="11">
      <c r="A11" s="14"/>
      <c r="B11" s="13"/>
      <c r="C11" s="2"/>
      <c r="D11" s="2"/>
      <c r="E11" s="2"/>
      <c r="F11" s="2"/>
      <c r="G11" s="2"/>
      <c r="H11" s="2"/>
      <c r="I11" s="2"/>
      <c r="J11" s="2"/>
      <c r="K11" s="2"/>
      <c r="L11" s="2"/>
      <c r="M11" s="2"/>
      <c r="N11" s="2"/>
      <c r="O11" s="2"/>
      <c r="P11" s="2"/>
      <c r="Q11" s="2"/>
      <c r="R11" s="2"/>
      <c r="S11" s="2"/>
      <c r="T11" s="2"/>
      <c r="U11" s="2"/>
      <c r="V11" s="2"/>
      <c r="W11" s="2"/>
      <c r="X11" s="2"/>
      <c r="Y11" s="2"/>
      <c r="Z11" s="2"/>
    </row>
    <row r="12">
      <c r="A12" s="14"/>
      <c r="B12" s="13"/>
      <c r="C12" s="2"/>
      <c r="D12" s="2"/>
      <c r="E12" s="2"/>
      <c r="F12" s="2"/>
      <c r="G12" s="2"/>
      <c r="H12" s="2"/>
      <c r="I12" s="2"/>
      <c r="J12" s="2"/>
      <c r="K12" s="2"/>
      <c r="L12" s="2"/>
      <c r="M12" s="2"/>
      <c r="N12" s="2"/>
      <c r="O12" s="2"/>
      <c r="P12" s="2"/>
      <c r="Q12" s="2"/>
      <c r="R12" s="2"/>
      <c r="S12" s="2"/>
      <c r="T12" s="2"/>
      <c r="U12" s="2"/>
      <c r="V12" s="2"/>
      <c r="W12" s="2"/>
      <c r="X12" s="2"/>
      <c r="Y12" s="2"/>
      <c r="Z12" s="2"/>
    </row>
    <row r="13">
      <c r="A13" s="14"/>
      <c r="B13" s="13"/>
      <c r="C13" s="2"/>
      <c r="D13" s="2"/>
      <c r="E13" s="2"/>
      <c r="F13" s="2"/>
      <c r="G13" s="2"/>
      <c r="H13" s="2"/>
      <c r="I13" s="2"/>
      <c r="J13" s="2"/>
      <c r="K13" s="2"/>
      <c r="L13" s="2"/>
      <c r="M13" s="2"/>
      <c r="N13" s="2"/>
      <c r="O13" s="2"/>
      <c r="P13" s="2"/>
      <c r="Q13" s="2"/>
      <c r="R13" s="2"/>
      <c r="S13" s="2"/>
      <c r="T13" s="2"/>
      <c r="U13" s="2"/>
      <c r="V13" s="2"/>
      <c r="W13" s="2"/>
      <c r="X13" s="2"/>
      <c r="Y13" s="2"/>
      <c r="Z13" s="2"/>
    </row>
    <row r="14">
      <c r="A14" s="14"/>
      <c r="B14" s="13"/>
      <c r="C14" s="2"/>
      <c r="D14" s="2"/>
      <c r="E14" s="2"/>
      <c r="F14" s="2"/>
      <c r="G14" s="2"/>
      <c r="H14" s="2"/>
      <c r="I14" s="2"/>
      <c r="J14" s="2"/>
      <c r="K14" s="2"/>
      <c r="L14" s="2"/>
      <c r="M14" s="2"/>
      <c r="N14" s="2"/>
      <c r="O14" s="2"/>
      <c r="P14" s="2"/>
      <c r="Q14" s="2"/>
      <c r="R14" s="2"/>
      <c r="S14" s="2"/>
      <c r="T14" s="2"/>
      <c r="U14" s="2"/>
      <c r="V14" s="2"/>
      <c r="W14" s="2"/>
      <c r="X14" s="2"/>
      <c r="Y14" s="2"/>
      <c r="Z14" s="2"/>
    </row>
    <row r="15">
      <c r="A15" s="14"/>
      <c r="B15" s="13"/>
      <c r="C15" s="2"/>
      <c r="D15" s="2"/>
      <c r="E15" s="2"/>
      <c r="F15" s="2"/>
      <c r="G15" s="2"/>
      <c r="H15" s="2"/>
      <c r="I15" s="2"/>
      <c r="J15" s="2"/>
      <c r="K15" s="2"/>
      <c r="L15" s="2"/>
      <c r="M15" s="2"/>
      <c r="N15" s="2"/>
      <c r="O15" s="2"/>
      <c r="P15" s="2"/>
      <c r="Q15" s="2"/>
      <c r="R15" s="2"/>
      <c r="S15" s="2"/>
      <c r="T15" s="2"/>
      <c r="U15" s="2"/>
      <c r="V15" s="2"/>
      <c r="W15" s="2"/>
      <c r="X15" s="2"/>
      <c r="Y15" s="2"/>
      <c r="Z15" s="2"/>
    </row>
    <row r="16">
      <c r="A16" s="14"/>
      <c r="B16" s="13"/>
      <c r="C16" s="2"/>
      <c r="D16" s="2"/>
      <c r="E16" s="2"/>
      <c r="F16" s="2"/>
      <c r="G16" s="2"/>
      <c r="H16" s="2"/>
      <c r="I16" s="2"/>
      <c r="J16" s="2"/>
      <c r="K16" s="2"/>
      <c r="L16" s="2"/>
      <c r="M16" s="2"/>
      <c r="N16" s="2"/>
      <c r="O16" s="2"/>
      <c r="P16" s="2"/>
      <c r="Q16" s="2"/>
      <c r="R16" s="2"/>
      <c r="S16" s="2"/>
      <c r="T16" s="2"/>
      <c r="U16" s="2"/>
      <c r="V16" s="2"/>
      <c r="W16" s="2"/>
      <c r="X16" s="2"/>
      <c r="Y16" s="2"/>
      <c r="Z16" s="2"/>
    </row>
    <row r="17">
      <c r="A17" s="14"/>
      <c r="B17" s="13"/>
      <c r="C17" s="2"/>
      <c r="D17" s="2"/>
      <c r="E17" s="2"/>
      <c r="F17" s="2"/>
      <c r="G17" s="2"/>
      <c r="H17" s="2"/>
      <c r="I17" s="2"/>
      <c r="J17" s="2"/>
      <c r="K17" s="2"/>
      <c r="L17" s="2"/>
      <c r="M17" s="2"/>
      <c r="N17" s="2"/>
      <c r="O17" s="2"/>
      <c r="P17" s="2"/>
      <c r="Q17" s="2"/>
      <c r="R17" s="2"/>
      <c r="S17" s="2"/>
      <c r="T17" s="2"/>
      <c r="U17" s="2"/>
      <c r="V17" s="2"/>
      <c r="W17" s="2"/>
      <c r="X17" s="2"/>
      <c r="Y17" s="2"/>
      <c r="Z17" s="2"/>
    </row>
    <row r="18">
      <c r="A18" s="14"/>
      <c r="B18" s="13"/>
      <c r="C18" s="2"/>
      <c r="D18" s="2"/>
      <c r="E18" s="2"/>
      <c r="F18" s="2"/>
      <c r="G18" s="2"/>
      <c r="H18" s="2"/>
      <c r="I18" s="2"/>
      <c r="J18" s="2"/>
      <c r="K18" s="2"/>
      <c r="L18" s="2"/>
      <c r="M18" s="2"/>
      <c r="N18" s="2"/>
      <c r="O18" s="2"/>
      <c r="P18" s="2"/>
      <c r="Q18" s="2"/>
      <c r="R18" s="2"/>
      <c r="S18" s="2"/>
      <c r="T18" s="2"/>
      <c r="U18" s="2"/>
      <c r="V18" s="2"/>
      <c r="W18" s="2"/>
      <c r="X18" s="2"/>
      <c r="Y18" s="2"/>
      <c r="Z18" s="2"/>
    </row>
    <row r="19">
      <c r="A19" s="14"/>
      <c r="B19" s="13"/>
      <c r="C19" s="2"/>
      <c r="D19" s="2"/>
      <c r="E19" s="2"/>
      <c r="F19" s="2"/>
      <c r="G19" s="2"/>
      <c r="H19" s="2"/>
      <c r="I19" s="2"/>
      <c r="J19" s="2"/>
      <c r="K19" s="2"/>
      <c r="L19" s="2"/>
      <c r="M19" s="2"/>
      <c r="N19" s="2"/>
      <c r="O19" s="2"/>
      <c r="P19" s="2"/>
      <c r="Q19" s="2"/>
      <c r="R19" s="2"/>
      <c r="S19" s="2"/>
      <c r="T19" s="2"/>
      <c r="U19" s="2"/>
      <c r="V19" s="2"/>
      <c r="W19" s="2"/>
      <c r="X19" s="2"/>
      <c r="Y19" s="2"/>
      <c r="Z19" s="2"/>
    </row>
    <row r="20">
      <c r="A20" s="14"/>
      <c r="B20" s="13"/>
      <c r="C20" s="2"/>
      <c r="D20" s="2"/>
      <c r="E20" s="2"/>
      <c r="F20" s="2"/>
      <c r="G20" s="2"/>
      <c r="H20" s="2"/>
      <c r="I20" s="2"/>
      <c r="J20" s="2"/>
      <c r="K20" s="2"/>
      <c r="L20" s="2"/>
      <c r="M20" s="2"/>
      <c r="N20" s="2"/>
      <c r="O20" s="2"/>
      <c r="P20" s="2"/>
      <c r="Q20" s="2"/>
      <c r="R20" s="2"/>
      <c r="S20" s="2"/>
      <c r="T20" s="2"/>
      <c r="U20" s="2"/>
      <c r="V20" s="2"/>
      <c r="W20" s="2"/>
      <c r="X20" s="2"/>
      <c r="Y20" s="2"/>
      <c r="Z20" s="2"/>
    </row>
    <row r="21">
      <c r="A21" s="14"/>
      <c r="B21" s="13"/>
      <c r="C21" s="2"/>
      <c r="D21" s="2"/>
      <c r="E21" s="2"/>
      <c r="F21" s="2"/>
      <c r="G21" s="2"/>
      <c r="H21" s="2"/>
      <c r="I21" s="2"/>
      <c r="J21" s="2"/>
      <c r="K21" s="2"/>
      <c r="L21" s="2"/>
      <c r="M21" s="2"/>
      <c r="N21" s="2"/>
      <c r="O21" s="2"/>
      <c r="P21" s="2"/>
      <c r="Q21" s="2"/>
      <c r="R21" s="2"/>
      <c r="S21" s="2"/>
      <c r="T21" s="2"/>
      <c r="U21" s="2"/>
      <c r="V21" s="2"/>
      <c r="W21" s="2"/>
      <c r="X21" s="2"/>
      <c r="Y21" s="2"/>
      <c r="Z21" s="2"/>
    </row>
    <row r="22">
      <c r="A22" s="14"/>
      <c r="B22" s="13"/>
      <c r="C22" s="2"/>
      <c r="D22" s="2"/>
      <c r="E22" s="2"/>
      <c r="F22" s="2"/>
      <c r="G22" s="2"/>
      <c r="H22" s="2"/>
      <c r="I22" s="2"/>
      <c r="J22" s="2"/>
      <c r="K22" s="2"/>
      <c r="L22" s="2"/>
      <c r="M22" s="2"/>
      <c r="N22" s="2"/>
      <c r="O22" s="2"/>
      <c r="P22" s="2"/>
      <c r="Q22" s="2"/>
      <c r="R22" s="2"/>
      <c r="S22" s="2"/>
      <c r="T22" s="2"/>
      <c r="U22" s="2"/>
      <c r="V22" s="2"/>
      <c r="W22" s="2"/>
      <c r="X22" s="2"/>
      <c r="Y22" s="2"/>
      <c r="Z22" s="2"/>
    </row>
    <row r="23">
      <c r="A23" s="14"/>
      <c r="B23" s="13"/>
      <c r="C23" s="2"/>
      <c r="D23" s="2"/>
      <c r="E23" s="2"/>
      <c r="F23" s="2"/>
      <c r="G23" s="2"/>
      <c r="H23" s="2"/>
      <c r="I23" s="2"/>
      <c r="J23" s="2"/>
      <c r="K23" s="2"/>
      <c r="L23" s="2"/>
      <c r="M23" s="2"/>
      <c r="N23" s="2"/>
      <c r="O23" s="2"/>
      <c r="P23" s="2"/>
      <c r="Q23" s="2"/>
      <c r="R23" s="2"/>
      <c r="S23" s="2"/>
      <c r="T23" s="2"/>
      <c r="U23" s="2"/>
      <c r="V23" s="2"/>
      <c r="W23" s="2"/>
      <c r="X23" s="2"/>
      <c r="Y23" s="2"/>
      <c r="Z23" s="2"/>
    </row>
    <row r="24">
      <c r="A24" s="14"/>
      <c r="B24" s="13"/>
      <c r="C24" s="2"/>
      <c r="D24" s="2"/>
      <c r="E24" s="2"/>
      <c r="F24" s="2"/>
      <c r="G24" s="2"/>
      <c r="H24" s="2"/>
      <c r="I24" s="2"/>
      <c r="J24" s="2"/>
      <c r="K24" s="2"/>
      <c r="L24" s="2"/>
      <c r="M24" s="2"/>
      <c r="N24" s="2"/>
      <c r="O24" s="2"/>
      <c r="P24" s="2"/>
      <c r="Q24" s="2"/>
      <c r="R24" s="2"/>
      <c r="S24" s="2"/>
      <c r="T24" s="2"/>
      <c r="U24" s="2"/>
      <c r="V24" s="2"/>
      <c r="W24" s="2"/>
      <c r="X24" s="2"/>
      <c r="Y24" s="2"/>
      <c r="Z24" s="2"/>
    </row>
    <row r="25">
      <c r="A25" s="14"/>
      <c r="B25" s="13"/>
      <c r="C25" s="2"/>
      <c r="D25" s="2"/>
      <c r="E25" s="2"/>
      <c r="F25" s="2"/>
      <c r="G25" s="2"/>
      <c r="H25" s="2"/>
      <c r="I25" s="2"/>
      <c r="J25" s="2"/>
      <c r="K25" s="2"/>
      <c r="L25" s="2"/>
      <c r="M25" s="2"/>
      <c r="N25" s="2"/>
      <c r="O25" s="2"/>
      <c r="P25" s="2"/>
      <c r="Q25" s="2"/>
      <c r="R25" s="2"/>
      <c r="S25" s="2"/>
      <c r="T25" s="2"/>
      <c r="U25" s="2"/>
      <c r="V25" s="2"/>
      <c r="W25" s="2"/>
      <c r="X25" s="2"/>
      <c r="Y25" s="2"/>
      <c r="Z25" s="2"/>
    </row>
    <row r="26">
      <c r="A26" s="14"/>
      <c r="B26" s="13"/>
      <c r="C26" s="2"/>
      <c r="D26" s="2"/>
      <c r="E26" s="2"/>
      <c r="F26" s="2"/>
      <c r="G26" s="2"/>
      <c r="H26" s="2"/>
      <c r="I26" s="2"/>
      <c r="J26" s="2"/>
      <c r="K26" s="2"/>
      <c r="L26" s="2"/>
      <c r="M26" s="2"/>
      <c r="N26" s="2"/>
      <c r="O26" s="2"/>
      <c r="P26" s="2"/>
      <c r="Q26" s="2"/>
      <c r="R26" s="2"/>
      <c r="S26" s="2"/>
      <c r="T26" s="2"/>
      <c r="U26" s="2"/>
      <c r="V26" s="2"/>
      <c r="W26" s="2"/>
      <c r="X26" s="2"/>
      <c r="Y26" s="2"/>
      <c r="Z26" s="2"/>
    </row>
    <row r="27">
      <c r="A27" s="14"/>
      <c r="B27" s="13"/>
      <c r="C27" s="2"/>
      <c r="D27" s="2"/>
      <c r="E27" s="2"/>
      <c r="F27" s="2"/>
      <c r="G27" s="2"/>
      <c r="H27" s="2"/>
      <c r="I27" s="2"/>
      <c r="J27" s="2"/>
      <c r="K27" s="2"/>
      <c r="L27" s="2"/>
      <c r="M27" s="2"/>
      <c r="N27" s="2"/>
      <c r="O27" s="2"/>
      <c r="P27" s="2"/>
      <c r="Q27" s="2"/>
      <c r="R27" s="2"/>
      <c r="S27" s="2"/>
      <c r="T27" s="2"/>
      <c r="U27" s="2"/>
      <c r="V27" s="2"/>
      <c r="W27" s="2"/>
      <c r="X27" s="2"/>
      <c r="Y27" s="2"/>
      <c r="Z27" s="2"/>
    </row>
    <row r="28">
      <c r="A28" s="14"/>
      <c r="B28" s="13"/>
      <c r="C28" s="2"/>
      <c r="D28" s="2"/>
      <c r="E28" s="2"/>
      <c r="F28" s="2"/>
      <c r="G28" s="2"/>
      <c r="H28" s="2"/>
      <c r="I28" s="2"/>
      <c r="J28" s="2"/>
      <c r="K28" s="2"/>
      <c r="L28" s="2"/>
      <c r="M28" s="2"/>
      <c r="N28" s="2"/>
      <c r="O28" s="2"/>
      <c r="P28" s="2"/>
      <c r="Q28" s="2"/>
      <c r="R28" s="2"/>
      <c r="S28" s="2"/>
      <c r="T28" s="2"/>
      <c r="U28" s="2"/>
      <c r="V28" s="2"/>
      <c r="W28" s="2"/>
      <c r="X28" s="2"/>
      <c r="Y28" s="2"/>
      <c r="Z28" s="2"/>
    </row>
    <row r="29">
      <c r="A29" s="14"/>
      <c r="B29" s="13"/>
      <c r="C29" s="2"/>
      <c r="D29" s="2"/>
      <c r="E29" s="2"/>
      <c r="F29" s="2"/>
      <c r="G29" s="2"/>
      <c r="H29" s="2"/>
      <c r="I29" s="2"/>
      <c r="J29" s="2"/>
      <c r="K29" s="2"/>
      <c r="L29" s="2"/>
      <c r="M29" s="2"/>
      <c r="N29" s="2"/>
      <c r="O29" s="2"/>
      <c r="P29" s="2"/>
      <c r="Q29" s="2"/>
      <c r="R29" s="2"/>
      <c r="S29" s="2"/>
      <c r="T29" s="2"/>
      <c r="U29" s="2"/>
      <c r="V29" s="2"/>
      <c r="W29" s="2"/>
      <c r="X29" s="2"/>
      <c r="Y29" s="2"/>
      <c r="Z29" s="2"/>
    </row>
    <row r="30">
      <c r="A30" s="14"/>
      <c r="B30" s="13"/>
      <c r="C30" s="2"/>
      <c r="D30" s="2"/>
      <c r="E30" s="2"/>
      <c r="F30" s="2"/>
      <c r="G30" s="2"/>
      <c r="H30" s="2"/>
      <c r="I30" s="2"/>
      <c r="J30" s="2"/>
      <c r="K30" s="2"/>
      <c r="L30" s="2"/>
      <c r="M30" s="2"/>
      <c r="N30" s="2"/>
      <c r="O30" s="2"/>
      <c r="P30" s="2"/>
      <c r="Q30" s="2"/>
      <c r="R30" s="2"/>
      <c r="S30" s="2"/>
      <c r="T30" s="2"/>
      <c r="U30" s="2"/>
      <c r="V30" s="2"/>
      <c r="W30" s="2"/>
      <c r="X30" s="2"/>
      <c r="Y30" s="2"/>
      <c r="Z30" s="2"/>
    </row>
    <row r="31">
      <c r="A31" s="14"/>
      <c r="B31" s="13"/>
      <c r="C31" s="2"/>
      <c r="D31" s="2"/>
      <c r="E31" s="2"/>
      <c r="F31" s="2"/>
      <c r="G31" s="2"/>
      <c r="H31" s="2"/>
      <c r="I31" s="2"/>
      <c r="J31" s="2"/>
      <c r="K31" s="2"/>
      <c r="L31" s="2"/>
      <c r="M31" s="2"/>
      <c r="N31" s="2"/>
      <c r="O31" s="2"/>
      <c r="P31" s="2"/>
      <c r="Q31" s="2"/>
      <c r="R31" s="2"/>
      <c r="S31" s="2"/>
      <c r="T31" s="2"/>
      <c r="U31" s="2"/>
      <c r="V31" s="2"/>
      <c r="W31" s="2"/>
      <c r="X31" s="2"/>
      <c r="Y31" s="2"/>
      <c r="Z31" s="2"/>
    </row>
    <row r="32">
      <c r="A32" s="14"/>
      <c r="B32" s="2"/>
      <c r="C32" s="2"/>
      <c r="D32" s="2"/>
      <c r="E32" s="2"/>
      <c r="F32" s="2"/>
      <c r="G32" s="2"/>
      <c r="H32" s="2"/>
      <c r="I32" s="2"/>
      <c r="J32" s="2"/>
      <c r="K32" s="2"/>
      <c r="L32" s="2"/>
      <c r="M32" s="2"/>
      <c r="N32" s="2"/>
      <c r="O32" s="2"/>
      <c r="P32" s="2"/>
      <c r="Q32" s="2"/>
      <c r="R32" s="2"/>
      <c r="S32" s="2"/>
      <c r="T32" s="2"/>
      <c r="U32" s="2"/>
      <c r="V32" s="2"/>
      <c r="W32" s="2"/>
      <c r="X32" s="2"/>
      <c r="Y32" s="2"/>
      <c r="Z32" s="2"/>
    </row>
    <row r="33">
      <c r="A33" s="14"/>
      <c r="B33" s="2"/>
      <c r="C33" s="2"/>
      <c r="D33" s="2"/>
      <c r="E33" s="2"/>
      <c r="F33" s="2"/>
      <c r="G33" s="2"/>
      <c r="H33" s="2"/>
      <c r="I33" s="2"/>
      <c r="J33" s="2"/>
      <c r="K33" s="2"/>
      <c r="L33" s="2"/>
      <c r="M33" s="2"/>
      <c r="N33" s="2"/>
      <c r="O33" s="2"/>
      <c r="P33" s="2"/>
      <c r="Q33" s="2"/>
      <c r="R33" s="2"/>
      <c r="S33" s="2"/>
      <c r="T33" s="2"/>
      <c r="U33" s="2"/>
      <c r="V33" s="2"/>
      <c r="W33" s="2"/>
      <c r="X33" s="2"/>
      <c r="Y33" s="2"/>
      <c r="Z33" s="2"/>
    </row>
    <row r="34">
      <c r="A34" s="14"/>
      <c r="B34" s="2"/>
      <c r="C34" s="2"/>
      <c r="D34" s="2"/>
      <c r="E34" s="2"/>
      <c r="F34" s="2"/>
      <c r="G34" s="2"/>
      <c r="H34" s="2"/>
      <c r="I34" s="2"/>
      <c r="J34" s="2"/>
      <c r="K34" s="2"/>
      <c r="L34" s="2"/>
      <c r="M34" s="2"/>
      <c r="N34" s="2"/>
      <c r="O34" s="2"/>
      <c r="P34" s="2"/>
      <c r="Q34" s="2"/>
      <c r="R34" s="2"/>
      <c r="S34" s="2"/>
      <c r="T34" s="2"/>
      <c r="U34" s="2"/>
      <c r="V34" s="2"/>
      <c r="W34" s="2"/>
      <c r="X34" s="2"/>
      <c r="Y34" s="2"/>
      <c r="Z34" s="2"/>
    </row>
    <row r="35">
      <c r="A35" s="14"/>
      <c r="B35" s="2"/>
      <c r="C35" s="2"/>
      <c r="D35" s="2"/>
      <c r="E35" s="2"/>
      <c r="F35" s="2"/>
      <c r="G35" s="2"/>
      <c r="H35" s="2"/>
      <c r="I35" s="2"/>
      <c r="J35" s="2"/>
      <c r="K35" s="2"/>
      <c r="L35" s="2"/>
      <c r="M35" s="2"/>
      <c r="N35" s="2"/>
      <c r="O35" s="2"/>
      <c r="P35" s="2"/>
      <c r="Q35" s="2"/>
      <c r="R35" s="2"/>
      <c r="S35" s="2"/>
      <c r="T35" s="2"/>
      <c r="U35" s="2"/>
      <c r="V35" s="2"/>
      <c r="W35" s="2"/>
      <c r="X35" s="2"/>
      <c r="Y35" s="2"/>
      <c r="Z35" s="2"/>
    </row>
    <row r="36">
      <c r="A36" s="14"/>
      <c r="B36" s="2"/>
      <c r="C36" s="2"/>
      <c r="D36" s="2"/>
      <c r="E36" s="2"/>
      <c r="F36" s="2"/>
      <c r="G36" s="2"/>
      <c r="H36" s="2"/>
      <c r="I36" s="2"/>
      <c r="J36" s="2"/>
      <c r="K36" s="2"/>
      <c r="L36" s="2"/>
      <c r="M36" s="2"/>
      <c r="N36" s="2"/>
      <c r="O36" s="2"/>
      <c r="P36" s="2"/>
      <c r="Q36" s="2"/>
      <c r="R36" s="2"/>
      <c r="S36" s="2"/>
      <c r="T36" s="2"/>
      <c r="U36" s="2"/>
      <c r="V36" s="2"/>
      <c r="W36" s="2"/>
      <c r="X36" s="2"/>
      <c r="Y36" s="2"/>
      <c r="Z36" s="2"/>
    </row>
    <row r="37">
      <c r="A37" s="14"/>
      <c r="B37" s="2"/>
      <c r="C37" s="2"/>
      <c r="D37" s="2"/>
      <c r="E37" s="2"/>
      <c r="F37" s="2"/>
      <c r="G37" s="2"/>
      <c r="H37" s="2"/>
      <c r="I37" s="2"/>
      <c r="J37" s="2"/>
      <c r="K37" s="2"/>
      <c r="L37" s="2"/>
      <c r="M37" s="2"/>
      <c r="N37" s="2"/>
      <c r="O37" s="2"/>
      <c r="P37" s="2"/>
      <c r="Q37" s="2"/>
      <c r="R37" s="2"/>
      <c r="S37" s="2"/>
      <c r="T37" s="2"/>
      <c r="U37" s="2"/>
      <c r="V37" s="2"/>
      <c r="W37" s="2"/>
      <c r="X37" s="2"/>
      <c r="Y37" s="2"/>
      <c r="Z37" s="2"/>
    </row>
    <row r="38">
      <c r="A38" s="14"/>
      <c r="B38" s="2"/>
      <c r="C38" s="2"/>
      <c r="D38" s="2"/>
      <c r="E38" s="2"/>
      <c r="F38" s="2"/>
      <c r="G38" s="2"/>
      <c r="H38" s="2"/>
      <c r="I38" s="2"/>
      <c r="J38" s="2"/>
      <c r="K38" s="2"/>
      <c r="L38" s="2"/>
      <c r="M38" s="2"/>
      <c r="N38" s="2"/>
      <c r="O38" s="2"/>
      <c r="P38" s="2"/>
      <c r="Q38" s="2"/>
      <c r="R38" s="2"/>
      <c r="S38" s="2"/>
      <c r="T38" s="2"/>
      <c r="U38" s="2"/>
      <c r="V38" s="2"/>
      <c r="W38" s="2"/>
      <c r="X38" s="2"/>
      <c r="Y38" s="2"/>
      <c r="Z38" s="2"/>
    </row>
    <row r="39">
      <c r="A39" s="14"/>
      <c r="B39" s="2"/>
      <c r="C39" s="2"/>
      <c r="D39" s="2"/>
      <c r="E39" s="2"/>
      <c r="F39" s="2"/>
      <c r="G39" s="2"/>
      <c r="H39" s="2"/>
      <c r="I39" s="2"/>
      <c r="J39" s="2"/>
      <c r="K39" s="2"/>
      <c r="L39" s="2"/>
      <c r="M39" s="2"/>
      <c r="N39" s="2"/>
      <c r="O39" s="2"/>
      <c r="P39" s="2"/>
      <c r="Q39" s="2"/>
      <c r="R39" s="2"/>
      <c r="S39" s="2"/>
      <c r="T39" s="2"/>
      <c r="U39" s="2"/>
      <c r="V39" s="2"/>
      <c r="W39" s="2"/>
      <c r="X39" s="2"/>
      <c r="Y39" s="2"/>
      <c r="Z39" s="2"/>
    </row>
    <row r="40">
      <c r="A40" s="14"/>
      <c r="B40" s="2"/>
      <c r="C40" s="2"/>
      <c r="D40" s="2"/>
      <c r="E40" s="2"/>
      <c r="F40" s="2"/>
      <c r="G40" s="2"/>
      <c r="H40" s="2"/>
      <c r="I40" s="2"/>
      <c r="J40" s="2"/>
      <c r="K40" s="2"/>
      <c r="L40" s="2"/>
      <c r="M40" s="2"/>
      <c r="N40" s="2"/>
      <c r="O40" s="2"/>
      <c r="P40" s="2"/>
      <c r="Q40" s="2"/>
      <c r="R40" s="2"/>
      <c r="S40" s="2"/>
      <c r="T40" s="2"/>
      <c r="U40" s="2"/>
      <c r="V40" s="2"/>
      <c r="W40" s="2"/>
      <c r="X40" s="2"/>
      <c r="Y40" s="2"/>
      <c r="Z40" s="2"/>
    </row>
    <row r="41">
      <c r="A41" s="14"/>
      <c r="B41" s="2"/>
      <c r="C41" s="2"/>
      <c r="D41" s="2"/>
      <c r="E41" s="2"/>
      <c r="F41" s="2"/>
      <c r="G41" s="2"/>
      <c r="H41" s="2"/>
      <c r="I41" s="2"/>
      <c r="J41" s="2"/>
      <c r="K41" s="2"/>
      <c r="L41" s="2"/>
      <c r="M41" s="2"/>
      <c r="N41" s="2"/>
      <c r="O41" s="2"/>
      <c r="P41" s="2"/>
      <c r="Q41" s="2"/>
      <c r="R41" s="2"/>
      <c r="S41" s="2"/>
      <c r="T41" s="2"/>
      <c r="U41" s="2"/>
      <c r="V41" s="2"/>
      <c r="W41" s="2"/>
      <c r="X41" s="2"/>
      <c r="Y41" s="2"/>
      <c r="Z41" s="2"/>
    </row>
    <row r="42">
      <c r="A42" s="14"/>
      <c r="B42" s="2"/>
      <c r="C42" s="2"/>
      <c r="D42" s="2"/>
      <c r="E42" s="2"/>
      <c r="F42" s="2"/>
      <c r="G42" s="2"/>
      <c r="H42" s="2"/>
      <c r="I42" s="2"/>
      <c r="J42" s="2"/>
      <c r="K42" s="2"/>
      <c r="L42" s="2"/>
      <c r="M42" s="2"/>
      <c r="N42" s="2"/>
      <c r="O42" s="2"/>
      <c r="P42" s="2"/>
      <c r="Q42" s="2"/>
      <c r="R42" s="2"/>
      <c r="S42" s="2"/>
      <c r="T42" s="2"/>
      <c r="U42" s="2"/>
      <c r="V42" s="2"/>
      <c r="W42" s="2"/>
      <c r="X42" s="2"/>
      <c r="Y42" s="2"/>
      <c r="Z42" s="2"/>
    </row>
    <row r="43">
      <c r="A43" s="14"/>
      <c r="B43" s="2"/>
      <c r="C43" s="2"/>
      <c r="D43" s="2"/>
      <c r="E43" s="2"/>
      <c r="F43" s="2"/>
      <c r="G43" s="2"/>
      <c r="H43" s="2"/>
      <c r="I43" s="2"/>
      <c r="J43" s="2"/>
      <c r="K43" s="2"/>
      <c r="L43" s="2"/>
      <c r="M43" s="2"/>
      <c r="N43" s="2"/>
      <c r="O43" s="2"/>
      <c r="P43" s="2"/>
      <c r="Q43" s="2"/>
      <c r="R43" s="2"/>
      <c r="S43" s="2"/>
      <c r="T43" s="2"/>
      <c r="U43" s="2"/>
      <c r="V43" s="2"/>
      <c r="W43" s="2"/>
      <c r="X43" s="2"/>
      <c r="Y43" s="2"/>
      <c r="Z43" s="2"/>
    </row>
    <row r="44">
      <c r="A44" s="14"/>
      <c r="B44" s="2"/>
      <c r="C44" s="2"/>
      <c r="D44" s="2"/>
      <c r="E44" s="2"/>
      <c r="F44" s="2"/>
      <c r="G44" s="2"/>
      <c r="H44" s="2"/>
      <c r="I44" s="2"/>
      <c r="J44" s="2"/>
      <c r="K44" s="2"/>
      <c r="L44" s="2"/>
      <c r="M44" s="2"/>
      <c r="N44" s="2"/>
      <c r="O44" s="2"/>
      <c r="P44" s="2"/>
      <c r="Q44" s="2"/>
      <c r="R44" s="2"/>
      <c r="S44" s="2"/>
      <c r="T44" s="2"/>
      <c r="U44" s="2"/>
      <c r="V44" s="2"/>
      <c r="W44" s="2"/>
      <c r="X44" s="2"/>
      <c r="Y44" s="2"/>
      <c r="Z44" s="2"/>
    </row>
    <row r="45">
      <c r="A45" s="14"/>
      <c r="B45" s="2"/>
      <c r="C45" s="2"/>
      <c r="D45" s="2"/>
      <c r="E45" s="2"/>
      <c r="F45" s="2"/>
      <c r="G45" s="2"/>
      <c r="H45" s="2"/>
      <c r="I45" s="2"/>
      <c r="J45" s="2"/>
      <c r="K45" s="2"/>
      <c r="L45" s="2"/>
      <c r="M45" s="2"/>
      <c r="N45" s="2"/>
      <c r="O45" s="2"/>
      <c r="P45" s="2"/>
      <c r="Q45" s="2"/>
      <c r="R45" s="2"/>
      <c r="S45" s="2"/>
      <c r="T45" s="2"/>
      <c r="U45" s="2"/>
      <c r="V45" s="2"/>
      <c r="W45" s="2"/>
      <c r="X45" s="2"/>
      <c r="Y45" s="2"/>
      <c r="Z45" s="2"/>
    </row>
    <row r="46">
      <c r="A46" s="14"/>
      <c r="B46" s="2"/>
      <c r="C46" s="2"/>
      <c r="D46" s="2"/>
      <c r="E46" s="2"/>
      <c r="F46" s="2"/>
      <c r="G46" s="2"/>
      <c r="H46" s="2"/>
      <c r="I46" s="2"/>
      <c r="J46" s="2"/>
      <c r="K46" s="2"/>
      <c r="L46" s="2"/>
      <c r="M46" s="2"/>
      <c r="N46" s="2"/>
      <c r="O46" s="2"/>
      <c r="P46" s="2"/>
      <c r="Q46" s="2"/>
      <c r="R46" s="2"/>
      <c r="S46" s="2"/>
      <c r="T46" s="2"/>
      <c r="U46" s="2"/>
      <c r="V46" s="2"/>
      <c r="W46" s="2"/>
      <c r="X46" s="2"/>
      <c r="Y46" s="2"/>
      <c r="Z46" s="2"/>
    </row>
    <row r="47">
      <c r="A47" s="14"/>
      <c r="B47" s="2"/>
      <c r="C47" s="2"/>
      <c r="D47" s="2"/>
      <c r="E47" s="2"/>
      <c r="F47" s="2"/>
      <c r="G47" s="2"/>
      <c r="H47" s="2"/>
      <c r="I47" s="2"/>
      <c r="J47" s="2"/>
      <c r="K47" s="2"/>
      <c r="L47" s="2"/>
      <c r="M47" s="2"/>
      <c r="N47" s="2"/>
      <c r="O47" s="2"/>
      <c r="P47" s="2"/>
      <c r="Q47" s="2"/>
      <c r="R47" s="2"/>
      <c r="S47" s="2"/>
      <c r="T47" s="2"/>
      <c r="U47" s="2"/>
      <c r="V47" s="2"/>
      <c r="W47" s="2"/>
      <c r="X47" s="2"/>
      <c r="Y47" s="2"/>
      <c r="Z47" s="2"/>
    </row>
    <row r="48">
      <c r="A48" s="14"/>
      <c r="B48" s="2"/>
      <c r="C48" s="2"/>
      <c r="D48" s="2"/>
      <c r="E48" s="2"/>
      <c r="F48" s="2"/>
      <c r="G48" s="2"/>
      <c r="H48" s="2"/>
      <c r="I48" s="2"/>
      <c r="J48" s="2"/>
      <c r="K48" s="2"/>
      <c r="L48" s="2"/>
      <c r="M48" s="2"/>
      <c r="N48" s="2"/>
      <c r="O48" s="2"/>
      <c r="P48" s="2"/>
      <c r="Q48" s="2"/>
      <c r="R48" s="2"/>
      <c r="S48" s="2"/>
      <c r="T48" s="2"/>
      <c r="U48" s="2"/>
      <c r="V48" s="2"/>
      <c r="W48" s="2"/>
      <c r="X48" s="2"/>
      <c r="Y48" s="2"/>
      <c r="Z48" s="2"/>
    </row>
    <row r="49">
      <c r="A49" s="14"/>
      <c r="B49" s="2"/>
      <c r="C49" s="2"/>
      <c r="D49" s="2"/>
      <c r="E49" s="2"/>
      <c r="F49" s="2"/>
      <c r="G49" s="2"/>
      <c r="H49" s="2"/>
      <c r="I49" s="2"/>
      <c r="J49" s="2"/>
      <c r="K49" s="2"/>
      <c r="L49" s="2"/>
      <c r="M49" s="2"/>
      <c r="N49" s="2"/>
      <c r="O49" s="2"/>
      <c r="P49" s="2"/>
      <c r="Q49" s="2"/>
      <c r="R49" s="2"/>
      <c r="S49" s="2"/>
      <c r="T49" s="2"/>
      <c r="U49" s="2"/>
      <c r="V49" s="2"/>
      <c r="W49" s="2"/>
      <c r="X49" s="2"/>
      <c r="Y49" s="2"/>
      <c r="Z49" s="2"/>
    </row>
    <row r="50">
      <c r="A50" s="14"/>
      <c r="B50" s="2"/>
      <c r="C50" s="2"/>
      <c r="D50" s="2"/>
      <c r="E50" s="2"/>
      <c r="F50" s="2"/>
      <c r="G50" s="2"/>
      <c r="H50" s="2"/>
      <c r="I50" s="2"/>
      <c r="J50" s="2"/>
      <c r="K50" s="2"/>
      <c r="L50" s="2"/>
      <c r="M50" s="2"/>
      <c r="N50" s="2"/>
      <c r="O50" s="2"/>
      <c r="P50" s="2"/>
      <c r="Q50" s="2"/>
      <c r="R50" s="2"/>
      <c r="S50" s="2"/>
      <c r="T50" s="2"/>
      <c r="U50" s="2"/>
      <c r="V50" s="2"/>
      <c r="W50" s="2"/>
      <c r="X50" s="2"/>
      <c r="Y50" s="2"/>
      <c r="Z50" s="2"/>
    </row>
    <row r="51">
      <c r="A51" s="14"/>
      <c r="B51" s="2"/>
      <c r="C51" s="2"/>
      <c r="D51" s="2"/>
      <c r="E51" s="2"/>
      <c r="F51" s="2"/>
      <c r="G51" s="2"/>
      <c r="H51" s="2"/>
      <c r="I51" s="2"/>
      <c r="J51" s="2"/>
      <c r="K51" s="2"/>
      <c r="L51" s="2"/>
      <c r="M51" s="2"/>
      <c r="N51" s="2"/>
      <c r="O51" s="2"/>
      <c r="P51" s="2"/>
      <c r="Q51" s="2"/>
      <c r="R51" s="2"/>
      <c r="S51" s="2"/>
      <c r="T51" s="2"/>
      <c r="U51" s="2"/>
      <c r="V51" s="2"/>
      <c r="W51" s="2"/>
      <c r="X51" s="2"/>
      <c r="Y51" s="2"/>
      <c r="Z51" s="2"/>
    </row>
    <row r="52">
      <c r="A52" s="14"/>
      <c r="B52" s="2"/>
      <c r="C52" s="2"/>
      <c r="D52" s="2"/>
      <c r="E52" s="2"/>
      <c r="F52" s="2"/>
      <c r="G52" s="2"/>
      <c r="H52" s="2"/>
      <c r="I52" s="2"/>
      <c r="J52" s="2"/>
      <c r="K52" s="2"/>
      <c r="L52" s="2"/>
      <c r="M52" s="2"/>
      <c r="N52" s="2"/>
      <c r="O52" s="2"/>
      <c r="P52" s="2"/>
      <c r="Q52" s="2"/>
      <c r="R52" s="2"/>
      <c r="S52" s="2"/>
      <c r="T52" s="2"/>
      <c r="U52" s="2"/>
      <c r="V52" s="2"/>
      <c r="W52" s="2"/>
      <c r="X52" s="2"/>
      <c r="Y52" s="2"/>
      <c r="Z52" s="2"/>
    </row>
    <row r="53">
      <c r="A53" s="14"/>
      <c r="B53" s="2"/>
      <c r="C53" s="2"/>
      <c r="D53" s="2"/>
      <c r="E53" s="2"/>
      <c r="F53" s="2"/>
      <c r="G53" s="2"/>
      <c r="H53" s="2"/>
      <c r="I53" s="2"/>
      <c r="J53" s="2"/>
      <c r="K53" s="2"/>
      <c r="L53" s="2"/>
      <c r="M53" s="2"/>
      <c r="N53" s="2"/>
      <c r="O53" s="2"/>
      <c r="P53" s="2"/>
      <c r="Q53" s="2"/>
      <c r="R53" s="2"/>
      <c r="S53" s="2"/>
      <c r="T53" s="2"/>
      <c r="U53" s="2"/>
      <c r="V53" s="2"/>
      <c r="W53" s="2"/>
      <c r="X53" s="2"/>
      <c r="Y53" s="2"/>
      <c r="Z53" s="2"/>
    </row>
    <row r="54">
      <c r="A54" s="14"/>
      <c r="B54" s="2"/>
      <c r="C54" s="2"/>
      <c r="D54" s="2"/>
      <c r="E54" s="2"/>
      <c r="F54" s="2"/>
      <c r="G54" s="2"/>
      <c r="H54" s="2"/>
      <c r="I54" s="2"/>
      <c r="J54" s="2"/>
      <c r="K54" s="2"/>
      <c r="L54" s="2"/>
      <c r="M54" s="2"/>
      <c r="N54" s="2"/>
      <c r="O54" s="2"/>
      <c r="P54" s="2"/>
      <c r="Q54" s="2"/>
      <c r="R54" s="2"/>
      <c r="S54" s="2"/>
      <c r="T54" s="2"/>
      <c r="U54" s="2"/>
      <c r="V54" s="2"/>
      <c r="W54" s="2"/>
      <c r="X54" s="2"/>
      <c r="Y54" s="2"/>
      <c r="Z54" s="2"/>
    </row>
    <row r="55">
      <c r="A55" s="14"/>
      <c r="B55" s="2"/>
      <c r="C55" s="2"/>
      <c r="D55" s="2"/>
      <c r="E55" s="2"/>
      <c r="F55" s="2"/>
      <c r="G55" s="2"/>
      <c r="H55" s="2"/>
      <c r="I55" s="2"/>
      <c r="J55" s="2"/>
      <c r="K55" s="2"/>
      <c r="L55" s="2"/>
      <c r="M55" s="2"/>
      <c r="N55" s="2"/>
      <c r="O55" s="2"/>
      <c r="P55" s="2"/>
      <c r="Q55" s="2"/>
      <c r="R55" s="2"/>
      <c r="S55" s="2"/>
      <c r="T55" s="2"/>
      <c r="U55" s="2"/>
      <c r="V55" s="2"/>
      <c r="W55" s="2"/>
      <c r="X55" s="2"/>
      <c r="Y55" s="2"/>
      <c r="Z55" s="2"/>
    </row>
    <row r="56">
      <c r="A56" s="14"/>
      <c r="B56" s="2"/>
      <c r="C56" s="2"/>
      <c r="D56" s="2"/>
      <c r="E56" s="2"/>
      <c r="F56" s="2"/>
      <c r="G56" s="2"/>
      <c r="H56" s="2"/>
      <c r="I56" s="2"/>
      <c r="J56" s="2"/>
      <c r="K56" s="2"/>
      <c r="L56" s="2"/>
      <c r="M56" s="2"/>
      <c r="N56" s="2"/>
      <c r="O56" s="2"/>
      <c r="P56" s="2"/>
      <c r="Q56" s="2"/>
      <c r="R56" s="2"/>
      <c r="S56" s="2"/>
      <c r="T56" s="2"/>
      <c r="U56" s="2"/>
      <c r="V56" s="2"/>
      <c r="W56" s="2"/>
      <c r="X56" s="2"/>
      <c r="Y56" s="2"/>
      <c r="Z56" s="2"/>
    </row>
    <row r="57">
      <c r="A57" s="14"/>
      <c r="B57" s="2"/>
      <c r="C57" s="2"/>
      <c r="D57" s="2"/>
      <c r="E57" s="2"/>
      <c r="F57" s="2"/>
      <c r="G57" s="2"/>
      <c r="H57" s="2"/>
      <c r="I57" s="2"/>
      <c r="J57" s="2"/>
      <c r="K57" s="2"/>
      <c r="L57" s="2"/>
      <c r="M57" s="2"/>
      <c r="N57" s="2"/>
      <c r="O57" s="2"/>
      <c r="P57" s="2"/>
      <c r="Q57" s="2"/>
      <c r="R57" s="2"/>
      <c r="S57" s="2"/>
      <c r="T57" s="2"/>
      <c r="U57" s="2"/>
      <c r="V57" s="2"/>
      <c r="W57" s="2"/>
      <c r="X57" s="2"/>
      <c r="Y57" s="2"/>
      <c r="Z57" s="2"/>
    </row>
    <row r="58">
      <c r="A58" s="14"/>
      <c r="B58" s="2"/>
      <c r="C58" s="2"/>
      <c r="D58" s="2"/>
      <c r="E58" s="2"/>
      <c r="F58" s="2"/>
      <c r="G58" s="2"/>
      <c r="H58" s="2"/>
      <c r="I58" s="2"/>
      <c r="J58" s="2"/>
      <c r="K58" s="2"/>
      <c r="L58" s="2"/>
      <c r="M58" s="2"/>
      <c r="N58" s="2"/>
      <c r="O58" s="2"/>
      <c r="P58" s="2"/>
      <c r="Q58" s="2"/>
      <c r="R58" s="2"/>
      <c r="S58" s="2"/>
      <c r="T58" s="2"/>
      <c r="U58" s="2"/>
      <c r="V58" s="2"/>
      <c r="W58" s="2"/>
      <c r="X58" s="2"/>
      <c r="Y58" s="2"/>
      <c r="Z58" s="2"/>
    </row>
    <row r="59">
      <c r="A59" s="14"/>
      <c r="B59" s="2"/>
      <c r="C59" s="2"/>
      <c r="D59" s="2"/>
      <c r="E59" s="2"/>
      <c r="F59" s="2"/>
      <c r="G59" s="2"/>
      <c r="H59" s="2"/>
      <c r="I59" s="2"/>
      <c r="J59" s="2"/>
      <c r="K59" s="2"/>
      <c r="L59" s="2"/>
      <c r="M59" s="2"/>
      <c r="N59" s="2"/>
      <c r="O59" s="2"/>
      <c r="P59" s="2"/>
      <c r="Q59" s="2"/>
      <c r="R59" s="2"/>
      <c r="S59" s="2"/>
      <c r="T59" s="2"/>
      <c r="U59" s="2"/>
      <c r="V59" s="2"/>
      <c r="W59" s="2"/>
      <c r="X59" s="2"/>
      <c r="Y59" s="2"/>
      <c r="Z59" s="2"/>
    </row>
    <row r="60">
      <c r="A60" s="14"/>
      <c r="B60" s="2"/>
      <c r="C60" s="2"/>
      <c r="D60" s="2"/>
      <c r="E60" s="2"/>
      <c r="F60" s="2"/>
      <c r="G60" s="2"/>
      <c r="H60" s="2"/>
      <c r="I60" s="2"/>
      <c r="J60" s="2"/>
      <c r="K60" s="2"/>
      <c r="L60" s="2"/>
      <c r="M60" s="2"/>
      <c r="N60" s="2"/>
      <c r="O60" s="2"/>
      <c r="P60" s="2"/>
      <c r="Q60" s="2"/>
      <c r="R60" s="2"/>
      <c r="S60" s="2"/>
      <c r="T60" s="2"/>
      <c r="U60" s="2"/>
      <c r="V60" s="2"/>
      <c r="W60" s="2"/>
      <c r="X60" s="2"/>
      <c r="Y60" s="2"/>
      <c r="Z60" s="2"/>
    </row>
    <row r="61">
      <c r="A61" s="14"/>
      <c r="B61" s="2"/>
      <c r="C61" s="2"/>
      <c r="D61" s="2"/>
      <c r="E61" s="2"/>
      <c r="F61" s="2"/>
      <c r="G61" s="2"/>
      <c r="H61" s="2"/>
      <c r="I61" s="2"/>
      <c r="J61" s="2"/>
      <c r="K61" s="2"/>
      <c r="L61" s="2"/>
      <c r="M61" s="2"/>
      <c r="N61" s="2"/>
      <c r="O61" s="2"/>
      <c r="P61" s="2"/>
      <c r="Q61" s="2"/>
      <c r="R61" s="2"/>
      <c r="S61" s="2"/>
      <c r="T61" s="2"/>
      <c r="U61" s="2"/>
      <c r="V61" s="2"/>
      <c r="W61" s="2"/>
      <c r="X61" s="2"/>
      <c r="Y61" s="2"/>
      <c r="Z61" s="2"/>
    </row>
    <row r="62">
      <c r="A62" s="14"/>
      <c r="B62" s="2"/>
      <c r="C62" s="2"/>
      <c r="D62" s="2"/>
      <c r="E62" s="2"/>
      <c r="F62" s="2"/>
      <c r="G62" s="2"/>
      <c r="H62" s="2"/>
      <c r="I62" s="2"/>
      <c r="J62" s="2"/>
      <c r="K62" s="2"/>
      <c r="L62" s="2"/>
      <c r="M62" s="2"/>
      <c r="N62" s="2"/>
      <c r="O62" s="2"/>
      <c r="P62" s="2"/>
      <c r="Q62" s="2"/>
      <c r="R62" s="2"/>
      <c r="S62" s="2"/>
      <c r="T62" s="2"/>
      <c r="U62" s="2"/>
      <c r="V62" s="2"/>
      <c r="W62" s="2"/>
      <c r="X62" s="2"/>
      <c r="Y62" s="2"/>
      <c r="Z62" s="2"/>
    </row>
    <row r="63">
      <c r="A63" s="14"/>
      <c r="B63" s="2"/>
      <c r="C63" s="2"/>
      <c r="D63" s="2"/>
      <c r="E63" s="2"/>
      <c r="F63" s="2"/>
      <c r="G63" s="2"/>
      <c r="H63" s="2"/>
      <c r="I63" s="2"/>
      <c r="J63" s="2"/>
      <c r="K63" s="2"/>
      <c r="L63" s="2"/>
      <c r="M63" s="2"/>
      <c r="N63" s="2"/>
      <c r="O63" s="2"/>
      <c r="P63" s="2"/>
      <c r="Q63" s="2"/>
      <c r="R63" s="2"/>
      <c r="S63" s="2"/>
      <c r="T63" s="2"/>
      <c r="U63" s="2"/>
      <c r="V63" s="2"/>
      <c r="W63" s="2"/>
      <c r="X63" s="2"/>
      <c r="Y63" s="2"/>
      <c r="Z63" s="2"/>
    </row>
    <row r="64">
      <c r="A64" s="14"/>
      <c r="B64" s="2"/>
      <c r="C64" s="2"/>
      <c r="D64" s="2"/>
      <c r="E64" s="2"/>
      <c r="F64" s="2"/>
      <c r="G64" s="2"/>
      <c r="H64" s="2"/>
      <c r="I64" s="2"/>
      <c r="J64" s="2"/>
      <c r="K64" s="2"/>
      <c r="L64" s="2"/>
      <c r="M64" s="2"/>
      <c r="N64" s="2"/>
      <c r="O64" s="2"/>
      <c r="P64" s="2"/>
      <c r="Q64" s="2"/>
      <c r="R64" s="2"/>
      <c r="S64" s="2"/>
      <c r="T64" s="2"/>
      <c r="U64" s="2"/>
      <c r="V64" s="2"/>
      <c r="W64" s="2"/>
      <c r="X64" s="2"/>
      <c r="Y64" s="2"/>
      <c r="Z64" s="2"/>
    </row>
    <row r="65">
      <c r="A65" s="14"/>
      <c r="B65" s="2"/>
      <c r="C65" s="2"/>
      <c r="D65" s="2"/>
      <c r="E65" s="2"/>
      <c r="F65" s="2"/>
      <c r="G65" s="2"/>
      <c r="H65" s="2"/>
      <c r="I65" s="2"/>
      <c r="J65" s="2"/>
      <c r="K65" s="2"/>
      <c r="L65" s="2"/>
      <c r="M65" s="2"/>
      <c r="N65" s="2"/>
      <c r="O65" s="2"/>
      <c r="P65" s="2"/>
      <c r="Q65" s="2"/>
      <c r="R65" s="2"/>
      <c r="S65" s="2"/>
      <c r="T65" s="2"/>
      <c r="U65" s="2"/>
      <c r="V65" s="2"/>
      <c r="W65" s="2"/>
      <c r="X65" s="2"/>
      <c r="Y65" s="2"/>
      <c r="Z65" s="2"/>
    </row>
    <row r="66">
      <c r="A66" s="14"/>
      <c r="B66" s="2"/>
      <c r="C66" s="2"/>
      <c r="D66" s="2"/>
      <c r="E66" s="2"/>
      <c r="F66" s="2"/>
      <c r="G66" s="2"/>
      <c r="H66" s="2"/>
      <c r="I66" s="2"/>
      <c r="J66" s="2"/>
      <c r="K66" s="2"/>
      <c r="L66" s="2"/>
      <c r="M66" s="2"/>
      <c r="N66" s="2"/>
      <c r="O66" s="2"/>
      <c r="P66" s="2"/>
      <c r="Q66" s="2"/>
      <c r="R66" s="2"/>
      <c r="S66" s="2"/>
      <c r="T66" s="2"/>
      <c r="U66" s="2"/>
      <c r="V66" s="2"/>
      <c r="W66" s="2"/>
      <c r="X66" s="2"/>
      <c r="Y66" s="2"/>
      <c r="Z66" s="2"/>
    </row>
    <row r="67">
      <c r="A67" s="14"/>
      <c r="B67" s="2"/>
      <c r="C67" s="2"/>
      <c r="D67" s="2"/>
      <c r="E67" s="2"/>
      <c r="F67" s="2"/>
      <c r="G67" s="2"/>
      <c r="H67" s="2"/>
      <c r="I67" s="2"/>
      <c r="J67" s="2"/>
      <c r="K67" s="2"/>
      <c r="L67" s="2"/>
      <c r="M67" s="2"/>
      <c r="N67" s="2"/>
      <c r="O67" s="2"/>
      <c r="P67" s="2"/>
      <c r="Q67" s="2"/>
      <c r="R67" s="2"/>
      <c r="S67" s="2"/>
      <c r="T67" s="2"/>
      <c r="U67" s="2"/>
      <c r="V67" s="2"/>
      <c r="W67" s="2"/>
      <c r="X67" s="2"/>
      <c r="Y67" s="2"/>
      <c r="Z67" s="2"/>
    </row>
    <row r="68">
      <c r="A68" s="14"/>
      <c r="B68" s="2"/>
      <c r="C68" s="2"/>
      <c r="D68" s="2"/>
      <c r="E68" s="2"/>
      <c r="F68" s="2"/>
      <c r="G68" s="2"/>
      <c r="H68" s="2"/>
      <c r="I68" s="2"/>
      <c r="J68" s="2"/>
      <c r="K68" s="2"/>
      <c r="L68" s="2"/>
      <c r="M68" s="2"/>
      <c r="N68" s="2"/>
      <c r="O68" s="2"/>
      <c r="P68" s="2"/>
      <c r="Q68" s="2"/>
      <c r="R68" s="2"/>
      <c r="S68" s="2"/>
      <c r="T68" s="2"/>
      <c r="U68" s="2"/>
      <c r="V68" s="2"/>
      <c r="W68" s="2"/>
      <c r="X68" s="2"/>
      <c r="Y68" s="2"/>
      <c r="Z68" s="2"/>
    </row>
    <row r="69">
      <c r="A69" s="14"/>
      <c r="B69" s="2"/>
      <c r="C69" s="2"/>
      <c r="D69" s="2"/>
      <c r="E69" s="2"/>
      <c r="F69" s="2"/>
      <c r="G69" s="2"/>
      <c r="H69" s="2"/>
      <c r="I69" s="2"/>
      <c r="J69" s="2"/>
      <c r="K69" s="2"/>
      <c r="L69" s="2"/>
      <c r="M69" s="2"/>
      <c r="N69" s="2"/>
      <c r="O69" s="2"/>
      <c r="P69" s="2"/>
      <c r="Q69" s="2"/>
      <c r="R69" s="2"/>
      <c r="S69" s="2"/>
      <c r="T69" s="2"/>
      <c r="U69" s="2"/>
      <c r="V69" s="2"/>
      <c r="W69" s="2"/>
      <c r="X69" s="2"/>
      <c r="Y69" s="2"/>
      <c r="Z69" s="2"/>
    </row>
    <row r="70">
      <c r="A70" s="14"/>
      <c r="B70" s="2"/>
      <c r="C70" s="2"/>
      <c r="D70" s="2"/>
      <c r="E70" s="2"/>
      <c r="F70" s="2"/>
      <c r="G70" s="2"/>
      <c r="H70" s="2"/>
      <c r="I70" s="2"/>
      <c r="J70" s="2"/>
      <c r="K70" s="2"/>
      <c r="L70" s="2"/>
      <c r="M70" s="2"/>
      <c r="N70" s="2"/>
      <c r="O70" s="2"/>
      <c r="P70" s="2"/>
      <c r="Q70" s="2"/>
      <c r="R70" s="2"/>
      <c r="S70" s="2"/>
      <c r="T70" s="2"/>
      <c r="U70" s="2"/>
      <c r="V70" s="2"/>
      <c r="W70" s="2"/>
      <c r="X70" s="2"/>
      <c r="Y70" s="2"/>
      <c r="Z70" s="2"/>
    </row>
    <row r="71">
      <c r="A71" s="14"/>
      <c r="B71" s="2"/>
      <c r="C71" s="2"/>
      <c r="D71" s="2"/>
      <c r="E71" s="2"/>
      <c r="F71" s="2"/>
      <c r="G71" s="2"/>
      <c r="H71" s="2"/>
      <c r="I71" s="2"/>
      <c r="J71" s="2"/>
      <c r="K71" s="2"/>
      <c r="L71" s="2"/>
      <c r="M71" s="2"/>
      <c r="N71" s="2"/>
      <c r="O71" s="2"/>
      <c r="P71" s="2"/>
      <c r="Q71" s="2"/>
      <c r="R71" s="2"/>
      <c r="S71" s="2"/>
      <c r="T71" s="2"/>
      <c r="U71" s="2"/>
      <c r="V71" s="2"/>
      <c r="W71" s="2"/>
      <c r="X71" s="2"/>
      <c r="Y71" s="2"/>
      <c r="Z71" s="2"/>
    </row>
    <row r="72">
      <c r="A72" s="14"/>
      <c r="B72" s="2"/>
      <c r="C72" s="2"/>
      <c r="D72" s="2"/>
      <c r="E72" s="2"/>
      <c r="F72" s="2"/>
      <c r="G72" s="2"/>
      <c r="H72" s="2"/>
      <c r="I72" s="2"/>
      <c r="J72" s="2"/>
      <c r="K72" s="2"/>
      <c r="L72" s="2"/>
      <c r="M72" s="2"/>
      <c r="N72" s="2"/>
      <c r="O72" s="2"/>
      <c r="P72" s="2"/>
      <c r="Q72" s="2"/>
      <c r="R72" s="2"/>
      <c r="S72" s="2"/>
      <c r="T72" s="2"/>
      <c r="U72" s="2"/>
      <c r="V72" s="2"/>
      <c r="W72" s="2"/>
      <c r="X72" s="2"/>
      <c r="Y72" s="2"/>
      <c r="Z72" s="2"/>
    </row>
    <row r="73">
      <c r="A73" s="14"/>
      <c r="B73" s="2"/>
      <c r="C73" s="2"/>
      <c r="D73" s="2"/>
      <c r="E73" s="2"/>
      <c r="F73" s="2"/>
      <c r="G73" s="2"/>
      <c r="H73" s="2"/>
      <c r="I73" s="2"/>
      <c r="J73" s="2"/>
      <c r="K73" s="2"/>
      <c r="L73" s="2"/>
      <c r="M73" s="2"/>
      <c r="N73" s="2"/>
      <c r="O73" s="2"/>
      <c r="P73" s="2"/>
      <c r="Q73" s="2"/>
      <c r="R73" s="2"/>
      <c r="S73" s="2"/>
      <c r="T73" s="2"/>
      <c r="U73" s="2"/>
      <c r="V73" s="2"/>
      <c r="W73" s="2"/>
      <c r="X73" s="2"/>
      <c r="Y73" s="2"/>
      <c r="Z73" s="2"/>
    </row>
    <row r="74">
      <c r="A74" s="14"/>
      <c r="B74" s="2"/>
      <c r="C74" s="2"/>
      <c r="D74" s="2"/>
      <c r="E74" s="2"/>
      <c r="F74" s="2"/>
      <c r="G74" s="2"/>
      <c r="H74" s="2"/>
      <c r="I74" s="2"/>
      <c r="J74" s="2"/>
      <c r="K74" s="2"/>
      <c r="L74" s="2"/>
      <c r="M74" s="2"/>
      <c r="N74" s="2"/>
      <c r="O74" s="2"/>
      <c r="P74" s="2"/>
      <c r="Q74" s="2"/>
      <c r="R74" s="2"/>
      <c r="S74" s="2"/>
      <c r="T74" s="2"/>
      <c r="U74" s="2"/>
      <c r="V74" s="2"/>
      <c r="W74" s="2"/>
      <c r="X74" s="2"/>
      <c r="Y74" s="2"/>
      <c r="Z74" s="2"/>
    </row>
    <row r="75">
      <c r="A75" s="14"/>
      <c r="B75" s="2"/>
      <c r="C75" s="2"/>
      <c r="D75" s="2"/>
      <c r="E75" s="2"/>
      <c r="F75" s="2"/>
      <c r="G75" s="2"/>
      <c r="H75" s="2"/>
      <c r="I75" s="2"/>
      <c r="J75" s="2"/>
      <c r="K75" s="2"/>
      <c r="L75" s="2"/>
      <c r="M75" s="2"/>
      <c r="N75" s="2"/>
      <c r="O75" s="2"/>
      <c r="P75" s="2"/>
      <c r="Q75" s="2"/>
      <c r="R75" s="2"/>
      <c r="S75" s="2"/>
      <c r="T75" s="2"/>
      <c r="U75" s="2"/>
      <c r="V75" s="2"/>
      <c r="W75" s="2"/>
      <c r="X75" s="2"/>
      <c r="Y75" s="2"/>
      <c r="Z75" s="2"/>
    </row>
    <row r="76">
      <c r="A76" s="14"/>
      <c r="B76" s="2"/>
      <c r="C76" s="2"/>
      <c r="D76" s="2"/>
      <c r="E76" s="2"/>
      <c r="F76" s="2"/>
      <c r="G76" s="2"/>
      <c r="H76" s="2"/>
      <c r="I76" s="2"/>
      <c r="J76" s="2"/>
      <c r="K76" s="2"/>
      <c r="L76" s="2"/>
      <c r="M76" s="2"/>
      <c r="N76" s="2"/>
      <c r="O76" s="2"/>
      <c r="P76" s="2"/>
      <c r="Q76" s="2"/>
      <c r="R76" s="2"/>
      <c r="S76" s="2"/>
      <c r="T76" s="2"/>
      <c r="U76" s="2"/>
      <c r="V76" s="2"/>
      <c r="W76" s="2"/>
      <c r="X76" s="2"/>
      <c r="Y76" s="2"/>
      <c r="Z76" s="2"/>
    </row>
    <row r="77">
      <c r="A77" s="14"/>
      <c r="B77" s="2"/>
      <c r="C77" s="2"/>
      <c r="D77" s="2"/>
      <c r="E77" s="2"/>
      <c r="F77" s="2"/>
      <c r="G77" s="2"/>
      <c r="H77" s="2"/>
      <c r="I77" s="2"/>
      <c r="J77" s="2"/>
      <c r="K77" s="2"/>
      <c r="L77" s="2"/>
      <c r="M77" s="2"/>
      <c r="N77" s="2"/>
      <c r="O77" s="2"/>
      <c r="P77" s="2"/>
      <c r="Q77" s="2"/>
      <c r="R77" s="2"/>
      <c r="S77" s="2"/>
      <c r="T77" s="2"/>
      <c r="U77" s="2"/>
      <c r="V77" s="2"/>
      <c r="W77" s="2"/>
      <c r="X77" s="2"/>
      <c r="Y77" s="2"/>
      <c r="Z77" s="2"/>
    </row>
    <row r="78">
      <c r="A78" s="14"/>
      <c r="B78" s="2"/>
      <c r="C78" s="2"/>
      <c r="D78" s="2"/>
      <c r="E78" s="2"/>
      <c r="F78" s="2"/>
      <c r="G78" s="2"/>
      <c r="H78" s="2"/>
      <c r="I78" s="2"/>
      <c r="J78" s="2"/>
      <c r="K78" s="2"/>
      <c r="L78" s="2"/>
      <c r="M78" s="2"/>
      <c r="N78" s="2"/>
      <c r="O78" s="2"/>
      <c r="P78" s="2"/>
      <c r="Q78" s="2"/>
      <c r="R78" s="2"/>
      <c r="S78" s="2"/>
      <c r="T78" s="2"/>
      <c r="U78" s="2"/>
      <c r="V78" s="2"/>
      <c r="W78" s="2"/>
      <c r="X78" s="2"/>
      <c r="Y78" s="2"/>
      <c r="Z78" s="2"/>
    </row>
    <row r="79">
      <c r="A79" s="14"/>
      <c r="B79" s="2"/>
      <c r="C79" s="2"/>
      <c r="D79" s="2"/>
      <c r="E79" s="2"/>
      <c r="F79" s="2"/>
      <c r="G79" s="2"/>
      <c r="H79" s="2"/>
      <c r="I79" s="2"/>
      <c r="J79" s="2"/>
      <c r="K79" s="2"/>
      <c r="L79" s="2"/>
      <c r="M79" s="2"/>
      <c r="N79" s="2"/>
      <c r="O79" s="2"/>
      <c r="P79" s="2"/>
      <c r="Q79" s="2"/>
      <c r="R79" s="2"/>
      <c r="S79" s="2"/>
      <c r="T79" s="2"/>
      <c r="U79" s="2"/>
      <c r="V79" s="2"/>
      <c r="W79" s="2"/>
      <c r="X79" s="2"/>
      <c r="Y79" s="2"/>
      <c r="Z79" s="2"/>
    </row>
    <row r="80">
      <c r="A80" s="14"/>
      <c r="B80" s="2"/>
      <c r="C80" s="2"/>
      <c r="D80" s="2"/>
      <c r="E80" s="2"/>
      <c r="F80" s="2"/>
      <c r="G80" s="2"/>
      <c r="H80" s="2"/>
      <c r="I80" s="2"/>
      <c r="J80" s="2"/>
      <c r="K80" s="2"/>
      <c r="L80" s="2"/>
      <c r="M80" s="2"/>
      <c r="N80" s="2"/>
      <c r="O80" s="2"/>
      <c r="P80" s="2"/>
      <c r="Q80" s="2"/>
      <c r="R80" s="2"/>
      <c r="S80" s="2"/>
      <c r="T80" s="2"/>
      <c r="U80" s="2"/>
      <c r="V80" s="2"/>
      <c r="W80" s="2"/>
      <c r="X80" s="2"/>
      <c r="Y80" s="2"/>
      <c r="Z80" s="2"/>
    </row>
    <row r="81">
      <c r="A81" s="14"/>
      <c r="B81" s="2"/>
      <c r="C81" s="2"/>
      <c r="D81" s="2"/>
      <c r="E81" s="2"/>
      <c r="F81" s="2"/>
      <c r="G81" s="2"/>
      <c r="H81" s="2"/>
      <c r="I81" s="2"/>
      <c r="J81" s="2"/>
      <c r="K81" s="2"/>
      <c r="L81" s="2"/>
      <c r="M81" s="2"/>
      <c r="N81" s="2"/>
      <c r="O81" s="2"/>
      <c r="P81" s="2"/>
      <c r="Q81" s="2"/>
      <c r="R81" s="2"/>
      <c r="S81" s="2"/>
      <c r="T81" s="2"/>
      <c r="U81" s="2"/>
      <c r="V81" s="2"/>
      <c r="W81" s="2"/>
      <c r="X81" s="2"/>
      <c r="Y81" s="2"/>
      <c r="Z81" s="2"/>
    </row>
    <row r="82">
      <c r="A82" s="14"/>
      <c r="B82" s="2"/>
      <c r="C82" s="2"/>
      <c r="D82" s="2"/>
      <c r="E82" s="2"/>
      <c r="F82" s="2"/>
      <c r="G82" s="2"/>
      <c r="H82" s="2"/>
      <c r="I82" s="2"/>
      <c r="J82" s="2"/>
      <c r="K82" s="2"/>
      <c r="L82" s="2"/>
      <c r="M82" s="2"/>
      <c r="N82" s="2"/>
      <c r="O82" s="2"/>
      <c r="P82" s="2"/>
      <c r="Q82" s="2"/>
      <c r="R82" s="2"/>
      <c r="S82" s="2"/>
      <c r="T82" s="2"/>
      <c r="U82" s="2"/>
      <c r="V82" s="2"/>
      <c r="W82" s="2"/>
      <c r="X82" s="2"/>
      <c r="Y82" s="2"/>
      <c r="Z82" s="2"/>
    </row>
    <row r="83">
      <c r="A83" s="14"/>
      <c r="B83" s="2"/>
      <c r="C83" s="2"/>
      <c r="D83" s="2"/>
      <c r="E83" s="2"/>
      <c r="F83" s="2"/>
      <c r="G83" s="2"/>
      <c r="H83" s="2"/>
      <c r="I83" s="2"/>
      <c r="J83" s="2"/>
      <c r="K83" s="2"/>
      <c r="L83" s="2"/>
      <c r="M83" s="2"/>
      <c r="N83" s="2"/>
      <c r="O83" s="2"/>
      <c r="P83" s="2"/>
      <c r="Q83" s="2"/>
      <c r="R83" s="2"/>
      <c r="S83" s="2"/>
      <c r="T83" s="2"/>
      <c r="U83" s="2"/>
      <c r="V83" s="2"/>
      <c r="W83" s="2"/>
      <c r="X83" s="2"/>
      <c r="Y83" s="2"/>
      <c r="Z83" s="2"/>
    </row>
    <row r="84">
      <c r="A84" s="14"/>
      <c r="B84" s="2"/>
      <c r="C84" s="2"/>
      <c r="D84" s="2"/>
      <c r="E84" s="2"/>
      <c r="F84" s="2"/>
      <c r="G84" s="2"/>
      <c r="H84" s="2"/>
      <c r="I84" s="2"/>
      <c r="J84" s="2"/>
      <c r="K84" s="2"/>
      <c r="L84" s="2"/>
      <c r="M84" s="2"/>
      <c r="N84" s="2"/>
      <c r="O84" s="2"/>
      <c r="P84" s="2"/>
      <c r="Q84" s="2"/>
      <c r="R84" s="2"/>
      <c r="S84" s="2"/>
      <c r="T84" s="2"/>
      <c r="U84" s="2"/>
      <c r="V84" s="2"/>
      <c r="W84" s="2"/>
      <c r="X84" s="2"/>
      <c r="Y84" s="2"/>
      <c r="Z84" s="2"/>
    </row>
    <row r="85">
      <c r="A85" s="14"/>
      <c r="B85" s="2"/>
      <c r="C85" s="2"/>
      <c r="D85" s="2"/>
      <c r="E85" s="2"/>
      <c r="F85" s="2"/>
      <c r="G85" s="2"/>
      <c r="H85" s="2"/>
      <c r="I85" s="2"/>
      <c r="J85" s="2"/>
      <c r="K85" s="2"/>
      <c r="L85" s="2"/>
      <c r="M85" s="2"/>
      <c r="N85" s="2"/>
      <c r="O85" s="2"/>
      <c r="P85" s="2"/>
      <c r="Q85" s="2"/>
      <c r="R85" s="2"/>
      <c r="S85" s="2"/>
      <c r="T85" s="2"/>
      <c r="U85" s="2"/>
      <c r="V85" s="2"/>
      <c r="W85" s="2"/>
      <c r="X85" s="2"/>
      <c r="Y85" s="2"/>
      <c r="Z85" s="2"/>
    </row>
    <row r="86">
      <c r="A86" s="14"/>
      <c r="B86" s="2"/>
      <c r="C86" s="2"/>
      <c r="D86" s="2"/>
      <c r="E86" s="2"/>
      <c r="F86" s="2"/>
      <c r="G86" s="2"/>
      <c r="H86" s="2"/>
      <c r="I86" s="2"/>
      <c r="J86" s="2"/>
      <c r="K86" s="2"/>
      <c r="L86" s="2"/>
      <c r="M86" s="2"/>
      <c r="N86" s="2"/>
      <c r="O86" s="2"/>
      <c r="P86" s="2"/>
      <c r="Q86" s="2"/>
      <c r="R86" s="2"/>
      <c r="S86" s="2"/>
      <c r="T86" s="2"/>
      <c r="U86" s="2"/>
      <c r="V86" s="2"/>
      <c r="W86" s="2"/>
      <c r="X86" s="2"/>
      <c r="Y86" s="2"/>
      <c r="Z86" s="2"/>
    </row>
    <row r="87">
      <c r="A87" s="14"/>
      <c r="B87" s="2"/>
      <c r="C87" s="2"/>
      <c r="D87" s="2"/>
      <c r="E87" s="2"/>
      <c r="F87" s="2"/>
      <c r="G87" s="2"/>
      <c r="H87" s="2"/>
      <c r="I87" s="2"/>
      <c r="J87" s="2"/>
      <c r="K87" s="2"/>
      <c r="L87" s="2"/>
      <c r="M87" s="2"/>
      <c r="N87" s="2"/>
      <c r="O87" s="2"/>
      <c r="P87" s="2"/>
      <c r="Q87" s="2"/>
      <c r="R87" s="2"/>
      <c r="S87" s="2"/>
      <c r="T87" s="2"/>
      <c r="U87" s="2"/>
      <c r="V87" s="2"/>
      <c r="W87" s="2"/>
      <c r="X87" s="2"/>
      <c r="Y87" s="2"/>
      <c r="Z87" s="2"/>
    </row>
    <row r="88">
      <c r="A88" s="14"/>
      <c r="B88" s="2"/>
      <c r="C88" s="2"/>
      <c r="D88" s="2"/>
      <c r="E88" s="2"/>
      <c r="F88" s="2"/>
      <c r="G88" s="2"/>
      <c r="H88" s="2"/>
      <c r="I88" s="2"/>
      <c r="J88" s="2"/>
      <c r="K88" s="2"/>
      <c r="L88" s="2"/>
      <c r="M88" s="2"/>
      <c r="N88" s="2"/>
      <c r="O88" s="2"/>
      <c r="P88" s="2"/>
      <c r="Q88" s="2"/>
      <c r="R88" s="2"/>
      <c r="S88" s="2"/>
      <c r="T88" s="2"/>
      <c r="U88" s="2"/>
      <c r="V88" s="2"/>
      <c r="W88" s="2"/>
      <c r="X88" s="2"/>
      <c r="Y88" s="2"/>
      <c r="Z88" s="2"/>
    </row>
    <row r="89">
      <c r="A89" s="14"/>
      <c r="B89" s="2"/>
      <c r="C89" s="2"/>
      <c r="D89" s="2"/>
      <c r="E89" s="2"/>
      <c r="F89" s="2"/>
      <c r="G89" s="2"/>
      <c r="H89" s="2"/>
      <c r="I89" s="2"/>
      <c r="J89" s="2"/>
      <c r="K89" s="2"/>
      <c r="L89" s="2"/>
      <c r="M89" s="2"/>
      <c r="N89" s="2"/>
      <c r="O89" s="2"/>
      <c r="P89" s="2"/>
      <c r="Q89" s="2"/>
      <c r="R89" s="2"/>
      <c r="S89" s="2"/>
      <c r="T89" s="2"/>
      <c r="U89" s="2"/>
      <c r="V89" s="2"/>
      <c r="W89" s="2"/>
      <c r="X89" s="2"/>
      <c r="Y89" s="2"/>
      <c r="Z89" s="2"/>
    </row>
    <row r="90">
      <c r="A90" s="14"/>
      <c r="B90" s="2"/>
      <c r="C90" s="2"/>
      <c r="D90" s="2"/>
      <c r="E90" s="2"/>
      <c r="F90" s="2"/>
      <c r="G90" s="2"/>
      <c r="H90" s="2"/>
      <c r="I90" s="2"/>
      <c r="J90" s="2"/>
      <c r="K90" s="2"/>
      <c r="L90" s="2"/>
      <c r="M90" s="2"/>
      <c r="N90" s="2"/>
      <c r="O90" s="2"/>
      <c r="P90" s="2"/>
      <c r="Q90" s="2"/>
      <c r="R90" s="2"/>
      <c r="S90" s="2"/>
      <c r="T90" s="2"/>
      <c r="U90" s="2"/>
      <c r="V90" s="2"/>
      <c r="W90" s="2"/>
      <c r="X90" s="2"/>
      <c r="Y90" s="2"/>
      <c r="Z90" s="2"/>
    </row>
    <row r="91">
      <c r="A91" s="14"/>
      <c r="B91" s="2"/>
      <c r="C91" s="2"/>
      <c r="D91" s="2"/>
      <c r="E91" s="2"/>
      <c r="F91" s="2"/>
      <c r="G91" s="2"/>
      <c r="H91" s="2"/>
      <c r="I91" s="2"/>
      <c r="J91" s="2"/>
      <c r="K91" s="2"/>
      <c r="L91" s="2"/>
      <c r="M91" s="2"/>
      <c r="N91" s="2"/>
      <c r="O91" s="2"/>
      <c r="P91" s="2"/>
      <c r="Q91" s="2"/>
      <c r="R91" s="2"/>
      <c r="S91" s="2"/>
      <c r="T91" s="2"/>
      <c r="U91" s="2"/>
      <c r="V91" s="2"/>
      <c r="W91" s="2"/>
      <c r="X91" s="2"/>
      <c r="Y91" s="2"/>
      <c r="Z91" s="2"/>
    </row>
    <row r="92">
      <c r="A92" s="14"/>
      <c r="B92" s="2"/>
      <c r="C92" s="2"/>
      <c r="D92" s="2"/>
      <c r="E92" s="2"/>
      <c r="F92" s="2"/>
      <c r="G92" s="2"/>
      <c r="H92" s="2"/>
      <c r="I92" s="2"/>
      <c r="J92" s="2"/>
      <c r="K92" s="2"/>
      <c r="L92" s="2"/>
      <c r="M92" s="2"/>
      <c r="N92" s="2"/>
      <c r="O92" s="2"/>
      <c r="P92" s="2"/>
      <c r="Q92" s="2"/>
      <c r="R92" s="2"/>
      <c r="S92" s="2"/>
      <c r="T92" s="2"/>
      <c r="U92" s="2"/>
      <c r="V92" s="2"/>
      <c r="W92" s="2"/>
      <c r="X92" s="2"/>
      <c r="Y92" s="2"/>
      <c r="Z92" s="2"/>
    </row>
    <row r="93">
      <c r="A93" s="14"/>
      <c r="B93" s="2"/>
      <c r="C93" s="2"/>
      <c r="D93" s="2"/>
      <c r="E93" s="2"/>
      <c r="F93" s="2"/>
      <c r="G93" s="2"/>
      <c r="H93" s="2"/>
      <c r="I93" s="2"/>
      <c r="J93" s="2"/>
      <c r="K93" s="2"/>
      <c r="L93" s="2"/>
      <c r="M93" s="2"/>
      <c r="N93" s="2"/>
      <c r="O93" s="2"/>
      <c r="P93" s="2"/>
      <c r="Q93" s="2"/>
      <c r="R93" s="2"/>
      <c r="S93" s="2"/>
      <c r="T93" s="2"/>
      <c r="U93" s="2"/>
      <c r="V93" s="2"/>
      <c r="W93" s="2"/>
      <c r="X93" s="2"/>
      <c r="Y93" s="2"/>
      <c r="Z93" s="2"/>
    </row>
    <row r="94">
      <c r="A94" s="14"/>
      <c r="B94" s="2"/>
      <c r="C94" s="2"/>
      <c r="D94" s="2"/>
      <c r="E94" s="2"/>
      <c r="F94" s="2"/>
      <c r="G94" s="2"/>
      <c r="H94" s="2"/>
      <c r="I94" s="2"/>
      <c r="J94" s="2"/>
      <c r="K94" s="2"/>
      <c r="L94" s="2"/>
      <c r="M94" s="2"/>
      <c r="N94" s="2"/>
      <c r="O94" s="2"/>
      <c r="P94" s="2"/>
      <c r="Q94" s="2"/>
      <c r="R94" s="2"/>
      <c r="S94" s="2"/>
      <c r="T94" s="2"/>
      <c r="U94" s="2"/>
      <c r="V94" s="2"/>
      <c r="W94" s="2"/>
      <c r="X94" s="2"/>
      <c r="Y94" s="2"/>
      <c r="Z94" s="2"/>
    </row>
    <row r="95">
      <c r="A95" s="14"/>
      <c r="B95" s="2"/>
      <c r="C95" s="2"/>
      <c r="D95" s="2"/>
      <c r="E95" s="2"/>
      <c r="F95" s="2"/>
      <c r="G95" s="2"/>
      <c r="H95" s="2"/>
      <c r="I95" s="2"/>
      <c r="J95" s="2"/>
      <c r="K95" s="2"/>
      <c r="L95" s="2"/>
      <c r="M95" s="2"/>
      <c r="N95" s="2"/>
      <c r="O95" s="2"/>
      <c r="P95" s="2"/>
      <c r="Q95" s="2"/>
      <c r="R95" s="2"/>
      <c r="S95" s="2"/>
      <c r="T95" s="2"/>
      <c r="U95" s="2"/>
      <c r="V95" s="2"/>
      <c r="W95" s="2"/>
      <c r="X95" s="2"/>
      <c r="Y95" s="2"/>
      <c r="Z95" s="2"/>
    </row>
    <row r="96">
      <c r="A96" s="14"/>
      <c r="B96" s="2"/>
      <c r="C96" s="2"/>
      <c r="D96" s="2"/>
      <c r="E96" s="2"/>
      <c r="F96" s="2"/>
      <c r="G96" s="2"/>
      <c r="H96" s="2"/>
      <c r="I96" s="2"/>
      <c r="J96" s="2"/>
      <c r="K96" s="2"/>
      <c r="L96" s="2"/>
      <c r="M96" s="2"/>
      <c r="N96" s="2"/>
      <c r="O96" s="2"/>
      <c r="P96" s="2"/>
      <c r="Q96" s="2"/>
      <c r="R96" s="2"/>
      <c r="S96" s="2"/>
      <c r="T96" s="2"/>
      <c r="U96" s="2"/>
      <c r="V96" s="2"/>
      <c r="W96" s="2"/>
      <c r="X96" s="2"/>
      <c r="Y96" s="2"/>
      <c r="Z96" s="2"/>
    </row>
    <row r="97">
      <c r="A97" s="14"/>
      <c r="B97" s="2"/>
      <c r="C97" s="2"/>
      <c r="D97" s="2"/>
      <c r="E97" s="2"/>
      <c r="F97" s="2"/>
      <c r="G97" s="2"/>
      <c r="H97" s="2"/>
      <c r="I97" s="2"/>
      <c r="J97" s="2"/>
      <c r="K97" s="2"/>
      <c r="L97" s="2"/>
      <c r="M97" s="2"/>
      <c r="N97" s="2"/>
      <c r="O97" s="2"/>
      <c r="P97" s="2"/>
      <c r="Q97" s="2"/>
      <c r="R97" s="2"/>
      <c r="S97" s="2"/>
      <c r="T97" s="2"/>
      <c r="U97" s="2"/>
      <c r="V97" s="2"/>
      <c r="W97" s="2"/>
      <c r="X97" s="2"/>
      <c r="Y97" s="2"/>
      <c r="Z97" s="2"/>
    </row>
    <row r="98">
      <c r="A98" s="14"/>
      <c r="B98" s="2"/>
      <c r="C98" s="2"/>
      <c r="D98" s="2"/>
      <c r="E98" s="2"/>
      <c r="F98" s="2"/>
      <c r="G98" s="2"/>
      <c r="H98" s="2"/>
      <c r="I98" s="2"/>
      <c r="J98" s="2"/>
      <c r="K98" s="2"/>
      <c r="L98" s="2"/>
      <c r="M98" s="2"/>
      <c r="N98" s="2"/>
      <c r="O98" s="2"/>
      <c r="P98" s="2"/>
      <c r="Q98" s="2"/>
      <c r="R98" s="2"/>
      <c r="S98" s="2"/>
      <c r="T98" s="2"/>
      <c r="U98" s="2"/>
      <c r="V98" s="2"/>
      <c r="W98" s="2"/>
      <c r="X98" s="2"/>
      <c r="Y98" s="2"/>
      <c r="Z98" s="2"/>
    </row>
    <row r="99">
      <c r="A99" s="14"/>
      <c r="B99" s="2"/>
      <c r="C99" s="2"/>
      <c r="D99" s="2"/>
      <c r="E99" s="2"/>
      <c r="F99" s="2"/>
      <c r="G99" s="2"/>
      <c r="H99" s="2"/>
      <c r="I99" s="2"/>
      <c r="J99" s="2"/>
      <c r="K99" s="2"/>
      <c r="L99" s="2"/>
      <c r="M99" s="2"/>
      <c r="N99" s="2"/>
      <c r="O99" s="2"/>
      <c r="P99" s="2"/>
      <c r="Q99" s="2"/>
      <c r="R99" s="2"/>
      <c r="S99" s="2"/>
      <c r="T99" s="2"/>
      <c r="U99" s="2"/>
      <c r="V99" s="2"/>
      <c r="W99" s="2"/>
      <c r="X99" s="2"/>
      <c r="Y99" s="2"/>
      <c r="Z99" s="2"/>
    </row>
    <row r="100">
      <c r="A100" s="14"/>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14"/>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14"/>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14"/>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14"/>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14"/>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14"/>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14"/>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14"/>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14"/>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14"/>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14"/>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14"/>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14"/>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14"/>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14"/>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14"/>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14"/>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14"/>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14"/>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14"/>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14"/>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14"/>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14"/>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14"/>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14"/>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14"/>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14"/>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14"/>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14"/>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14"/>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14"/>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14"/>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14"/>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14"/>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14"/>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14"/>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14"/>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14"/>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14"/>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14"/>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14"/>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14"/>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14"/>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14"/>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14"/>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14"/>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14"/>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14"/>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14"/>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14"/>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14"/>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14"/>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14"/>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14"/>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14"/>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14"/>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14"/>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14"/>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14"/>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14"/>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14"/>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14"/>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14"/>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14"/>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14"/>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14"/>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14"/>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14"/>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14"/>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14"/>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14"/>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14"/>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14"/>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14"/>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14"/>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14"/>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14"/>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14"/>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14"/>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14"/>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14"/>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14"/>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14"/>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14"/>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14"/>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14"/>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14"/>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14"/>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14"/>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14"/>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14"/>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14"/>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14"/>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14"/>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14"/>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14"/>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14"/>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14"/>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14"/>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14"/>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14"/>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14"/>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14"/>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14"/>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14"/>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14"/>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14"/>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14"/>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14"/>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14"/>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14"/>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14"/>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14"/>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14"/>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14"/>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14"/>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14"/>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14"/>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14"/>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14"/>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14"/>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14"/>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14"/>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14"/>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14"/>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14"/>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14"/>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14"/>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14"/>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14"/>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14"/>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14"/>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14"/>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14"/>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14"/>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14"/>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14"/>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14"/>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14"/>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14"/>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14"/>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14"/>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14"/>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14"/>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14"/>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14"/>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14"/>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14"/>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14"/>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14"/>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14"/>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14"/>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14"/>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14"/>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14"/>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14"/>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14"/>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14"/>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14"/>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14"/>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14"/>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14"/>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14"/>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14"/>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14"/>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14"/>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14"/>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14"/>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14"/>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14"/>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14"/>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14"/>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14"/>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14"/>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14"/>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14"/>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14"/>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14"/>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14"/>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14"/>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14"/>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14"/>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14"/>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14"/>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14"/>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14"/>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14"/>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14"/>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14"/>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14"/>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14"/>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14"/>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14"/>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14"/>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14"/>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14"/>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14"/>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14"/>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14"/>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14"/>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14"/>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14"/>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14"/>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14"/>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14"/>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14"/>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14"/>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14"/>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14"/>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14"/>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14"/>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14"/>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14"/>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14"/>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14"/>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14"/>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14"/>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14"/>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14"/>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14"/>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14"/>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14"/>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14"/>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14"/>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14"/>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14"/>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14"/>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14"/>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14"/>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14"/>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14"/>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14"/>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14"/>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14"/>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14"/>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14"/>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14"/>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14"/>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14"/>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14"/>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14"/>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14"/>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14"/>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14"/>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14"/>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14"/>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14"/>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14"/>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14"/>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14"/>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14"/>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14"/>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14"/>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14"/>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14"/>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14"/>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14"/>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14"/>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14"/>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14"/>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14"/>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14"/>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14"/>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14"/>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14"/>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14"/>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14"/>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14"/>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14"/>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14"/>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14"/>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14"/>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14"/>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14"/>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14"/>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14"/>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14"/>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14"/>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14"/>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14"/>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14"/>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14"/>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14"/>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14"/>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14"/>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14"/>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14"/>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14"/>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14"/>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14"/>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14"/>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14"/>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14"/>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14"/>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14"/>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14"/>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14"/>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14"/>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14"/>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14"/>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14"/>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14"/>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14"/>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14"/>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14"/>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14"/>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14"/>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14"/>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14"/>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14"/>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14"/>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14"/>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14"/>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14"/>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14"/>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14"/>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14"/>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14"/>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14"/>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14"/>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14"/>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14"/>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14"/>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14"/>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14"/>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14"/>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14"/>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14"/>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14"/>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14"/>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14"/>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14"/>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14"/>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14"/>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14"/>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14"/>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14"/>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14"/>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14"/>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14"/>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14"/>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14"/>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14"/>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14"/>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14"/>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14"/>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14"/>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14"/>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14"/>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14"/>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14"/>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14"/>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14"/>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14"/>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14"/>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14"/>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14"/>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14"/>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14"/>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14"/>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14"/>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14"/>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14"/>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14"/>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14"/>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14"/>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14"/>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14"/>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14"/>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14"/>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14"/>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14"/>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14"/>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14"/>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14"/>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14"/>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14"/>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14"/>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14"/>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14"/>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14"/>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14"/>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14"/>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14"/>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14"/>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14"/>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14"/>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14"/>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14"/>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14"/>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14"/>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14"/>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14"/>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14"/>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14"/>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14"/>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14"/>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14"/>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14"/>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14"/>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14"/>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14"/>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14"/>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14"/>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14"/>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14"/>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14"/>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14"/>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14"/>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14"/>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14"/>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14"/>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14"/>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14"/>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14"/>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14"/>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14"/>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14"/>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14"/>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14"/>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14"/>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14"/>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14"/>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14"/>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14"/>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14"/>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14"/>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14"/>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14"/>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14"/>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14"/>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14"/>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14"/>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14"/>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14"/>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14"/>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14"/>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14"/>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14"/>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14"/>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14"/>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14"/>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14"/>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14"/>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14"/>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14"/>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14"/>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14"/>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14"/>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14"/>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14"/>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14"/>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14"/>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14"/>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14"/>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14"/>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14"/>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14"/>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14"/>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14"/>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14"/>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14"/>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14"/>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14"/>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14"/>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14"/>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14"/>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14"/>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14"/>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14"/>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14"/>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14"/>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14"/>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14"/>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14"/>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14"/>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14"/>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14"/>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14"/>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14"/>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14"/>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14"/>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14"/>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14"/>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14"/>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14"/>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14"/>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14"/>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14"/>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14"/>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14"/>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14"/>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14"/>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14"/>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14"/>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14"/>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14"/>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14"/>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14"/>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14"/>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14"/>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14"/>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14"/>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14"/>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14"/>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14"/>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14"/>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14"/>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14"/>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14"/>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14"/>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14"/>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14"/>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14"/>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14"/>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14"/>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14"/>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14"/>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14"/>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14"/>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14"/>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14"/>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14"/>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14"/>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14"/>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14"/>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14"/>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14"/>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14"/>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14"/>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14"/>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14"/>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14"/>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14"/>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14"/>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14"/>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14"/>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14"/>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14"/>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14"/>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14"/>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14"/>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14"/>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14"/>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14"/>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14"/>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14"/>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14"/>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14"/>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14"/>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14"/>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14"/>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14"/>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14"/>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14"/>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14"/>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14"/>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14"/>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14"/>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14"/>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14"/>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14"/>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14"/>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14"/>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14"/>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14"/>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14"/>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14"/>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14"/>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14"/>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14"/>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14"/>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14"/>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14"/>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14"/>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14"/>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14"/>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14"/>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14"/>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14"/>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14"/>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14"/>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14"/>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14"/>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14"/>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14"/>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14"/>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14"/>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14"/>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14"/>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14"/>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14"/>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14"/>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14"/>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14"/>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14"/>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14"/>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14"/>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14"/>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14"/>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14"/>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14"/>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14"/>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14"/>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14"/>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14"/>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14"/>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14"/>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14"/>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14"/>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14"/>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14"/>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14"/>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14"/>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14"/>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14"/>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14"/>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14"/>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14"/>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14"/>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14"/>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14"/>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14"/>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14"/>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14"/>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14"/>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14"/>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14"/>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14"/>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14"/>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14"/>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14"/>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14"/>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14"/>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14"/>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14"/>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14"/>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14"/>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14"/>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14"/>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14"/>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14"/>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14"/>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14"/>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14"/>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14"/>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14"/>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14"/>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14"/>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14"/>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14"/>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14"/>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14"/>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14"/>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14"/>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14"/>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14"/>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14"/>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14"/>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14"/>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14"/>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14"/>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14"/>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14"/>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14"/>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14"/>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14"/>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14"/>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14"/>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14"/>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14"/>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14"/>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14"/>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14"/>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14"/>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14"/>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14"/>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14"/>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14"/>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14"/>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14"/>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14"/>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14"/>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14"/>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14"/>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14"/>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14"/>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14"/>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14"/>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14"/>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14"/>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14"/>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14"/>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14"/>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14"/>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14"/>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14"/>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14"/>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14"/>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14"/>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14"/>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14"/>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14"/>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14"/>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14"/>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14"/>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14"/>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14"/>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14"/>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14"/>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14"/>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14"/>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14"/>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14"/>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14"/>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14"/>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14"/>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14"/>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14"/>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14"/>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14"/>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14"/>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14"/>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14"/>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14"/>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14"/>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14"/>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14"/>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14"/>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14"/>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14"/>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14"/>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14"/>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14"/>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14"/>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14"/>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14"/>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14"/>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14"/>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14"/>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14"/>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14"/>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14"/>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14"/>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14"/>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14"/>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14"/>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14"/>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14"/>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14"/>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14"/>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14"/>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14"/>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14"/>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14"/>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14"/>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14"/>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14"/>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14"/>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14"/>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14"/>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14"/>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14"/>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14"/>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14"/>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14"/>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14"/>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14"/>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14"/>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14"/>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14"/>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14"/>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14"/>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14"/>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14"/>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14"/>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14"/>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14"/>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14"/>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14"/>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14"/>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14"/>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14"/>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14"/>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14"/>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14"/>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14"/>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14"/>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14"/>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14"/>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14"/>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14"/>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14"/>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14"/>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14"/>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14"/>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14"/>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14"/>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14"/>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14"/>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14"/>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14"/>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14"/>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14"/>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14"/>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14"/>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14"/>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14"/>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14"/>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14"/>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14"/>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14"/>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14"/>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14"/>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14"/>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14"/>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14"/>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14"/>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14"/>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14"/>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14"/>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14"/>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14"/>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14"/>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14"/>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14"/>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14"/>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14"/>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14"/>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14"/>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14"/>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14"/>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14"/>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14"/>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14"/>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14"/>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14"/>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14"/>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14"/>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14"/>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14"/>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14"/>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14"/>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14"/>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14"/>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14"/>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14"/>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14"/>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14"/>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14"/>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14"/>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14"/>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14"/>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14"/>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14"/>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14"/>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14"/>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14"/>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14"/>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14"/>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14"/>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14"/>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14"/>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14"/>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14"/>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14"/>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14"/>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14"/>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14"/>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14"/>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14"/>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14"/>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14"/>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14"/>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14"/>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14"/>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14"/>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14"/>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14"/>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14"/>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14"/>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14"/>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14"/>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14"/>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14"/>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14"/>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14"/>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14"/>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14"/>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14"/>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14"/>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14"/>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14"/>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14"/>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14"/>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14"/>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14"/>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14"/>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14"/>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14"/>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34.0"/>
    <col customWidth="1" min="3" max="3" width="31.88"/>
    <col customWidth="1" min="4" max="4" width="12.0"/>
    <col customWidth="1" min="5" max="5" width="11.88"/>
    <col customWidth="1" min="6" max="6" width="9.38"/>
    <col customWidth="1" min="7" max="7" width="8.88"/>
    <col customWidth="1" min="8" max="8" width="6.25"/>
    <col customWidth="1" min="9" max="9" width="4.75"/>
    <col customWidth="1" min="10" max="10" width="7.25"/>
    <col customWidth="1" min="11" max="11" width="8.5"/>
    <col customWidth="1" min="12" max="12" width="19.0"/>
    <col customWidth="1" min="13" max="13" width="21.0"/>
    <col customWidth="1" min="14" max="14" width="17.38"/>
    <col customWidth="1" min="15" max="15" width="13.13"/>
    <col customWidth="1" min="17" max="17" width="27.38"/>
    <col customWidth="1" min="18" max="18" width="16.25"/>
    <col customWidth="1" min="19" max="19" width="19.0"/>
  </cols>
  <sheetData>
    <row r="1">
      <c r="A1" s="44" t="str">
        <f t="array" ref="A1:E975">'Saved Jobs'!A1:E995</f>
        <v>Date Saved</v>
      </c>
      <c r="B1" s="44" t="s">
        <v>20</v>
      </c>
      <c r="C1" s="44" t="s">
        <v>21</v>
      </c>
      <c r="D1" s="44" t="s">
        <v>22</v>
      </c>
      <c r="E1" s="44" t="s">
        <v>23</v>
      </c>
      <c r="F1" s="76" t="s">
        <v>3930</v>
      </c>
      <c r="G1" s="41" t="s">
        <v>3939</v>
      </c>
      <c r="H1" s="41" t="s">
        <v>3940</v>
      </c>
      <c r="I1" s="41" t="s">
        <v>3941</v>
      </c>
      <c r="J1" s="41" t="s">
        <v>3942</v>
      </c>
      <c r="K1" s="41" t="s">
        <v>3943</v>
      </c>
      <c r="L1" s="41" t="s">
        <v>22</v>
      </c>
      <c r="M1" s="41" t="s">
        <v>3944</v>
      </c>
      <c r="N1" s="41" t="s">
        <v>3945</v>
      </c>
      <c r="O1" s="41" t="s">
        <v>3946</v>
      </c>
      <c r="P1" s="41" t="s">
        <v>3947</v>
      </c>
      <c r="Q1" s="41" t="s">
        <v>3948</v>
      </c>
      <c r="R1" s="41" t="s">
        <v>3949</v>
      </c>
      <c r="S1" s="41" t="s">
        <v>7</v>
      </c>
      <c r="T1" s="57"/>
      <c r="U1" s="57"/>
      <c r="V1" s="57"/>
      <c r="W1" s="57"/>
      <c r="X1" s="57"/>
      <c r="Y1" s="57"/>
      <c r="Z1" s="77" t="s">
        <v>3930</v>
      </c>
      <c r="AA1" s="77" t="s">
        <v>3950</v>
      </c>
      <c r="AB1" s="77" t="s">
        <v>3939</v>
      </c>
      <c r="AC1" s="77" t="s">
        <v>3951</v>
      </c>
      <c r="AD1" s="77" t="s">
        <v>3952</v>
      </c>
    </row>
    <row r="2">
      <c r="A2" s="78">
        <v>45961.70983796296</v>
      </c>
      <c r="B2" s="2" t="s">
        <v>24</v>
      </c>
      <c r="C2" s="2" t="s">
        <v>25</v>
      </c>
      <c r="D2" s="2" t="s">
        <v>26</v>
      </c>
      <c r="E2" s="79" t="s">
        <v>27</v>
      </c>
      <c r="F2" s="80">
        <f>IFERROR(__xludf.DUMMYFUNCTION("ARRAYFORMULA(
  IF(
    A2:A995="""",
    ,
    IFERROR(
      IF(
        ISNUMBER(A2:A995),
        TO_DATE(A2:A995),
        IFERROR(
          DATEVALUE(REGEXEXTRACT(A2:A995,""(\d{1,2}/\d{1,2}/\d{4})"")) +
          TIMEVALUE(REGEXEXTRACT(A2:A995,""(\"&amp;"d{1,2}:\d{2}:\d{2}\s*[APMapm]{2})"")),
          IFERROR(
            DATEVALUE(REGEXEXTRACT(A2:A995,""(\d{4}-\d{2}-\d{2})"")) +
            TIMEVALUE(REGEXEXTRACT(A2:A995,""(\d{2}:\d{2}:\d{2})"")),
            DATEVALUE(A2:A995)
          )
        )
   "&amp;"   ),
      """"
    )
  )
)
"),45961.70983796296)</f>
        <v>45961.70984</v>
      </c>
      <c r="G2" s="2" t="str">
        <f t="array" ref="G2:G995">IF(F2:F995="",,TEXT(F2:F995,"mmm yyyy"))</f>
        <v>Oct 2025</v>
      </c>
      <c r="H2" s="2">
        <f t="array" ref="H2:H995">IF(F2:F995="",,WEEKNUM(F2:F995))
</f>
        <v>44</v>
      </c>
      <c r="I2" s="2" t="str">
        <f t="array" ref="I2:I995">IF(F2:F995="",,TEXT(F2:F995,"ddd"))</f>
        <v>Fri</v>
      </c>
      <c r="J2" s="2" t="str">
        <f t="shared" ref="J2:J4" si="1">IF(A1&lt;&gt;"","No","")</f>
        <v>No</v>
      </c>
      <c r="K2" s="2" t="str">
        <f t="shared" ref="K2:K30" si="2">IF(A1&lt;&gt;"","No","")</f>
        <v>No</v>
      </c>
      <c r="L2" s="2" t="str">
        <f>IFERROR(__xludf.DUMMYFUNCTION("ARRAYFORMULA(
  IF(D2:D995="""","""",
    {
      TRIM(IFERROR(REGEXEXTRACT(D2:D995,""^(.*?)·""),REGEXEXTRACT(D2:D995,""^(.*)$""))),
      TRIM(IFERROR(REGEXEXTRACT(D2:D995,""·\s*(.*?)\s*·""),"""")),
      IFERROR(VALUE(REGEXEXTRACT(D2:D995,""(\d+)"")),"""&amp;""")
    }
  )
)
"),"San Francisco Bay Area")</f>
        <v>San Francisco Bay Area</v>
      </c>
      <c r="M2" s="2" t="str">
        <f>IFERROR(__xludf.DUMMYFUNCTION("""COMPUTED_VALUE"""),"10 minutes ago")</f>
        <v>10 minutes ago</v>
      </c>
      <c r="N2" s="2">
        <f>IFERROR(__xludf.DUMMYFUNCTION("""COMPUTED_VALUE"""),10.0)</f>
        <v>10</v>
      </c>
      <c r="O2" s="2"/>
      <c r="P2" s="1" t="str">
        <f t="shared" ref="P2:P30" si="3">IF(A1&lt;&gt;"","0","")</f>
        <v>0</v>
      </c>
      <c r="Q2" s="2"/>
      <c r="R2" s="1" t="str">
        <f t="shared" ref="R2:R4" si="4">IF(A1&lt;&gt;"","Review","")</f>
        <v>Review</v>
      </c>
      <c r="S2" s="2"/>
      <c r="Z2" s="81">
        <f t="array" ref="Z2:Z995">IF(F2:F995="",,INT(F2:F995))</f>
        <v>45961</v>
      </c>
      <c r="AA2" s="81" t="str">
        <f t="array" ref="AA2:AA995">IF(F2:F995="",,YEAR(F2:F995)&amp;"-W"&amp;TEXT(ISOWEEKNUM(F2:F995),"00"))
</f>
        <v>2025-W44</v>
      </c>
      <c r="AB2" s="81" t="str">
        <f t="array" ref="AB2:AB995">IF(F2:F995="",,TEXT(F2:F995,"yyyy-mm"))
</f>
        <v>2025-10</v>
      </c>
      <c r="AC2" s="81">
        <f t="shared" ref="AC2:AC995" si="5">IF(Z2="","", Z2 - WEEKDAY(Z2, 2) + 1)</f>
        <v>45957</v>
      </c>
      <c r="AD2" s="82">
        <f t="shared" ref="AD2:AD995" si="6">IF(Z2="","", WEEKDAY(Z2, 2))</f>
        <v>5</v>
      </c>
    </row>
    <row r="3">
      <c r="A3" s="78">
        <v>45961.72439814815</v>
      </c>
      <c r="B3" s="2" t="s">
        <v>28</v>
      </c>
      <c r="C3" s="2" t="s">
        <v>29</v>
      </c>
      <c r="D3" s="2" t="s">
        <v>30</v>
      </c>
      <c r="E3" s="79" t="s">
        <v>31</v>
      </c>
      <c r="F3" s="80">
        <f>IFERROR(__xludf.DUMMYFUNCTION("""COMPUTED_VALUE"""),45961.72439814815)</f>
        <v>45961.7244</v>
      </c>
      <c r="G3" s="2" t="s">
        <v>3953</v>
      </c>
      <c r="H3" s="2">
        <v>44.0</v>
      </c>
      <c r="I3" s="2" t="s">
        <v>3954</v>
      </c>
      <c r="J3" s="2" t="str">
        <f t="shared" si="1"/>
        <v>No</v>
      </c>
      <c r="K3" s="2" t="str">
        <f t="shared" si="2"/>
        <v>No</v>
      </c>
      <c r="L3" s="2" t="str">
        <f>IFERROR(__xludf.DUMMYFUNCTION("""COMPUTED_VALUE"""),"Carrollton, TX")</f>
        <v>Carrollton, TX</v>
      </c>
      <c r="M3" s="2" t="str">
        <f>IFERROR(__xludf.DUMMYFUNCTION("""COMPUTED_VALUE"""),"15 minutes ago")</f>
        <v>15 minutes ago</v>
      </c>
      <c r="N3" s="2">
        <f>IFERROR(__xludf.DUMMYFUNCTION("""COMPUTED_VALUE"""),15.0)</f>
        <v>15</v>
      </c>
      <c r="O3" s="2"/>
      <c r="P3" s="1" t="str">
        <f t="shared" si="3"/>
        <v>0</v>
      </c>
      <c r="Q3" s="2"/>
      <c r="R3" s="1" t="str">
        <f t="shared" si="4"/>
        <v>Review</v>
      </c>
      <c r="S3" s="2"/>
      <c r="Z3" s="81">
        <v>45961.0</v>
      </c>
      <c r="AA3" s="81" t="s">
        <v>3955</v>
      </c>
      <c r="AB3" s="81" t="s">
        <v>3956</v>
      </c>
      <c r="AC3" s="81">
        <f t="shared" si="5"/>
        <v>45957</v>
      </c>
      <c r="AD3" s="82">
        <f t="shared" si="6"/>
        <v>5</v>
      </c>
    </row>
    <row r="4">
      <c r="A4" s="78">
        <v>45961.73446759259</v>
      </c>
      <c r="B4" s="2" t="s">
        <v>32</v>
      </c>
      <c r="C4" s="2" t="s">
        <v>33</v>
      </c>
      <c r="D4" s="2" t="s">
        <v>34</v>
      </c>
      <c r="E4" s="79" t="s">
        <v>35</v>
      </c>
      <c r="F4" s="80">
        <f>IFERROR(__xludf.DUMMYFUNCTION("""COMPUTED_VALUE"""),45961.73446759259)</f>
        <v>45961.73447</v>
      </c>
      <c r="G4" s="2" t="s">
        <v>3953</v>
      </c>
      <c r="H4" s="2">
        <v>44.0</v>
      </c>
      <c r="I4" s="2" t="s">
        <v>3954</v>
      </c>
      <c r="J4" s="2" t="str">
        <f t="shared" si="1"/>
        <v>No</v>
      </c>
      <c r="K4" s="2" t="str">
        <f t="shared" si="2"/>
        <v>No</v>
      </c>
      <c r="L4" s="2" t="str">
        <f>IFERROR(__xludf.DUMMYFUNCTION("""COMPUTED_VALUE"""),"Milwaukee, WI")</f>
        <v>Milwaukee, WI</v>
      </c>
      <c r="M4" s="2" t="str">
        <f>IFERROR(__xludf.DUMMYFUNCTION("""COMPUTED_VALUE"""),"Reposted 51 minutes ago")</f>
        <v>Reposted 51 minutes ago</v>
      </c>
      <c r="N4" s="2">
        <f>IFERROR(__xludf.DUMMYFUNCTION("""COMPUTED_VALUE"""),51.0)</f>
        <v>51</v>
      </c>
      <c r="O4" s="2"/>
      <c r="P4" s="1" t="str">
        <f t="shared" si="3"/>
        <v>0</v>
      </c>
      <c r="Q4" s="2"/>
      <c r="R4" s="1" t="str">
        <f t="shared" si="4"/>
        <v>Review</v>
      </c>
      <c r="S4" s="2"/>
      <c r="Z4" s="81">
        <v>45961.0</v>
      </c>
      <c r="AA4" s="81" t="s">
        <v>3955</v>
      </c>
      <c r="AB4" s="81" t="s">
        <v>3956</v>
      </c>
      <c r="AC4" s="81">
        <f t="shared" si="5"/>
        <v>45957</v>
      </c>
      <c r="AD4" s="82">
        <f t="shared" si="6"/>
        <v>5</v>
      </c>
    </row>
    <row r="5">
      <c r="A5" s="78">
        <v>45961.76006944444</v>
      </c>
      <c r="B5" s="2" t="s">
        <v>36</v>
      </c>
      <c r="C5" s="2" t="s">
        <v>37</v>
      </c>
      <c r="D5" s="2" t="s">
        <v>38</v>
      </c>
      <c r="E5" s="79" t="s">
        <v>39</v>
      </c>
      <c r="F5" s="80">
        <f>IFERROR(__xludf.DUMMYFUNCTION("""COMPUTED_VALUE"""),45961.76006944444)</f>
        <v>45961.76007</v>
      </c>
      <c r="G5" s="2" t="s">
        <v>3953</v>
      </c>
      <c r="H5" s="2">
        <v>44.0</v>
      </c>
      <c r="I5" s="2" t="s">
        <v>3954</v>
      </c>
      <c r="J5" s="1" t="s">
        <v>3957</v>
      </c>
      <c r="K5" s="2" t="str">
        <f t="shared" si="2"/>
        <v>No</v>
      </c>
      <c r="L5" s="2" t="str">
        <f>IFERROR(__xludf.DUMMYFUNCTION("""COMPUTED_VALUE"""),"Greater Philadelphia")</f>
        <v>Greater Philadelphia</v>
      </c>
      <c r="M5" s="2" t="str">
        <f>IFERROR(__xludf.DUMMYFUNCTION("""COMPUTED_VALUE"""),"38 minutes ago")</f>
        <v>38 minutes ago</v>
      </c>
      <c r="N5" s="2">
        <f>IFERROR(__xludf.DUMMYFUNCTION("""COMPUTED_VALUE"""),38.0)</f>
        <v>38</v>
      </c>
      <c r="O5" s="1" t="s">
        <v>3958</v>
      </c>
      <c r="P5" s="1" t="str">
        <f t="shared" si="3"/>
        <v>0</v>
      </c>
      <c r="Q5" s="2"/>
      <c r="R5" s="1" t="s">
        <v>3942</v>
      </c>
      <c r="S5" s="2"/>
      <c r="Z5" s="81">
        <v>45961.0</v>
      </c>
      <c r="AA5" s="81" t="s">
        <v>3955</v>
      </c>
      <c r="AB5" s="81" t="s">
        <v>3956</v>
      </c>
      <c r="AC5" s="81">
        <f t="shared" si="5"/>
        <v>45957</v>
      </c>
      <c r="AD5" s="82">
        <f t="shared" si="6"/>
        <v>5</v>
      </c>
    </row>
    <row r="6">
      <c r="A6" s="78">
        <v>45961.831041666665</v>
      </c>
      <c r="B6" s="2" t="s">
        <v>40</v>
      </c>
      <c r="C6" s="2" t="s">
        <v>41</v>
      </c>
      <c r="D6" s="2" t="s">
        <v>42</v>
      </c>
      <c r="E6" s="79" t="s">
        <v>43</v>
      </c>
      <c r="F6" s="80">
        <f>IFERROR(__xludf.DUMMYFUNCTION("""COMPUTED_VALUE"""),45961.831041666665)</f>
        <v>45961.83104</v>
      </c>
      <c r="G6" s="2" t="s">
        <v>3953</v>
      </c>
      <c r="H6" s="2">
        <v>44.0</v>
      </c>
      <c r="I6" s="2" t="s">
        <v>3954</v>
      </c>
      <c r="J6" s="2" t="str">
        <f t="shared" ref="J6:J30" si="7">IF(A5&lt;&gt;"","No","")</f>
        <v>No</v>
      </c>
      <c r="K6" s="2" t="str">
        <f t="shared" si="2"/>
        <v>No</v>
      </c>
      <c r="L6" s="2" t="str">
        <f>IFERROR(__xludf.DUMMYFUNCTION("""COMPUTED_VALUE"""),"Minneapolis, NC")</f>
        <v>Minneapolis, NC</v>
      </c>
      <c r="M6" s="2" t="str">
        <f>IFERROR(__xludf.DUMMYFUNCTION("""COMPUTED_VALUE"""),"3 hours ago")</f>
        <v>3 hours ago</v>
      </c>
      <c r="N6" s="2">
        <f>IFERROR(__xludf.DUMMYFUNCTION("""COMPUTED_VALUE"""),3.0)</f>
        <v>3</v>
      </c>
      <c r="O6" s="2"/>
      <c r="P6" s="1" t="str">
        <f t="shared" si="3"/>
        <v>0</v>
      </c>
      <c r="Q6" s="2"/>
      <c r="R6" s="1" t="str">
        <f t="shared" ref="R6:R14" si="8">IF(A5&lt;&gt;"","Review","")</f>
        <v>Review</v>
      </c>
      <c r="S6" s="2"/>
      <c r="Z6" s="81">
        <v>45961.0</v>
      </c>
      <c r="AA6" s="81" t="s">
        <v>3955</v>
      </c>
      <c r="AB6" s="81" t="s">
        <v>3956</v>
      </c>
      <c r="AC6" s="81">
        <f t="shared" si="5"/>
        <v>45957</v>
      </c>
      <c r="AD6" s="82">
        <f t="shared" si="6"/>
        <v>5</v>
      </c>
    </row>
    <row r="7">
      <c r="A7" s="78">
        <v>45961.83665509259</v>
      </c>
      <c r="B7" s="2" t="s">
        <v>44</v>
      </c>
      <c r="C7" s="2" t="s">
        <v>45</v>
      </c>
      <c r="D7" s="2" t="s">
        <v>46</v>
      </c>
      <c r="E7" s="79" t="s">
        <v>47</v>
      </c>
      <c r="F7" s="80">
        <f>IFERROR(__xludf.DUMMYFUNCTION("""COMPUTED_VALUE"""),45961.83665509259)</f>
        <v>45961.83666</v>
      </c>
      <c r="G7" s="2" t="s">
        <v>3953</v>
      </c>
      <c r="H7" s="2">
        <v>44.0</v>
      </c>
      <c r="I7" s="2" t="s">
        <v>3954</v>
      </c>
      <c r="J7" s="2" t="str">
        <f t="shared" si="7"/>
        <v>No</v>
      </c>
      <c r="K7" s="2" t="str">
        <f t="shared" si="2"/>
        <v>No</v>
      </c>
      <c r="L7" s="2" t="str">
        <f>IFERROR(__xludf.DUMMYFUNCTION("""COMPUTED_VALUE"""),"Redmond, WA")</f>
        <v>Redmond, WA</v>
      </c>
      <c r="M7" s="2" t="str">
        <f>IFERROR(__xludf.DUMMYFUNCTION("""COMPUTED_VALUE"""),"3 hours ago")</f>
        <v>3 hours ago</v>
      </c>
      <c r="N7" s="2">
        <f>IFERROR(__xludf.DUMMYFUNCTION("""COMPUTED_VALUE"""),3.0)</f>
        <v>3</v>
      </c>
      <c r="O7" s="2"/>
      <c r="P7" s="1" t="str">
        <f t="shared" si="3"/>
        <v>0</v>
      </c>
      <c r="Q7" s="2"/>
      <c r="R7" s="1" t="str">
        <f t="shared" si="8"/>
        <v>Review</v>
      </c>
      <c r="S7" s="2"/>
      <c r="Z7" s="81">
        <v>45961.0</v>
      </c>
      <c r="AA7" s="81" t="s">
        <v>3955</v>
      </c>
      <c r="AB7" s="81" t="s">
        <v>3956</v>
      </c>
      <c r="AC7" s="81">
        <f t="shared" si="5"/>
        <v>45957</v>
      </c>
      <c r="AD7" s="82">
        <f t="shared" si="6"/>
        <v>5</v>
      </c>
    </row>
    <row r="8">
      <c r="A8" s="78">
        <v>45961.86969907407</v>
      </c>
      <c r="B8" s="2" t="s">
        <v>48</v>
      </c>
      <c r="C8" s="2" t="s">
        <v>49</v>
      </c>
      <c r="D8" s="2" t="s">
        <v>50</v>
      </c>
      <c r="E8" s="79" t="s">
        <v>51</v>
      </c>
      <c r="F8" s="80">
        <f>IFERROR(__xludf.DUMMYFUNCTION("""COMPUTED_VALUE"""),45961.86969907407)</f>
        <v>45961.8697</v>
      </c>
      <c r="G8" s="2" t="s">
        <v>3953</v>
      </c>
      <c r="H8" s="2">
        <v>44.0</v>
      </c>
      <c r="I8" s="2" t="s">
        <v>3954</v>
      </c>
      <c r="J8" s="2" t="str">
        <f t="shared" si="7"/>
        <v>No</v>
      </c>
      <c r="K8" s="2" t="str">
        <f t="shared" si="2"/>
        <v>No</v>
      </c>
      <c r="L8" s="2" t="str">
        <f>IFERROR(__xludf.DUMMYFUNCTION("""COMPUTED_VALUE"""),"Austin, TX")</f>
        <v>Austin, TX</v>
      </c>
      <c r="M8" s="2" t="str">
        <f>IFERROR(__xludf.DUMMYFUNCTION("""COMPUTED_VALUE"""),"49 minutes ago")</f>
        <v>49 minutes ago</v>
      </c>
      <c r="N8" s="2">
        <f>IFERROR(__xludf.DUMMYFUNCTION("""COMPUTED_VALUE"""),49.0)</f>
        <v>49</v>
      </c>
      <c r="O8" s="2"/>
      <c r="P8" s="1" t="str">
        <f t="shared" si="3"/>
        <v>0</v>
      </c>
      <c r="Q8" s="2"/>
      <c r="R8" s="1" t="str">
        <f t="shared" si="8"/>
        <v>Review</v>
      </c>
      <c r="S8" s="2"/>
      <c r="Z8" s="81">
        <v>45961.0</v>
      </c>
      <c r="AA8" s="81" t="s">
        <v>3955</v>
      </c>
      <c r="AB8" s="81" t="s">
        <v>3956</v>
      </c>
      <c r="AC8" s="81">
        <f t="shared" si="5"/>
        <v>45957</v>
      </c>
      <c r="AD8" s="82">
        <f t="shared" si="6"/>
        <v>5</v>
      </c>
    </row>
    <row r="9">
      <c r="A9" s="78">
        <v>45961.87230324074</v>
      </c>
      <c r="B9" s="2" t="s">
        <v>52</v>
      </c>
      <c r="C9" s="2" t="s">
        <v>53</v>
      </c>
      <c r="D9" s="2" t="s">
        <v>54</v>
      </c>
      <c r="E9" s="79" t="s">
        <v>55</v>
      </c>
      <c r="F9" s="80">
        <f>IFERROR(__xludf.DUMMYFUNCTION("""COMPUTED_VALUE"""),45961.87230324074)</f>
        <v>45961.8723</v>
      </c>
      <c r="G9" s="2" t="s">
        <v>3953</v>
      </c>
      <c r="H9" s="2">
        <v>44.0</v>
      </c>
      <c r="I9" s="2" t="s">
        <v>3954</v>
      </c>
      <c r="J9" s="2" t="str">
        <f t="shared" si="7"/>
        <v>No</v>
      </c>
      <c r="K9" s="2" t="str">
        <f t="shared" si="2"/>
        <v>No</v>
      </c>
      <c r="L9" s="2" t="str">
        <f>IFERROR(__xludf.DUMMYFUNCTION("""COMPUTED_VALUE"""),"Seattle, WA")</f>
        <v>Seattle, WA</v>
      </c>
      <c r="M9" s="2" t="str">
        <f>IFERROR(__xludf.DUMMYFUNCTION("""COMPUTED_VALUE"""),"Reposted 54 minutes ago")</f>
        <v>Reposted 54 minutes ago</v>
      </c>
      <c r="N9" s="2">
        <f>IFERROR(__xludf.DUMMYFUNCTION("""COMPUTED_VALUE"""),54.0)</f>
        <v>54</v>
      </c>
      <c r="O9" s="2"/>
      <c r="P9" s="1" t="str">
        <f t="shared" si="3"/>
        <v>0</v>
      </c>
      <c r="Q9" s="2"/>
      <c r="R9" s="1" t="str">
        <f t="shared" si="8"/>
        <v>Review</v>
      </c>
      <c r="S9" s="2"/>
      <c r="Z9" s="81">
        <v>45961.0</v>
      </c>
      <c r="AA9" s="81" t="s">
        <v>3955</v>
      </c>
      <c r="AB9" s="81" t="s">
        <v>3956</v>
      </c>
      <c r="AC9" s="81">
        <f t="shared" si="5"/>
        <v>45957</v>
      </c>
      <c r="AD9" s="82">
        <f t="shared" si="6"/>
        <v>5</v>
      </c>
    </row>
    <row r="10">
      <c r="A10" s="78">
        <v>45962.41068287037</v>
      </c>
      <c r="B10" s="2" t="s">
        <v>56</v>
      </c>
      <c r="C10" s="2" t="s">
        <v>57</v>
      </c>
      <c r="D10" s="2" t="s">
        <v>58</v>
      </c>
      <c r="E10" s="79" t="s">
        <v>59</v>
      </c>
      <c r="F10" s="80">
        <f>IFERROR(__xludf.DUMMYFUNCTION("""COMPUTED_VALUE"""),45962.41068287037)</f>
        <v>45962.41068</v>
      </c>
      <c r="G10" s="2" t="s">
        <v>3959</v>
      </c>
      <c r="H10" s="2">
        <v>44.0</v>
      </c>
      <c r="I10" s="2" t="s">
        <v>3960</v>
      </c>
      <c r="J10" s="2" t="str">
        <f t="shared" si="7"/>
        <v>No</v>
      </c>
      <c r="K10" s="2" t="str">
        <f t="shared" si="2"/>
        <v>No</v>
      </c>
      <c r="L10" s="2" t="str">
        <f>IFERROR(__xludf.DUMMYFUNCTION("""COMPUTED_VALUE"""),"Wheatland, PA")</f>
        <v>Wheatland, PA</v>
      </c>
      <c r="M10" s="2" t="str">
        <f>IFERROR(__xludf.DUMMYFUNCTION("""COMPUTED_VALUE"""),"Reposted 42 minutes ago")</f>
        <v>Reposted 42 minutes ago</v>
      </c>
      <c r="N10" s="2">
        <f>IFERROR(__xludf.DUMMYFUNCTION("""COMPUTED_VALUE"""),42.0)</f>
        <v>42</v>
      </c>
      <c r="O10" s="2"/>
      <c r="P10" s="1" t="str">
        <f t="shared" si="3"/>
        <v>0</v>
      </c>
      <c r="Q10" s="2"/>
      <c r="R10" s="1" t="str">
        <f t="shared" si="8"/>
        <v>Review</v>
      </c>
      <c r="S10" s="2"/>
      <c r="Z10" s="81">
        <v>45962.0</v>
      </c>
      <c r="AA10" s="81" t="s">
        <v>3955</v>
      </c>
      <c r="AB10" s="81" t="s">
        <v>3961</v>
      </c>
      <c r="AC10" s="81">
        <f t="shared" si="5"/>
        <v>45957</v>
      </c>
      <c r="AD10" s="82">
        <f t="shared" si="6"/>
        <v>6</v>
      </c>
    </row>
    <row r="11">
      <c r="A11" s="78">
        <v>45963.11966435185</v>
      </c>
      <c r="B11" s="2" t="s">
        <v>60</v>
      </c>
      <c r="C11" s="2" t="s">
        <v>61</v>
      </c>
      <c r="D11" s="2" t="s">
        <v>62</v>
      </c>
      <c r="E11" s="79" t="s">
        <v>63</v>
      </c>
      <c r="F11" s="80">
        <f>IFERROR(__xludf.DUMMYFUNCTION("""COMPUTED_VALUE"""),45963.11966435185)</f>
        <v>45963.11966</v>
      </c>
      <c r="G11" s="2" t="s">
        <v>3959</v>
      </c>
      <c r="H11" s="2">
        <v>45.0</v>
      </c>
      <c r="I11" s="2" t="s">
        <v>3962</v>
      </c>
      <c r="J11" s="2" t="str">
        <f t="shared" si="7"/>
        <v>No</v>
      </c>
      <c r="K11" s="2" t="str">
        <f t="shared" si="2"/>
        <v>No</v>
      </c>
      <c r="L11" s="2" t="str">
        <f>IFERROR(__xludf.DUMMYFUNCTION("""COMPUTED_VALUE"""),"Fremont, CA")</f>
        <v>Fremont, CA</v>
      </c>
      <c r="M11" s="2" t="str">
        <f>IFERROR(__xludf.DUMMYFUNCTION("""COMPUTED_VALUE"""),"42 minutes ago")</f>
        <v>42 minutes ago</v>
      </c>
      <c r="N11" s="2">
        <f>IFERROR(__xludf.DUMMYFUNCTION("""COMPUTED_VALUE"""),42.0)</f>
        <v>42</v>
      </c>
      <c r="O11" s="2"/>
      <c r="P11" s="1" t="str">
        <f t="shared" si="3"/>
        <v>0</v>
      </c>
      <c r="Q11" s="2"/>
      <c r="R11" s="1" t="str">
        <f t="shared" si="8"/>
        <v>Review</v>
      </c>
      <c r="S11" s="2"/>
      <c r="Z11" s="81">
        <v>45963.0</v>
      </c>
      <c r="AA11" s="81" t="s">
        <v>3955</v>
      </c>
      <c r="AB11" s="81" t="s">
        <v>3961</v>
      </c>
      <c r="AC11" s="81">
        <f t="shared" si="5"/>
        <v>45957</v>
      </c>
      <c r="AD11" s="82">
        <f t="shared" si="6"/>
        <v>7</v>
      </c>
    </row>
    <row r="12">
      <c r="A12" s="78">
        <v>45963.13024305556</v>
      </c>
      <c r="B12" s="2" t="s">
        <v>64</v>
      </c>
      <c r="C12" s="2" t="s">
        <v>65</v>
      </c>
      <c r="D12" s="2" t="s">
        <v>66</v>
      </c>
      <c r="E12" s="79" t="s">
        <v>67</v>
      </c>
      <c r="F12" s="80">
        <f>IFERROR(__xludf.DUMMYFUNCTION("""COMPUTED_VALUE"""),45963.13024305556)</f>
        <v>45963.13024</v>
      </c>
      <c r="G12" s="2" t="s">
        <v>3959</v>
      </c>
      <c r="H12" s="2">
        <v>45.0</v>
      </c>
      <c r="I12" s="2" t="s">
        <v>3962</v>
      </c>
      <c r="J12" s="2" t="str">
        <f t="shared" si="7"/>
        <v>No</v>
      </c>
      <c r="K12" s="2" t="str">
        <f t="shared" si="2"/>
        <v>No</v>
      </c>
      <c r="L12" s="2" t="str">
        <f>IFERROR(__xludf.DUMMYFUNCTION("""COMPUTED_VALUE"""),"Alpharetta, GA")</f>
        <v>Alpharetta, GA</v>
      </c>
      <c r="M12" s="2" t="str">
        <f>IFERROR(__xludf.DUMMYFUNCTION("""COMPUTED_VALUE"""),"Reposted 10 minutes ago")</f>
        <v>Reposted 10 minutes ago</v>
      </c>
      <c r="N12" s="2">
        <f>IFERROR(__xludf.DUMMYFUNCTION("""COMPUTED_VALUE"""),10.0)</f>
        <v>10</v>
      </c>
      <c r="O12" s="2"/>
      <c r="P12" s="1" t="str">
        <f t="shared" si="3"/>
        <v>0</v>
      </c>
      <c r="Q12" s="2"/>
      <c r="R12" s="1" t="str">
        <f t="shared" si="8"/>
        <v>Review</v>
      </c>
      <c r="S12" s="2"/>
      <c r="Z12" s="81">
        <v>45963.0</v>
      </c>
      <c r="AA12" s="81" t="s">
        <v>3955</v>
      </c>
      <c r="AB12" s="81" t="s">
        <v>3961</v>
      </c>
      <c r="AC12" s="81">
        <f t="shared" si="5"/>
        <v>45957</v>
      </c>
      <c r="AD12" s="82">
        <f t="shared" si="6"/>
        <v>7</v>
      </c>
    </row>
    <row r="13">
      <c r="A13" s="78">
        <v>45963.19826388889</v>
      </c>
      <c r="B13" s="2" t="s">
        <v>68</v>
      </c>
      <c r="C13" s="2" t="s">
        <v>69</v>
      </c>
      <c r="D13" s="2" t="s">
        <v>70</v>
      </c>
      <c r="E13" s="79" t="s">
        <v>71</v>
      </c>
      <c r="F13" s="80">
        <f>IFERROR(__xludf.DUMMYFUNCTION("""COMPUTED_VALUE"""),45963.19826388889)</f>
        <v>45963.19826</v>
      </c>
      <c r="G13" s="2" t="s">
        <v>3959</v>
      </c>
      <c r="H13" s="2">
        <v>45.0</v>
      </c>
      <c r="I13" s="2" t="s">
        <v>3962</v>
      </c>
      <c r="J13" s="2" t="str">
        <f t="shared" si="7"/>
        <v>No</v>
      </c>
      <c r="K13" s="2" t="str">
        <f t="shared" si="2"/>
        <v>No</v>
      </c>
      <c r="L13" s="2" t="str">
        <f>IFERROR(__xludf.DUMMYFUNCTION("""COMPUTED_VALUE"""),"Bethpage, NY")</f>
        <v>Bethpage, NY</v>
      </c>
      <c r="M13" s="2" t="str">
        <f>IFERROR(__xludf.DUMMYFUNCTION("""COMPUTED_VALUE"""),"Reposted 1 hour ago")</f>
        <v>Reposted 1 hour ago</v>
      </c>
      <c r="N13" s="2">
        <f>IFERROR(__xludf.DUMMYFUNCTION("""COMPUTED_VALUE"""),1.0)</f>
        <v>1</v>
      </c>
      <c r="O13" s="2"/>
      <c r="P13" s="1" t="str">
        <f t="shared" si="3"/>
        <v>0</v>
      </c>
      <c r="Q13" s="2"/>
      <c r="R13" s="1" t="str">
        <f t="shared" si="8"/>
        <v>Review</v>
      </c>
      <c r="S13" s="2"/>
      <c r="Z13" s="81">
        <v>45963.0</v>
      </c>
      <c r="AA13" s="81" t="s">
        <v>3955</v>
      </c>
      <c r="AB13" s="81" t="s">
        <v>3961</v>
      </c>
      <c r="AC13" s="81">
        <f t="shared" si="5"/>
        <v>45957</v>
      </c>
      <c r="AD13" s="82">
        <f t="shared" si="6"/>
        <v>7</v>
      </c>
    </row>
    <row r="14">
      <c r="A14" s="78">
        <v>45963.207604166666</v>
      </c>
      <c r="B14" s="2" t="s">
        <v>72</v>
      </c>
      <c r="C14" s="2" t="s">
        <v>73</v>
      </c>
      <c r="D14" s="2" t="s">
        <v>74</v>
      </c>
      <c r="E14" s="79" t="s">
        <v>75</v>
      </c>
      <c r="F14" s="80">
        <f>IFERROR(__xludf.DUMMYFUNCTION("""COMPUTED_VALUE"""),45963.207604166666)</f>
        <v>45963.2076</v>
      </c>
      <c r="G14" s="2" t="s">
        <v>3959</v>
      </c>
      <c r="H14" s="2">
        <v>45.0</v>
      </c>
      <c r="I14" s="2" t="s">
        <v>3962</v>
      </c>
      <c r="J14" s="2" t="str">
        <f t="shared" si="7"/>
        <v>No</v>
      </c>
      <c r="K14" s="2" t="str">
        <f t="shared" si="2"/>
        <v>No</v>
      </c>
      <c r="L14" s="2" t="str">
        <f>IFERROR(__xludf.DUMMYFUNCTION("""COMPUTED_VALUE"""),"California, United States")</f>
        <v>California, United States</v>
      </c>
      <c r="M14" s="2" t="str">
        <f>IFERROR(__xludf.DUMMYFUNCTION("""COMPUTED_VALUE"""),"Reposted 28 minutes ago")</f>
        <v>Reposted 28 minutes ago</v>
      </c>
      <c r="N14" s="2">
        <f>IFERROR(__xludf.DUMMYFUNCTION("""COMPUTED_VALUE"""),28.0)</f>
        <v>28</v>
      </c>
      <c r="O14" s="2"/>
      <c r="P14" s="1" t="str">
        <f t="shared" si="3"/>
        <v>0</v>
      </c>
      <c r="Q14" s="2"/>
      <c r="R14" s="1" t="str">
        <f t="shared" si="8"/>
        <v>Review</v>
      </c>
      <c r="S14" s="2"/>
      <c r="Z14" s="81">
        <v>45963.0</v>
      </c>
      <c r="AA14" s="81" t="s">
        <v>3955</v>
      </c>
      <c r="AB14" s="81" t="s">
        <v>3961</v>
      </c>
      <c r="AC14" s="81">
        <f t="shared" si="5"/>
        <v>45957</v>
      </c>
      <c r="AD14" s="82">
        <f t="shared" si="6"/>
        <v>7</v>
      </c>
    </row>
    <row r="15">
      <c r="A15" s="83">
        <v>45963.51403935185</v>
      </c>
      <c r="B15" s="84" t="s">
        <v>76</v>
      </c>
      <c r="C15" s="84" t="s">
        <v>77</v>
      </c>
      <c r="D15" s="84" t="s">
        <v>78</v>
      </c>
      <c r="E15" s="85" t="s">
        <v>79</v>
      </c>
      <c r="F15" s="86">
        <f>IFERROR(__xludf.DUMMYFUNCTION("""COMPUTED_VALUE"""),45963.51403935185)</f>
        <v>45963.51404</v>
      </c>
      <c r="G15" s="84" t="s">
        <v>3959</v>
      </c>
      <c r="H15" s="84">
        <v>45.0</v>
      </c>
      <c r="I15" s="84" t="s">
        <v>3962</v>
      </c>
      <c r="J15" s="84" t="str">
        <f t="shared" si="7"/>
        <v>No</v>
      </c>
      <c r="K15" s="84" t="str">
        <f t="shared" si="2"/>
        <v>No</v>
      </c>
      <c r="L15" s="84" t="str">
        <f>IFERROR(__xludf.DUMMYFUNCTION("""COMPUTED_VALUE"""),"San Francisco, CA")</f>
        <v>San Francisco, CA</v>
      </c>
      <c r="M15" s="84" t="str">
        <f>IFERROR(__xludf.DUMMYFUNCTION("""COMPUTED_VALUE"""),"Reposted 1 hour ago")</f>
        <v>Reposted 1 hour ago</v>
      </c>
      <c r="N15" s="84">
        <f>IFERROR(__xludf.DUMMYFUNCTION("""COMPUTED_VALUE"""),1.0)</f>
        <v>1</v>
      </c>
      <c r="O15" s="84"/>
      <c r="P15" s="87" t="str">
        <f t="shared" si="3"/>
        <v>0</v>
      </c>
      <c r="Q15" s="84"/>
      <c r="R15" s="87" t="s">
        <v>3963</v>
      </c>
      <c r="S15" s="2"/>
      <c r="Z15" s="81">
        <v>45963.0</v>
      </c>
      <c r="AA15" s="81" t="s">
        <v>3955</v>
      </c>
      <c r="AB15" s="81" t="s">
        <v>3961</v>
      </c>
      <c r="AC15" s="81">
        <f t="shared" si="5"/>
        <v>45957</v>
      </c>
      <c r="AD15" s="82">
        <f t="shared" si="6"/>
        <v>7</v>
      </c>
    </row>
    <row r="16">
      <c r="A16" s="78">
        <v>45963.5496412037</v>
      </c>
      <c r="B16" s="2" t="s">
        <v>80</v>
      </c>
      <c r="C16" s="2" t="s">
        <v>81</v>
      </c>
      <c r="D16" s="2" t="s">
        <v>82</v>
      </c>
      <c r="E16" s="79" t="s">
        <v>83</v>
      </c>
      <c r="F16" s="80">
        <f>IFERROR(__xludf.DUMMYFUNCTION("""COMPUTED_VALUE"""),45963.5496412037)</f>
        <v>45963.54964</v>
      </c>
      <c r="G16" s="2" t="s">
        <v>3959</v>
      </c>
      <c r="H16" s="2">
        <v>45.0</v>
      </c>
      <c r="I16" s="2" t="s">
        <v>3962</v>
      </c>
      <c r="J16" s="2" t="str">
        <f t="shared" si="7"/>
        <v>No</v>
      </c>
      <c r="K16" s="2" t="str">
        <f t="shared" si="2"/>
        <v>No</v>
      </c>
      <c r="L16" s="2" t="str">
        <f>IFERROR(__xludf.DUMMYFUNCTION("""COMPUTED_VALUE"""),"Plano, TX")</f>
        <v>Plano, TX</v>
      </c>
      <c r="M16" s="2" t="str">
        <f>IFERROR(__xludf.DUMMYFUNCTION("""COMPUTED_VALUE"""),"Reposted 2 hours ago")</f>
        <v>Reposted 2 hours ago</v>
      </c>
      <c r="N16" s="2">
        <f>IFERROR(__xludf.DUMMYFUNCTION("""COMPUTED_VALUE"""),2.0)</f>
        <v>2</v>
      </c>
      <c r="O16" s="2"/>
      <c r="P16" s="1" t="str">
        <f t="shared" si="3"/>
        <v>0</v>
      </c>
      <c r="Q16" s="2"/>
      <c r="R16" s="1" t="str">
        <f t="shared" ref="R16:R26" si="9">IF(A15&lt;&gt;"","Review","")</f>
        <v>Review</v>
      </c>
      <c r="S16" s="2"/>
      <c r="Z16" s="81">
        <v>45963.0</v>
      </c>
      <c r="AA16" s="81" t="s">
        <v>3955</v>
      </c>
      <c r="AB16" s="81" t="s">
        <v>3961</v>
      </c>
      <c r="AC16" s="81">
        <f t="shared" si="5"/>
        <v>45957</v>
      </c>
      <c r="AD16" s="82">
        <f t="shared" si="6"/>
        <v>7</v>
      </c>
    </row>
    <row r="17">
      <c r="A17" s="78">
        <v>45963.5534837963</v>
      </c>
      <c r="B17" s="2" t="s">
        <v>84</v>
      </c>
      <c r="C17" s="2" t="s">
        <v>85</v>
      </c>
      <c r="D17" s="2" t="s">
        <v>86</v>
      </c>
      <c r="E17" s="79" t="s">
        <v>87</v>
      </c>
      <c r="F17" s="80">
        <f>IFERROR(__xludf.DUMMYFUNCTION("""COMPUTED_VALUE"""),45963.5534837963)</f>
        <v>45963.55348</v>
      </c>
      <c r="G17" s="2" t="s">
        <v>3959</v>
      </c>
      <c r="H17" s="2">
        <v>45.0</v>
      </c>
      <c r="I17" s="2" t="s">
        <v>3962</v>
      </c>
      <c r="J17" s="2" t="str">
        <f t="shared" si="7"/>
        <v>No</v>
      </c>
      <c r="K17" s="2" t="str">
        <f t="shared" si="2"/>
        <v>No</v>
      </c>
      <c r="L17" s="2" t="str">
        <f>IFERROR(__xludf.DUMMYFUNCTION("""COMPUTED_VALUE"""),"Bentonville, AR")</f>
        <v>Bentonville, AR</v>
      </c>
      <c r="M17" s="2" t="str">
        <f>IFERROR(__xludf.DUMMYFUNCTION("""COMPUTED_VALUE"""),"Reposted 2 hours ago")</f>
        <v>Reposted 2 hours ago</v>
      </c>
      <c r="N17" s="2">
        <f>IFERROR(__xludf.DUMMYFUNCTION("""COMPUTED_VALUE"""),2.0)</f>
        <v>2</v>
      </c>
      <c r="O17" s="2"/>
      <c r="P17" s="1" t="str">
        <f t="shared" si="3"/>
        <v>0</v>
      </c>
      <c r="Q17" s="2"/>
      <c r="R17" s="1" t="str">
        <f t="shared" si="9"/>
        <v>Review</v>
      </c>
      <c r="S17" s="2"/>
      <c r="Z17" s="81">
        <v>45963.0</v>
      </c>
      <c r="AA17" s="81" t="s">
        <v>3955</v>
      </c>
      <c r="AB17" s="81" t="s">
        <v>3961</v>
      </c>
      <c r="AC17" s="81">
        <f t="shared" si="5"/>
        <v>45957</v>
      </c>
      <c r="AD17" s="82">
        <f t="shared" si="6"/>
        <v>7</v>
      </c>
    </row>
    <row r="18">
      <c r="A18" s="78">
        <v>45963.965682870374</v>
      </c>
      <c r="B18" s="2" t="s">
        <v>88</v>
      </c>
      <c r="C18" s="2" t="s">
        <v>89</v>
      </c>
      <c r="D18" s="2" t="s">
        <v>90</v>
      </c>
      <c r="E18" s="79" t="s">
        <v>91</v>
      </c>
      <c r="F18" s="80">
        <f>IFERROR(__xludf.DUMMYFUNCTION("""COMPUTED_VALUE"""),45963.965682870374)</f>
        <v>45963.96568</v>
      </c>
      <c r="G18" s="2" t="s">
        <v>3959</v>
      </c>
      <c r="H18" s="2">
        <v>45.0</v>
      </c>
      <c r="I18" s="2" t="s">
        <v>3962</v>
      </c>
      <c r="J18" s="2" t="str">
        <f t="shared" si="7"/>
        <v>No</v>
      </c>
      <c r="K18" s="2" t="str">
        <f t="shared" si="2"/>
        <v>No</v>
      </c>
      <c r="L18" s="2" t="str">
        <f>IFERROR(__xludf.DUMMYFUNCTION("""COMPUTED_VALUE"""),"Charleston, SC")</f>
        <v>Charleston, SC</v>
      </c>
      <c r="M18" s="2" t="str">
        <f>IFERROR(__xludf.DUMMYFUNCTION("""COMPUTED_VALUE"""),"49 minutes ago")</f>
        <v>49 minutes ago</v>
      </c>
      <c r="N18" s="2">
        <f>IFERROR(__xludf.DUMMYFUNCTION("""COMPUTED_VALUE"""),49.0)</f>
        <v>49</v>
      </c>
      <c r="O18" s="2"/>
      <c r="P18" s="1" t="str">
        <f t="shared" si="3"/>
        <v>0</v>
      </c>
      <c r="Q18" s="2"/>
      <c r="R18" s="1" t="str">
        <f t="shared" si="9"/>
        <v>Review</v>
      </c>
      <c r="S18" s="2"/>
      <c r="Z18" s="81">
        <v>45963.0</v>
      </c>
      <c r="AA18" s="81" t="s">
        <v>3955</v>
      </c>
      <c r="AB18" s="81" t="s">
        <v>3961</v>
      </c>
      <c r="AC18" s="81">
        <f t="shared" si="5"/>
        <v>45957</v>
      </c>
      <c r="AD18" s="82">
        <f t="shared" si="6"/>
        <v>7</v>
      </c>
    </row>
    <row r="19">
      <c r="A19" s="78">
        <v>45964.441400462965</v>
      </c>
      <c r="B19" s="2" t="s">
        <v>92</v>
      </c>
      <c r="C19" s="2" t="s">
        <v>93</v>
      </c>
      <c r="D19" s="2" t="s">
        <v>94</v>
      </c>
      <c r="E19" s="79" t="s">
        <v>95</v>
      </c>
      <c r="F19" s="80">
        <f>IFERROR(__xludf.DUMMYFUNCTION("""COMPUTED_VALUE"""),45964.441400462965)</f>
        <v>45964.4414</v>
      </c>
      <c r="G19" s="2" t="s">
        <v>3959</v>
      </c>
      <c r="H19" s="2">
        <v>45.0</v>
      </c>
      <c r="I19" s="2" t="s">
        <v>3964</v>
      </c>
      <c r="J19" s="2" t="str">
        <f t="shared" si="7"/>
        <v>No</v>
      </c>
      <c r="K19" s="2" t="str">
        <f t="shared" si="2"/>
        <v>No</v>
      </c>
      <c r="L19" s="2" t="str">
        <f>IFERROR(__xludf.DUMMYFUNCTION("""COMPUTED_VALUE"""),"Los Angeles, CA")</f>
        <v>Los Angeles, CA</v>
      </c>
      <c r="M19" s="2" t="str">
        <f>IFERROR(__xludf.DUMMYFUNCTION("""COMPUTED_VALUE"""),"12 minutes ago")</f>
        <v>12 minutes ago</v>
      </c>
      <c r="N19" s="2">
        <f>IFERROR(__xludf.DUMMYFUNCTION("""COMPUTED_VALUE"""),12.0)</f>
        <v>12</v>
      </c>
      <c r="O19" s="2"/>
      <c r="P19" s="1" t="str">
        <f t="shared" si="3"/>
        <v>0</v>
      </c>
      <c r="Q19" s="2"/>
      <c r="R19" s="1" t="str">
        <f t="shared" si="9"/>
        <v>Review</v>
      </c>
      <c r="S19" s="2"/>
      <c r="Z19" s="81">
        <v>45964.0</v>
      </c>
      <c r="AA19" s="81" t="s">
        <v>3965</v>
      </c>
      <c r="AB19" s="81" t="s">
        <v>3961</v>
      </c>
      <c r="AC19" s="81">
        <f t="shared" si="5"/>
        <v>45964</v>
      </c>
      <c r="AD19" s="82">
        <f t="shared" si="6"/>
        <v>1</v>
      </c>
    </row>
    <row r="20">
      <c r="A20" s="78">
        <v>45964.441875</v>
      </c>
      <c r="B20" s="2" t="s">
        <v>96</v>
      </c>
      <c r="C20" s="2" t="s">
        <v>97</v>
      </c>
      <c r="D20" s="2" t="s">
        <v>98</v>
      </c>
      <c r="E20" s="79" t="s">
        <v>99</v>
      </c>
      <c r="F20" s="80">
        <f>IFERROR(__xludf.DUMMYFUNCTION("""COMPUTED_VALUE"""),45964.441875)</f>
        <v>45964.44188</v>
      </c>
      <c r="G20" s="2" t="s">
        <v>3959</v>
      </c>
      <c r="H20" s="2">
        <v>45.0</v>
      </c>
      <c r="I20" s="2" t="s">
        <v>3964</v>
      </c>
      <c r="J20" s="2" t="str">
        <f t="shared" si="7"/>
        <v>No</v>
      </c>
      <c r="K20" s="2" t="str">
        <f t="shared" si="2"/>
        <v>No</v>
      </c>
      <c r="L20" s="2" t="str">
        <f>IFERROR(__xludf.DUMMYFUNCTION("""COMPUTED_VALUE"""),"East Windsor, NJ")</f>
        <v>East Windsor, NJ</v>
      </c>
      <c r="M20" s="2" t="str">
        <f>IFERROR(__xludf.DUMMYFUNCTION("""COMPUTED_VALUE"""),"Reposted 7 minutes ago")</f>
        <v>Reposted 7 minutes ago</v>
      </c>
      <c r="N20" s="2">
        <f>IFERROR(__xludf.DUMMYFUNCTION("""COMPUTED_VALUE"""),7.0)</f>
        <v>7</v>
      </c>
      <c r="O20" s="2"/>
      <c r="P20" s="1" t="str">
        <f t="shared" si="3"/>
        <v>0</v>
      </c>
      <c r="Q20" s="2"/>
      <c r="R20" s="1" t="str">
        <f t="shared" si="9"/>
        <v>Review</v>
      </c>
      <c r="S20" s="2"/>
      <c r="Z20" s="81">
        <v>45964.0</v>
      </c>
      <c r="AA20" s="81" t="s">
        <v>3965</v>
      </c>
      <c r="AB20" s="81" t="s">
        <v>3961</v>
      </c>
      <c r="AC20" s="81">
        <f t="shared" si="5"/>
        <v>45964</v>
      </c>
      <c r="AD20" s="82">
        <f t="shared" si="6"/>
        <v>1</v>
      </c>
    </row>
    <row r="21">
      <c r="A21" s="78">
        <v>45964.44215277778</v>
      </c>
      <c r="B21" s="2" t="s">
        <v>100</v>
      </c>
      <c r="C21" s="2" t="s">
        <v>101</v>
      </c>
      <c r="D21" s="2" t="s">
        <v>102</v>
      </c>
      <c r="E21" s="79" t="s">
        <v>103</v>
      </c>
      <c r="F21" s="80">
        <f>IFERROR(__xludf.DUMMYFUNCTION("""COMPUTED_VALUE"""),45964.44215277778)</f>
        <v>45964.44215</v>
      </c>
      <c r="G21" s="2" t="s">
        <v>3959</v>
      </c>
      <c r="H21" s="2">
        <v>45.0</v>
      </c>
      <c r="I21" s="2" t="s">
        <v>3964</v>
      </c>
      <c r="J21" s="2" t="str">
        <f t="shared" si="7"/>
        <v>No</v>
      </c>
      <c r="K21" s="2" t="str">
        <f t="shared" si="2"/>
        <v>No</v>
      </c>
      <c r="L21" s="2" t="str">
        <f>IFERROR(__xludf.DUMMYFUNCTION("""COMPUTED_VALUE"""),"East Windsor, NJ")</f>
        <v>East Windsor, NJ</v>
      </c>
      <c r="M21" s="2" t="str">
        <f>IFERROR(__xludf.DUMMYFUNCTION("""COMPUTED_VALUE"""),"Reposted 8 minutes ago")</f>
        <v>Reposted 8 minutes ago</v>
      </c>
      <c r="N21" s="2">
        <f>IFERROR(__xludf.DUMMYFUNCTION("""COMPUTED_VALUE"""),8.0)</f>
        <v>8</v>
      </c>
      <c r="O21" s="2"/>
      <c r="P21" s="1" t="str">
        <f t="shared" si="3"/>
        <v>0</v>
      </c>
      <c r="Q21" s="2"/>
      <c r="R21" s="1" t="str">
        <f t="shared" si="9"/>
        <v>Review</v>
      </c>
      <c r="S21" s="2"/>
      <c r="Z21" s="81">
        <v>45964.0</v>
      </c>
      <c r="AA21" s="81" t="s">
        <v>3965</v>
      </c>
      <c r="AB21" s="81" t="s">
        <v>3961</v>
      </c>
      <c r="AC21" s="81">
        <f t="shared" si="5"/>
        <v>45964</v>
      </c>
      <c r="AD21" s="82">
        <f t="shared" si="6"/>
        <v>1</v>
      </c>
    </row>
    <row r="22">
      <c r="A22" s="78">
        <v>45964.442395833335</v>
      </c>
      <c r="B22" s="2" t="s">
        <v>104</v>
      </c>
      <c r="C22" s="2" t="s">
        <v>97</v>
      </c>
      <c r="D22" s="2" t="s">
        <v>102</v>
      </c>
      <c r="E22" s="79" t="s">
        <v>105</v>
      </c>
      <c r="F22" s="80">
        <f>IFERROR(__xludf.DUMMYFUNCTION("""COMPUTED_VALUE"""),45964.442395833335)</f>
        <v>45964.4424</v>
      </c>
      <c r="G22" s="2" t="s">
        <v>3959</v>
      </c>
      <c r="H22" s="2">
        <v>45.0</v>
      </c>
      <c r="I22" s="2" t="s">
        <v>3964</v>
      </c>
      <c r="J22" s="2" t="str">
        <f t="shared" si="7"/>
        <v>No</v>
      </c>
      <c r="K22" s="2" t="str">
        <f t="shared" si="2"/>
        <v>No</v>
      </c>
      <c r="L22" s="2" t="str">
        <f>IFERROR(__xludf.DUMMYFUNCTION("""COMPUTED_VALUE"""),"East Windsor, NJ")</f>
        <v>East Windsor, NJ</v>
      </c>
      <c r="M22" s="2" t="str">
        <f>IFERROR(__xludf.DUMMYFUNCTION("""COMPUTED_VALUE"""),"Reposted 8 minutes ago")</f>
        <v>Reposted 8 minutes ago</v>
      </c>
      <c r="N22" s="2">
        <f>IFERROR(__xludf.DUMMYFUNCTION("""COMPUTED_VALUE"""),8.0)</f>
        <v>8</v>
      </c>
      <c r="O22" s="2"/>
      <c r="P22" s="1" t="str">
        <f t="shared" si="3"/>
        <v>0</v>
      </c>
      <c r="Q22" s="2"/>
      <c r="R22" s="1" t="str">
        <f t="shared" si="9"/>
        <v>Review</v>
      </c>
      <c r="S22" s="2"/>
      <c r="Z22" s="81">
        <v>45964.0</v>
      </c>
      <c r="AA22" s="81" t="s">
        <v>3965</v>
      </c>
      <c r="AB22" s="81" t="s">
        <v>3961</v>
      </c>
      <c r="AC22" s="81">
        <f t="shared" si="5"/>
        <v>45964</v>
      </c>
      <c r="AD22" s="82">
        <f t="shared" si="6"/>
        <v>1</v>
      </c>
    </row>
    <row r="23">
      <c r="A23" s="78">
        <v>45964.4425462963</v>
      </c>
      <c r="B23" s="2" t="s">
        <v>100</v>
      </c>
      <c r="C23" s="2" t="s">
        <v>101</v>
      </c>
      <c r="D23" s="2" t="s">
        <v>106</v>
      </c>
      <c r="E23" s="79" t="s">
        <v>107</v>
      </c>
      <c r="F23" s="80">
        <f>IFERROR(__xludf.DUMMYFUNCTION("""COMPUTED_VALUE"""),45964.4425462963)</f>
        <v>45964.44255</v>
      </c>
      <c r="G23" s="2" t="s">
        <v>3959</v>
      </c>
      <c r="H23" s="2">
        <v>45.0</v>
      </c>
      <c r="I23" s="2" t="s">
        <v>3964</v>
      </c>
      <c r="J23" s="2" t="str">
        <f t="shared" si="7"/>
        <v>No</v>
      </c>
      <c r="K23" s="2" t="str">
        <f t="shared" si="2"/>
        <v>No</v>
      </c>
      <c r="L23" s="2" t="str">
        <f>IFERROR(__xludf.DUMMYFUNCTION("""COMPUTED_VALUE"""),"New York, United States")</f>
        <v>New York, United States</v>
      </c>
      <c r="M23" s="2" t="str">
        <f>IFERROR(__xludf.DUMMYFUNCTION("""COMPUTED_VALUE"""),"Reposted 11 minutes ago")</f>
        <v>Reposted 11 minutes ago</v>
      </c>
      <c r="N23" s="2">
        <f>IFERROR(__xludf.DUMMYFUNCTION("""COMPUTED_VALUE"""),11.0)</f>
        <v>11</v>
      </c>
      <c r="O23" s="2"/>
      <c r="P23" s="1" t="str">
        <f t="shared" si="3"/>
        <v>0</v>
      </c>
      <c r="Q23" s="2"/>
      <c r="R23" s="1" t="str">
        <f t="shared" si="9"/>
        <v>Review</v>
      </c>
      <c r="S23" s="2"/>
      <c r="Z23" s="81">
        <v>45964.0</v>
      </c>
      <c r="AA23" s="81" t="s">
        <v>3965</v>
      </c>
      <c r="AB23" s="81" t="s">
        <v>3961</v>
      </c>
      <c r="AC23" s="81">
        <f t="shared" si="5"/>
        <v>45964</v>
      </c>
      <c r="AD23" s="82">
        <f t="shared" si="6"/>
        <v>1</v>
      </c>
    </row>
    <row r="24">
      <c r="A24" s="78">
        <v>45964.44283564815</v>
      </c>
      <c r="B24" s="2" t="s">
        <v>108</v>
      </c>
      <c r="C24" s="2" t="s">
        <v>97</v>
      </c>
      <c r="D24" s="2" t="s">
        <v>109</v>
      </c>
      <c r="E24" s="79" t="s">
        <v>110</v>
      </c>
      <c r="F24" s="80">
        <f>IFERROR(__xludf.DUMMYFUNCTION("""COMPUTED_VALUE"""),45964.44283564815)</f>
        <v>45964.44284</v>
      </c>
      <c r="G24" s="2" t="s">
        <v>3959</v>
      </c>
      <c r="H24" s="2">
        <v>45.0</v>
      </c>
      <c r="I24" s="2" t="s">
        <v>3964</v>
      </c>
      <c r="J24" s="2" t="str">
        <f t="shared" si="7"/>
        <v>No</v>
      </c>
      <c r="K24" s="2" t="str">
        <f t="shared" si="2"/>
        <v>No</v>
      </c>
      <c r="L24" s="2" t="str">
        <f>IFERROR(__xludf.DUMMYFUNCTION("""COMPUTED_VALUE"""),"East Windsor, NJ")</f>
        <v>East Windsor, NJ</v>
      </c>
      <c r="M24" s="2" t="str">
        <f>IFERROR(__xludf.DUMMYFUNCTION("""COMPUTED_VALUE"""),"Reposted 9 minutes ago")</f>
        <v>Reposted 9 minutes ago</v>
      </c>
      <c r="N24" s="2">
        <f>IFERROR(__xludf.DUMMYFUNCTION("""COMPUTED_VALUE"""),9.0)</f>
        <v>9</v>
      </c>
      <c r="O24" s="2"/>
      <c r="P24" s="1" t="str">
        <f t="shared" si="3"/>
        <v>0</v>
      </c>
      <c r="Q24" s="2"/>
      <c r="R24" s="1" t="str">
        <f t="shared" si="9"/>
        <v>Review</v>
      </c>
      <c r="S24" s="2"/>
      <c r="Z24" s="81">
        <v>45964.0</v>
      </c>
      <c r="AA24" s="81" t="s">
        <v>3965</v>
      </c>
      <c r="AB24" s="81" t="s">
        <v>3961</v>
      </c>
      <c r="AC24" s="81">
        <f t="shared" si="5"/>
        <v>45964</v>
      </c>
      <c r="AD24" s="82">
        <f t="shared" si="6"/>
        <v>1</v>
      </c>
    </row>
    <row r="25">
      <c r="A25" s="78">
        <v>45964.44290509259</v>
      </c>
      <c r="B25" s="2" t="s">
        <v>111</v>
      </c>
      <c r="C25" s="2" t="s">
        <v>101</v>
      </c>
      <c r="D25" s="2" t="s">
        <v>109</v>
      </c>
      <c r="E25" s="79" t="s">
        <v>112</v>
      </c>
      <c r="F25" s="80">
        <f>IFERROR(__xludf.DUMMYFUNCTION("""COMPUTED_VALUE"""),45964.44290509259)</f>
        <v>45964.44291</v>
      </c>
      <c r="G25" s="2" t="s">
        <v>3959</v>
      </c>
      <c r="H25" s="2">
        <v>45.0</v>
      </c>
      <c r="I25" s="2" t="s">
        <v>3964</v>
      </c>
      <c r="J25" s="2" t="str">
        <f t="shared" si="7"/>
        <v>No</v>
      </c>
      <c r="K25" s="2" t="str">
        <f t="shared" si="2"/>
        <v>No</v>
      </c>
      <c r="L25" s="2" t="str">
        <f>IFERROR(__xludf.DUMMYFUNCTION("""COMPUTED_VALUE"""),"East Windsor, NJ")</f>
        <v>East Windsor, NJ</v>
      </c>
      <c r="M25" s="2" t="str">
        <f>IFERROR(__xludf.DUMMYFUNCTION("""COMPUTED_VALUE"""),"Reposted 9 minutes ago")</f>
        <v>Reposted 9 minutes ago</v>
      </c>
      <c r="N25" s="2">
        <f>IFERROR(__xludf.DUMMYFUNCTION("""COMPUTED_VALUE"""),9.0)</f>
        <v>9</v>
      </c>
      <c r="O25" s="2"/>
      <c r="P25" s="1" t="str">
        <f t="shared" si="3"/>
        <v>0</v>
      </c>
      <c r="Q25" s="2"/>
      <c r="R25" s="1" t="str">
        <f t="shared" si="9"/>
        <v>Review</v>
      </c>
      <c r="S25" s="2"/>
      <c r="Z25" s="81">
        <v>45964.0</v>
      </c>
      <c r="AA25" s="81" t="s">
        <v>3965</v>
      </c>
      <c r="AB25" s="81" t="s">
        <v>3961</v>
      </c>
      <c r="AC25" s="81">
        <f t="shared" si="5"/>
        <v>45964</v>
      </c>
      <c r="AD25" s="82">
        <f t="shared" si="6"/>
        <v>1</v>
      </c>
    </row>
    <row r="26">
      <c r="A26" s="78">
        <v>45964.45413194445</v>
      </c>
      <c r="B26" s="2" t="s">
        <v>113</v>
      </c>
      <c r="C26" s="2" t="s">
        <v>114</v>
      </c>
      <c r="D26" s="2" t="s">
        <v>115</v>
      </c>
      <c r="E26" s="79" t="s">
        <v>116</v>
      </c>
      <c r="F26" s="80">
        <f>IFERROR(__xludf.DUMMYFUNCTION("""COMPUTED_VALUE"""),45964.45413194445)</f>
        <v>45964.45413</v>
      </c>
      <c r="G26" s="2" t="s">
        <v>3959</v>
      </c>
      <c r="H26" s="2">
        <v>45.0</v>
      </c>
      <c r="I26" s="2" t="s">
        <v>3964</v>
      </c>
      <c r="J26" s="2" t="str">
        <f t="shared" si="7"/>
        <v>No</v>
      </c>
      <c r="K26" s="2" t="str">
        <f t="shared" si="2"/>
        <v>No</v>
      </c>
      <c r="L26" s="2" t="str">
        <f>IFERROR(__xludf.DUMMYFUNCTION("""COMPUTED_VALUE"""),"Jacksonville, FL")</f>
        <v>Jacksonville, FL</v>
      </c>
      <c r="M26" s="2" t="str">
        <f>IFERROR(__xludf.DUMMYFUNCTION("""COMPUTED_VALUE"""),"Reposted 35 minutes ago")</f>
        <v>Reposted 35 minutes ago</v>
      </c>
      <c r="N26" s="2">
        <f>IFERROR(__xludf.DUMMYFUNCTION("""COMPUTED_VALUE"""),35.0)</f>
        <v>35</v>
      </c>
      <c r="O26" s="2"/>
      <c r="P26" s="1" t="str">
        <f t="shared" si="3"/>
        <v>0</v>
      </c>
      <c r="Q26" s="2"/>
      <c r="R26" s="1" t="str">
        <f t="shared" si="9"/>
        <v>Review</v>
      </c>
      <c r="S26" s="2"/>
      <c r="Z26" s="81">
        <v>45964.0</v>
      </c>
      <c r="AA26" s="81" t="s">
        <v>3965</v>
      </c>
      <c r="AB26" s="81" t="s">
        <v>3961</v>
      </c>
      <c r="AC26" s="81">
        <f t="shared" si="5"/>
        <v>45964</v>
      </c>
      <c r="AD26" s="82">
        <f t="shared" si="6"/>
        <v>1</v>
      </c>
    </row>
    <row r="27">
      <c r="A27" s="83">
        <v>45964.46059027778</v>
      </c>
      <c r="B27" s="84" t="s">
        <v>117</v>
      </c>
      <c r="C27" s="84" t="s">
        <v>118</v>
      </c>
      <c r="D27" s="84" t="s">
        <v>119</v>
      </c>
      <c r="E27" s="85" t="s">
        <v>120</v>
      </c>
      <c r="F27" s="86">
        <f>IFERROR(__xludf.DUMMYFUNCTION("""COMPUTED_VALUE"""),45964.46059027778)</f>
        <v>45964.46059</v>
      </c>
      <c r="G27" s="84" t="s">
        <v>3959</v>
      </c>
      <c r="H27" s="84">
        <v>45.0</v>
      </c>
      <c r="I27" s="84" t="s">
        <v>3964</v>
      </c>
      <c r="J27" s="84" t="str">
        <f t="shared" si="7"/>
        <v>No</v>
      </c>
      <c r="K27" s="84" t="str">
        <f t="shared" si="2"/>
        <v>No</v>
      </c>
      <c r="L27" s="84" t="str">
        <f>IFERROR(__xludf.DUMMYFUNCTION("""COMPUTED_VALUE"""),"San Jose, CA")</f>
        <v>San Jose, CA</v>
      </c>
      <c r="M27" s="84" t="str">
        <f>IFERROR(__xludf.DUMMYFUNCTION("""COMPUTED_VALUE"""),"Reposted 51 minutes ago")</f>
        <v>Reposted 51 minutes ago</v>
      </c>
      <c r="N27" s="84">
        <f>IFERROR(__xludf.DUMMYFUNCTION("""COMPUTED_VALUE"""),51.0)</f>
        <v>51</v>
      </c>
      <c r="O27" s="84"/>
      <c r="P27" s="87" t="str">
        <f t="shared" si="3"/>
        <v>0</v>
      </c>
      <c r="Q27" s="84"/>
      <c r="R27" s="87" t="s">
        <v>3963</v>
      </c>
      <c r="S27" s="2"/>
      <c r="Z27" s="81">
        <v>45964.0</v>
      </c>
      <c r="AA27" s="81" t="s">
        <v>3965</v>
      </c>
      <c r="AB27" s="81" t="s">
        <v>3961</v>
      </c>
      <c r="AC27" s="81">
        <f t="shared" si="5"/>
        <v>45964</v>
      </c>
      <c r="AD27" s="82">
        <f t="shared" si="6"/>
        <v>1</v>
      </c>
    </row>
    <row r="28">
      <c r="A28" s="78">
        <v>45964.47126157407</v>
      </c>
      <c r="B28" s="2" t="s">
        <v>121</v>
      </c>
      <c r="C28" s="2" t="s">
        <v>122</v>
      </c>
      <c r="D28" s="2" t="s">
        <v>123</v>
      </c>
      <c r="E28" s="79" t="s">
        <v>124</v>
      </c>
      <c r="F28" s="80">
        <f>IFERROR(__xludf.DUMMYFUNCTION("""COMPUTED_VALUE"""),45964.47126157407)</f>
        <v>45964.47126</v>
      </c>
      <c r="G28" s="2" t="s">
        <v>3959</v>
      </c>
      <c r="H28" s="2">
        <v>45.0</v>
      </c>
      <c r="I28" s="2" t="s">
        <v>3964</v>
      </c>
      <c r="J28" s="2" t="str">
        <f t="shared" si="7"/>
        <v>No</v>
      </c>
      <c r="K28" s="2" t="str">
        <f t="shared" si="2"/>
        <v>No</v>
      </c>
      <c r="L28" s="2" t="str">
        <f>IFERROR(__xludf.DUMMYFUNCTION("""COMPUTED_VALUE"""),"Irving, TX")</f>
        <v>Irving, TX</v>
      </c>
      <c r="M28" s="2" t="str">
        <f>IFERROR(__xludf.DUMMYFUNCTION("""COMPUTED_VALUE"""),"1 hour ago")</f>
        <v>1 hour ago</v>
      </c>
      <c r="N28" s="2">
        <f>IFERROR(__xludf.DUMMYFUNCTION("""COMPUTED_VALUE"""),1.0)</f>
        <v>1</v>
      </c>
      <c r="O28" s="2"/>
      <c r="P28" s="1" t="str">
        <f t="shared" si="3"/>
        <v>0</v>
      </c>
      <c r="Q28" s="2"/>
      <c r="R28" s="1" t="str">
        <f t="shared" ref="R28:R29" si="10">IF(A27&lt;&gt;"","Review","")</f>
        <v>Review</v>
      </c>
      <c r="S28" s="2"/>
      <c r="Z28" s="81">
        <v>45964.0</v>
      </c>
      <c r="AA28" s="81" t="s">
        <v>3965</v>
      </c>
      <c r="AB28" s="81" t="s">
        <v>3961</v>
      </c>
      <c r="AC28" s="81">
        <f t="shared" si="5"/>
        <v>45964</v>
      </c>
      <c r="AD28" s="82">
        <f t="shared" si="6"/>
        <v>1</v>
      </c>
    </row>
    <row r="29">
      <c r="A29" s="78">
        <v>45964.47236111111</v>
      </c>
      <c r="B29" s="2" t="s">
        <v>125</v>
      </c>
      <c r="C29" s="2" t="s">
        <v>73</v>
      </c>
      <c r="D29" s="2" t="s">
        <v>126</v>
      </c>
      <c r="E29" s="79" t="s">
        <v>127</v>
      </c>
      <c r="F29" s="80">
        <f>IFERROR(__xludf.DUMMYFUNCTION("""COMPUTED_VALUE"""),45964.47236111111)</f>
        <v>45964.47236</v>
      </c>
      <c r="G29" s="2" t="s">
        <v>3959</v>
      </c>
      <c r="H29" s="2">
        <v>45.0</v>
      </c>
      <c r="I29" s="2" t="s">
        <v>3964</v>
      </c>
      <c r="J29" s="2" t="str">
        <f t="shared" si="7"/>
        <v>No</v>
      </c>
      <c r="K29" s="2" t="str">
        <f t="shared" si="2"/>
        <v>No</v>
      </c>
      <c r="L29" s="2" t="str">
        <f>IFERROR(__xludf.DUMMYFUNCTION("""COMPUTED_VALUE"""),"Redmond, WA")</f>
        <v>Redmond, WA</v>
      </c>
      <c r="M29" s="2" t="str">
        <f>IFERROR(__xludf.DUMMYFUNCTION("""COMPUTED_VALUE"""),"Reposted 19 minutes ago")</f>
        <v>Reposted 19 minutes ago</v>
      </c>
      <c r="N29" s="2">
        <f>IFERROR(__xludf.DUMMYFUNCTION("""COMPUTED_VALUE"""),19.0)</f>
        <v>19</v>
      </c>
      <c r="O29" s="2"/>
      <c r="P29" s="1" t="str">
        <f t="shared" si="3"/>
        <v>0</v>
      </c>
      <c r="Q29" s="2"/>
      <c r="R29" s="1" t="str">
        <f t="shared" si="10"/>
        <v>Review</v>
      </c>
      <c r="S29" s="2"/>
      <c r="Z29" s="81">
        <v>45964.0</v>
      </c>
      <c r="AA29" s="81" t="s">
        <v>3965</v>
      </c>
      <c r="AB29" s="81" t="s">
        <v>3961</v>
      </c>
      <c r="AC29" s="81">
        <f t="shared" si="5"/>
        <v>45964</v>
      </c>
      <c r="AD29" s="82">
        <f t="shared" si="6"/>
        <v>1</v>
      </c>
    </row>
    <row r="30">
      <c r="A30" s="83">
        <v>45964.47321759259</v>
      </c>
      <c r="B30" s="84" t="s">
        <v>128</v>
      </c>
      <c r="C30" s="84" t="s">
        <v>129</v>
      </c>
      <c r="D30" s="84" t="s">
        <v>130</v>
      </c>
      <c r="E30" s="85" t="s">
        <v>131</v>
      </c>
      <c r="F30" s="86">
        <f>IFERROR(__xludf.DUMMYFUNCTION("""COMPUTED_VALUE"""),45964.47321759259)</f>
        <v>45964.47322</v>
      </c>
      <c r="G30" s="84" t="s">
        <v>3959</v>
      </c>
      <c r="H30" s="84">
        <v>45.0</v>
      </c>
      <c r="I30" s="84" t="s">
        <v>3964</v>
      </c>
      <c r="J30" s="84" t="str">
        <f t="shared" si="7"/>
        <v>No</v>
      </c>
      <c r="K30" s="84" t="str">
        <f t="shared" si="2"/>
        <v>No</v>
      </c>
      <c r="L30" s="84" t="str">
        <f>IFERROR(__xludf.DUMMYFUNCTION("""COMPUTED_VALUE"""),"Southfield, MI")</f>
        <v>Southfield, MI</v>
      </c>
      <c r="M30" s="84" t="str">
        <f>IFERROR(__xludf.DUMMYFUNCTION("""COMPUTED_VALUE"""),"Reposted 36 minutes ago")</f>
        <v>Reposted 36 minutes ago</v>
      </c>
      <c r="N30" s="84">
        <f>IFERROR(__xludf.DUMMYFUNCTION("""COMPUTED_VALUE"""),36.0)</f>
        <v>36</v>
      </c>
      <c r="O30" s="84"/>
      <c r="P30" s="87" t="str">
        <f t="shared" si="3"/>
        <v>0</v>
      </c>
      <c r="Q30" s="84"/>
      <c r="R30" s="87" t="s">
        <v>3963</v>
      </c>
      <c r="S30" s="2"/>
      <c r="Z30" s="81">
        <v>45964.0</v>
      </c>
      <c r="AA30" s="81" t="s">
        <v>3965</v>
      </c>
      <c r="AB30" s="81" t="s">
        <v>3961</v>
      </c>
      <c r="AC30" s="81">
        <f t="shared" si="5"/>
        <v>45964</v>
      </c>
      <c r="AD30" s="82">
        <f t="shared" si="6"/>
        <v>1</v>
      </c>
    </row>
    <row r="31">
      <c r="A31" s="78">
        <v>45965.041655092595</v>
      </c>
      <c r="B31" s="2" t="s">
        <v>132</v>
      </c>
      <c r="C31" s="2" t="s">
        <v>133</v>
      </c>
      <c r="D31" s="2" t="s">
        <v>134</v>
      </c>
      <c r="E31" s="79" t="s">
        <v>135</v>
      </c>
      <c r="F31" s="80">
        <f>IFERROR(__xludf.DUMMYFUNCTION("""COMPUTED_VALUE"""),45965.041655092595)</f>
        <v>45965.04166</v>
      </c>
      <c r="G31" s="2" t="s">
        <v>3959</v>
      </c>
      <c r="H31" s="2">
        <v>45.0</v>
      </c>
      <c r="I31" s="2" t="s">
        <v>3966</v>
      </c>
      <c r="J31" s="2" t="str">
        <f t="shared" ref="J31:J50" si="11">IF(A31&lt;&gt;"","No","")</f>
        <v>No</v>
      </c>
      <c r="K31" s="1" t="s">
        <v>3957</v>
      </c>
      <c r="L31" s="2" t="str">
        <f>IFERROR(__xludf.DUMMYFUNCTION("""COMPUTED_VALUE"""),"Raleigh, NC")</f>
        <v>Raleigh, NC</v>
      </c>
      <c r="M31" s="2" t="str">
        <f>IFERROR(__xludf.DUMMYFUNCTION("""COMPUTED_VALUE"""),"7 minutes ago")</f>
        <v>7 minutes ago</v>
      </c>
      <c r="N31" s="2">
        <f>IFERROR(__xludf.DUMMYFUNCTION("""COMPUTED_VALUE"""),7.0)</f>
        <v>7</v>
      </c>
      <c r="O31" s="2"/>
      <c r="P31" s="1">
        <v>2.0</v>
      </c>
      <c r="Q31" s="1" t="s">
        <v>3967</v>
      </c>
      <c r="R31" s="1" t="str">
        <f>IF(A30&lt;&gt;"","Review","")</f>
        <v>Review</v>
      </c>
      <c r="S31" s="2"/>
      <c r="Z31" s="81">
        <v>45965.0</v>
      </c>
      <c r="AA31" s="81" t="s">
        <v>3965</v>
      </c>
      <c r="AB31" s="81" t="s">
        <v>3961</v>
      </c>
      <c r="AC31" s="81">
        <f t="shared" si="5"/>
        <v>45964</v>
      </c>
      <c r="AD31" s="82">
        <f t="shared" si="6"/>
        <v>2</v>
      </c>
    </row>
    <row r="32">
      <c r="A32" s="83">
        <v>45965.062789351854</v>
      </c>
      <c r="B32" s="84" t="s">
        <v>136</v>
      </c>
      <c r="C32" s="84" t="s">
        <v>137</v>
      </c>
      <c r="D32" s="84" t="s">
        <v>138</v>
      </c>
      <c r="E32" s="85" t="s">
        <v>139</v>
      </c>
      <c r="F32" s="86">
        <f>IFERROR(__xludf.DUMMYFUNCTION("""COMPUTED_VALUE"""),45965.062789351854)</f>
        <v>45965.06279</v>
      </c>
      <c r="G32" s="84" t="s">
        <v>3959</v>
      </c>
      <c r="H32" s="84">
        <v>45.0</v>
      </c>
      <c r="I32" s="84" t="s">
        <v>3966</v>
      </c>
      <c r="J32" s="84" t="str">
        <f t="shared" si="11"/>
        <v>No</v>
      </c>
      <c r="K32" s="84" t="str">
        <f t="shared" ref="K32:K37" si="12">IF(A32&lt;&gt;"","No","")</f>
        <v>No</v>
      </c>
      <c r="L32" s="84" t="str">
        <f>IFERROR(__xludf.DUMMYFUNCTION("""COMPUTED_VALUE"""),"Santa Barbara, CA")</f>
        <v>Santa Barbara, CA</v>
      </c>
      <c r="M32" s="84" t="str">
        <f>IFERROR(__xludf.DUMMYFUNCTION("""COMPUTED_VALUE"""),"2 minutes ago")</f>
        <v>2 minutes ago</v>
      </c>
      <c r="N32" s="84">
        <f>IFERROR(__xludf.DUMMYFUNCTION("""COMPUTED_VALUE"""),2.0)</f>
        <v>2</v>
      </c>
      <c r="O32" s="84"/>
      <c r="P32" s="87" t="str">
        <f>IF(A31&lt;&gt;"","0","")</f>
        <v>0</v>
      </c>
      <c r="Q32" s="84"/>
      <c r="R32" s="87" t="s">
        <v>3963</v>
      </c>
      <c r="S32" s="2"/>
      <c r="Z32" s="81">
        <v>45965.0</v>
      </c>
      <c r="AA32" s="81" t="s">
        <v>3965</v>
      </c>
      <c r="AB32" s="81" t="s">
        <v>3961</v>
      </c>
      <c r="AC32" s="81">
        <f t="shared" si="5"/>
        <v>45964</v>
      </c>
      <c r="AD32" s="82">
        <f t="shared" si="6"/>
        <v>2</v>
      </c>
    </row>
    <row r="33">
      <c r="A33" s="83">
        <v>45965.43740740741</v>
      </c>
      <c r="B33" s="84" t="s">
        <v>140</v>
      </c>
      <c r="C33" s="84" t="s">
        <v>141</v>
      </c>
      <c r="D33" s="84" t="s">
        <v>142</v>
      </c>
      <c r="E33" s="85" t="s">
        <v>143</v>
      </c>
      <c r="F33" s="86">
        <f>IFERROR(__xludf.DUMMYFUNCTION("""COMPUTED_VALUE"""),45965.43740740741)</f>
        <v>45965.43741</v>
      </c>
      <c r="G33" s="84" t="s">
        <v>3959</v>
      </c>
      <c r="H33" s="84">
        <v>45.0</v>
      </c>
      <c r="I33" s="84" t="s">
        <v>3966</v>
      </c>
      <c r="J33" s="84" t="str">
        <f t="shared" si="11"/>
        <v>No</v>
      </c>
      <c r="K33" s="84" t="str">
        <f t="shared" si="12"/>
        <v>No</v>
      </c>
      <c r="L33" s="84" t="str">
        <f>IFERROR(__xludf.DUMMYFUNCTION("""COMPUTED_VALUE"""),"United States")</f>
        <v>United States</v>
      </c>
      <c r="M33" s="84" t="str">
        <f>IFERROR(__xludf.DUMMYFUNCTION("""COMPUTED_VALUE"""),"32 minutes ago")</f>
        <v>32 minutes ago</v>
      </c>
      <c r="N33" s="84">
        <f>IFERROR(__xludf.DUMMYFUNCTION("""COMPUTED_VALUE"""),32.0)</f>
        <v>32</v>
      </c>
      <c r="O33" s="84"/>
      <c r="P33" s="87" t="str">
        <f t="shared" ref="P33:P55" si="13">IF(A33&lt;&gt;"","0","")</f>
        <v>0</v>
      </c>
      <c r="Q33" s="84"/>
      <c r="R33" s="87" t="s">
        <v>3963</v>
      </c>
      <c r="S33" s="2"/>
      <c r="Z33" s="81">
        <v>45965.0</v>
      </c>
      <c r="AA33" s="81" t="s">
        <v>3965</v>
      </c>
      <c r="AB33" s="81" t="s">
        <v>3961</v>
      </c>
      <c r="AC33" s="81">
        <f t="shared" si="5"/>
        <v>45964</v>
      </c>
      <c r="AD33" s="82">
        <f t="shared" si="6"/>
        <v>2</v>
      </c>
    </row>
    <row r="34">
      <c r="A34" s="78">
        <v>45965.46554398148</v>
      </c>
      <c r="B34" s="2" t="s">
        <v>144</v>
      </c>
      <c r="C34" s="88" t="s">
        <v>145</v>
      </c>
      <c r="D34" s="2" t="s">
        <v>146</v>
      </c>
      <c r="E34" s="79" t="s">
        <v>147</v>
      </c>
      <c r="F34" s="80">
        <f>IFERROR(__xludf.DUMMYFUNCTION("""COMPUTED_VALUE"""),45965.46554398148)</f>
        <v>45965.46554</v>
      </c>
      <c r="G34" s="2" t="s">
        <v>3959</v>
      </c>
      <c r="H34" s="2">
        <v>45.0</v>
      </c>
      <c r="I34" s="2" t="s">
        <v>3966</v>
      </c>
      <c r="J34" s="2" t="str">
        <f t="shared" si="11"/>
        <v>No</v>
      </c>
      <c r="K34" s="2" t="str">
        <f t="shared" si="12"/>
        <v>No</v>
      </c>
      <c r="L34" s="2" t="str">
        <f>IFERROR(__xludf.DUMMYFUNCTION("""COMPUTED_VALUE"""),"San Jose, CA")</f>
        <v>San Jose, CA</v>
      </c>
      <c r="M34" s="2" t="str">
        <f>IFERROR(__xludf.DUMMYFUNCTION("""COMPUTED_VALUE"""),"12 minutes ago")</f>
        <v>12 minutes ago</v>
      </c>
      <c r="N34" s="2">
        <f>IFERROR(__xludf.DUMMYFUNCTION("""COMPUTED_VALUE"""),12.0)</f>
        <v>12</v>
      </c>
      <c r="O34" s="2"/>
      <c r="P34" s="1" t="str">
        <f t="shared" si="13"/>
        <v>0</v>
      </c>
      <c r="Q34" s="2"/>
      <c r="R34" s="1" t="str">
        <f t="shared" ref="R34:R41" si="14">IF(A34&lt;&gt;"","Review","")</f>
        <v>Review</v>
      </c>
      <c r="S34" s="2"/>
      <c r="Z34" s="81">
        <v>45965.0</v>
      </c>
      <c r="AA34" s="81" t="s">
        <v>3965</v>
      </c>
      <c r="AB34" s="81" t="s">
        <v>3961</v>
      </c>
      <c r="AC34" s="81">
        <f t="shared" si="5"/>
        <v>45964</v>
      </c>
      <c r="AD34" s="82">
        <f t="shared" si="6"/>
        <v>2</v>
      </c>
    </row>
    <row r="35">
      <c r="A35" s="78">
        <v>45965.46592592593</v>
      </c>
      <c r="B35" s="2" t="s">
        <v>148</v>
      </c>
      <c r="C35" s="2" t="s">
        <v>149</v>
      </c>
      <c r="D35" s="2" t="s">
        <v>150</v>
      </c>
      <c r="E35" s="79" t="s">
        <v>151</v>
      </c>
      <c r="F35" s="80">
        <f>IFERROR(__xludf.DUMMYFUNCTION("""COMPUTED_VALUE"""),45965.46592592593)</f>
        <v>45965.46593</v>
      </c>
      <c r="G35" s="2" t="s">
        <v>3959</v>
      </c>
      <c r="H35" s="2">
        <v>45.0</v>
      </c>
      <c r="I35" s="2" t="s">
        <v>3966</v>
      </c>
      <c r="J35" s="2" t="str">
        <f t="shared" si="11"/>
        <v>No</v>
      </c>
      <c r="K35" s="2" t="str">
        <f t="shared" si="12"/>
        <v>No</v>
      </c>
      <c r="L35" s="2" t="str">
        <f>IFERROR(__xludf.DUMMYFUNCTION("""COMPUTED_VALUE"""),"Orlando, FL")</f>
        <v>Orlando, FL</v>
      </c>
      <c r="M35" s="2" t="str">
        <f>IFERROR(__xludf.DUMMYFUNCTION("""COMPUTED_VALUE"""),"12 minutes ago")</f>
        <v>12 minutes ago</v>
      </c>
      <c r="N35" s="2">
        <f>IFERROR(__xludf.DUMMYFUNCTION("""COMPUTED_VALUE"""),12.0)</f>
        <v>12</v>
      </c>
      <c r="O35" s="2"/>
      <c r="P35" s="1" t="str">
        <f t="shared" si="13"/>
        <v>0</v>
      </c>
      <c r="Q35" s="2"/>
      <c r="R35" s="1" t="str">
        <f t="shared" si="14"/>
        <v>Review</v>
      </c>
      <c r="S35" s="2"/>
      <c r="Z35" s="81">
        <v>45965.0</v>
      </c>
      <c r="AA35" s="81" t="s">
        <v>3965</v>
      </c>
      <c r="AB35" s="81" t="s">
        <v>3961</v>
      </c>
      <c r="AC35" s="81">
        <f t="shared" si="5"/>
        <v>45964</v>
      </c>
      <c r="AD35" s="82">
        <f t="shared" si="6"/>
        <v>2</v>
      </c>
    </row>
    <row r="36">
      <c r="A36" s="78">
        <v>45965.4666087963</v>
      </c>
      <c r="B36" s="2" t="s">
        <v>152</v>
      </c>
      <c r="C36" s="2" t="s">
        <v>153</v>
      </c>
      <c r="D36" s="2" t="s">
        <v>154</v>
      </c>
      <c r="E36" s="79" t="s">
        <v>155</v>
      </c>
      <c r="F36" s="80">
        <f>IFERROR(__xludf.DUMMYFUNCTION("""COMPUTED_VALUE"""),45965.4666087963)</f>
        <v>45965.46661</v>
      </c>
      <c r="G36" s="2" t="s">
        <v>3959</v>
      </c>
      <c r="H36" s="2">
        <v>45.0</v>
      </c>
      <c r="I36" s="2" t="s">
        <v>3966</v>
      </c>
      <c r="J36" s="2" t="str">
        <f t="shared" si="11"/>
        <v>No</v>
      </c>
      <c r="K36" s="2" t="str">
        <f t="shared" si="12"/>
        <v>No</v>
      </c>
      <c r="L36" s="2" t="str">
        <f>IFERROR(__xludf.DUMMYFUNCTION("""COMPUTED_VALUE"""),"Los Angeles, CA")</f>
        <v>Los Angeles, CA</v>
      </c>
      <c r="M36" s="2" t="str">
        <f>IFERROR(__xludf.DUMMYFUNCTION("""COMPUTED_VALUE"""),"29 minutes ago")</f>
        <v>29 minutes ago</v>
      </c>
      <c r="N36" s="2">
        <f>IFERROR(__xludf.DUMMYFUNCTION("""COMPUTED_VALUE"""),29.0)</f>
        <v>29</v>
      </c>
      <c r="O36" s="2"/>
      <c r="P36" s="1" t="str">
        <f t="shared" si="13"/>
        <v>0</v>
      </c>
      <c r="Q36" s="2"/>
      <c r="R36" s="1" t="str">
        <f t="shared" si="14"/>
        <v>Review</v>
      </c>
      <c r="S36" s="2"/>
      <c r="Z36" s="81">
        <v>45965.0</v>
      </c>
      <c r="AA36" s="81" t="s">
        <v>3965</v>
      </c>
      <c r="AB36" s="81" t="s">
        <v>3961</v>
      </c>
      <c r="AC36" s="81">
        <f t="shared" si="5"/>
        <v>45964</v>
      </c>
      <c r="AD36" s="82">
        <f t="shared" si="6"/>
        <v>2</v>
      </c>
    </row>
    <row r="37">
      <c r="A37" s="78">
        <v>45965.466678240744</v>
      </c>
      <c r="B37" s="2" t="s">
        <v>156</v>
      </c>
      <c r="C37" s="2" t="s">
        <v>157</v>
      </c>
      <c r="D37" s="2" t="s">
        <v>158</v>
      </c>
      <c r="E37" s="79" t="s">
        <v>159</v>
      </c>
      <c r="F37" s="80">
        <f>IFERROR(__xludf.DUMMYFUNCTION("""COMPUTED_VALUE"""),45965.466678240744)</f>
        <v>45965.46668</v>
      </c>
      <c r="G37" s="2" t="s">
        <v>3959</v>
      </c>
      <c r="H37" s="2">
        <v>45.0</v>
      </c>
      <c r="I37" s="2" t="s">
        <v>3966</v>
      </c>
      <c r="J37" s="2" t="str">
        <f t="shared" si="11"/>
        <v>No</v>
      </c>
      <c r="K37" s="2" t="str">
        <f t="shared" si="12"/>
        <v>No</v>
      </c>
      <c r="L37" s="2" t="str">
        <f>IFERROR(__xludf.DUMMYFUNCTION("""COMPUTED_VALUE"""),"Cupertino, CA")</f>
        <v>Cupertino, CA</v>
      </c>
      <c r="M37" s="2" t="str">
        <f>IFERROR(__xludf.DUMMYFUNCTION("""COMPUTED_VALUE"""),"57 minutes ago")</f>
        <v>57 minutes ago</v>
      </c>
      <c r="N37" s="2">
        <f>IFERROR(__xludf.DUMMYFUNCTION("""COMPUTED_VALUE"""),57.0)</f>
        <v>57</v>
      </c>
      <c r="O37" s="2"/>
      <c r="P37" s="1" t="str">
        <f t="shared" si="13"/>
        <v>0</v>
      </c>
      <c r="Q37" s="2"/>
      <c r="R37" s="1" t="str">
        <f t="shared" si="14"/>
        <v>Review</v>
      </c>
      <c r="S37" s="2"/>
      <c r="Z37" s="81">
        <v>45965.0</v>
      </c>
      <c r="AA37" s="81" t="s">
        <v>3965</v>
      </c>
      <c r="AB37" s="81" t="s">
        <v>3961</v>
      </c>
      <c r="AC37" s="81">
        <f t="shared" si="5"/>
        <v>45964</v>
      </c>
      <c r="AD37" s="82">
        <f t="shared" si="6"/>
        <v>2</v>
      </c>
    </row>
    <row r="38">
      <c r="A38" s="78">
        <v>45965.4669212963</v>
      </c>
      <c r="B38" s="2" t="s">
        <v>160</v>
      </c>
      <c r="C38" s="2" t="s">
        <v>161</v>
      </c>
      <c r="D38" s="2" t="s">
        <v>162</v>
      </c>
      <c r="E38" s="79" t="s">
        <v>163</v>
      </c>
      <c r="F38" s="80">
        <f>IFERROR(__xludf.DUMMYFUNCTION("""COMPUTED_VALUE"""),45965.4669212963)</f>
        <v>45965.46692</v>
      </c>
      <c r="G38" s="2" t="s">
        <v>3959</v>
      </c>
      <c r="H38" s="2">
        <v>45.0</v>
      </c>
      <c r="I38" s="2" t="s">
        <v>3966</v>
      </c>
      <c r="J38" s="2" t="str">
        <f t="shared" si="11"/>
        <v>No</v>
      </c>
      <c r="K38" s="1" t="s">
        <v>3957</v>
      </c>
      <c r="L38" s="2" t="str">
        <f>IFERROR(__xludf.DUMMYFUNCTION("""COMPUTED_VALUE"""),"Mountain View, CA")</f>
        <v>Mountain View, CA</v>
      </c>
      <c r="M38" s="2" t="str">
        <f>IFERROR(__xludf.DUMMYFUNCTION("""COMPUTED_VALUE"""),"16 minutes ago")</f>
        <v>16 minutes ago</v>
      </c>
      <c r="N38" s="2">
        <f>IFERROR(__xludf.DUMMYFUNCTION("""COMPUTED_VALUE"""),16.0)</f>
        <v>16</v>
      </c>
      <c r="O38" s="2"/>
      <c r="P38" s="1" t="str">
        <f t="shared" si="13"/>
        <v>0</v>
      </c>
      <c r="Q38" s="2"/>
      <c r="R38" s="1" t="str">
        <f t="shared" si="14"/>
        <v>Review</v>
      </c>
      <c r="S38" s="1" t="s">
        <v>3968</v>
      </c>
      <c r="Z38" s="81">
        <v>45965.0</v>
      </c>
      <c r="AA38" s="81" t="s">
        <v>3965</v>
      </c>
      <c r="AB38" s="81" t="s">
        <v>3961</v>
      </c>
      <c r="AC38" s="81">
        <f t="shared" si="5"/>
        <v>45964</v>
      </c>
      <c r="AD38" s="82">
        <f t="shared" si="6"/>
        <v>2</v>
      </c>
    </row>
    <row r="39">
      <c r="A39" s="78">
        <v>45965.66954861111</v>
      </c>
      <c r="B39" s="2" t="s">
        <v>164</v>
      </c>
      <c r="C39" s="2" t="s">
        <v>165</v>
      </c>
      <c r="D39" s="2" t="s">
        <v>166</v>
      </c>
      <c r="E39" s="79" t="s">
        <v>167</v>
      </c>
      <c r="F39" s="80">
        <f>IFERROR(__xludf.DUMMYFUNCTION("""COMPUTED_VALUE"""),45965.66954861111)</f>
        <v>45965.66955</v>
      </c>
      <c r="G39" s="2" t="s">
        <v>3959</v>
      </c>
      <c r="H39" s="2">
        <v>45.0</v>
      </c>
      <c r="I39" s="2" t="s">
        <v>3966</v>
      </c>
      <c r="J39" s="2" t="str">
        <f t="shared" si="11"/>
        <v>No</v>
      </c>
      <c r="K39" s="2" t="str">
        <f t="shared" ref="K39:K50" si="15">IF(A39&lt;&gt;"","No","")</f>
        <v>No</v>
      </c>
      <c r="L39" s="2" t="str">
        <f>IFERROR(__xludf.DUMMYFUNCTION("""COMPUTED_VALUE"""),"Los Angeles, CA")</f>
        <v>Los Angeles, CA</v>
      </c>
      <c r="M39" s="2" t="str">
        <f>IFERROR(__xludf.DUMMYFUNCTION("""COMPUTED_VALUE"""),"5 hours ago")</f>
        <v>5 hours ago</v>
      </c>
      <c r="N39" s="2">
        <f>IFERROR(__xludf.DUMMYFUNCTION("""COMPUTED_VALUE"""),5.0)</f>
        <v>5</v>
      </c>
      <c r="O39" s="2"/>
      <c r="P39" s="1" t="str">
        <f t="shared" si="13"/>
        <v>0</v>
      </c>
      <c r="Q39" s="2"/>
      <c r="R39" s="1" t="str">
        <f t="shared" si="14"/>
        <v>Review</v>
      </c>
      <c r="S39" s="2"/>
      <c r="Z39" s="81">
        <v>45965.0</v>
      </c>
      <c r="AA39" s="81" t="s">
        <v>3965</v>
      </c>
      <c r="AB39" s="81" t="s">
        <v>3961</v>
      </c>
      <c r="AC39" s="81">
        <f t="shared" si="5"/>
        <v>45964</v>
      </c>
      <c r="AD39" s="82">
        <f t="shared" si="6"/>
        <v>2</v>
      </c>
    </row>
    <row r="40">
      <c r="A40" s="78">
        <v>45965.85674768518</v>
      </c>
      <c r="B40" s="2" t="s">
        <v>168</v>
      </c>
      <c r="C40" s="2" t="s">
        <v>169</v>
      </c>
      <c r="D40" s="2" t="s">
        <v>170</v>
      </c>
      <c r="E40" s="79" t="s">
        <v>171</v>
      </c>
      <c r="F40" s="80">
        <f>IFERROR(__xludf.DUMMYFUNCTION("""COMPUTED_VALUE"""),45965.85674768518)</f>
        <v>45965.85675</v>
      </c>
      <c r="G40" s="2" t="s">
        <v>3959</v>
      </c>
      <c r="H40" s="2">
        <v>45.0</v>
      </c>
      <c r="I40" s="2" t="s">
        <v>3966</v>
      </c>
      <c r="J40" s="2" t="str">
        <f t="shared" si="11"/>
        <v>No</v>
      </c>
      <c r="K40" s="2" t="str">
        <f t="shared" si="15"/>
        <v>No</v>
      </c>
      <c r="L40" s="2" t="str">
        <f>IFERROR(__xludf.DUMMYFUNCTION("""COMPUTED_VALUE"""),"Mountain View, CA")</f>
        <v>Mountain View, CA</v>
      </c>
      <c r="M40" s="2" t="str">
        <f>IFERROR(__xludf.DUMMYFUNCTION("""COMPUTED_VALUE"""),"Reposted 6 minutes ago")</f>
        <v>Reposted 6 minutes ago</v>
      </c>
      <c r="N40" s="2">
        <f>IFERROR(__xludf.DUMMYFUNCTION("""COMPUTED_VALUE"""),6.0)</f>
        <v>6</v>
      </c>
      <c r="O40" s="2"/>
      <c r="P40" s="1" t="str">
        <f t="shared" si="13"/>
        <v>0</v>
      </c>
      <c r="Q40" s="2"/>
      <c r="R40" s="1" t="str">
        <f t="shared" si="14"/>
        <v>Review</v>
      </c>
      <c r="S40" s="1" t="s">
        <v>3968</v>
      </c>
      <c r="Z40" s="81">
        <v>45965.0</v>
      </c>
      <c r="AA40" s="81" t="s">
        <v>3965</v>
      </c>
      <c r="AB40" s="81" t="s">
        <v>3961</v>
      </c>
      <c r="AC40" s="81">
        <f t="shared" si="5"/>
        <v>45964</v>
      </c>
      <c r="AD40" s="82">
        <f t="shared" si="6"/>
        <v>2</v>
      </c>
    </row>
    <row r="41">
      <c r="A41" s="78">
        <v>45965.86002314815</v>
      </c>
      <c r="B41" s="2" t="s">
        <v>172</v>
      </c>
      <c r="C41" s="2" t="s">
        <v>173</v>
      </c>
      <c r="D41" s="2" t="s">
        <v>174</v>
      </c>
      <c r="E41" s="79" t="s">
        <v>175</v>
      </c>
      <c r="F41" s="80">
        <f>IFERROR(__xludf.DUMMYFUNCTION("""COMPUTED_VALUE"""),45965.86002314815)</f>
        <v>45965.86002</v>
      </c>
      <c r="G41" s="2" t="s">
        <v>3959</v>
      </c>
      <c r="H41" s="2">
        <v>45.0</v>
      </c>
      <c r="I41" s="2" t="s">
        <v>3966</v>
      </c>
      <c r="J41" s="2" t="str">
        <f t="shared" si="11"/>
        <v>No</v>
      </c>
      <c r="K41" s="2" t="str">
        <f t="shared" si="15"/>
        <v>No</v>
      </c>
      <c r="L41" s="2" t="str">
        <f>IFERROR(__xludf.DUMMYFUNCTION("""COMPUTED_VALUE"""),"Boston, MA")</f>
        <v>Boston, MA</v>
      </c>
      <c r="M41" s="2" t="str">
        <f>IFERROR(__xludf.DUMMYFUNCTION("""COMPUTED_VALUE"""),"21 minutes ago")</f>
        <v>21 minutes ago</v>
      </c>
      <c r="N41" s="2">
        <f>IFERROR(__xludf.DUMMYFUNCTION("""COMPUTED_VALUE"""),21.0)</f>
        <v>21</v>
      </c>
      <c r="O41" s="2"/>
      <c r="P41" s="1" t="str">
        <f t="shared" si="13"/>
        <v>0</v>
      </c>
      <c r="Q41" s="2"/>
      <c r="R41" s="1" t="str">
        <f t="shared" si="14"/>
        <v>Review</v>
      </c>
      <c r="S41" s="2"/>
      <c r="Z41" s="81">
        <v>45965.0</v>
      </c>
      <c r="AA41" s="81" t="s">
        <v>3965</v>
      </c>
      <c r="AB41" s="81" t="s">
        <v>3961</v>
      </c>
      <c r="AC41" s="81">
        <f t="shared" si="5"/>
        <v>45964</v>
      </c>
      <c r="AD41" s="82">
        <f t="shared" si="6"/>
        <v>2</v>
      </c>
    </row>
    <row r="42">
      <c r="A42" s="83">
        <v>45965.86023148148</v>
      </c>
      <c r="B42" s="84" t="s">
        <v>176</v>
      </c>
      <c r="C42" s="84" t="s">
        <v>177</v>
      </c>
      <c r="D42" s="84" t="s">
        <v>178</v>
      </c>
      <c r="E42" s="85" t="s">
        <v>179</v>
      </c>
      <c r="F42" s="86">
        <f>IFERROR(__xludf.DUMMYFUNCTION("""COMPUTED_VALUE"""),45965.86023148148)</f>
        <v>45965.86023</v>
      </c>
      <c r="G42" s="84" t="s">
        <v>3959</v>
      </c>
      <c r="H42" s="84">
        <v>45.0</v>
      </c>
      <c r="I42" s="84" t="s">
        <v>3966</v>
      </c>
      <c r="J42" s="84" t="str">
        <f t="shared" si="11"/>
        <v>No</v>
      </c>
      <c r="K42" s="84" t="str">
        <f t="shared" si="15"/>
        <v>No</v>
      </c>
      <c r="L42" s="84" t="str">
        <f>IFERROR(__xludf.DUMMYFUNCTION("""COMPUTED_VALUE"""),"San Mateo, CA")</f>
        <v>San Mateo, CA</v>
      </c>
      <c r="M42" s="84" t="str">
        <f>IFERROR(__xludf.DUMMYFUNCTION("""COMPUTED_VALUE"""),"20 minutes ago")</f>
        <v>20 minutes ago</v>
      </c>
      <c r="N42" s="84">
        <f>IFERROR(__xludf.DUMMYFUNCTION("""COMPUTED_VALUE"""),20.0)</f>
        <v>20</v>
      </c>
      <c r="O42" s="84"/>
      <c r="P42" s="87" t="str">
        <f t="shared" si="13"/>
        <v>0</v>
      </c>
      <c r="Q42" s="84"/>
      <c r="R42" s="87" t="s">
        <v>3963</v>
      </c>
      <c r="S42" s="2"/>
      <c r="Z42" s="81">
        <v>45965.0</v>
      </c>
      <c r="AA42" s="81" t="s">
        <v>3965</v>
      </c>
      <c r="AB42" s="81" t="s">
        <v>3961</v>
      </c>
      <c r="AC42" s="81">
        <f t="shared" si="5"/>
        <v>45964</v>
      </c>
      <c r="AD42" s="82">
        <f t="shared" si="6"/>
        <v>2</v>
      </c>
    </row>
    <row r="43">
      <c r="A43" s="78">
        <v>45965.86141203704</v>
      </c>
      <c r="B43" s="2" t="s">
        <v>180</v>
      </c>
      <c r="C43" s="2" t="s">
        <v>181</v>
      </c>
      <c r="D43" s="2" t="s">
        <v>182</v>
      </c>
      <c r="E43" s="79" t="s">
        <v>183</v>
      </c>
      <c r="F43" s="80">
        <f>IFERROR(__xludf.DUMMYFUNCTION("""COMPUTED_VALUE"""),45965.86141203704)</f>
        <v>45965.86141</v>
      </c>
      <c r="G43" s="2" t="s">
        <v>3959</v>
      </c>
      <c r="H43" s="2">
        <v>45.0</v>
      </c>
      <c r="I43" s="2" t="s">
        <v>3966</v>
      </c>
      <c r="J43" s="2" t="str">
        <f t="shared" si="11"/>
        <v>No</v>
      </c>
      <c r="K43" s="2" t="str">
        <f t="shared" si="15"/>
        <v>No</v>
      </c>
      <c r="L43" s="2" t="str">
        <f>IFERROR(__xludf.DUMMYFUNCTION("""COMPUTED_VALUE"""),"Los Angeles, CA")</f>
        <v>Los Angeles, CA</v>
      </c>
      <c r="M43" s="2" t="str">
        <f>IFERROR(__xludf.DUMMYFUNCTION("""COMPUTED_VALUE"""),"Reposted 15 minutes ago")</f>
        <v>Reposted 15 minutes ago</v>
      </c>
      <c r="N43" s="2">
        <f>IFERROR(__xludf.DUMMYFUNCTION("""COMPUTED_VALUE"""),15.0)</f>
        <v>15</v>
      </c>
      <c r="O43" s="2"/>
      <c r="P43" s="1" t="str">
        <f t="shared" si="13"/>
        <v>0</v>
      </c>
      <c r="Q43" s="2"/>
      <c r="R43" s="1" t="str">
        <f t="shared" ref="R43:R46" si="16">IF(A43&lt;&gt;"","Review","")</f>
        <v>Review</v>
      </c>
      <c r="S43" s="2"/>
      <c r="Z43" s="81">
        <v>45965.0</v>
      </c>
      <c r="AA43" s="81" t="s">
        <v>3965</v>
      </c>
      <c r="AB43" s="81" t="s">
        <v>3961</v>
      </c>
      <c r="AC43" s="81">
        <f t="shared" si="5"/>
        <v>45964</v>
      </c>
      <c r="AD43" s="82">
        <f t="shared" si="6"/>
        <v>2</v>
      </c>
    </row>
    <row r="44">
      <c r="A44" s="78">
        <v>45965.86974537037</v>
      </c>
      <c r="B44" s="2" t="s">
        <v>184</v>
      </c>
      <c r="C44" s="2" t="s">
        <v>185</v>
      </c>
      <c r="D44" s="2" t="s">
        <v>186</v>
      </c>
      <c r="E44" s="79" t="s">
        <v>187</v>
      </c>
      <c r="F44" s="80">
        <f>IFERROR(__xludf.DUMMYFUNCTION("""COMPUTED_VALUE"""),45965.86974537037)</f>
        <v>45965.86975</v>
      </c>
      <c r="G44" s="2" t="s">
        <v>3959</v>
      </c>
      <c r="H44" s="2">
        <v>45.0</v>
      </c>
      <c r="I44" s="2" t="s">
        <v>3966</v>
      </c>
      <c r="J44" s="2" t="str">
        <f t="shared" si="11"/>
        <v>No</v>
      </c>
      <c r="K44" s="2" t="str">
        <f t="shared" si="15"/>
        <v>No</v>
      </c>
      <c r="L44" s="2" t="str">
        <f>IFERROR(__xludf.DUMMYFUNCTION("""COMPUTED_VALUE"""),"Downey, CA")</f>
        <v>Downey, CA</v>
      </c>
      <c r="M44" s="2" t="str">
        <f>IFERROR(__xludf.DUMMYFUNCTION("""COMPUTED_VALUE"""),"29 minutes ago")</f>
        <v>29 minutes ago</v>
      </c>
      <c r="N44" s="2">
        <f>IFERROR(__xludf.DUMMYFUNCTION("""COMPUTED_VALUE"""),29.0)</f>
        <v>29</v>
      </c>
      <c r="O44" s="2"/>
      <c r="P44" s="1" t="str">
        <f t="shared" si="13"/>
        <v>0</v>
      </c>
      <c r="Q44" s="2"/>
      <c r="R44" s="1" t="str">
        <f t="shared" si="16"/>
        <v>Review</v>
      </c>
      <c r="S44" s="2"/>
      <c r="Z44" s="81">
        <v>45965.0</v>
      </c>
      <c r="AA44" s="81" t="s">
        <v>3965</v>
      </c>
      <c r="AB44" s="81" t="s">
        <v>3961</v>
      </c>
      <c r="AC44" s="81">
        <f t="shared" si="5"/>
        <v>45964</v>
      </c>
      <c r="AD44" s="82">
        <f t="shared" si="6"/>
        <v>2</v>
      </c>
    </row>
    <row r="45">
      <c r="A45" s="78">
        <v>45965.88082175926</v>
      </c>
      <c r="B45" s="2" t="s">
        <v>188</v>
      </c>
      <c r="C45" s="2" t="s">
        <v>189</v>
      </c>
      <c r="D45" s="2" t="s">
        <v>190</v>
      </c>
      <c r="E45" s="79" t="s">
        <v>191</v>
      </c>
      <c r="F45" s="80">
        <f>IFERROR(__xludf.DUMMYFUNCTION("""COMPUTED_VALUE"""),45965.88082175926)</f>
        <v>45965.88082</v>
      </c>
      <c r="G45" s="2" t="s">
        <v>3959</v>
      </c>
      <c r="H45" s="2">
        <v>45.0</v>
      </c>
      <c r="I45" s="2" t="s">
        <v>3966</v>
      </c>
      <c r="J45" s="2" t="str">
        <f t="shared" si="11"/>
        <v>No</v>
      </c>
      <c r="K45" s="2" t="str">
        <f t="shared" si="15"/>
        <v>No</v>
      </c>
      <c r="L45" s="2" t="str">
        <f>IFERROR(__xludf.DUMMYFUNCTION("""COMPUTED_VALUE"""),"Seattle, WA")</f>
        <v>Seattle, WA</v>
      </c>
      <c r="M45" s="2" t="str">
        <f>IFERROR(__xludf.DUMMYFUNCTION("""COMPUTED_VALUE"""),"42 minutes ago")</f>
        <v>42 minutes ago</v>
      </c>
      <c r="N45" s="2">
        <f>IFERROR(__xludf.DUMMYFUNCTION("""COMPUTED_VALUE"""),42.0)</f>
        <v>42</v>
      </c>
      <c r="O45" s="2"/>
      <c r="P45" s="1" t="str">
        <f t="shared" si="13"/>
        <v>0</v>
      </c>
      <c r="Q45" s="2"/>
      <c r="R45" s="1" t="str">
        <f t="shared" si="16"/>
        <v>Review</v>
      </c>
      <c r="S45" s="2"/>
      <c r="Z45" s="81">
        <v>45965.0</v>
      </c>
      <c r="AA45" s="81" t="s">
        <v>3965</v>
      </c>
      <c r="AB45" s="81" t="s">
        <v>3961</v>
      </c>
      <c r="AC45" s="81">
        <f t="shared" si="5"/>
        <v>45964</v>
      </c>
      <c r="AD45" s="82">
        <f t="shared" si="6"/>
        <v>2</v>
      </c>
    </row>
    <row r="46">
      <c r="A46" s="78">
        <v>45965.880949074075</v>
      </c>
      <c r="B46" s="2" t="s">
        <v>156</v>
      </c>
      <c r="C46" s="2" t="s">
        <v>192</v>
      </c>
      <c r="D46" s="2" t="s">
        <v>193</v>
      </c>
      <c r="E46" s="79" t="s">
        <v>194</v>
      </c>
      <c r="F46" s="80">
        <f>IFERROR(__xludf.DUMMYFUNCTION("""COMPUTED_VALUE"""),45965.880949074075)</f>
        <v>45965.88095</v>
      </c>
      <c r="G46" s="2" t="s">
        <v>3959</v>
      </c>
      <c r="H46" s="2">
        <v>45.0</v>
      </c>
      <c r="I46" s="2" t="s">
        <v>3966</v>
      </c>
      <c r="J46" s="2" t="str">
        <f t="shared" si="11"/>
        <v>No</v>
      </c>
      <c r="K46" s="2" t="str">
        <f t="shared" si="15"/>
        <v>No</v>
      </c>
      <c r="L46" s="2" t="str">
        <f>IFERROR(__xludf.DUMMYFUNCTION("""COMPUTED_VALUE"""),"San Francisco, CA")</f>
        <v>San Francisco, CA</v>
      </c>
      <c r="M46" s="2" t="str">
        <f>IFERROR(__xludf.DUMMYFUNCTION("""COMPUTED_VALUE"""),"27 minutes ago")</f>
        <v>27 minutes ago</v>
      </c>
      <c r="N46" s="2">
        <f>IFERROR(__xludf.DUMMYFUNCTION("""COMPUTED_VALUE"""),27.0)</f>
        <v>27</v>
      </c>
      <c r="O46" s="2"/>
      <c r="P46" s="1" t="str">
        <f t="shared" si="13"/>
        <v>0</v>
      </c>
      <c r="Q46" s="2"/>
      <c r="R46" s="1" t="str">
        <f t="shared" si="16"/>
        <v>Review</v>
      </c>
      <c r="S46" s="1" t="s">
        <v>3968</v>
      </c>
      <c r="Z46" s="81">
        <v>45965.0</v>
      </c>
      <c r="AA46" s="81" t="s">
        <v>3965</v>
      </c>
      <c r="AB46" s="81" t="s">
        <v>3961</v>
      </c>
      <c r="AC46" s="81">
        <f t="shared" si="5"/>
        <v>45964</v>
      </c>
      <c r="AD46" s="82">
        <f t="shared" si="6"/>
        <v>2</v>
      </c>
    </row>
    <row r="47">
      <c r="A47" s="83">
        <v>45965.883368055554</v>
      </c>
      <c r="B47" s="84" t="s">
        <v>195</v>
      </c>
      <c r="C47" s="84" t="s">
        <v>196</v>
      </c>
      <c r="D47" s="84" t="s">
        <v>197</v>
      </c>
      <c r="E47" s="85" t="s">
        <v>198</v>
      </c>
      <c r="F47" s="86">
        <f>IFERROR(__xludf.DUMMYFUNCTION("""COMPUTED_VALUE"""),45965.883368055554)</f>
        <v>45965.88337</v>
      </c>
      <c r="G47" s="84" t="s">
        <v>3959</v>
      </c>
      <c r="H47" s="84">
        <v>45.0</v>
      </c>
      <c r="I47" s="84" t="s">
        <v>3966</v>
      </c>
      <c r="J47" s="84" t="str">
        <f t="shared" si="11"/>
        <v>No</v>
      </c>
      <c r="K47" s="84" t="str">
        <f t="shared" si="15"/>
        <v>No</v>
      </c>
      <c r="L47" s="84" t="str">
        <f>IFERROR(__xludf.DUMMYFUNCTION("""COMPUTED_VALUE"""),"Del Mar, CA")</f>
        <v>Del Mar, CA</v>
      </c>
      <c r="M47" s="84" t="str">
        <f>IFERROR(__xludf.DUMMYFUNCTION("""COMPUTED_VALUE"""),"Reposted 1 hour ago")</f>
        <v>Reposted 1 hour ago</v>
      </c>
      <c r="N47" s="84">
        <f>IFERROR(__xludf.DUMMYFUNCTION("""COMPUTED_VALUE"""),1.0)</f>
        <v>1</v>
      </c>
      <c r="O47" s="84"/>
      <c r="P47" s="87" t="str">
        <f t="shared" si="13"/>
        <v>0</v>
      </c>
      <c r="Q47" s="84"/>
      <c r="R47" s="87" t="s">
        <v>3963</v>
      </c>
      <c r="S47" s="84"/>
      <c r="Z47" s="81">
        <v>45965.0</v>
      </c>
      <c r="AA47" s="81" t="s">
        <v>3965</v>
      </c>
      <c r="AB47" s="81" t="s">
        <v>3961</v>
      </c>
      <c r="AC47" s="81">
        <f t="shared" si="5"/>
        <v>45964</v>
      </c>
      <c r="AD47" s="82">
        <f t="shared" si="6"/>
        <v>2</v>
      </c>
    </row>
    <row r="48">
      <c r="A48" s="78">
        <v>45965.886516203704</v>
      </c>
      <c r="B48" s="2" t="s">
        <v>199</v>
      </c>
      <c r="C48" s="2" t="s">
        <v>200</v>
      </c>
      <c r="D48" s="2" t="s">
        <v>201</v>
      </c>
      <c r="E48" s="79" t="s">
        <v>202</v>
      </c>
      <c r="F48" s="80">
        <f>IFERROR(__xludf.DUMMYFUNCTION("""COMPUTED_VALUE"""),45965.886516203704)</f>
        <v>45965.88652</v>
      </c>
      <c r="G48" s="2" t="s">
        <v>3959</v>
      </c>
      <c r="H48" s="2">
        <v>45.0</v>
      </c>
      <c r="I48" s="2" t="s">
        <v>3966</v>
      </c>
      <c r="J48" s="2" t="str">
        <f t="shared" si="11"/>
        <v>No</v>
      </c>
      <c r="K48" s="2" t="str">
        <f t="shared" si="15"/>
        <v>No</v>
      </c>
      <c r="L48" s="2" t="str">
        <f>IFERROR(__xludf.DUMMYFUNCTION("""COMPUTED_VALUE"""),"Farmington Hills, MI")</f>
        <v>Farmington Hills, MI</v>
      </c>
      <c r="M48" s="2" t="str">
        <f>IFERROR(__xludf.DUMMYFUNCTION("""COMPUTED_VALUE"""),"1 hour ago")</f>
        <v>1 hour ago</v>
      </c>
      <c r="N48" s="2">
        <f>IFERROR(__xludf.DUMMYFUNCTION("""COMPUTED_VALUE"""),1.0)</f>
        <v>1</v>
      </c>
      <c r="O48" s="2"/>
      <c r="P48" s="1" t="str">
        <f t="shared" si="13"/>
        <v>0</v>
      </c>
      <c r="Q48" s="2"/>
      <c r="R48" s="1" t="str">
        <f t="shared" ref="R48:R50" si="17">IF(A48&lt;&gt;"","Review","")</f>
        <v>Review</v>
      </c>
      <c r="S48" s="2"/>
      <c r="Z48" s="81">
        <v>45965.0</v>
      </c>
      <c r="AA48" s="81" t="s">
        <v>3965</v>
      </c>
      <c r="AB48" s="81" t="s">
        <v>3961</v>
      </c>
      <c r="AC48" s="81">
        <f t="shared" si="5"/>
        <v>45964</v>
      </c>
      <c r="AD48" s="82">
        <f t="shared" si="6"/>
        <v>2</v>
      </c>
    </row>
    <row r="49">
      <c r="A49" s="78">
        <v>45965.89454861111</v>
      </c>
      <c r="B49" s="2" t="s">
        <v>203</v>
      </c>
      <c r="C49" s="2" t="s">
        <v>204</v>
      </c>
      <c r="D49" s="2" t="s">
        <v>205</v>
      </c>
      <c r="E49" s="79" t="s">
        <v>206</v>
      </c>
      <c r="F49" s="80">
        <f>IFERROR(__xludf.DUMMYFUNCTION("""COMPUTED_VALUE"""),45965.89454861111)</f>
        <v>45965.89455</v>
      </c>
      <c r="G49" s="2" t="s">
        <v>3959</v>
      </c>
      <c r="H49" s="2">
        <v>45.0</v>
      </c>
      <c r="I49" s="2" t="s">
        <v>3966</v>
      </c>
      <c r="J49" s="2" t="str">
        <f t="shared" si="11"/>
        <v>No</v>
      </c>
      <c r="K49" s="2" t="str">
        <f t="shared" si="15"/>
        <v>No</v>
      </c>
      <c r="L49" s="2" t="str">
        <f>IFERROR(__xludf.DUMMYFUNCTION("""COMPUTED_VALUE"""),"Portland, ME")</f>
        <v>Portland, ME</v>
      </c>
      <c r="M49" s="2" t="str">
        <f>IFERROR(__xludf.DUMMYFUNCTION("""COMPUTED_VALUE"""),"57 minutes ago")</f>
        <v>57 minutes ago</v>
      </c>
      <c r="N49" s="2">
        <f>IFERROR(__xludf.DUMMYFUNCTION("""COMPUTED_VALUE"""),57.0)</f>
        <v>57</v>
      </c>
      <c r="O49" s="2"/>
      <c r="P49" s="1" t="str">
        <f t="shared" si="13"/>
        <v>0</v>
      </c>
      <c r="Q49" s="2"/>
      <c r="R49" s="1" t="str">
        <f t="shared" si="17"/>
        <v>Review</v>
      </c>
      <c r="S49" s="2"/>
      <c r="Z49" s="81">
        <v>45965.0</v>
      </c>
      <c r="AA49" s="81" t="s">
        <v>3965</v>
      </c>
      <c r="AB49" s="81" t="s">
        <v>3961</v>
      </c>
      <c r="AC49" s="81">
        <f t="shared" si="5"/>
        <v>45964</v>
      </c>
      <c r="AD49" s="82">
        <f t="shared" si="6"/>
        <v>2</v>
      </c>
    </row>
    <row r="50">
      <c r="A50" s="78">
        <v>45965.897361111114</v>
      </c>
      <c r="B50" s="2" t="s">
        <v>207</v>
      </c>
      <c r="C50" s="2" t="s">
        <v>208</v>
      </c>
      <c r="D50" s="2" t="s">
        <v>209</v>
      </c>
      <c r="E50" s="79" t="s">
        <v>210</v>
      </c>
      <c r="F50" s="80">
        <f>IFERROR(__xludf.DUMMYFUNCTION("""COMPUTED_VALUE"""),45965.897361111114)</f>
        <v>45965.89736</v>
      </c>
      <c r="G50" s="2" t="s">
        <v>3959</v>
      </c>
      <c r="H50" s="2">
        <v>45.0</v>
      </c>
      <c r="I50" s="2" t="s">
        <v>3966</v>
      </c>
      <c r="J50" s="2" t="str">
        <f t="shared" si="11"/>
        <v>No</v>
      </c>
      <c r="K50" s="2" t="str">
        <f t="shared" si="15"/>
        <v>No</v>
      </c>
      <c r="L50" s="2" t="str">
        <f>IFERROR(__xludf.DUMMYFUNCTION("""COMPUTED_VALUE"""),"Salem, OR")</f>
        <v>Salem, OR</v>
      </c>
      <c r="M50" s="2" t="str">
        <f>IFERROR(__xludf.DUMMYFUNCTION("""COMPUTED_VALUE"""),"Reposted 1 hour ago")</f>
        <v>Reposted 1 hour ago</v>
      </c>
      <c r="N50" s="2">
        <f>IFERROR(__xludf.DUMMYFUNCTION("""COMPUTED_VALUE"""),1.0)</f>
        <v>1</v>
      </c>
      <c r="O50" s="2"/>
      <c r="P50" s="1" t="str">
        <f t="shared" si="13"/>
        <v>0</v>
      </c>
      <c r="Q50" s="2"/>
      <c r="R50" s="1" t="str">
        <f t="shared" si="17"/>
        <v>Review</v>
      </c>
      <c r="S50" s="2"/>
      <c r="Z50" s="81">
        <v>45965.0</v>
      </c>
      <c r="AA50" s="81" t="s">
        <v>3965</v>
      </c>
      <c r="AB50" s="81" t="s">
        <v>3961</v>
      </c>
      <c r="AC50" s="81">
        <f t="shared" si="5"/>
        <v>45964</v>
      </c>
      <c r="AD50" s="82">
        <f t="shared" si="6"/>
        <v>2</v>
      </c>
    </row>
    <row r="51">
      <c r="A51" s="78">
        <v>45965.92128472222</v>
      </c>
      <c r="B51" s="2" t="s">
        <v>211</v>
      </c>
      <c r="C51" s="2" t="s">
        <v>212</v>
      </c>
      <c r="D51" s="2" t="s">
        <v>213</v>
      </c>
      <c r="E51" s="79" t="s">
        <v>214</v>
      </c>
      <c r="F51" s="80">
        <f>IFERROR(__xludf.DUMMYFUNCTION("""COMPUTED_VALUE"""),45965.92128472222)</f>
        <v>45965.92128</v>
      </c>
      <c r="G51" s="2" t="s">
        <v>3959</v>
      </c>
      <c r="H51" s="2">
        <v>45.0</v>
      </c>
      <c r="I51" s="2" t="s">
        <v>3966</v>
      </c>
      <c r="J51" s="1" t="s">
        <v>3957</v>
      </c>
      <c r="K51" s="1" t="s">
        <v>3957</v>
      </c>
      <c r="L51" s="2" t="str">
        <f>IFERROR(__xludf.DUMMYFUNCTION("""COMPUTED_VALUE"""),"New York, United States")</f>
        <v>New York, United States</v>
      </c>
      <c r="M51" s="2" t="str">
        <f>IFERROR(__xludf.DUMMYFUNCTION("""COMPUTED_VALUE"""),"1 hour ago")</f>
        <v>1 hour ago</v>
      </c>
      <c r="N51" s="2">
        <f>IFERROR(__xludf.DUMMYFUNCTION("""COMPUTED_VALUE"""),1.0)</f>
        <v>1</v>
      </c>
      <c r="O51" s="2"/>
      <c r="P51" s="1" t="str">
        <f t="shared" si="13"/>
        <v>0</v>
      </c>
      <c r="Q51" s="1" t="s">
        <v>3969</v>
      </c>
      <c r="R51" s="1" t="s">
        <v>3942</v>
      </c>
      <c r="S51" s="1" t="s">
        <v>3970</v>
      </c>
      <c r="Z51" s="81">
        <v>45965.0</v>
      </c>
      <c r="AA51" s="81" t="s">
        <v>3965</v>
      </c>
      <c r="AB51" s="81" t="s">
        <v>3961</v>
      </c>
      <c r="AC51" s="81">
        <f t="shared" si="5"/>
        <v>45964</v>
      </c>
      <c r="AD51" s="82">
        <f t="shared" si="6"/>
        <v>2</v>
      </c>
    </row>
    <row r="52">
      <c r="A52" s="78">
        <v>45966.97725694445</v>
      </c>
      <c r="B52" s="2" t="s">
        <v>215</v>
      </c>
      <c r="C52" s="2" t="s">
        <v>216</v>
      </c>
      <c r="D52" s="2" t="s">
        <v>217</v>
      </c>
      <c r="E52" s="79" t="s">
        <v>218</v>
      </c>
      <c r="F52" s="80">
        <f>IFERROR(__xludf.DUMMYFUNCTION("""COMPUTED_VALUE"""),45966.97725694445)</f>
        <v>45966.97726</v>
      </c>
      <c r="G52" s="2" t="s">
        <v>3959</v>
      </c>
      <c r="H52" s="2">
        <v>45.0</v>
      </c>
      <c r="I52" s="2" t="s">
        <v>3971</v>
      </c>
      <c r="J52" s="2" t="str">
        <f t="shared" ref="J52:J995" si="18">IF(A52&lt;&gt;"","No","")</f>
        <v>No</v>
      </c>
      <c r="K52" s="2" t="str">
        <f>IF(A52&lt;&gt;"","No","")</f>
        <v>No</v>
      </c>
      <c r="L52" s="2" t="str">
        <f>IFERROR(__xludf.DUMMYFUNCTION("""COMPUTED_VALUE"""),"New York, NY")</f>
        <v>New York, NY</v>
      </c>
      <c r="M52" s="2" t="str">
        <f>IFERROR(__xludf.DUMMYFUNCTION("""COMPUTED_VALUE"""),"9 minutes ago")</f>
        <v>9 minutes ago</v>
      </c>
      <c r="N52" s="2">
        <f>IFERROR(__xludf.DUMMYFUNCTION("""COMPUTED_VALUE"""),9.0)</f>
        <v>9</v>
      </c>
      <c r="O52" s="2"/>
      <c r="P52" s="1" t="str">
        <f t="shared" si="13"/>
        <v>0</v>
      </c>
      <c r="Q52" s="2"/>
      <c r="R52" s="1" t="str">
        <f>IF(A52&lt;&gt;"","Review","")</f>
        <v>Review</v>
      </c>
      <c r="S52" s="2"/>
      <c r="Z52" s="81">
        <v>45966.0</v>
      </c>
      <c r="AA52" s="81" t="s">
        <v>3965</v>
      </c>
      <c r="AB52" s="81" t="s">
        <v>3961</v>
      </c>
      <c r="AC52" s="81">
        <f t="shared" si="5"/>
        <v>45964</v>
      </c>
      <c r="AD52" s="82">
        <f t="shared" si="6"/>
        <v>3</v>
      </c>
    </row>
    <row r="53">
      <c r="A53" s="83">
        <v>45967.01736111111</v>
      </c>
      <c r="B53" s="84" t="s">
        <v>219</v>
      </c>
      <c r="C53" s="84" t="s">
        <v>220</v>
      </c>
      <c r="D53" s="84" t="s">
        <v>221</v>
      </c>
      <c r="E53" s="85" t="s">
        <v>222</v>
      </c>
      <c r="F53" s="86">
        <f>IFERROR(__xludf.DUMMYFUNCTION("""COMPUTED_VALUE"""),45967.01736111111)</f>
        <v>45967.01736</v>
      </c>
      <c r="G53" s="84" t="s">
        <v>3959</v>
      </c>
      <c r="H53" s="84">
        <v>45.0</v>
      </c>
      <c r="I53" s="84" t="s">
        <v>3972</v>
      </c>
      <c r="J53" s="84" t="str">
        <f t="shared" si="18"/>
        <v>No</v>
      </c>
      <c r="K53" s="87" t="s">
        <v>3957</v>
      </c>
      <c r="L53" s="84" t="str">
        <f>IFERROR(__xludf.DUMMYFUNCTION("""COMPUTED_VALUE"""),"San Jose, CA")</f>
        <v>San Jose, CA</v>
      </c>
      <c r="M53" s="84" t="str">
        <f>IFERROR(__xludf.DUMMYFUNCTION("""COMPUTED_VALUE"""),"1 hour ago")</f>
        <v>1 hour ago</v>
      </c>
      <c r="N53" s="84">
        <f>IFERROR(__xludf.DUMMYFUNCTION("""COMPUTED_VALUE"""),1.0)</f>
        <v>1</v>
      </c>
      <c r="O53" s="84"/>
      <c r="P53" s="87" t="str">
        <f t="shared" si="13"/>
        <v>0</v>
      </c>
      <c r="Q53" s="84"/>
      <c r="R53" s="87" t="s">
        <v>3963</v>
      </c>
      <c r="S53" s="2"/>
      <c r="Z53" s="81">
        <v>45967.0</v>
      </c>
      <c r="AA53" s="81" t="s">
        <v>3965</v>
      </c>
      <c r="AB53" s="81" t="s">
        <v>3961</v>
      </c>
      <c r="AC53" s="81">
        <f t="shared" si="5"/>
        <v>45964</v>
      </c>
      <c r="AD53" s="82">
        <f t="shared" si="6"/>
        <v>4</v>
      </c>
    </row>
    <row r="54">
      <c r="A54" s="83">
        <v>45967.029340277775</v>
      </c>
      <c r="B54" s="84" t="s">
        <v>219</v>
      </c>
      <c r="C54" s="84" t="s">
        <v>220</v>
      </c>
      <c r="D54" s="84" t="s">
        <v>223</v>
      </c>
      <c r="E54" s="85" t="s">
        <v>224</v>
      </c>
      <c r="F54" s="86">
        <f>IFERROR(__xludf.DUMMYFUNCTION("""COMPUTED_VALUE"""),45967.029340277775)</f>
        <v>45967.02934</v>
      </c>
      <c r="G54" s="84" t="s">
        <v>3959</v>
      </c>
      <c r="H54" s="84">
        <v>45.0</v>
      </c>
      <c r="I54" s="84" t="s">
        <v>3972</v>
      </c>
      <c r="J54" s="84" t="str">
        <f t="shared" si="18"/>
        <v>No</v>
      </c>
      <c r="K54" s="87" t="s">
        <v>3957</v>
      </c>
      <c r="L54" s="84" t="str">
        <f>IFERROR(__xludf.DUMMYFUNCTION("""COMPUTED_VALUE"""),"San Jose, CA")</f>
        <v>San Jose, CA</v>
      </c>
      <c r="M54" s="84" t="str">
        <f>IFERROR(__xludf.DUMMYFUNCTION("""COMPUTED_VALUE"""),"1 hour ago")</f>
        <v>1 hour ago</v>
      </c>
      <c r="N54" s="84">
        <f>IFERROR(__xludf.DUMMYFUNCTION("""COMPUTED_VALUE"""),1.0)</f>
        <v>1</v>
      </c>
      <c r="O54" s="84"/>
      <c r="P54" s="87" t="str">
        <f t="shared" si="13"/>
        <v>0</v>
      </c>
      <c r="Q54" s="84"/>
      <c r="R54" s="87" t="s">
        <v>3963</v>
      </c>
      <c r="S54" s="2"/>
      <c r="Z54" s="81">
        <v>45967.0</v>
      </c>
      <c r="AA54" s="81" t="s">
        <v>3965</v>
      </c>
      <c r="AB54" s="81" t="s">
        <v>3961</v>
      </c>
      <c r="AC54" s="81">
        <f t="shared" si="5"/>
        <v>45964</v>
      </c>
      <c r="AD54" s="82">
        <f t="shared" si="6"/>
        <v>4</v>
      </c>
    </row>
    <row r="55">
      <c r="A55" s="78">
        <v>45967.053125</v>
      </c>
      <c r="B55" s="2" t="s">
        <v>225</v>
      </c>
      <c r="C55" s="2" t="s">
        <v>226</v>
      </c>
      <c r="D55" s="2" t="s">
        <v>227</v>
      </c>
      <c r="E55" s="79" t="s">
        <v>228</v>
      </c>
      <c r="F55" s="80">
        <f>IFERROR(__xludf.DUMMYFUNCTION("""COMPUTED_VALUE"""),45967.053125)</f>
        <v>45967.05313</v>
      </c>
      <c r="G55" s="2" t="s">
        <v>3959</v>
      </c>
      <c r="H55" s="2">
        <v>45.0</v>
      </c>
      <c r="I55" s="2" t="s">
        <v>3972</v>
      </c>
      <c r="J55" s="2" t="str">
        <f t="shared" si="18"/>
        <v>No</v>
      </c>
      <c r="K55" s="2" t="str">
        <f>IF(A55&lt;&gt;"","No","")</f>
        <v>No</v>
      </c>
      <c r="L55" s="2" t="str">
        <f>IFERROR(__xludf.DUMMYFUNCTION("""COMPUTED_VALUE"""),"Cupertino, CA")</f>
        <v>Cupertino, CA</v>
      </c>
      <c r="M55" s="2" t="str">
        <f>IFERROR(__xludf.DUMMYFUNCTION("""COMPUTED_VALUE"""),"1 hour ago")</f>
        <v>1 hour ago</v>
      </c>
      <c r="N55" s="2">
        <f>IFERROR(__xludf.DUMMYFUNCTION("""COMPUTED_VALUE"""),1.0)</f>
        <v>1</v>
      </c>
      <c r="O55" s="2"/>
      <c r="P55" s="1" t="str">
        <f t="shared" si="13"/>
        <v>0</v>
      </c>
      <c r="Q55" s="2"/>
      <c r="R55" s="1" t="str">
        <f>IF(A55&lt;&gt;"","Review","")</f>
        <v>Review</v>
      </c>
      <c r="S55" s="2"/>
      <c r="Z55" s="81">
        <v>45967.0</v>
      </c>
      <c r="AA55" s="81" t="s">
        <v>3965</v>
      </c>
      <c r="AB55" s="81" t="s">
        <v>3961</v>
      </c>
      <c r="AC55" s="81">
        <f t="shared" si="5"/>
        <v>45964</v>
      </c>
      <c r="AD55" s="82">
        <f t="shared" si="6"/>
        <v>4</v>
      </c>
    </row>
    <row r="56">
      <c r="A56" s="83">
        <v>45967.053564814814</v>
      </c>
      <c r="B56" s="84" t="s">
        <v>229</v>
      </c>
      <c r="C56" s="84" t="s">
        <v>230</v>
      </c>
      <c r="D56" s="84" t="s">
        <v>231</v>
      </c>
      <c r="E56" s="85" t="s">
        <v>232</v>
      </c>
      <c r="F56" s="86">
        <f>IFERROR(__xludf.DUMMYFUNCTION("""COMPUTED_VALUE"""),45967.053564814814)</f>
        <v>45967.05356</v>
      </c>
      <c r="G56" s="84" t="s">
        <v>3959</v>
      </c>
      <c r="H56" s="84">
        <v>45.0</v>
      </c>
      <c r="I56" s="84" t="s">
        <v>3972</v>
      </c>
      <c r="J56" s="84" t="str">
        <f t="shared" si="18"/>
        <v>No</v>
      </c>
      <c r="K56" s="87" t="s">
        <v>3957</v>
      </c>
      <c r="L56" s="84" t="str">
        <f>IFERROR(__xludf.DUMMYFUNCTION("""COMPUTED_VALUE"""),"Naperville, IL")</f>
        <v>Naperville, IL</v>
      </c>
      <c r="M56" s="84" t="str">
        <f>IFERROR(__xludf.DUMMYFUNCTION("""COMPUTED_VALUE"""),"")</f>
        <v/>
      </c>
      <c r="N56" s="84" t="str">
        <f>IFERROR(__xludf.DUMMYFUNCTION("""COMPUTED_VALUE"""),"")</f>
        <v/>
      </c>
      <c r="O56" s="84"/>
      <c r="P56" s="87">
        <v>5.0</v>
      </c>
      <c r="Q56" s="87" t="s">
        <v>3973</v>
      </c>
      <c r="R56" s="87" t="s">
        <v>3963</v>
      </c>
      <c r="S56" s="2"/>
      <c r="Z56" s="81">
        <v>45967.0</v>
      </c>
      <c r="AA56" s="81" t="s">
        <v>3965</v>
      </c>
      <c r="AB56" s="81" t="s">
        <v>3961</v>
      </c>
      <c r="AC56" s="81">
        <f t="shared" si="5"/>
        <v>45964</v>
      </c>
      <c r="AD56" s="82">
        <f t="shared" si="6"/>
        <v>4</v>
      </c>
    </row>
    <row r="57">
      <c r="A57" s="83">
        <v>45967.07048611111</v>
      </c>
      <c r="B57" s="84" t="s">
        <v>233</v>
      </c>
      <c r="C57" s="84" t="s">
        <v>230</v>
      </c>
      <c r="D57" s="84" t="s">
        <v>234</v>
      </c>
      <c r="E57" s="85" t="s">
        <v>235</v>
      </c>
      <c r="F57" s="86">
        <f>IFERROR(__xludf.DUMMYFUNCTION("""COMPUTED_VALUE"""),45967.07048611111)</f>
        <v>45967.07049</v>
      </c>
      <c r="G57" s="84" t="s">
        <v>3959</v>
      </c>
      <c r="H57" s="84">
        <v>45.0</v>
      </c>
      <c r="I57" s="84" t="s">
        <v>3972</v>
      </c>
      <c r="J57" s="84" t="str">
        <f t="shared" si="18"/>
        <v>No</v>
      </c>
      <c r="K57" s="87" t="s">
        <v>3957</v>
      </c>
      <c r="L57" s="84" t="str">
        <f>IFERROR(__xludf.DUMMYFUNCTION("""COMPUTED_VALUE"""),"Bedford, MA")</f>
        <v>Bedford, MA</v>
      </c>
      <c r="M57" s="84" t="str">
        <f>IFERROR(__xludf.DUMMYFUNCTION("""COMPUTED_VALUE"""),"1 hour ago")</f>
        <v>1 hour ago</v>
      </c>
      <c r="N57" s="84">
        <f>IFERROR(__xludf.DUMMYFUNCTION("""COMPUTED_VALUE"""),1.0)</f>
        <v>1</v>
      </c>
      <c r="O57" s="84"/>
      <c r="P57" s="87" t="str">
        <f t="shared" ref="P57:P61" si="19">IF(A57&lt;&gt;"","0","")</f>
        <v>0</v>
      </c>
      <c r="Q57" s="84"/>
      <c r="R57" s="87" t="s">
        <v>3963</v>
      </c>
      <c r="S57" s="2"/>
      <c r="Z57" s="81">
        <v>45967.0</v>
      </c>
      <c r="AA57" s="81" t="s">
        <v>3965</v>
      </c>
      <c r="AB57" s="81" t="s">
        <v>3961</v>
      </c>
      <c r="AC57" s="81">
        <f t="shared" si="5"/>
        <v>45964</v>
      </c>
      <c r="AD57" s="82">
        <f t="shared" si="6"/>
        <v>4</v>
      </c>
    </row>
    <row r="58">
      <c r="A58" s="78">
        <v>45967.070763888885</v>
      </c>
      <c r="B58" s="2" t="s">
        <v>236</v>
      </c>
      <c r="C58" s="2" t="s">
        <v>237</v>
      </c>
      <c r="D58" s="2" t="s">
        <v>238</v>
      </c>
      <c r="E58" s="79" t="s">
        <v>239</v>
      </c>
      <c r="F58" s="80">
        <f>IFERROR(__xludf.DUMMYFUNCTION("""COMPUTED_VALUE"""),45967.070763888885)</f>
        <v>45967.07076</v>
      </c>
      <c r="G58" s="2" t="s">
        <v>3959</v>
      </c>
      <c r="H58" s="2">
        <v>45.0</v>
      </c>
      <c r="I58" s="2" t="s">
        <v>3972</v>
      </c>
      <c r="J58" s="2" t="str">
        <f t="shared" si="18"/>
        <v>No</v>
      </c>
      <c r="K58" s="2" t="str">
        <f t="shared" ref="K58:K61" si="20">IF(A58&lt;&gt;"","No","")</f>
        <v>No</v>
      </c>
      <c r="L58" s="2" t="str">
        <f>IFERROR(__xludf.DUMMYFUNCTION("""COMPUTED_VALUE"""),"New Jersey, United States")</f>
        <v>New Jersey, United States</v>
      </c>
      <c r="M58" s="2" t="str">
        <f>IFERROR(__xludf.DUMMYFUNCTION("""COMPUTED_VALUE"""),"55 minutes ago")</f>
        <v>55 minutes ago</v>
      </c>
      <c r="N58" s="2">
        <f>IFERROR(__xludf.DUMMYFUNCTION("""COMPUTED_VALUE"""),55.0)</f>
        <v>55</v>
      </c>
      <c r="O58" s="2"/>
      <c r="P58" s="1" t="str">
        <f t="shared" si="19"/>
        <v>0</v>
      </c>
      <c r="Q58" s="2"/>
      <c r="R58" s="1" t="str">
        <f t="shared" ref="R58:R63" si="21">IF(A58&lt;&gt;"","Review","")</f>
        <v>Review</v>
      </c>
      <c r="S58" s="2"/>
      <c r="Z58" s="81">
        <v>45967.0</v>
      </c>
      <c r="AA58" s="81" t="s">
        <v>3965</v>
      </c>
      <c r="AB58" s="81" t="s">
        <v>3961</v>
      </c>
      <c r="AC58" s="81">
        <f t="shared" si="5"/>
        <v>45964</v>
      </c>
      <c r="AD58" s="82">
        <f t="shared" si="6"/>
        <v>4</v>
      </c>
    </row>
    <row r="59">
      <c r="A59" s="78">
        <v>45967.07158564815</v>
      </c>
      <c r="B59" s="2" t="s">
        <v>240</v>
      </c>
      <c r="C59" s="2" t="s">
        <v>237</v>
      </c>
      <c r="D59" s="2" t="s">
        <v>241</v>
      </c>
      <c r="E59" s="79" t="s">
        <v>242</v>
      </c>
      <c r="F59" s="80">
        <f>IFERROR(__xludf.DUMMYFUNCTION("""COMPUTED_VALUE"""),45967.07158564815)</f>
        <v>45967.07159</v>
      </c>
      <c r="G59" s="2" t="s">
        <v>3959</v>
      </c>
      <c r="H59" s="2">
        <v>45.0</v>
      </c>
      <c r="I59" s="2" t="s">
        <v>3972</v>
      </c>
      <c r="J59" s="2" t="str">
        <f t="shared" si="18"/>
        <v>No</v>
      </c>
      <c r="K59" s="2" t="str">
        <f t="shared" si="20"/>
        <v>No</v>
      </c>
      <c r="L59" s="2" t="str">
        <f>IFERROR(__xludf.DUMMYFUNCTION("""COMPUTED_VALUE"""),"Plano, TX")</f>
        <v>Plano, TX</v>
      </c>
      <c r="M59" s="2" t="str">
        <f>IFERROR(__xludf.DUMMYFUNCTION("""COMPUTED_VALUE"""),"1 hour ago")</f>
        <v>1 hour ago</v>
      </c>
      <c r="N59" s="2">
        <f>IFERROR(__xludf.DUMMYFUNCTION("""COMPUTED_VALUE"""),1.0)</f>
        <v>1</v>
      </c>
      <c r="O59" s="2"/>
      <c r="P59" s="1" t="str">
        <f t="shared" si="19"/>
        <v>0</v>
      </c>
      <c r="Q59" s="2"/>
      <c r="R59" s="1" t="str">
        <f t="shared" si="21"/>
        <v>Review</v>
      </c>
      <c r="S59" s="2"/>
      <c r="Z59" s="81">
        <v>45967.0</v>
      </c>
      <c r="AA59" s="81" t="s">
        <v>3965</v>
      </c>
      <c r="AB59" s="81" t="s">
        <v>3961</v>
      </c>
      <c r="AC59" s="81">
        <f t="shared" si="5"/>
        <v>45964</v>
      </c>
      <c r="AD59" s="82">
        <f t="shared" si="6"/>
        <v>4</v>
      </c>
    </row>
    <row r="60">
      <c r="A60" s="78">
        <v>45967.07209490741</v>
      </c>
      <c r="B60" s="2" t="s">
        <v>243</v>
      </c>
      <c r="C60" s="2" t="s">
        <v>237</v>
      </c>
      <c r="D60" s="2" t="s">
        <v>244</v>
      </c>
      <c r="E60" s="79" t="s">
        <v>245</v>
      </c>
      <c r="F60" s="80">
        <f>IFERROR(__xludf.DUMMYFUNCTION("""COMPUTED_VALUE"""),45967.07209490741)</f>
        <v>45967.07209</v>
      </c>
      <c r="G60" s="2" t="s">
        <v>3959</v>
      </c>
      <c r="H60" s="2">
        <v>45.0</v>
      </c>
      <c r="I60" s="2" t="s">
        <v>3972</v>
      </c>
      <c r="J60" s="2" t="str">
        <f t="shared" si="18"/>
        <v>No</v>
      </c>
      <c r="K60" s="2" t="str">
        <f t="shared" si="20"/>
        <v>No</v>
      </c>
      <c r="L60" s="2" t="str">
        <f>IFERROR(__xludf.DUMMYFUNCTION("""COMPUTED_VALUE"""),"Dallas, TX")</f>
        <v>Dallas, TX</v>
      </c>
      <c r="M60" s="2" t="str">
        <f>IFERROR(__xludf.DUMMYFUNCTION("""COMPUTED_VALUE"""),"58 minutes ago")</f>
        <v>58 minutes ago</v>
      </c>
      <c r="N60" s="2">
        <f>IFERROR(__xludf.DUMMYFUNCTION("""COMPUTED_VALUE"""),58.0)</f>
        <v>58</v>
      </c>
      <c r="O60" s="2"/>
      <c r="P60" s="1" t="str">
        <f t="shared" si="19"/>
        <v>0</v>
      </c>
      <c r="Q60" s="2"/>
      <c r="R60" s="1" t="str">
        <f t="shared" si="21"/>
        <v>Review</v>
      </c>
      <c r="S60" s="2"/>
      <c r="Z60" s="81">
        <v>45967.0</v>
      </c>
      <c r="AA60" s="81" t="s">
        <v>3965</v>
      </c>
      <c r="AB60" s="81" t="s">
        <v>3961</v>
      </c>
      <c r="AC60" s="81">
        <f t="shared" si="5"/>
        <v>45964</v>
      </c>
      <c r="AD60" s="82">
        <f t="shared" si="6"/>
        <v>4</v>
      </c>
    </row>
    <row r="61">
      <c r="A61" s="78">
        <v>45967.087488425925</v>
      </c>
      <c r="B61" s="2" t="s">
        <v>246</v>
      </c>
      <c r="C61" s="2" t="s">
        <v>247</v>
      </c>
      <c r="D61" s="2" t="s">
        <v>248</v>
      </c>
      <c r="E61" s="79" t="s">
        <v>249</v>
      </c>
      <c r="F61" s="80">
        <f>IFERROR(__xludf.DUMMYFUNCTION("""COMPUTED_VALUE"""),45967.087488425925)</f>
        <v>45967.08749</v>
      </c>
      <c r="G61" s="2" t="s">
        <v>3959</v>
      </c>
      <c r="H61" s="2">
        <v>45.0</v>
      </c>
      <c r="I61" s="2" t="s">
        <v>3972</v>
      </c>
      <c r="J61" s="2" t="str">
        <f t="shared" si="18"/>
        <v>No</v>
      </c>
      <c r="K61" s="2" t="str">
        <f t="shared" si="20"/>
        <v>No</v>
      </c>
      <c r="L61" s="2" t="str">
        <f>IFERROR(__xludf.DUMMYFUNCTION("""COMPUTED_VALUE"""),"Frederick, MD")</f>
        <v>Frederick, MD</v>
      </c>
      <c r="M61" s="2" t="str">
        <f>IFERROR(__xludf.DUMMYFUNCTION("""COMPUTED_VALUE"""),"9 minutes ago")</f>
        <v>9 minutes ago</v>
      </c>
      <c r="N61" s="2">
        <f>IFERROR(__xludf.DUMMYFUNCTION("""COMPUTED_VALUE"""),9.0)</f>
        <v>9</v>
      </c>
      <c r="O61" s="2"/>
      <c r="P61" s="1" t="str">
        <f t="shared" si="19"/>
        <v>0</v>
      </c>
      <c r="Q61" s="2"/>
      <c r="R61" s="1" t="str">
        <f t="shared" si="21"/>
        <v>Review</v>
      </c>
      <c r="S61" s="2"/>
      <c r="Z61" s="81">
        <v>45967.0</v>
      </c>
      <c r="AA61" s="81" t="s">
        <v>3965</v>
      </c>
      <c r="AB61" s="81" t="s">
        <v>3961</v>
      </c>
      <c r="AC61" s="81">
        <f t="shared" si="5"/>
        <v>45964</v>
      </c>
      <c r="AD61" s="82">
        <f t="shared" si="6"/>
        <v>4</v>
      </c>
    </row>
    <row r="62">
      <c r="A62" s="78">
        <v>45967.47357638889</v>
      </c>
      <c r="B62" s="2" t="s">
        <v>160</v>
      </c>
      <c r="C62" s="2" t="s">
        <v>161</v>
      </c>
      <c r="D62" s="2" t="s">
        <v>250</v>
      </c>
      <c r="E62" s="79" t="s">
        <v>251</v>
      </c>
      <c r="F62" s="80">
        <f>IFERROR(__xludf.DUMMYFUNCTION("""COMPUTED_VALUE"""),45967.47357638889)</f>
        <v>45967.47358</v>
      </c>
      <c r="G62" s="2" t="s">
        <v>3959</v>
      </c>
      <c r="H62" s="2">
        <v>45.0</v>
      </c>
      <c r="I62" s="2" t="s">
        <v>3972</v>
      </c>
      <c r="J62" s="2" t="str">
        <f t="shared" si="18"/>
        <v>No</v>
      </c>
      <c r="K62" s="1" t="s">
        <v>3957</v>
      </c>
      <c r="L62" s="2" t="str">
        <f>IFERROR(__xludf.DUMMYFUNCTION("""COMPUTED_VALUE"""),"Mountain View, CA")</f>
        <v>Mountain View, CA</v>
      </c>
      <c r="M62" s="2" t="str">
        <f>IFERROR(__xludf.DUMMYFUNCTION("""COMPUTED_VALUE"""),"10 minutes ago")</f>
        <v>10 minutes ago</v>
      </c>
      <c r="N62" s="2">
        <f>IFERROR(__xludf.DUMMYFUNCTION("""COMPUTED_VALUE"""),10.0)</f>
        <v>10</v>
      </c>
      <c r="O62" s="2"/>
      <c r="P62" s="1">
        <v>10.0</v>
      </c>
      <c r="Q62" s="2"/>
      <c r="R62" s="1" t="str">
        <f t="shared" si="21"/>
        <v>Review</v>
      </c>
      <c r="S62" s="2"/>
      <c r="Z62" s="81">
        <v>45967.0</v>
      </c>
      <c r="AA62" s="81" t="s">
        <v>3965</v>
      </c>
      <c r="AB62" s="81" t="s">
        <v>3961</v>
      </c>
      <c r="AC62" s="81">
        <f t="shared" si="5"/>
        <v>45964</v>
      </c>
      <c r="AD62" s="82">
        <f t="shared" si="6"/>
        <v>4</v>
      </c>
    </row>
    <row r="63">
      <c r="A63" s="78">
        <v>45967.47357638889</v>
      </c>
      <c r="B63" s="89" t="s">
        <v>252</v>
      </c>
      <c r="C63" s="89" t="s">
        <v>253</v>
      </c>
      <c r="D63" s="89" t="s">
        <v>254</v>
      </c>
      <c r="E63" s="90" t="s">
        <v>255</v>
      </c>
      <c r="F63" s="81">
        <f>IFERROR(__xludf.DUMMYFUNCTION("""COMPUTED_VALUE"""),45967.47357638889)</f>
        <v>45967.47358</v>
      </c>
      <c r="G63" s="89" t="s">
        <v>3959</v>
      </c>
      <c r="H63" s="89">
        <v>45.0</v>
      </c>
      <c r="I63" s="89" t="s">
        <v>3972</v>
      </c>
      <c r="J63" s="89" t="str">
        <f t="shared" si="18"/>
        <v>No</v>
      </c>
      <c r="K63" s="52" t="s">
        <v>3957</v>
      </c>
      <c r="L63" s="89" t="str">
        <f>IFERROR(__xludf.DUMMYFUNCTION("""COMPUTED_VALUE"""),"North Carolina")</f>
        <v>North Carolina</v>
      </c>
      <c r="M63" s="89" t="str">
        <f>IFERROR(__xludf.DUMMYFUNCTION("""COMPUTED_VALUE"""),"")</f>
        <v/>
      </c>
      <c r="N63" s="89" t="str">
        <f>IFERROR(__xludf.DUMMYFUNCTION("""COMPUTED_VALUE"""),"")</f>
        <v/>
      </c>
      <c r="P63" s="52" t="str">
        <f t="shared" ref="P63:P995" si="22">IF(A63&lt;&gt;"","0","")</f>
        <v>0</v>
      </c>
      <c r="R63" s="52" t="str">
        <f t="shared" si="21"/>
        <v>Review</v>
      </c>
      <c r="Z63" s="81">
        <v>45967.0</v>
      </c>
      <c r="AA63" s="81" t="s">
        <v>3965</v>
      </c>
      <c r="AB63" s="81" t="s">
        <v>3961</v>
      </c>
      <c r="AC63" s="81">
        <f t="shared" si="5"/>
        <v>45964</v>
      </c>
      <c r="AD63" s="82">
        <f t="shared" si="6"/>
        <v>4</v>
      </c>
    </row>
    <row r="64">
      <c r="A64" s="91">
        <v>45968.00278935185</v>
      </c>
      <c r="B64" s="92" t="s">
        <v>256</v>
      </c>
      <c r="C64" s="92" t="s">
        <v>257</v>
      </c>
      <c r="D64" s="92" t="s">
        <v>258</v>
      </c>
      <c r="E64" s="93" t="s">
        <v>259</v>
      </c>
      <c r="F64" s="94">
        <f>IFERROR(__xludf.DUMMYFUNCTION("""COMPUTED_VALUE"""),45968.00278935185)</f>
        <v>45968.00279</v>
      </c>
      <c r="G64" s="92" t="s">
        <v>3959</v>
      </c>
      <c r="H64" s="92">
        <v>45.0</v>
      </c>
      <c r="I64" s="92" t="s">
        <v>3954</v>
      </c>
      <c r="J64" s="92" t="str">
        <f t="shared" si="18"/>
        <v>No</v>
      </c>
      <c r="K64" s="92" t="str">
        <f t="shared" ref="K64:K995" si="23">IF(A64&lt;&gt;"","No","")</f>
        <v>No</v>
      </c>
      <c r="L64" s="92" t="str">
        <f>IFERROR(__xludf.DUMMYFUNCTION("""COMPUTED_VALUE"""),"Palo Alto, CA")</f>
        <v>Palo Alto, CA</v>
      </c>
      <c r="M64" s="92" t="str">
        <f>IFERROR(__xludf.DUMMYFUNCTION("""COMPUTED_VALUE"""),"42 minutes ago")</f>
        <v>42 minutes ago</v>
      </c>
      <c r="N64" s="92">
        <f>IFERROR(__xludf.DUMMYFUNCTION("""COMPUTED_VALUE"""),42.0)</f>
        <v>42</v>
      </c>
      <c r="O64" s="92"/>
      <c r="P64" s="95" t="str">
        <f t="shared" si="22"/>
        <v>0</v>
      </c>
      <c r="Q64" s="92"/>
      <c r="R64" s="87" t="s">
        <v>3963</v>
      </c>
      <c r="Z64" s="81">
        <v>45968.0</v>
      </c>
      <c r="AA64" s="81" t="s">
        <v>3965</v>
      </c>
      <c r="AB64" s="81" t="s">
        <v>3961</v>
      </c>
      <c r="AC64" s="81">
        <f t="shared" si="5"/>
        <v>45964</v>
      </c>
      <c r="AD64" s="82">
        <f t="shared" si="6"/>
        <v>5</v>
      </c>
    </row>
    <row r="65">
      <c r="A65" s="96">
        <v>45968.01212962963</v>
      </c>
      <c r="B65" s="89" t="s">
        <v>260</v>
      </c>
      <c r="C65" s="89" t="s">
        <v>261</v>
      </c>
      <c r="D65" s="89" t="s">
        <v>262</v>
      </c>
      <c r="E65" s="90" t="s">
        <v>263</v>
      </c>
      <c r="F65" s="81">
        <f>IFERROR(__xludf.DUMMYFUNCTION("""COMPUTED_VALUE"""),45968.01212962963)</f>
        <v>45968.01213</v>
      </c>
      <c r="G65" s="89" t="s">
        <v>3959</v>
      </c>
      <c r="H65" s="89">
        <v>45.0</v>
      </c>
      <c r="I65" s="89" t="s">
        <v>3954</v>
      </c>
      <c r="J65" s="89" t="str">
        <f t="shared" si="18"/>
        <v>No</v>
      </c>
      <c r="K65" s="89" t="str">
        <f t="shared" si="23"/>
        <v>No</v>
      </c>
      <c r="L65" s="89" t="str">
        <f>IFERROR(__xludf.DUMMYFUNCTION("""COMPUTED_VALUE"""),"San Francisco, CA")</f>
        <v>San Francisco, CA</v>
      </c>
      <c r="M65" s="89" t="str">
        <f>IFERROR(__xludf.DUMMYFUNCTION("""COMPUTED_VALUE"""),"21 minutes ago")</f>
        <v>21 minutes ago</v>
      </c>
      <c r="N65" s="89">
        <f>IFERROR(__xludf.DUMMYFUNCTION("""COMPUTED_VALUE"""),21.0)</f>
        <v>21</v>
      </c>
      <c r="P65" s="52" t="str">
        <f t="shared" si="22"/>
        <v>0</v>
      </c>
      <c r="R65" s="52" t="str">
        <f t="shared" ref="R65:R71" si="24">IF(A65&lt;&gt;"","Review","")</f>
        <v>Review</v>
      </c>
      <c r="Z65" s="81">
        <v>45968.0</v>
      </c>
      <c r="AA65" s="81" t="s">
        <v>3965</v>
      </c>
      <c r="AB65" s="81" t="s">
        <v>3961</v>
      </c>
      <c r="AC65" s="81">
        <f t="shared" si="5"/>
        <v>45964</v>
      </c>
      <c r="AD65" s="82">
        <f t="shared" si="6"/>
        <v>5</v>
      </c>
    </row>
    <row r="66">
      <c r="A66" s="96">
        <v>45968.879895833335</v>
      </c>
      <c r="B66" s="89" t="s">
        <v>264</v>
      </c>
      <c r="C66" s="89" t="s">
        <v>265</v>
      </c>
      <c r="D66" s="89" t="s">
        <v>266</v>
      </c>
      <c r="E66" s="90" t="s">
        <v>267</v>
      </c>
      <c r="F66" s="81">
        <f>IFERROR(__xludf.DUMMYFUNCTION("""COMPUTED_VALUE"""),45968.879895833335)</f>
        <v>45968.8799</v>
      </c>
      <c r="G66" s="89" t="s">
        <v>3959</v>
      </c>
      <c r="H66" s="89">
        <v>45.0</v>
      </c>
      <c r="I66" s="89" t="s">
        <v>3954</v>
      </c>
      <c r="J66" s="89" t="str">
        <f t="shared" si="18"/>
        <v>No</v>
      </c>
      <c r="K66" s="89" t="str">
        <f t="shared" si="23"/>
        <v>No</v>
      </c>
      <c r="L66" s="89" t="str">
        <f>IFERROR(__xludf.DUMMYFUNCTION("""COMPUTED_VALUE"""),"Hauppauge, NY")</f>
        <v>Hauppauge, NY</v>
      </c>
      <c r="M66" s="89" t="str">
        <f>IFERROR(__xludf.DUMMYFUNCTION("""COMPUTED_VALUE"""),"")</f>
        <v/>
      </c>
      <c r="N66" s="89" t="str">
        <f>IFERROR(__xludf.DUMMYFUNCTION("""COMPUTED_VALUE"""),"")</f>
        <v/>
      </c>
      <c r="P66" s="52" t="str">
        <f t="shared" si="22"/>
        <v>0</v>
      </c>
      <c r="R66" s="52" t="str">
        <f t="shared" si="24"/>
        <v>Review</v>
      </c>
      <c r="Z66" s="81">
        <v>45968.0</v>
      </c>
      <c r="AA66" s="81" t="s">
        <v>3965</v>
      </c>
      <c r="AB66" s="81" t="s">
        <v>3961</v>
      </c>
      <c r="AC66" s="81">
        <f t="shared" si="5"/>
        <v>45964</v>
      </c>
      <c r="AD66" s="82">
        <f t="shared" si="6"/>
        <v>5</v>
      </c>
    </row>
    <row r="67">
      <c r="A67" s="96">
        <v>45969.997094907405</v>
      </c>
      <c r="B67" s="89" t="s">
        <v>268</v>
      </c>
      <c r="C67" s="89" t="s">
        <v>269</v>
      </c>
      <c r="D67" s="89" t="s">
        <v>270</v>
      </c>
      <c r="E67" s="90" t="s">
        <v>271</v>
      </c>
      <c r="F67" s="81">
        <f>IFERROR(__xludf.DUMMYFUNCTION("""COMPUTED_VALUE"""),45969.997094907405)</f>
        <v>45969.99709</v>
      </c>
      <c r="G67" s="89" t="s">
        <v>3959</v>
      </c>
      <c r="H67" s="89">
        <v>45.0</v>
      </c>
      <c r="I67" s="89" t="s">
        <v>3960</v>
      </c>
      <c r="J67" s="89" t="str">
        <f t="shared" si="18"/>
        <v>No</v>
      </c>
      <c r="K67" s="89" t="str">
        <f t="shared" si="23"/>
        <v>No</v>
      </c>
      <c r="L67" s="89" t="str">
        <f>IFERROR(__xludf.DUMMYFUNCTION("""COMPUTED_VALUE"""),"New York, NY")</f>
        <v>New York, NY</v>
      </c>
      <c r="M67" s="89" t="str">
        <f>IFERROR(__xludf.DUMMYFUNCTION("""COMPUTED_VALUE"""),"1 month ago")</f>
        <v>1 month ago</v>
      </c>
      <c r="N67" s="89">
        <f>IFERROR(__xludf.DUMMYFUNCTION("""COMPUTED_VALUE"""),1.0)</f>
        <v>1</v>
      </c>
      <c r="P67" s="52" t="str">
        <f t="shared" si="22"/>
        <v>0</v>
      </c>
      <c r="R67" s="52" t="str">
        <f t="shared" si="24"/>
        <v>Review</v>
      </c>
      <c r="Z67" s="81">
        <v>45969.0</v>
      </c>
      <c r="AA67" s="81" t="s">
        <v>3965</v>
      </c>
      <c r="AB67" s="81" t="s">
        <v>3961</v>
      </c>
      <c r="AC67" s="81">
        <f t="shared" si="5"/>
        <v>45964</v>
      </c>
      <c r="AD67" s="82">
        <f t="shared" si="6"/>
        <v>6</v>
      </c>
    </row>
    <row r="68">
      <c r="A68" s="89" t="s">
        <v>272</v>
      </c>
      <c r="B68" s="89" t="s">
        <v>88</v>
      </c>
      <c r="C68" s="89" t="s">
        <v>273</v>
      </c>
      <c r="D68" s="89" t="s">
        <v>274</v>
      </c>
      <c r="E68" s="90" t="s">
        <v>275</v>
      </c>
      <c r="F68" s="81">
        <f>IFERROR(__xludf.DUMMYFUNCTION("""COMPUTED_VALUE"""),45974.0)</f>
        <v>45974</v>
      </c>
      <c r="G68" s="89" t="s">
        <v>3959</v>
      </c>
      <c r="H68" s="89">
        <v>46.0</v>
      </c>
      <c r="I68" s="89" t="s">
        <v>3972</v>
      </c>
      <c r="J68" s="89" t="str">
        <f t="shared" si="18"/>
        <v>No</v>
      </c>
      <c r="K68" s="89" t="str">
        <f t="shared" si="23"/>
        <v>No</v>
      </c>
      <c r="L68" s="89" t="str">
        <f>IFERROR(__xludf.DUMMYFUNCTION("""COMPUTED_VALUE"""),"Remote")</f>
        <v>Remote</v>
      </c>
      <c r="M68" s="89" t="str">
        <f>IFERROR(__xludf.DUMMYFUNCTION("""COMPUTED_VALUE"""),"")</f>
        <v/>
      </c>
      <c r="N68" s="89" t="str">
        <f>IFERROR(__xludf.DUMMYFUNCTION("""COMPUTED_VALUE"""),"")</f>
        <v/>
      </c>
      <c r="P68" s="52" t="str">
        <f t="shared" si="22"/>
        <v>0</v>
      </c>
      <c r="R68" s="52" t="str">
        <f t="shared" si="24"/>
        <v>Review</v>
      </c>
      <c r="Z68" s="81">
        <v>45974.0</v>
      </c>
      <c r="AA68" s="81" t="s">
        <v>3974</v>
      </c>
      <c r="AB68" s="81" t="s">
        <v>3961</v>
      </c>
      <c r="AC68" s="81">
        <f t="shared" si="5"/>
        <v>45971</v>
      </c>
      <c r="AD68" s="82">
        <f t="shared" si="6"/>
        <v>4</v>
      </c>
    </row>
    <row r="69">
      <c r="A69" s="89" t="s">
        <v>3975</v>
      </c>
      <c r="B69" s="89"/>
      <c r="C69" s="89"/>
      <c r="D69" s="89"/>
      <c r="E69" s="89"/>
      <c r="F69" s="81" t="str">
        <f>IFERROR(__xludf.DUMMYFUNCTION("""COMPUTED_VALUE"""),"")</f>
        <v/>
      </c>
      <c r="G69" s="89"/>
      <c r="H69" s="89"/>
      <c r="I69" s="89"/>
      <c r="J69" s="89" t="str">
        <f t="shared" si="18"/>
        <v>No</v>
      </c>
      <c r="K69" s="89" t="str">
        <f t="shared" si="23"/>
        <v>No</v>
      </c>
      <c r="L69" s="89" t="str">
        <f>IFERROR(__xludf.DUMMYFUNCTION("""COMPUTED_VALUE"""),"")</f>
        <v/>
      </c>
      <c r="M69" s="89" t="str">
        <f>IFERROR(__xludf.DUMMYFUNCTION("""COMPUTED_VALUE"""),"")</f>
        <v/>
      </c>
      <c r="N69" s="89" t="str">
        <f>IFERROR(__xludf.DUMMYFUNCTION("""COMPUTED_VALUE"""),"")</f>
        <v/>
      </c>
      <c r="P69" s="52" t="str">
        <f t="shared" si="22"/>
        <v>0</v>
      </c>
      <c r="R69" s="52" t="str">
        <f t="shared" si="24"/>
        <v>Review</v>
      </c>
      <c r="Z69" s="81"/>
      <c r="AA69" s="81"/>
      <c r="AB69" s="81"/>
      <c r="AC69" s="81" t="str">
        <f t="shared" si="5"/>
        <v/>
      </c>
      <c r="AD69" s="82" t="str">
        <f t="shared" si="6"/>
        <v/>
      </c>
    </row>
    <row r="70">
      <c r="A70" s="96">
        <v>45975.52956018518</v>
      </c>
      <c r="B70" s="89" t="s">
        <v>276</v>
      </c>
      <c r="C70" s="89" t="s">
        <v>277</v>
      </c>
      <c r="D70" s="89" t="s">
        <v>278</v>
      </c>
      <c r="E70" s="90" t="s">
        <v>279</v>
      </c>
      <c r="F70" s="81">
        <f>IFERROR(__xludf.DUMMYFUNCTION("""COMPUTED_VALUE"""),45975.52956018518)</f>
        <v>45975.52956</v>
      </c>
      <c r="G70" s="89" t="s">
        <v>3959</v>
      </c>
      <c r="H70" s="89">
        <v>46.0</v>
      </c>
      <c r="I70" s="89" t="s">
        <v>3954</v>
      </c>
      <c r="J70" s="89" t="str">
        <f t="shared" si="18"/>
        <v>No</v>
      </c>
      <c r="K70" s="89" t="str">
        <f t="shared" si="23"/>
        <v>No</v>
      </c>
      <c r="L70" s="89" t="str">
        <f>IFERROR(__xludf.DUMMYFUNCTION("""COMPUTED_VALUE"""),"Mountain View, CA")</f>
        <v>Mountain View, CA</v>
      </c>
      <c r="M70" s="89" t="str">
        <f>IFERROR(__xludf.DUMMYFUNCTION("""COMPUTED_VALUE"""),"Reposted 7 hours ago")</f>
        <v>Reposted 7 hours ago</v>
      </c>
      <c r="N70" s="89">
        <f>IFERROR(__xludf.DUMMYFUNCTION("""COMPUTED_VALUE"""),7.0)</f>
        <v>7</v>
      </c>
      <c r="P70" s="52" t="str">
        <f t="shared" si="22"/>
        <v>0</v>
      </c>
      <c r="R70" s="52" t="str">
        <f t="shared" si="24"/>
        <v>Review</v>
      </c>
      <c r="Z70" s="81">
        <v>45975.0</v>
      </c>
      <c r="AA70" s="81" t="s">
        <v>3974</v>
      </c>
      <c r="AB70" s="81" t="s">
        <v>3961</v>
      </c>
      <c r="AC70" s="81">
        <f t="shared" si="5"/>
        <v>45971</v>
      </c>
      <c r="AD70" s="82">
        <f t="shared" si="6"/>
        <v>5</v>
      </c>
    </row>
    <row r="71">
      <c r="A71" s="96">
        <v>45975.53722222222</v>
      </c>
      <c r="B71" s="89" t="s">
        <v>280</v>
      </c>
      <c r="C71" s="89" t="s">
        <v>281</v>
      </c>
      <c r="D71" s="89" t="s">
        <v>282</v>
      </c>
      <c r="E71" s="90" t="s">
        <v>283</v>
      </c>
      <c r="F71" s="81">
        <f>IFERROR(__xludf.DUMMYFUNCTION("""COMPUTED_VALUE"""),45975.53722222222)</f>
        <v>45975.53722</v>
      </c>
      <c r="G71" s="89" t="s">
        <v>3959</v>
      </c>
      <c r="H71" s="89">
        <v>46.0</v>
      </c>
      <c r="I71" s="89" t="s">
        <v>3954</v>
      </c>
      <c r="J71" s="89" t="str">
        <f t="shared" si="18"/>
        <v>No</v>
      </c>
      <c r="K71" s="89" t="str">
        <f t="shared" si="23"/>
        <v>No</v>
      </c>
      <c r="L71" s="89" t="str">
        <f>IFERROR(__xludf.DUMMYFUNCTION("""COMPUTED_VALUE"""),"Westbury, NY")</f>
        <v>Westbury, NY</v>
      </c>
      <c r="M71" s="89" t="str">
        <f>IFERROR(__xludf.DUMMYFUNCTION("""COMPUTED_VALUE"""),"Reposted 7 hours ago")</f>
        <v>Reposted 7 hours ago</v>
      </c>
      <c r="N71" s="89">
        <f>IFERROR(__xludf.DUMMYFUNCTION("""COMPUTED_VALUE"""),7.0)</f>
        <v>7</v>
      </c>
      <c r="P71" s="52" t="str">
        <f t="shared" si="22"/>
        <v>0</v>
      </c>
      <c r="R71" s="52" t="str">
        <f t="shared" si="24"/>
        <v>Review</v>
      </c>
      <c r="Z71" s="81">
        <v>45975.0</v>
      </c>
      <c r="AA71" s="81" t="s">
        <v>3974</v>
      </c>
      <c r="AB71" s="81" t="s">
        <v>3961</v>
      </c>
      <c r="AC71" s="81">
        <f t="shared" si="5"/>
        <v>45971</v>
      </c>
      <c r="AD71" s="82">
        <f t="shared" si="6"/>
        <v>5</v>
      </c>
    </row>
    <row r="72">
      <c r="A72" s="96">
        <v>45975.53743055555</v>
      </c>
      <c r="B72" s="89" t="s">
        <v>284</v>
      </c>
      <c r="C72" s="89" t="s">
        <v>285</v>
      </c>
      <c r="D72" s="89" t="s">
        <v>286</v>
      </c>
      <c r="E72" s="90" t="s">
        <v>287</v>
      </c>
      <c r="F72" s="81">
        <f>IFERROR(__xludf.DUMMYFUNCTION("""COMPUTED_VALUE"""),45975.53743055555)</f>
        <v>45975.53743</v>
      </c>
      <c r="G72" s="89" t="s">
        <v>3959</v>
      </c>
      <c r="H72" s="89">
        <v>46.0</v>
      </c>
      <c r="I72" s="89" t="s">
        <v>3954</v>
      </c>
      <c r="J72" s="89" t="str">
        <f t="shared" si="18"/>
        <v>No</v>
      </c>
      <c r="K72" s="89" t="str">
        <f t="shared" si="23"/>
        <v>No</v>
      </c>
      <c r="L72" s="89" t="str">
        <f>IFERROR(__xludf.DUMMYFUNCTION("""COMPUTED_VALUE"""),"United States")</f>
        <v>United States</v>
      </c>
      <c r="M72" s="89" t="str">
        <f>IFERROR(__xludf.DUMMYFUNCTION("""COMPUTED_VALUE"""),"1 minute ago")</f>
        <v>1 minute ago</v>
      </c>
      <c r="N72" s="89">
        <f>IFERROR(__xludf.DUMMYFUNCTION("""COMPUTED_VALUE"""),1.0)</f>
        <v>1</v>
      </c>
      <c r="P72" s="52" t="str">
        <f t="shared" si="22"/>
        <v>0</v>
      </c>
      <c r="R72" s="52" t="s">
        <v>3976</v>
      </c>
      <c r="Z72" s="81">
        <v>45975.0</v>
      </c>
      <c r="AA72" s="81" t="s">
        <v>3974</v>
      </c>
      <c r="AB72" s="81" t="s">
        <v>3961</v>
      </c>
      <c r="AC72" s="81">
        <f t="shared" si="5"/>
        <v>45971</v>
      </c>
      <c r="AD72" s="82">
        <f t="shared" si="6"/>
        <v>5</v>
      </c>
    </row>
    <row r="73">
      <c r="A73" s="96">
        <v>45975.88449074074</v>
      </c>
      <c r="B73" s="89" t="s">
        <v>288</v>
      </c>
      <c r="C73" s="89" t="s">
        <v>289</v>
      </c>
      <c r="D73" s="89" t="s">
        <v>290</v>
      </c>
      <c r="E73" s="90" t="s">
        <v>291</v>
      </c>
      <c r="F73" s="81">
        <f>IFERROR(__xludf.DUMMYFUNCTION("""COMPUTED_VALUE"""),45975.88449074074)</f>
        <v>45975.88449</v>
      </c>
      <c r="G73" s="89" t="s">
        <v>3959</v>
      </c>
      <c r="H73" s="89">
        <v>46.0</v>
      </c>
      <c r="I73" s="89" t="s">
        <v>3954</v>
      </c>
      <c r="J73" s="89" t="str">
        <f t="shared" si="18"/>
        <v>No</v>
      </c>
      <c r="K73" s="89" t="str">
        <f t="shared" si="23"/>
        <v>No</v>
      </c>
      <c r="L73" s="89" t="str">
        <f>IFERROR(__xludf.DUMMYFUNCTION("""COMPUTED_VALUE"""),"Fulton, MD")</f>
        <v>Fulton, MD</v>
      </c>
      <c r="M73" s="89" t="str">
        <f>IFERROR(__xludf.DUMMYFUNCTION("""COMPUTED_VALUE"""),"19 minutes ago")</f>
        <v>19 minutes ago</v>
      </c>
      <c r="N73" s="89">
        <f>IFERROR(__xludf.DUMMYFUNCTION("""COMPUTED_VALUE"""),19.0)</f>
        <v>19</v>
      </c>
      <c r="P73" s="52" t="str">
        <f t="shared" si="22"/>
        <v>0</v>
      </c>
      <c r="R73" s="52" t="str">
        <f t="shared" ref="R73:R95" si="25">IF(A73&lt;&gt;"","Review","")</f>
        <v>Review</v>
      </c>
      <c r="Z73" s="81">
        <v>45975.0</v>
      </c>
      <c r="AA73" s="81" t="s">
        <v>3974</v>
      </c>
      <c r="AB73" s="81" t="s">
        <v>3961</v>
      </c>
      <c r="AC73" s="81">
        <f t="shared" si="5"/>
        <v>45971</v>
      </c>
      <c r="AD73" s="82">
        <f t="shared" si="6"/>
        <v>5</v>
      </c>
    </row>
    <row r="74">
      <c r="A74" s="96">
        <v>45975.88605324074</v>
      </c>
      <c r="B74" s="89" t="s">
        <v>292</v>
      </c>
      <c r="C74" s="89" t="s">
        <v>293</v>
      </c>
      <c r="D74" s="89" t="s">
        <v>294</v>
      </c>
      <c r="E74" s="90" t="s">
        <v>295</v>
      </c>
      <c r="F74" s="81">
        <f>IFERROR(__xludf.DUMMYFUNCTION("""COMPUTED_VALUE"""),45975.88605324074)</f>
        <v>45975.88605</v>
      </c>
      <c r="G74" s="89" t="s">
        <v>3959</v>
      </c>
      <c r="H74" s="89">
        <v>46.0</v>
      </c>
      <c r="I74" s="89" t="s">
        <v>3954</v>
      </c>
      <c r="J74" s="89" t="str">
        <f t="shared" si="18"/>
        <v>No</v>
      </c>
      <c r="K74" s="89" t="str">
        <f t="shared" si="23"/>
        <v>No</v>
      </c>
      <c r="L74" s="89" t="str">
        <f>IFERROR(__xludf.DUMMYFUNCTION("""COMPUTED_VALUE"""),"San Francisco, CA")</f>
        <v>San Francisco, CA</v>
      </c>
      <c r="M74" s="89" t="str">
        <f>IFERROR(__xludf.DUMMYFUNCTION("""COMPUTED_VALUE"""),"46 minutes ago")</f>
        <v>46 minutes ago</v>
      </c>
      <c r="N74" s="89">
        <f>IFERROR(__xludf.DUMMYFUNCTION("""COMPUTED_VALUE"""),46.0)</f>
        <v>46</v>
      </c>
      <c r="P74" s="52" t="str">
        <f t="shared" si="22"/>
        <v>0</v>
      </c>
      <c r="R74" s="52" t="str">
        <f t="shared" si="25"/>
        <v>Review</v>
      </c>
      <c r="Z74" s="81">
        <v>45975.0</v>
      </c>
      <c r="AA74" s="81" t="s">
        <v>3974</v>
      </c>
      <c r="AB74" s="81" t="s">
        <v>3961</v>
      </c>
      <c r="AC74" s="81">
        <f t="shared" si="5"/>
        <v>45971</v>
      </c>
      <c r="AD74" s="82">
        <f t="shared" si="6"/>
        <v>5</v>
      </c>
    </row>
    <row r="75">
      <c r="A75" s="96">
        <v>45975.8872337963</v>
      </c>
      <c r="B75" s="89" t="s">
        <v>268</v>
      </c>
      <c r="C75" s="89" t="s">
        <v>296</v>
      </c>
      <c r="D75" s="89" t="s">
        <v>297</v>
      </c>
      <c r="E75" s="90" t="s">
        <v>298</v>
      </c>
      <c r="F75" s="81">
        <f>IFERROR(__xludf.DUMMYFUNCTION("""COMPUTED_VALUE"""),45975.8872337963)</f>
        <v>45975.88723</v>
      </c>
      <c r="G75" s="89" t="s">
        <v>3959</v>
      </c>
      <c r="H75" s="89">
        <v>46.0</v>
      </c>
      <c r="I75" s="89" t="s">
        <v>3954</v>
      </c>
      <c r="J75" s="89" t="str">
        <f t="shared" si="18"/>
        <v>No</v>
      </c>
      <c r="K75" s="89" t="str">
        <f t="shared" si="23"/>
        <v>No</v>
      </c>
      <c r="L75" s="89" t="str">
        <f>IFERROR(__xludf.DUMMYFUNCTION("""COMPUTED_VALUE"""),"Charlotte, NC")</f>
        <v>Charlotte, NC</v>
      </c>
      <c r="M75" s="89" t="str">
        <f>IFERROR(__xludf.DUMMYFUNCTION("""COMPUTED_VALUE"""),"47 minutes ago")</f>
        <v>47 minutes ago</v>
      </c>
      <c r="N75" s="89">
        <f>IFERROR(__xludf.DUMMYFUNCTION("""COMPUTED_VALUE"""),47.0)</f>
        <v>47</v>
      </c>
      <c r="P75" s="52" t="str">
        <f t="shared" si="22"/>
        <v>0</v>
      </c>
      <c r="R75" s="52" t="str">
        <f t="shared" si="25"/>
        <v>Review</v>
      </c>
      <c r="Z75" s="81">
        <v>45975.0</v>
      </c>
      <c r="AA75" s="81" t="s">
        <v>3974</v>
      </c>
      <c r="AB75" s="81" t="s">
        <v>3961</v>
      </c>
      <c r="AC75" s="81">
        <f t="shared" si="5"/>
        <v>45971</v>
      </c>
      <c r="AD75" s="82">
        <f t="shared" si="6"/>
        <v>5</v>
      </c>
    </row>
    <row r="76">
      <c r="A76" s="96">
        <v>45975.89199074074</v>
      </c>
      <c r="B76" s="89" t="s">
        <v>299</v>
      </c>
      <c r="C76" s="89" t="s">
        <v>85</v>
      </c>
      <c r="D76" s="89" t="s">
        <v>300</v>
      </c>
      <c r="E76" s="90" t="s">
        <v>301</v>
      </c>
      <c r="F76" s="81">
        <f>IFERROR(__xludf.DUMMYFUNCTION("""COMPUTED_VALUE"""),45975.89199074074)</f>
        <v>45975.89199</v>
      </c>
      <c r="G76" s="89" t="s">
        <v>3959</v>
      </c>
      <c r="H76" s="89">
        <v>46.0</v>
      </c>
      <c r="I76" s="89" t="s">
        <v>3954</v>
      </c>
      <c r="J76" s="89" t="str">
        <f t="shared" si="18"/>
        <v>No</v>
      </c>
      <c r="K76" s="89" t="str">
        <f t="shared" si="23"/>
        <v>No</v>
      </c>
      <c r="L76" s="89" t="str">
        <f>IFERROR(__xludf.DUMMYFUNCTION("""COMPUTED_VALUE"""),"Sunnyvale, CA")</f>
        <v>Sunnyvale, CA</v>
      </c>
      <c r="M76" s="89" t="str">
        <f>IFERROR(__xludf.DUMMYFUNCTION("""COMPUTED_VALUE"""),"20 minutes ago")</f>
        <v>20 minutes ago</v>
      </c>
      <c r="N76" s="89">
        <f>IFERROR(__xludf.DUMMYFUNCTION("""COMPUTED_VALUE"""),20.0)</f>
        <v>20</v>
      </c>
      <c r="P76" s="52" t="str">
        <f t="shared" si="22"/>
        <v>0</v>
      </c>
      <c r="R76" s="52" t="str">
        <f t="shared" si="25"/>
        <v>Review</v>
      </c>
      <c r="Z76" s="81">
        <v>45975.0</v>
      </c>
      <c r="AA76" s="81" t="s">
        <v>3974</v>
      </c>
      <c r="AB76" s="81" t="s">
        <v>3961</v>
      </c>
      <c r="AC76" s="81">
        <f t="shared" si="5"/>
        <v>45971</v>
      </c>
      <c r="AD76" s="82">
        <f t="shared" si="6"/>
        <v>5</v>
      </c>
    </row>
    <row r="77">
      <c r="A77" s="96">
        <v>45975.89800925926</v>
      </c>
      <c r="B77" s="89" t="s">
        <v>211</v>
      </c>
      <c r="C77" s="89" t="s">
        <v>208</v>
      </c>
      <c r="D77" s="89" t="s">
        <v>302</v>
      </c>
      <c r="E77" s="90" t="s">
        <v>303</v>
      </c>
      <c r="F77" s="81">
        <f>IFERROR(__xludf.DUMMYFUNCTION("""COMPUTED_VALUE"""),45975.89800925926)</f>
        <v>45975.89801</v>
      </c>
      <c r="G77" s="89" t="s">
        <v>3959</v>
      </c>
      <c r="H77" s="89">
        <v>46.0</v>
      </c>
      <c r="I77" s="89" t="s">
        <v>3954</v>
      </c>
      <c r="J77" s="89" t="str">
        <f t="shared" si="18"/>
        <v>No</v>
      </c>
      <c r="K77" s="89" t="str">
        <f t="shared" si="23"/>
        <v>No</v>
      </c>
      <c r="L77" s="89" t="str">
        <f>IFERROR(__xludf.DUMMYFUNCTION("""COMPUTED_VALUE"""),"Austin, TX")</f>
        <v>Austin, TX</v>
      </c>
      <c r="M77" s="89" t="str">
        <f>IFERROR(__xludf.DUMMYFUNCTION("""COMPUTED_VALUE"""),"Reposted 1 hour ago")</f>
        <v>Reposted 1 hour ago</v>
      </c>
      <c r="N77" s="89">
        <f>IFERROR(__xludf.DUMMYFUNCTION("""COMPUTED_VALUE"""),1.0)</f>
        <v>1</v>
      </c>
      <c r="P77" s="52" t="str">
        <f t="shared" si="22"/>
        <v>0</v>
      </c>
      <c r="R77" s="52" t="str">
        <f t="shared" si="25"/>
        <v>Review</v>
      </c>
      <c r="Z77" s="81">
        <v>45975.0</v>
      </c>
      <c r="AA77" s="81" t="s">
        <v>3974</v>
      </c>
      <c r="AB77" s="81" t="s">
        <v>3961</v>
      </c>
      <c r="AC77" s="81">
        <f t="shared" si="5"/>
        <v>45971</v>
      </c>
      <c r="AD77" s="82">
        <f t="shared" si="6"/>
        <v>5</v>
      </c>
    </row>
    <row r="78">
      <c r="A78" s="96">
        <v>45976.978854166664</v>
      </c>
      <c r="B78" s="89" t="s">
        <v>304</v>
      </c>
      <c r="C78" s="89" t="s">
        <v>305</v>
      </c>
      <c r="D78" s="89" t="s">
        <v>306</v>
      </c>
      <c r="E78" s="90" t="s">
        <v>307</v>
      </c>
      <c r="F78" s="81">
        <f>IFERROR(__xludf.DUMMYFUNCTION("""COMPUTED_VALUE"""),45976.978854166664)</f>
        <v>45976.97885</v>
      </c>
      <c r="G78" s="89" t="s">
        <v>3959</v>
      </c>
      <c r="H78" s="89">
        <v>46.0</v>
      </c>
      <c r="I78" s="89" t="s">
        <v>3960</v>
      </c>
      <c r="J78" s="89" t="str">
        <f t="shared" si="18"/>
        <v>No</v>
      </c>
      <c r="K78" s="89" t="str">
        <f t="shared" si="23"/>
        <v>No</v>
      </c>
      <c r="L78" s="89" t="str">
        <f>IFERROR(__xludf.DUMMYFUNCTION("""COMPUTED_VALUE"""),"Dallas, TX")</f>
        <v>Dallas, TX</v>
      </c>
      <c r="M78" s="89" t="str">
        <f>IFERROR(__xludf.DUMMYFUNCTION("""COMPUTED_VALUE"""),"1 day ago")</f>
        <v>1 day ago</v>
      </c>
      <c r="N78" s="89">
        <f>IFERROR(__xludf.DUMMYFUNCTION("""COMPUTED_VALUE"""),1.0)</f>
        <v>1</v>
      </c>
      <c r="P78" s="52" t="str">
        <f t="shared" si="22"/>
        <v>0</v>
      </c>
      <c r="R78" s="52" t="str">
        <f t="shared" si="25"/>
        <v>Review</v>
      </c>
      <c r="Z78" s="81">
        <v>45976.0</v>
      </c>
      <c r="AA78" s="81" t="s">
        <v>3974</v>
      </c>
      <c r="AB78" s="81" t="s">
        <v>3961</v>
      </c>
      <c r="AC78" s="81">
        <f t="shared" si="5"/>
        <v>45971</v>
      </c>
      <c r="AD78" s="82">
        <f t="shared" si="6"/>
        <v>6</v>
      </c>
    </row>
    <row r="79">
      <c r="A79" s="96">
        <v>45976.99643518519</v>
      </c>
      <c r="B79" s="89" t="s">
        <v>308</v>
      </c>
      <c r="C79" s="89" t="s">
        <v>309</v>
      </c>
      <c r="D79" s="89" t="s">
        <v>310</v>
      </c>
      <c r="E79" s="90" t="s">
        <v>311</v>
      </c>
      <c r="F79" s="81">
        <f>IFERROR(__xludf.DUMMYFUNCTION("""COMPUTED_VALUE"""),45976.99643518519)</f>
        <v>45976.99644</v>
      </c>
      <c r="G79" s="89" t="s">
        <v>3959</v>
      </c>
      <c r="H79" s="89">
        <v>46.0</v>
      </c>
      <c r="I79" s="89" t="s">
        <v>3960</v>
      </c>
      <c r="J79" s="89" t="str">
        <f t="shared" si="18"/>
        <v>No</v>
      </c>
      <c r="K79" s="89" t="str">
        <f t="shared" si="23"/>
        <v>No</v>
      </c>
      <c r="L79" s="89" t="str">
        <f>IFERROR(__xludf.DUMMYFUNCTION("""COMPUTED_VALUE"""),"New York, NY")</f>
        <v>New York, NY</v>
      </c>
      <c r="M79" s="89" t="str">
        <f>IFERROR(__xludf.DUMMYFUNCTION("""COMPUTED_VALUE"""),"1 week ago")</f>
        <v>1 week ago</v>
      </c>
      <c r="N79" s="89">
        <f>IFERROR(__xludf.DUMMYFUNCTION("""COMPUTED_VALUE"""),1.0)</f>
        <v>1</v>
      </c>
      <c r="P79" s="52" t="str">
        <f t="shared" si="22"/>
        <v>0</v>
      </c>
      <c r="R79" s="52" t="str">
        <f t="shared" si="25"/>
        <v>Review</v>
      </c>
      <c r="Z79" s="81">
        <v>45976.0</v>
      </c>
      <c r="AA79" s="81" t="s">
        <v>3974</v>
      </c>
      <c r="AB79" s="81" t="s">
        <v>3961</v>
      </c>
      <c r="AC79" s="81">
        <f t="shared" si="5"/>
        <v>45971</v>
      </c>
      <c r="AD79" s="82">
        <f t="shared" si="6"/>
        <v>6</v>
      </c>
    </row>
    <row r="80">
      <c r="A80" s="96">
        <v>45977.86009259259</v>
      </c>
      <c r="B80" s="89" t="s">
        <v>312</v>
      </c>
      <c r="C80" s="89" t="s">
        <v>313</v>
      </c>
      <c r="D80" s="89" t="s">
        <v>314</v>
      </c>
      <c r="E80" s="90" t="s">
        <v>315</v>
      </c>
      <c r="F80" s="81">
        <f>IFERROR(__xludf.DUMMYFUNCTION("""COMPUTED_VALUE"""),45977.86009259259)</f>
        <v>45977.86009</v>
      </c>
      <c r="G80" s="89" t="s">
        <v>3959</v>
      </c>
      <c r="H80" s="89">
        <v>47.0</v>
      </c>
      <c r="I80" s="89" t="s">
        <v>3962</v>
      </c>
      <c r="J80" s="89" t="str">
        <f t="shared" si="18"/>
        <v>No</v>
      </c>
      <c r="K80" s="89" t="str">
        <f t="shared" si="23"/>
        <v>No</v>
      </c>
      <c r="L80" s="89" t="str">
        <f>IFERROR(__xludf.DUMMYFUNCTION("""COMPUTED_VALUE"""),"Santa Clara, CA")</f>
        <v>Santa Clara, CA</v>
      </c>
      <c r="M80" s="89" t="str">
        <f>IFERROR(__xludf.DUMMYFUNCTION("""COMPUTED_VALUE"""),"9 hours ago")</f>
        <v>9 hours ago</v>
      </c>
      <c r="N80" s="89">
        <f>IFERROR(__xludf.DUMMYFUNCTION("""COMPUTED_VALUE"""),9.0)</f>
        <v>9</v>
      </c>
      <c r="P80" s="52" t="str">
        <f t="shared" si="22"/>
        <v>0</v>
      </c>
      <c r="R80" s="52" t="str">
        <f t="shared" si="25"/>
        <v>Review</v>
      </c>
      <c r="Z80" s="81">
        <v>45977.0</v>
      </c>
      <c r="AA80" s="81" t="s">
        <v>3974</v>
      </c>
      <c r="AB80" s="81" t="s">
        <v>3961</v>
      </c>
      <c r="AC80" s="81">
        <f t="shared" si="5"/>
        <v>45971</v>
      </c>
      <c r="AD80" s="82">
        <f t="shared" si="6"/>
        <v>7</v>
      </c>
    </row>
    <row r="81">
      <c r="A81" s="96">
        <v>45977.86009259259</v>
      </c>
      <c r="B81" s="89" t="s">
        <v>316</v>
      </c>
      <c r="C81" s="89" t="s">
        <v>317</v>
      </c>
      <c r="D81" s="89" t="s">
        <v>318</v>
      </c>
      <c r="E81" s="90" t="s">
        <v>319</v>
      </c>
      <c r="F81" s="81">
        <f>IFERROR(__xludf.DUMMYFUNCTION("""COMPUTED_VALUE"""),45977.86009259259)</f>
        <v>45977.86009</v>
      </c>
      <c r="G81" s="89" t="s">
        <v>3959</v>
      </c>
      <c r="H81" s="89">
        <v>47.0</v>
      </c>
      <c r="I81" s="89" t="s">
        <v>3962</v>
      </c>
      <c r="J81" s="89" t="str">
        <f t="shared" si="18"/>
        <v>No</v>
      </c>
      <c r="K81" s="89" t="str">
        <f t="shared" si="23"/>
        <v>No</v>
      </c>
      <c r="L81" s="89" t="str">
        <f>IFERROR(__xludf.DUMMYFUNCTION("""COMPUTED_VALUE"""),"Chicago")</f>
        <v>Chicago</v>
      </c>
      <c r="M81" s="89" t="str">
        <f>IFERROR(__xludf.DUMMYFUNCTION("""COMPUTED_VALUE"""),"")</f>
        <v/>
      </c>
      <c r="N81" s="89" t="str">
        <f>IFERROR(__xludf.DUMMYFUNCTION("""COMPUTED_VALUE"""),"")</f>
        <v/>
      </c>
      <c r="P81" s="52" t="str">
        <f t="shared" si="22"/>
        <v>0</v>
      </c>
      <c r="R81" s="52" t="str">
        <f t="shared" si="25"/>
        <v>Review</v>
      </c>
      <c r="Z81" s="81">
        <v>45977.0</v>
      </c>
      <c r="AA81" s="81" t="s">
        <v>3974</v>
      </c>
      <c r="AB81" s="81" t="s">
        <v>3961</v>
      </c>
      <c r="AC81" s="81">
        <f t="shared" si="5"/>
        <v>45971</v>
      </c>
      <c r="AD81" s="82">
        <f t="shared" si="6"/>
        <v>7</v>
      </c>
    </row>
    <row r="82">
      <c r="A82" s="96">
        <v>45978.44121527778</v>
      </c>
      <c r="B82" s="89" t="s">
        <v>320</v>
      </c>
      <c r="C82" s="89" t="s">
        <v>321</v>
      </c>
      <c r="D82" s="89" t="s">
        <v>322</v>
      </c>
      <c r="E82" s="90" t="s">
        <v>323</v>
      </c>
      <c r="F82" s="81">
        <f>IFERROR(__xludf.DUMMYFUNCTION("""COMPUTED_VALUE"""),45978.44121527778)</f>
        <v>45978.44122</v>
      </c>
      <c r="G82" s="89" t="s">
        <v>3959</v>
      </c>
      <c r="H82" s="89">
        <v>47.0</v>
      </c>
      <c r="I82" s="89" t="s">
        <v>3964</v>
      </c>
      <c r="J82" s="89" t="str">
        <f t="shared" si="18"/>
        <v>No</v>
      </c>
      <c r="K82" s="89" t="str">
        <f t="shared" si="23"/>
        <v>No</v>
      </c>
      <c r="L82" s="89" t="str">
        <f>IFERROR(__xludf.DUMMYFUNCTION("""COMPUTED_VALUE"""),"Illinois, United States")</f>
        <v>Illinois, United States</v>
      </c>
      <c r="M82" s="89" t="str">
        <f>IFERROR(__xludf.DUMMYFUNCTION("""COMPUTED_VALUE"""),"10 minutes ago")</f>
        <v>10 minutes ago</v>
      </c>
      <c r="N82" s="89">
        <f>IFERROR(__xludf.DUMMYFUNCTION("""COMPUTED_VALUE"""),10.0)</f>
        <v>10</v>
      </c>
      <c r="P82" s="52" t="str">
        <f t="shared" si="22"/>
        <v>0</v>
      </c>
      <c r="R82" s="52" t="str">
        <f t="shared" si="25"/>
        <v>Review</v>
      </c>
      <c r="Z82" s="81">
        <v>45978.0</v>
      </c>
      <c r="AA82" s="81" t="s">
        <v>3977</v>
      </c>
      <c r="AB82" s="81" t="s">
        <v>3961</v>
      </c>
      <c r="AC82" s="81">
        <f t="shared" si="5"/>
        <v>45978</v>
      </c>
      <c r="AD82" s="82">
        <f t="shared" si="6"/>
        <v>1</v>
      </c>
    </row>
    <row r="83">
      <c r="A83" s="96">
        <v>45978.441400462965</v>
      </c>
      <c r="B83" s="89" t="s">
        <v>60</v>
      </c>
      <c r="C83" s="89" t="s">
        <v>61</v>
      </c>
      <c r="D83" s="89" t="s">
        <v>324</v>
      </c>
      <c r="E83" s="90" t="s">
        <v>325</v>
      </c>
      <c r="F83" s="81">
        <f>IFERROR(__xludf.DUMMYFUNCTION("""COMPUTED_VALUE"""),45978.441400462965)</f>
        <v>45978.4414</v>
      </c>
      <c r="G83" s="89" t="s">
        <v>3959</v>
      </c>
      <c r="H83" s="89">
        <v>47.0</v>
      </c>
      <c r="I83" s="89" t="s">
        <v>3964</v>
      </c>
      <c r="J83" s="89" t="str">
        <f t="shared" si="18"/>
        <v>No</v>
      </c>
      <c r="K83" s="89" t="str">
        <f t="shared" si="23"/>
        <v>No</v>
      </c>
      <c r="L83" s="89" t="str">
        <f>IFERROR(__xludf.DUMMYFUNCTION("""COMPUTED_VALUE"""),"Fremont, CA")</f>
        <v>Fremont, CA</v>
      </c>
      <c r="M83" s="89" t="str">
        <f>IFERROR(__xludf.DUMMYFUNCTION("""COMPUTED_VALUE"""),"22 minutes ago")</f>
        <v>22 minutes ago</v>
      </c>
      <c r="N83" s="89">
        <f>IFERROR(__xludf.DUMMYFUNCTION("""COMPUTED_VALUE"""),22.0)</f>
        <v>22</v>
      </c>
      <c r="P83" s="52" t="str">
        <f t="shared" si="22"/>
        <v>0</v>
      </c>
      <c r="R83" s="52" t="str">
        <f t="shared" si="25"/>
        <v>Review</v>
      </c>
      <c r="Z83" s="81">
        <v>45978.0</v>
      </c>
      <c r="AA83" s="81" t="s">
        <v>3977</v>
      </c>
      <c r="AB83" s="81" t="s">
        <v>3961</v>
      </c>
      <c r="AC83" s="81">
        <f t="shared" si="5"/>
        <v>45978</v>
      </c>
      <c r="AD83" s="82">
        <f t="shared" si="6"/>
        <v>1</v>
      </c>
    </row>
    <row r="84">
      <c r="A84" s="96">
        <v>45978.44778935185</v>
      </c>
      <c r="B84" s="89" t="s">
        <v>326</v>
      </c>
      <c r="C84" s="89" t="s">
        <v>327</v>
      </c>
      <c r="D84" s="89" t="s">
        <v>328</v>
      </c>
      <c r="E84" s="90" t="s">
        <v>329</v>
      </c>
      <c r="F84" s="81">
        <f>IFERROR(__xludf.DUMMYFUNCTION("""COMPUTED_VALUE"""),45978.44778935185)</f>
        <v>45978.44779</v>
      </c>
      <c r="G84" s="89" t="s">
        <v>3959</v>
      </c>
      <c r="H84" s="89">
        <v>47.0</v>
      </c>
      <c r="I84" s="89" t="s">
        <v>3964</v>
      </c>
      <c r="J84" s="89" t="str">
        <f t="shared" si="18"/>
        <v>No</v>
      </c>
      <c r="K84" s="89" t="str">
        <f t="shared" si="23"/>
        <v>No</v>
      </c>
      <c r="L84" s="89" t="str">
        <f>IFERROR(__xludf.DUMMYFUNCTION("""COMPUTED_VALUE"""),"Massachusetts, United States")</f>
        <v>Massachusetts, United States</v>
      </c>
      <c r="M84" s="89" t="str">
        <f>IFERROR(__xludf.DUMMYFUNCTION("""COMPUTED_VALUE"""),"")</f>
        <v/>
      </c>
      <c r="N84" s="89" t="str">
        <f>IFERROR(__xludf.DUMMYFUNCTION("""COMPUTED_VALUE"""),"")</f>
        <v/>
      </c>
      <c r="P84" s="52" t="str">
        <f t="shared" si="22"/>
        <v>0</v>
      </c>
      <c r="R84" s="52" t="str">
        <f t="shared" si="25"/>
        <v>Review</v>
      </c>
      <c r="Z84" s="81">
        <v>45978.0</v>
      </c>
      <c r="AA84" s="81" t="s">
        <v>3977</v>
      </c>
      <c r="AB84" s="81" t="s">
        <v>3961</v>
      </c>
      <c r="AC84" s="81">
        <f t="shared" si="5"/>
        <v>45978</v>
      </c>
      <c r="AD84" s="82">
        <f t="shared" si="6"/>
        <v>1</v>
      </c>
    </row>
    <row r="85">
      <c r="A85" s="96">
        <v>45978.448159722226</v>
      </c>
      <c r="B85" s="89" t="s">
        <v>284</v>
      </c>
      <c r="C85" s="89" t="s">
        <v>330</v>
      </c>
      <c r="D85" s="89" t="s">
        <v>331</v>
      </c>
      <c r="E85" s="90" t="s">
        <v>332</v>
      </c>
      <c r="F85" s="81">
        <f>IFERROR(__xludf.DUMMYFUNCTION("""COMPUTED_VALUE"""),45978.448159722226)</f>
        <v>45978.44816</v>
      </c>
      <c r="G85" s="89" t="s">
        <v>3959</v>
      </c>
      <c r="H85" s="89">
        <v>47.0</v>
      </c>
      <c r="I85" s="89" t="s">
        <v>3964</v>
      </c>
      <c r="J85" s="89" t="str">
        <f t="shared" si="18"/>
        <v>No</v>
      </c>
      <c r="K85" s="89" t="str">
        <f t="shared" si="23"/>
        <v>No</v>
      </c>
      <c r="L85" s="89" t="str">
        <f>IFERROR(__xludf.DUMMYFUNCTION("""COMPUTED_VALUE"""),"State College, PA")</f>
        <v>State College, PA</v>
      </c>
      <c r="M85" s="89" t="str">
        <f>IFERROR(__xludf.DUMMYFUNCTION("""COMPUTED_VALUE"""),"Reposted 21 minutes ago")</f>
        <v>Reposted 21 minutes ago</v>
      </c>
      <c r="N85" s="89">
        <f>IFERROR(__xludf.DUMMYFUNCTION("""COMPUTED_VALUE"""),21.0)</f>
        <v>21</v>
      </c>
      <c r="P85" s="52" t="str">
        <f t="shared" si="22"/>
        <v>0</v>
      </c>
      <c r="R85" s="52" t="str">
        <f t="shared" si="25"/>
        <v>Review</v>
      </c>
      <c r="Z85" s="81">
        <v>45978.0</v>
      </c>
      <c r="AA85" s="81" t="s">
        <v>3977</v>
      </c>
      <c r="AB85" s="81" t="s">
        <v>3961</v>
      </c>
      <c r="AC85" s="81">
        <f t="shared" si="5"/>
        <v>45978</v>
      </c>
      <c r="AD85" s="82">
        <f t="shared" si="6"/>
        <v>1</v>
      </c>
    </row>
    <row r="86">
      <c r="A86" s="96">
        <v>45978.458333333336</v>
      </c>
      <c r="B86" s="89" t="s">
        <v>211</v>
      </c>
      <c r="C86" s="89" t="s">
        <v>333</v>
      </c>
      <c r="D86" s="89" t="s">
        <v>334</v>
      </c>
      <c r="E86" s="90" t="s">
        <v>335</v>
      </c>
      <c r="F86" s="81">
        <f>IFERROR(__xludf.DUMMYFUNCTION("""COMPUTED_VALUE"""),45978.458333333336)</f>
        <v>45978.45833</v>
      </c>
      <c r="G86" s="89" t="s">
        <v>3959</v>
      </c>
      <c r="H86" s="89">
        <v>47.0</v>
      </c>
      <c r="I86" s="89" t="s">
        <v>3964</v>
      </c>
      <c r="J86" s="89" t="str">
        <f t="shared" si="18"/>
        <v>No</v>
      </c>
      <c r="K86" s="89" t="str">
        <f t="shared" si="23"/>
        <v>No</v>
      </c>
      <c r="L86" s="89" t="str">
        <f>IFERROR(__xludf.DUMMYFUNCTION("""COMPUTED_VALUE"""),"Jersey City, NJ")</f>
        <v>Jersey City, NJ</v>
      </c>
      <c r="M86" s="89" t="str">
        <f>IFERROR(__xludf.DUMMYFUNCTION("""COMPUTED_VALUE"""),"33 minutes ago")</f>
        <v>33 minutes ago</v>
      </c>
      <c r="N86" s="89">
        <f>IFERROR(__xludf.DUMMYFUNCTION("""COMPUTED_VALUE"""),33.0)</f>
        <v>33</v>
      </c>
      <c r="P86" s="52" t="str">
        <f t="shared" si="22"/>
        <v>0</v>
      </c>
      <c r="R86" s="52" t="str">
        <f t="shared" si="25"/>
        <v>Review</v>
      </c>
      <c r="Z86" s="81">
        <v>45978.0</v>
      </c>
      <c r="AA86" s="81" t="s">
        <v>3977</v>
      </c>
      <c r="AB86" s="81" t="s">
        <v>3961</v>
      </c>
      <c r="AC86" s="81">
        <f t="shared" si="5"/>
        <v>45978</v>
      </c>
      <c r="AD86" s="82">
        <f t="shared" si="6"/>
        <v>1</v>
      </c>
    </row>
    <row r="87">
      <c r="A87" s="96">
        <v>45978.45960648148</v>
      </c>
      <c r="B87" s="89" t="s">
        <v>336</v>
      </c>
      <c r="C87" s="89" t="s">
        <v>337</v>
      </c>
      <c r="D87" s="89" t="s">
        <v>338</v>
      </c>
      <c r="E87" s="90" t="s">
        <v>339</v>
      </c>
      <c r="F87" s="81">
        <f>IFERROR(__xludf.DUMMYFUNCTION("""COMPUTED_VALUE"""),45978.45960648148)</f>
        <v>45978.45961</v>
      </c>
      <c r="G87" s="89" t="s">
        <v>3959</v>
      </c>
      <c r="H87" s="89">
        <v>47.0</v>
      </c>
      <c r="I87" s="89" t="s">
        <v>3964</v>
      </c>
      <c r="J87" s="89" t="str">
        <f t="shared" si="18"/>
        <v>No</v>
      </c>
      <c r="K87" s="89" t="str">
        <f t="shared" si="23"/>
        <v>No</v>
      </c>
      <c r="L87" s="89" t="str">
        <f>IFERROR(__xludf.DUMMYFUNCTION("""COMPUTED_VALUE"""),"Atlanta, GA")</f>
        <v>Atlanta, GA</v>
      </c>
      <c r="M87" s="89" t="str">
        <f>IFERROR(__xludf.DUMMYFUNCTION("""COMPUTED_VALUE"""),"Reposted 36 minutes ago")</f>
        <v>Reposted 36 minutes ago</v>
      </c>
      <c r="N87" s="89">
        <f>IFERROR(__xludf.DUMMYFUNCTION("""COMPUTED_VALUE"""),36.0)</f>
        <v>36</v>
      </c>
      <c r="P87" s="52" t="str">
        <f t="shared" si="22"/>
        <v>0</v>
      </c>
      <c r="R87" s="52" t="str">
        <f t="shared" si="25"/>
        <v>Review</v>
      </c>
      <c r="Z87" s="81">
        <v>45978.0</v>
      </c>
      <c r="AA87" s="81" t="s">
        <v>3977</v>
      </c>
      <c r="AB87" s="81" t="s">
        <v>3961</v>
      </c>
      <c r="AC87" s="81">
        <f t="shared" si="5"/>
        <v>45978</v>
      </c>
      <c r="AD87" s="82">
        <f t="shared" si="6"/>
        <v>1</v>
      </c>
    </row>
    <row r="88">
      <c r="A88" s="96">
        <v>45978.65857638889</v>
      </c>
      <c r="B88" s="89" t="s">
        <v>340</v>
      </c>
      <c r="C88" s="89" t="s">
        <v>341</v>
      </c>
      <c r="D88" s="89" t="s">
        <v>342</v>
      </c>
      <c r="E88" s="90" t="s">
        <v>343</v>
      </c>
      <c r="F88" s="81">
        <f>IFERROR(__xludf.DUMMYFUNCTION("""COMPUTED_VALUE"""),45978.65857638889)</f>
        <v>45978.65858</v>
      </c>
      <c r="G88" s="89" t="s">
        <v>3959</v>
      </c>
      <c r="H88" s="89">
        <v>47.0</v>
      </c>
      <c r="I88" s="89" t="s">
        <v>3964</v>
      </c>
      <c r="J88" s="89" t="str">
        <f t="shared" si="18"/>
        <v>No</v>
      </c>
      <c r="K88" s="89" t="str">
        <f t="shared" si="23"/>
        <v>No</v>
      </c>
      <c r="L88" s="89" t="str">
        <f>IFERROR(__xludf.DUMMYFUNCTION("""COMPUTED_VALUE"""),"Canada")</f>
        <v>Canada</v>
      </c>
      <c r="M88" s="89" t="str">
        <f>IFERROR(__xludf.DUMMYFUNCTION("""COMPUTED_VALUE"""),"Reposted 6 hours ago")</f>
        <v>Reposted 6 hours ago</v>
      </c>
      <c r="N88" s="89">
        <f>IFERROR(__xludf.DUMMYFUNCTION("""COMPUTED_VALUE"""),6.0)</f>
        <v>6</v>
      </c>
      <c r="P88" s="52" t="str">
        <f t="shared" si="22"/>
        <v>0</v>
      </c>
      <c r="R88" s="52" t="str">
        <f t="shared" si="25"/>
        <v>Review</v>
      </c>
      <c r="Z88" s="81">
        <v>45978.0</v>
      </c>
      <c r="AA88" s="81" t="s">
        <v>3977</v>
      </c>
      <c r="AB88" s="81" t="s">
        <v>3961</v>
      </c>
      <c r="AC88" s="81">
        <f t="shared" si="5"/>
        <v>45978</v>
      </c>
      <c r="AD88" s="82">
        <f t="shared" si="6"/>
        <v>1</v>
      </c>
    </row>
    <row r="89">
      <c r="A89" s="96">
        <v>45978.65876157407</v>
      </c>
      <c r="B89" s="89" t="s">
        <v>344</v>
      </c>
      <c r="C89" s="89" t="s">
        <v>341</v>
      </c>
      <c r="D89" s="89" t="s">
        <v>345</v>
      </c>
      <c r="E89" s="90" t="s">
        <v>346</v>
      </c>
      <c r="F89" s="81">
        <f>IFERROR(__xludf.DUMMYFUNCTION("""COMPUTED_VALUE"""),45978.65876157407)</f>
        <v>45978.65876</v>
      </c>
      <c r="G89" s="89" t="s">
        <v>3959</v>
      </c>
      <c r="H89" s="89">
        <v>47.0</v>
      </c>
      <c r="I89" s="89" t="s">
        <v>3964</v>
      </c>
      <c r="J89" s="89" t="str">
        <f t="shared" si="18"/>
        <v>No</v>
      </c>
      <c r="K89" s="89" t="str">
        <f t="shared" si="23"/>
        <v>No</v>
      </c>
      <c r="L89" s="89" t="str">
        <f>IFERROR(__xludf.DUMMYFUNCTION("""COMPUTED_VALUE"""),"United States")</f>
        <v>United States</v>
      </c>
      <c r="M89" s="89" t="str">
        <f>IFERROR(__xludf.DUMMYFUNCTION("""COMPUTED_VALUE"""),"55 minutes ago")</f>
        <v>55 minutes ago</v>
      </c>
      <c r="N89" s="89">
        <f>IFERROR(__xludf.DUMMYFUNCTION("""COMPUTED_VALUE"""),55.0)</f>
        <v>55</v>
      </c>
      <c r="P89" s="52" t="str">
        <f t="shared" si="22"/>
        <v>0</v>
      </c>
      <c r="R89" s="52" t="str">
        <f t="shared" si="25"/>
        <v>Review</v>
      </c>
      <c r="Z89" s="81">
        <v>45978.0</v>
      </c>
      <c r="AA89" s="81" t="s">
        <v>3977</v>
      </c>
      <c r="AB89" s="81" t="s">
        <v>3961</v>
      </c>
      <c r="AC89" s="81">
        <f t="shared" si="5"/>
        <v>45978</v>
      </c>
      <c r="AD89" s="82">
        <f t="shared" si="6"/>
        <v>1</v>
      </c>
    </row>
    <row r="90">
      <c r="A90" s="96">
        <v>45978.68446759259</v>
      </c>
      <c r="B90" s="89" t="s">
        <v>347</v>
      </c>
      <c r="C90" s="89" t="s">
        <v>348</v>
      </c>
      <c r="D90" s="89" t="s">
        <v>349</v>
      </c>
      <c r="E90" s="90" t="s">
        <v>350</v>
      </c>
      <c r="F90" s="81">
        <f>IFERROR(__xludf.DUMMYFUNCTION("""COMPUTED_VALUE"""),45978.68446759259)</f>
        <v>45978.68447</v>
      </c>
      <c r="G90" s="89" t="s">
        <v>3959</v>
      </c>
      <c r="H90" s="89">
        <v>47.0</v>
      </c>
      <c r="I90" s="89" t="s">
        <v>3964</v>
      </c>
      <c r="J90" s="89" t="str">
        <f t="shared" si="18"/>
        <v>No</v>
      </c>
      <c r="K90" s="89" t="str">
        <f t="shared" si="23"/>
        <v>No</v>
      </c>
      <c r="L90" s="89" t="str">
        <f>IFERROR(__xludf.DUMMYFUNCTION("""COMPUTED_VALUE"""),"Pittsburgh, PA")</f>
        <v>Pittsburgh, PA</v>
      </c>
      <c r="M90" s="89" t="str">
        <f>IFERROR(__xludf.DUMMYFUNCTION("""COMPUTED_VALUE"""),"25 minutes ago")</f>
        <v>25 minutes ago</v>
      </c>
      <c r="N90" s="89">
        <f>IFERROR(__xludf.DUMMYFUNCTION("""COMPUTED_VALUE"""),25.0)</f>
        <v>25</v>
      </c>
      <c r="P90" s="52" t="str">
        <f t="shared" si="22"/>
        <v>0</v>
      </c>
      <c r="R90" s="52" t="str">
        <f t="shared" si="25"/>
        <v>Review</v>
      </c>
      <c r="Z90" s="81">
        <v>45978.0</v>
      </c>
      <c r="AA90" s="81" t="s">
        <v>3977</v>
      </c>
      <c r="AB90" s="81" t="s">
        <v>3961</v>
      </c>
      <c r="AC90" s="81">
        <f t="shared" si="5"/>
        <v>45978</v>
      </c>
      <c r="AD90" s="82">
        <f t="shared" si="6"/>
        <v>1</v>
      </c>
    </row>
    <row r="91">
      <c r="A91" s="96">
        <v>45978.6846875</v>
      </c>
      <c r="B91" s="89" t="s">
        <v>351</v>
      </c>
      <c r="C91" s="89" t="s">
        <v>352</v>
      </c>
      <c r="D91" s="89" t="s">
        <v>353</v>
      </c>
      <c r="E91" s="90" t="s">
        <v>354</v>
      </c>
      <c r="F91" s="81">
        <f>IFERROR(__xludf.DUMMYFUNCTION("""COMPUTED_VALUE"""),45978.6846875)</f>
        <v>45978.68469</v>
      </c>
      <c r="G91" s="89" t="s">
        <v>3959</v>
      </c>
      <c r="H91" s="89">
        <v>47.0</v>
      </c>
      <c r="I91" s="89" t="s">
        <v>3964</v>
      </c>
      <c r="J91" s="89" t="str">
        <f t="shared" si="18"/>
        <v>No</v>
      </c>
      <c r="K91" s="89" t="str">
        <f t="shared" si="23"/>
        <v>No</v>
      </c>
      <c r="L91" s="89" t="str">
        <f>IFERROR(__xludf.DUMMYFUNCTION("""COMPUTED_VALUE"""),"Jersey City, NJ")</f>
        <v>Jersey City, NJ</v>
      </c>
      <c r="M91" s="89" t="str">
        <f>IFERROR(__xludf.DUMMYFUNCTION("""COMPUTED_VALUE"""),"4 minutes ago")</f>
        <v>4 minutes ago</v>
      </c>
      <c r="N91" s="89">
        <f>IFERROR(__xludf.DUMMYFUNCTION("""COMPUTED_VALUE"""),4.0)</f>
        <v>4</v>
      </c>
      <c r="P91" s="52" t="str">
        <f t="shared" si="22"/>
        <v>0</v>
      </c>
      <c r="R91" s="52" t="str">
        <f t="shared" si="25"/>
        <v>Review</v>
      </c>
      <c r="Z91" s="81">
        <v>45978.0</v>
      </c>
      <c r="AA91" s="81" t="s">
        <v>3977</v>
      </c>
      <c r="AB91" s="81" t="s">
        <v>3961</v>
      </c>
      <c r="AC91" s="81">
        <f t="shared" si="5"/>
        <v>45978</v>
      </c>
      <c r="AD91" s="82">
        <f t="shared" si="6"/>
        <v>1</v>
      </c>
    </row>
    <row r="92">
      <c r="A92" s="96">
        <v>45978.68483796297</v>
      </c>
      <c r="B92" s="89" t="s">
        <v>355</v>
      </c>
      <c r="C92" s="89" t="s">
        <v>356</v>
      </c>
      <c r="D92" s="89" t="s">
        <v>357</v>
      </c>
      <c r="E92" s="90" t="s">
        <v>358</v>
      </c>
      <c r="F92" s="81">
        <f>IFERROR(__xludf.DUMMYFUNCTION("""COMPUTED_VALUE"""),45978.68483796297)</f>
        <v>45978.68484</v>
      </c>
      <c r="G92" s="89" t="s">
        <v>3959</v>
      </c>
      <c r="H92" s="89">
        <v>47.0</v>
      </c>
      <c r="I92" s="89" t="s">
        <v>3964</v>
      </c>
      <c r="J92" s="89" t="str">
        <f t="shared" si="18"/>
        <v>No</v>
      </c>
      <c r="K92" s="89" t="str">
        <f t="shared" si="23"/>
        <v>No</v>
      </c>
      <c r="L92" s="89" t="str">
        <f>IFERROR(__xludf.DUMMYFUNCTION("""COMPUTED_VALUE"""),"Boston, MA")</f>
        <v>Boston, MA</v>
      </c>
      <c r="M92" s="89" t="str">
        <f>IFERROR(__xludf.DUMMYFUNCTION("""COMPUTED_VALUE"""),"40 minutes ago")</f>
        <v>40 minutes ago</v>
      </c>
      <c r="N92" s="89">
        <f>IFERROR(__xludf.DUMMYFUNCTION("""COMPUTED_VALUE"""),40.0)</f>
        <v>40</v>
      </c>
      <c r="P92" s="52" t="str">
        <f t="shared" si="22"/>
        <v>0</v>
      </c>
      <c r="R92" s="52" t="str">
        <f t="shared" si="25"/>
        <v>Review</v>
      </c>
      <c r="Z92" s="81">
        <v>45978.0</v>
      </c>
      <c r="AA92" s="81" t="s">
        <v>3977</v>
      </c>
      <c r="AB92" s="81" t="s">
        <v>3961</v>
      </c>
      <c r="AC92" s="81">
        <f t="shared" si="5"/>
        <v>45978</v>
      </c>
      <c r="AD92" s="82">
        <f t="shared" si="6"/>
        <v>1</v>
      </c>
    </row>
    <row r="93">
      <c r="A93" s="96">
        <v>45978.68913194445</v>
      </c>
      <c r="B93" s="89" t="s">
        <v>268</v>
      </c>
      <c r="C93" s="89" t="s">
        <v>359</v>
      </c>
      <c r="D93" s="89" t="s">
        <v>360</v>
      </c>
      <c r="E93" s="90" t="s">
        <v>361</v>
      </c>
      <c r="F93" s="81">
        <f>IFERROR(__xludf.DUMMYFUNCTION("""COMPUTED_VALUE"""),45978.68913194445)</f>
        <v>45978.68913</v>
      </c>
      <c r="G93" s="89" t="s">
        <v>3959</v>
      </c>
      <c r="H93" s="89">
        <v>47.0</v>
      </c>
      <c r="I93" s="89" t="s">
        <v>3964</v>
      </c>
      <c r="J93" s="89" t="str">
        <f t="shared" si="18"/>
        <v>No</v>
      </c>
      <c r="K93" s="89" t="str">
        <f t="shared" si="23"/>
        <v>No</v>
      </c>
      <c r="L93" s="89" t="str">
        <f>IFERROR(__xludf.DUMMYFUNCTION("""COMPUTED_VALUE"""),"New York, United States")</f>
        <v>New York, United States</v>
      </c>
      <c r="M93" s="89" t="str">
        <f>IFERROR(__xludf.DUMMYFUNCTION("""COMPUTED_VALUE"""),"1 hour ago")</f>
        <v>1 hour ago</v>
      </c>
      <c r="N93" s="89">
        <f>IFERROR(__xludf.DUMMYFUNCTION("""COMPUTED_VALUE"""),1.0)</f>
        <v>1</v>
      </c>
      <c r="P93" s="52" t="str">
        <f t="shared" si="22"/>
        <v>0</v>
      </c>
      <c r="R93" s="52" t="str">
        <f t="shared" si="25"/>
        <v>Review</v>
      </c>
      <c r="Z93" s="81">
        <v>45978.0</v>
      </c>
      <c r="AA93" s="81" t="s">
        <v>3977</v>
      </c>
      <c r="AB93" s="81" t="s">
        <v>3961</v>
      </c>
      <c r="AC93" s="81">
        <f t="shared" si="5"/>
        <v>45978</v>
      </c>
      <c r="AD93" s="82">
        <f t="shared" si="6"/>
        <v>1</v>
      </c>
    </row>
    <row r="94">
      <c r="A94" s="96">
        <v>45978.68913194445</v>
      </c>
      <c r="B94" s="89" t="s">
        <v>362</v>
      </c>
      <c r="C94" s="89" t="s">
        <v>363</v>
      </c>
      <c r="D94" s="89" t="s">
        <v>364</v>
      </c>
      <c r="E94" s="90" t="s">
        <v>365</v>
      </c>
      <c r="F94" s="81">
        <f>IFERROR(__xludf.DUMMYFUNCTION("""COMPUTED_VALUE"""),45978.68913194445)</f>
        <v>45978.68913</v>
      </c>
      <c r="G94" s="89" t="s">
        <v>3959</v>
      </c>
      <c r="H94" s="89">
        <v>47.0</v>
      </c>
      <c r="I94" s="89" t="s">
        <v>3964</v>
      </c>
      <c r="J94" s="89" t="str">
        <f t="shared" si="18"/>
        <v>No</v>
      </c>
      <c r="K94" s="89" t="str">
        <f t="shared" si="23"/>
        <v>No</v>
      </c>
      <c r="L94" s="89" t="str">
        <f>IFERROR(__xludf.DUMMYFUNCTION("""COMPUTED_VALUE"""),"San Francisco")</f>
        <v>San Francisco</v>
      </c>
      <c r="M94" s="89" t="str">
        <f>IFERROR(__xludf.DUMMYFUNCTION("""COMPUTED_VALUE"""),"")</f>
        <v/>
      </c>
      <c r="N94" s="89" t="str">
        <f>IFERROR(__xludf.DUMMYFUNCTION("""COMPUTED_VALUE"""),"")</f>
        <v/>
      </c>
      <c r="P94" s="52" t="str">
        <f t="shared" si="22"/>
        <v>0</v>
      </c>
      <c r="R94" s="52" t="str">
        <f t="shared" si="25"/>
        <v>Review</v>
      </c>
      <c r="Z94" s="81">
        <v>45978.0</v>
      </c>
      <c r="AA94" s="81" t="s">
        <v>3977</v>
      </c>
      <c r="AB94" s="81" t="s">
        <v>3961</v>
      </c>
      <c r="AC94" s="81">
        <f t="shared" si="5"/>
        <v>45978</v>
      </c>
      <c r="AD94" s="82">
        <f t="shared" si="6"/>
        <v>1</v>
      </c>
    </row>
    <row r="95">
      <c r="A95" s="96">
        <v>45978.96738425926</v>
      </c>
      <c r="B95" s="89" t="s">
        <v>366</v>
      </c>
      <c r="C95" s="89" t="s">
        <v>367</v>
      </c>
      <c r="D95" s="89" t="s">
        <v>368</v>
      </c>
      <c r="E95" s="90" t="s">
        <v>369</v>
      </c>
      <c r="F95" s="81">
        <f>IFERROR(__xludf.DUMMYFUNCTION("""COMPUTED_VALUE"""),45978.96738425926)</f>
        <v>45978.96738</v>
      </c>
      <c r="G95" s="89" t="s">
        <v>3959</v>
      </c>
      <c r="H95" s="89">
        <v>47.0</v>
      </c>
      <c r="I95" s="89" t="s">
        <v>3964</v>
      </c>
      <c r="J95" s="89" t="str">
        <f t="shared" si="18"/>
        <v>No</v>
      </c>
      <c r="K95" s="89" t="str">
        <f t="shared" si="23"/>
        <v>No</v>
      </c>
      <c r="L95" s="89" t="str">
        <f>IFERROR(__xludf.DUMMYFUNCTION("""COMPUTED_VALUE"""),"Boston, MA")</f>
        <v>Boston, MA</v>
      </c>
      <c r="M95" s="89" t="str">
        <f>IFERROR(__xludf.DUMMYFUNCTION("""COMPUTED_VALUE"""),"1 hour ago")</f>
        <v>1 hour ago</v>
      </c>
      <c r="N95" s="89">
        <f>IFERROR(__xludf.DUMMYFUNCTION("""COMPUTED_VALUE"""),1.0)</f>
        <v>1</v>
      </c>
      <c r="P95" s="52" t="str">
        <f t="shared" si="22"/>
        <v>0</v>
      </c>
      <c r="R95" s="52" t="str">
        <f t="shared" si="25"/>
        <v>Review</v>
      </c>
      <c r="Z95" s="81">
        <v>45978.0</v>
      </c>
      <c r="AA95" s="81" t="s">
        <v>3977</v>
      </c>
      <c r="AB95" s="81" t="s">
        <v>3961</v>
      </c>
      <c r="AC95" s="81">
        <f t="shared" si="5"/>
        <v>45978</v>
      </c>
      <c r="AD95" s="82">
        <f t="shared" si="6"/>
        <v>1</v>
      </c>
    </row>
    <row r="96">
      <c r="A96" s="96">
        <v>45979.025659722225</v>
      </c>
      <c r="B96" s="89" t="s">
        <v>370</v>
      </c>
      <c r="C96" s="89" t="s">
        <v>371</v>
      </c>
      <c r="D96" s="89" t="s">
        <v>372</v>
      </c>
      <c r="E96" s="90" t="s">
        <v>373</v>
      </c>
      <c r="F96" s="81">
        <f>IFERROR(__xludf.DUMMYFUNCTION("""COMPUTED_VALUE"""),45979.025659722225)</f>
        <v>45979.02566</v>
      </c>
      <c r="G96" s="89" t="s">
        <v>3959</v>
      </c>
      <c r="H96" s="89">
        <v>47.0</v>
      </c>
      <c r="I96" s="89" t="s">
        <v>3966</v>
      </c>
      <c r="J96" s="89" t="str">
        <f t="shared" si="18"/>
        <v>No</v>
      </c>
      <c r="K96" s="89" t="str">
        <f t="shared" si="23"/>
        <v>No</v>
      </c>
      <c r="L96" s="89" t="str">
        <f>IFERROR(__xludf.DUMMYFUNCTION("""COMPUTED_VALUE"""),"San Francisco, CA")</f>
        <v>San Francisco, CA</v>
      </c>
      <c r="M96" s="89" t="str">
        <f>IFERROR(__xludf.DUMMYFUNCTION("""COMPUTED_VALUE"""),"2 hours ago")</f>
        <v>2 hours ago</v>
      </c>
      <c r="N96" s="89">
        <f>IFERROR(__xludf.DUMMYFUNCTION("""COMPUTED_VALUE"""),2.0)</f>
        <v>2</v>
      </c>
      <c r="P96" s="52" t="str">
        <f t="shared" si="22"/>
        <v>0</v>
      </c>
      <c r="R96" s="52" t="s">
        <v>3978</v>
      </c>
      <c r="Z96" s="81">
        <v>45979.0</v>
      </c>
      <c r="AA96" s="81" t="s">
        <v>3977</v>
      </c>
      <c r="AB96" s="81" t="s">
        <v>3961</v>
      </c>
      <c r="AC96" s="81">
        <f t="shared" si="5"/>
        <v>45978</v>
      </c>
      <c r="AD96" s="82">
        <f t="shared" si="6"/>
        <v>2</v>
      </c>
    </row>
    <row r="97">
      <c r="A97" s="97">
        <v>45979.02578703704</v>
      </c>
      <c r="B97" s="98" t="s">
        <v>374</v>
      </c>
      <c r="C97" s="98" t="s">
        <v>375</v>
      </c>
      <c r="D97" s="98" t="s">
        <v>376</v>
      </c>
      <c r="E97" s="99" t="s">
        <v>377</v>
      </c>
      <c r="F97" s="100">
        <f>IFERROR(__xludf.DUMMYFUNCTION("""COMPUTED_VALUE"""),45979.02578703704)</f>
        <v>45979.02579</v>
      </c>
      <c r="G97" s="98" t="s">
        <v>3959</v>
      </c>
      <c r="H97" s="98">
        <v>47.0</v>
      </c>
      <c r="I97" s="98" t="s">
        <v>3966</v>
      </c>
      <c r="J97" s="98" t="str">
        <f t="shared" si="18"/>
        <v>No</v>
      </c>
      <c r="K97" s="98" t="str">
        <f t="shared" si="23"/>
        <v>No</v>
      </c>
      <c r="L97" s="98" t="str">
        <f>IFERROR(__xludf.DUMMYFUNCTION("""COMPUTED_VALUE"""),"Denver, CO")</f>
        <v>Denver, CO</v>
      </c>
      <c r="M97" s="98" t="str">
        <f>IFERROR(__xludf.DUMMYFUNCTION("""COMPUTED_VALUE"""),"3 hours ago")</f>
        <v>3 hours ago</v>
      </c>
      <c r="N97" s="98">
        <f>IFERROR(__xludf.DUMMYFUNCTION("""COMPUTED_VALUE"""),3.0)</f>
        <v>3</v>
      </c>
      <c r="O97" s="98"/>
      <c r="P97" s="101" t="str">
        <f t="shared" si="22"/>
        <v>0</v>
      </c>
      <c r="Q97" s="98"/>
      <c r="R97" s="101" t="s">
        <v>3979</v>
      </c>
      <c r="S97" s="101" t="s">
        <v>3980</v>
      </c>
      <c r="Z97" s="81">
        <v>45979.0</v>
      </c>
      <c r="AA97" s="81" t="s">
        <v>3977</v>
      </c>
      <c r="AB97" s="81" t="s">
        <v>3961</v>
      </c>
      <c r="AC97" s="81">
        <f t="shared" si="5"/>
        <v>45978</v>
      </c>
      <c r="AD97" s="82">
        <f t="shared" si="6"/>
        <v>2</v>
      </c>
    </row>
    <row r="98">
      <c r="A98" s="96">
        <v>45979.031643518516</v>
      </c>
      <c r="B98" s="89" t="s">
        <v>378</v>
      </c>
      <c r="C98" s="89" t="s">
        <v>289</v>
      </c>
      <c r="D98" s="89" t="s">
        <v>379</v>
      </c>
      <c r="E98" s="90" t="s">
        <v>380</v>
      </c>
      <c r="F98" s="81">
        <f>IFERROR(__xludf.DUMMYFUNCTION("""COMPUTED_VALUE"""),45979.031643518516)</f>
        <v>45979.03164</v>
      </c>
      <c r="G98" s="89" t="s">
        <v>3959</v>
      </c>
      <c r="H98" s="89">
        <v>47.0</v>
      </c>
      <c r="I98" s="89" t="s">
        <v>3966</v>
      </c>
      <c r="J98" s="89" t="str">
        <f t="shared" si="18"/>
        <v>No</v>
      </c>
      <c r="K98" s="89" t="str">
        <f t="shared" si="23"/>
        <v>No</v>
      </c>
      <c r="L98" s="89" t="str">
        <f>IFERROR(__xludf.DUMMYFUNCTION("""COMPUTED_VALUE"""),"Boston, MA")</f>
        <v>Boston, MA</v>
      </c>
      <c r="M98" s="89" t="str">
        <f>IFERROR(__xludf.DUMMYFUNCTION("""COMPUTED_VALUE"""),"")</f>
        <v/>
      </c>
      <c r="N98" s="89" t="str">
        <f>IFERROR(__xludf.DUMMYFUNCTION("""COMPUTED_VALUE"""),"")</f>
        <v/>
      </c>
      <c r="P98" s="52" t="str">
        <f t="shared" si="22"/>
        <v>0</v>
      </c>
      <c r="R98" s="52" t="str">
        <f t="shared" ref="R98:R99" si="26">IF(A98&lt;&gt;"","Review","")</f>
        <v>Review</v>
      </c>
      <c r="Z98" s="81">
        <v>45979.0</v>
      </c>
      <c r="AA98" s="81" t="s">
        <v>3977</v>
      </c>
      <c r="AB98" s="81" t="s">
        <v>3961</v>
      </c>
      <c r="AC98" s="81">
        <f t="shared" si="5"/>
        <v>45978</v>
      </c>
      <c r="AD98" s="82">
        <f t="shared" si="6"/>
        <v>2</v>
      </c>
    </row>
    <row r="99">
      <c r="A99" s="96">
        <v>45979.039039351854</v>
      </c>
      <c r="B99" s="89" t="s">
        <v>381</v>
      </c>
      <c r="C99" s="89" t="s">
        <v>382</v>
      </c>
      <c r="D99" s="89" t="s">
        <v>383</v>
      </c>
      <c r="E99" s="90" t="s">
        <v>384</v>
      </c>
      <c r="F99" s="81">
        <f>IFERROR(__xludf.DUMMYFUNCTION("""COMPUTED_VALUE"""),45979.039039351854)</f>
        <v>45979.03904</v>
      </c>
      <c r="G99" s="89" t="s">
        <v>3959</v>
      </c>
      <c r="H99" s="89">
        <v>47.0</v>
      </c>
      <c r="I99" s="89" t="s">
        <v>3966</v>
      </c>
      <c r="J99" s="89" t="str">
        <f t="shared" si="18"/>
        <v>No</v>
      </c>
      <c r="K99" s="89" t="str">
        <f t="shared" si="23"/>
        <v>No</v>
      </c>
      <c r="L99" s="89" t="str">
        <f>IFERROR(__xludf.DUMMYFUNCTION("""COMPUTED_VALUE"""),"Santa Clara, CA")</f>
        <v>Santa Clara, CA</v>
      </c>
      <c r="M99" s="89" t="str">
        <f>IFERROR(__xludf.DUMMYFUNCTION("""COMPUTED_VALUE"""),"Reposted 5 hours ago")</f>
        <v>Reposted 5 hours ago</v>
      </c>
      <c r="N99" s="89">
        <f>IFERROR(__xludf.DUMMYFUNCTION("""COMPUTED_VALUE"""),5.0)</f>
        <v>5</v>
      </c>
      <c r="P99" s="52" t="str">
        <f t="shared" si="22"/>
        <v>0</v>
      </c>
      <c r="R99" s="52" t="str">
        <f t="shared" si="26"/>
        <v>Review</v>
      </c>
      <c r="Z99" s="81">
        <v>45979.0</v>
      </c>
      <c r="AA99" s="81" t="s">
        <v>3977</v>
      </c>
      <c r="AB99" s="81" t="s">
        <v>3961</v>
      </c>
      <c r="AC99" s="81">
        <f t="shared" si="5"/>
        <v>45978</v>
      </c>
      <c r="AD99" s="82">
        <f t="shared" si="6"/>
        <v>2</v>
      </c>
    </row>
    <row r="100">
      <c r="A100" s="91">
        <v>45979.03928240741</v>
      </c>
      <c r="B100" s="92" t="s">
        <v>385</v>
      </c>
      <c r="C100" s="92" t="s">
        <v>386</v>
      </c>
      <c r="D100" s="92" t="s">
        <v>387</v>
      </c>
      <c r="E100" s="93" t="s">
        <v>388</v>
      </c>
      <c r="F100" s="94">
        <f>IFERROR(__xludf.DUMMYFUNCTION("""COMPUTED_VALUE"""),45979.03928240741)</f>
        <v>45979.03928</v>
      </c>
      <c r="G100" s="92" t="s">
        <v>3959</v>
      </c>
      <c r="H100" s="92">
        <v>47.0</v>
      </c>
      <c r="I100" s="92" t="s">
        <v>3966</v>
      </c>
      <c r="J100" s="92" t="str">
        <f t="shared" si="18"/>
        <v>No</v>
      </c>
      <c r="K100" s="92" t="str">
        <f t="shared" si="23"/>
        <v>No</v>
      </c>
      <c r="L100" s="92" t="str">
        <f>IFERROR(__xludf.DUMMYFUNCTION("""COMPUTED_VALUE"""),"Boston, MA")</f>
        <v>Boston, MA</v>
      </c>
      <c r="M100" s="92" t="str">
        <f>IFERROR(__xludf.DUMMYFUNCTION("""COMPUTED_VALUE"""),"5 hours ago")</f>
        <v>5 hours ago</v>
      </c>
      <c r="N100" s="92">
        <f>IFERROR(__xludf.DUMMYFUNCTION("""COMPUTED_VALUE"""),5.0)</f>
        <v>5</v>
      </c>
      <c r="O100" s="92"/>
      <c r="P100" s="95" t="str">
        <f t="shared" si="22"/>
        <v>0</v>
      </c>
      <c r="Q100" s="92"/>
      <c r="R100" s="102" t="s">
        <v>3963</v>
      </c>
      <c r="Z100" s="81">
        <v>45979.0</v>
      </c>
      <c r="AA100" s="81" t="s">
        <v>3977</v>
      </c>
      <c r="AB100" s="81" t="s">
        <v>3961</v>
      </c>
      <c r="AC100" s="81">
        <f t="shared" si="5"/>
        <v>45978</v>
      </c>
      <c r="AD100" s="82">
        <f t="shared" si="6"/>
        <v>2</v>
      </c>
    </row>
    <row r="101">
      <c r="A101" s="91">
        <v>45979.043020833335</v>
      </c>
      <c r="B101" s="92" t="s">
        <v>389</v>
      </c>
      <c r="C101" s="92" t="s">
        <v>390</v>
      </c>
      <c r="D101" s="92" t="s">
        <v>391</v>
      </c>
      <c r="E101" s="93" t="s">
        <v>392</v>
      </c>
      <c r="F101" s="94">
        <f>IFERROR(__xludf.DUMMYFUNCTION("""COMPUTED_VALUE"""),45979.043020833335)</f>
        <v>45979.04302</v>
      </c>
      <c r="G101" s="92" t="s">
        <v>3959</v>
      </c>
      <c r="H101" s="92">
        <v>47.0</v>
      </c>
      <c r="I101" s="92" t="s">
        <v>3966</v>
      </c>
      <c r="J101" s="92" t="str">
        <f t="shared" si="18"/>
        <v>No</v>
      </c>
      <c r="K101" s="92" t="str">
        <f t="shared" si="23"/>
        <v>No</v>
      </c>
      <c r="L101" s="92" t="str">
        <f>IFERROR(__xludf.DUMMYFUNCTION("""COMPUTED_VALUE"""),"Meyer Camp, HI")</f>
        <v>Meyer Camp, HI</v>
      </c>
      <c r="M101" s="92" t="str">
        <f>IFERROR(__xludf.DUMMYFUNCTION("""COMPUTED_VALUE"""),"3 hours ago")</f>
        <v>3 hours ago</v>
      </c>
      <c r="N101" s="92">
        <f>IFERROR(__xludf.DUMMYFUNCTION("""COMPUTED_VALUE"""),3.0)</f>
        <v>3</v>
      </c>
      <c r="O101" s="92"/>
      <c r="P101" s="95" t="str">
        <f t="shared" si="22"/>
        <v>0</v>
      </c>
      <c r="Q101" s="92"/>
      <c r="R101" s="102" t="s">
        <v>3963</v>
      </c>
      <c r="S101" s="95"/>
      <c r="Z101" s="81">
        <v>45979.0</v>
      </c>
      <c r="AA101" s="81" t="s">
        <v>3977</v>
      </c>
      <c r="AB101" s="81" t="s">
        <v>3961</v>
      </c>
      <c r="AC101" s="81">
        <f t="shared" si="5"/>
        <v>45978</v>
      </c>
      <c r="AD101" s="82">
        <f t="shared" si="6"/>
        <v>2</v>
      </c>
    </row>
    <row r="102">
      <c r="A102" s="96">
        <v>45979.49864583334</v>
      </c>
      <c r="B102" s="89" t="s">
        <v>393</v>
      </c>
      <c r="C102" s="90" t="s">
        <v>394</v>
      </c>
      <c r="D102" s="89" t="s">
        <v>395</v>
      </c>
      <c r="E102" s="90" t="s">
        <v>396</v>
      </c>
      <c r="F102" s="81">
        <f>IFERROR(__xludf.DUMMYFUNCTION("""COMPUTED_VALUE"""),45979.49864583334)</f>
        <v>45979.49865</v>
      </c>
      <c r="G102" s="89" t="s">
        <v>3959</v>
      </c>
      <c r="H102" s="89">
        <v>47.0</v>
      </c>
      <c r="I102" s="89" t="s">
        <v>3966</v>
      </c>
      <c r="J102" s="89" t="str">
        <f t="shared" si="18"/>
        <v>No</v>
      </c>
      <c r="K102" s="89" t="str">
        <f t="shared" si="23"/>
        <v>No</v>
      </c>
      <c r="L102" s="89" t="str">
        <f>IFERROR(__xludf.DUMMYFUNCTION("""COMPUTED_VALUE"""),"San Francisco, CA")</f>
        <v>San Francisco, CA</v>
      </c>
      <c r="M102" s="89" t="str">
        <f>IFERROR(__xludf.DUMMYFUNCTION("""COMPUTED_VALUE"""),"Reposted 2 hours ago")</f>
        <v>Reposted 2 hours ago</v>
      </c>
      <c r="N102" s="89">
        <f>IFERROR(__xludf.DUMMYFUNCTION("""COMPUTED_VALUE"""),2.0)</f>
        <v>2</v>
      </c>
      <c r="P102" s="52" t="str">
        <f t="shared" si="22"/>
        <v>0</v>
      </c>
      <c r="R102" s="52" t="str">
        <f t="shared" ref="R102:R104" si="27">IF(A102&lt;&gt;"","Review","")</f>
        <v>Review</v>
      </c>
      <c r="Z102" s="81">
        <v>45979.0</v>
      </c>
      <c r="AA102" s="81" t="s">
        <v>3977</v>
      </c>
      <c r="AB102" s="81" t="s">
        <v>3961</v>
      </c>
      <c r="AC102" s="81">
        <f t="shared" si="5"/>
        <v>45978</v>
      </c>
      <c r="AD102" s="82">
        <f t="shared" si="6"/>
        <v>2</v>
      </c>
    </row>
    <row r="103">
      <c r="A103" s="96">
        <v>45979.534837962965</v>
      </c>
      <c r="B103" s="89" t="s">
        <v>397</v>
      </c>
      <c r="C103" s="89" t="s">
        <v>398</v>
      </c>
      <c r="D103" s="89" t="s">
        <v>399</v>
      </c>
      <c r="E103" s="90" t="s">
        <v>400</v>
      </c>
      <c r="F103" s="81">
        <f>IFERROR(__xludf.DUMMYFUNCTION("""COMPUTED_VALUE"""),45979.534837962965)</f>
        <v>45979.53484</v>
      </c>
      <c r="G103" s="89" t="s">
        <v>3959</v>
      </c>
      <c r="H103" s="89">
        <v>47.0</v>
      </c>
      <c r="I103" s="89" t="s">
        <v>3966</v>
      </c>
      <c r="J103" s="89" t="str">
        <f t="shared" si="18"/>
        <v>No</v>
      </c>
      <c r="K103" s="89" t="str">
        <f t="shared" si="23"/>
        <v>No</v>
      </c>
      <c r="L103" s="89" t="str">
        <f>IFERROR(__xludf.DUMMYFUNCTION("""COMPUTED_VALUE"""),"Lexington, KY")</f>
        <v>Lexington, KY</v>
      </c>
      <c r="M103" s="89" t="str">
        <f>IFERROR(__xludf.DUMMYFUNCTION("""COMPUTED_VALUE"""),"Reposted 4 hours ago")</f>
        <v>Reposted 4 hours ago</v>
      </c>
      <c r="N103" s="89">
        <f>IFERROR(__xludf.DUMMYFUNCTION("""COMPUTED_VALUE"""),4.0)</f>
        <v>4</v>
      </c>
      <c r="P103" s="52" t="str">
        <f t="shared" si="22"/>
        <v>0</v>
      </c>
      <c r="R103" s="52" t="str">
        <f t="shared" si="27"/>
        <v>Review</v>
      </c>
      <c r="Z103" s="81">
        <v>45979.0</v>
      </c>
      <c r="AA103" s="81" t="s">
        <v>3977</v>
      </c>
      <c r="AB103" s="81" t="s">
        <v>3961</v>
      </c>
      <c r="AC103" s="81">
        <f t="shared" si="5"/>
        <v>45978</v>
      </c>
      <c r="AD103" s="82">
        <f t="shared" si="6"/>
        <v>2</v>
      </c>
    </row>
    <row r="104">
      <c r="A104" s="96">
        <v>45979.53826388889</v>
      </c>
      <c r="B104" s="89" t="s">
        <v>389</v>
      </c>
      <c r="C104" s="89" t="s">
        <v>401</v>
      </c>
      <c r="D104" s="89" t="s">
        <v>402</v>
      </c>
      <c r="E104" s="90" t="s">
        <v>403</v>
      </c>
      <c r="F104" s="81">
        <f>IFERROR(__xludf.DUMMYFUNCTION("""COMPUTED_VALUE"""),45979.53826388889)</f>
        <v>45979.53826</v>
      </c>
      <c r="G104" s="89" t="s">
        <v>3959</v>
      </c>
      <c r="H104" s="89">
        <v>47.0</v>
      </c>
      <c r="I104" s="89" t="s">
        <v>3966</v>
      </c>
      <c r="J104" s="89" t="str">
        <f t="shared" si="18"/>
        <v>No</v>
      </c>
      <c r="K104" s="89" t="str">
        <f t="shared" si="23"/>
        <v>No</v>
      </c>
      <c r="L104" s="89" t="str">
        <f>IFERROR(__xludf.DUMMYFUNCTION("""COMPUTED_VALUE"""),"Detroit, MI")</f>
        <v>Detroit, MI</v>
      </c>
      <c r="M104" s="89" t="str">
        <f>IFERROR(__xludf.DUMMYFUNCTION("""COMPUTED_VALUE"""),"Reposted 2 hours ago")</f>
        <v>Reposted 2 hours ago</v>
      </c>
      <c r="N104" s="89">
        <f>IFERROR(__xludf.DUMMYFUNCTION("""COMPUTED_VALUE"""),2.0)</f>
        <v>2</v>
      </c>
      <c r="P104" s="52" t="str">
        <f t="shared" si="22"/>
        <v>0</v>
      </c>
      <c r="R104" s="52" t="str">
        <f t="shared" si="27"/>
        <v>Review</v>
      </c>
      <c r="Z104" s="81">
        <v>45979.0</v>
      </c>
      <c r="AA104" s="81" t="s">
        <v>3977</v>
      </c>
      <c r="AB104" s="81" t="s">
        <v>3961</v>
      </c>
      <c r="AC104" s="81">
        <f t="shared" si="5"/>
        <v>45978</v>
      </c>
      <c r="AD104" s="82">
        <f t="shared" si="6"/>
        <v>2</v>
      </c>
    </row>
    <row r="105">
      <c r="A105" s="96">
        <v>45980.00494212963</v>
      </c>
      <c r="B105" s="92" t="s">
        <v>404</v>
      </c>
      <c r="C105" s="92" t="s">
        <v>405</v>
      </c>
      <c r="D105" s="92" t="s">
        <v>406</v>
      </c>
      <c r="E105" s="93" t="s">
        <v>407</v>
      </c>
      <c r="F105" s="94">
        <f>IFERROR(__xludf.DUMMYFUNCTION("""COMPUTED_VALUE"""),45980.00494212963)</f>
        <v>45980.00494</v>
      </c>
      <c r="G105" s="92" t="s">
        <v>3959</v>
      </c>
      <c r="H105" s="92">
        <v>47.0</v>
      </c>
      <c r="I105" s="92" t="s">
        <v>3971</v>
      </c>
      <c r="J105" s="92" t="str">
        <f t="shared" si="18"/>
        <v>No</v>
      </c>
      <c r="K105" s="92" t="str">
        <f t="shared" si="23"/>
        <v>No</v>
      </c>
      <c r="L105" s="92" t="str">
        <f>IFERROR(__xludf.DUMMYFUNCTION("""COMPUTED_VALUE"""),"New York, NY")</f>
        <v>New York, NY</v>
      </c>
      <c r="M105" s="92" t="str">
        <f>IFERROR(__xludf.DUMMYFUNCTION("""COMPUTED_VALUE"""),"1 hour ago")</f>
        <v>1 hour ago</v>
      </c>
      <c r="N105" s="92">
        <f>IFERROR(__xludf.DUMMYFUNCTION("""COMPUTED_VALUE"""),1.0)</f>
        <v>1</v>
      </c>
      <c r="O105" s="92"/>
      <c r="P105" s="95" t="str">
        <f t="shared" si="22"/>
        <v>0</v>
      </c>
      <c r="Q105" s="92"/>
      <c r="R105" s="95" t="s">
        <v>3963</v>
      </c>
      <c r="Z105" s="81">
        <v>45980.0</v>
      </c>
      <c r="AA105" s="81" t="s">
        <v>3977</v>
      </c>
      <c r="AB105" s="81" t="s">
        <v>3961</v>
      </c>
      <c r="AC105" s="81">
        <f t="shared" si="5"/>
        <v>45978</v>
      </c>
      <c r="AD105" s="82">
        <f t="shared" si="6"/>
        <v>3</v>
      </c>
    </row>
    <row r="106">
      <c r="A106" s="96">
        <v>45980.022511574076</v>
      </c>
      <c r="B106" s="89" t="s">
        <v>408</v>
      </c>
      <c r="C106" s="89" t="s">
        <v>409</v>
      </c>
      <c r="D106" s="89" t="s">
        <v>410</v>
      </c>
      <c r="E106" s="90" t="s">
        <v>411</v>
      </c>
      <c r="F106" s="81">
        <f>IFERROR(__xludf.DUMMYFUNCTION("""COMPUTED_VALUE"""),45980.022511574076)</f>
        <v>45980.02251</v>
      </c>
      <c r="G106" s="89" t="s">
        <v>3959</v>
      </c>
      <c r="H106" s="89">
        <v>47.0</v>
      </c>
      <c r="I106" s="89" t="s">
        <v>3971</v>
      </c>
      <c r="J106" s="89" t="str">
        <f t="shared" si="18"/>
        <v>No</v>
      </c>
      <c r="K106" s="89" t="str">
        <f t="shared" si="23"/>
        <v>No</v>
      </c>
      <c r="L106" s="89" t="str">
        <f>IFERROR(__xludf.DUMMYFUNCTION("""COMPUTED_VALUE"""),"Pleasanton, CA")</f>
        <v>Pleasanton, CA</v>
      </c>
      <c r="M106" s="89" t="str">
        <f>IFERROR(__xludf.DUMMYFUNCTION("""COMPUTED_VALUE"""),"3 hours ago")</f>
        <v>3 hours ago</v>
      </c>
      <c r="N106" s="89">
        <f>IFERROR(__xludf.DUMMYFUNCTION("""COMPUTED_VALUE"""),3.0)</f>
        <v>3</v>
      </c>
      <c r="P106" s="52" t="str">
        <f t="shared" si="22"/>
        <v>0</v>
      </c>
      <c r="R106" s="52" t="str">
        <f>IF(A106&lt;&gt;"","Review","")</f>
        <v>Review</v>
      </c>
      <c r="Z106" s="81">
        <v>45980.0</v>
      </c>
      <c r="AA106" s="81" t="s">
        <v>3977</v>
      </c>
      <c r="AB106" s="81" t="s">
        <v>3961</v>
      </c>
      <c r="AC106" s="81">
        <f t="shared" si="5"/>
        <v>45978</v>
      </c>
      <c r="AD106" s="82">
        <f t="shared" si="6"/>
        <v>3</v>
      </c>
    </row>
    <row r="107">
      <c r="A107" s="91">
        <v>45980.02274305555</v>
      </c>
      <c r="B107" s="92" t="s">
        <v>412</v>
      </c>
      <c r="C107" s="92" t="s">
        <v>413</v>
      </c>
      <c r="D107" s="92" t="s">
        <v>414</v>
      </c>
      <c r="E107" s="93" t="s">
        <v>415</v>
      </c>
      <c r="F107" s="94">
        <f>IFERROR(__xludf.DUMMYFUNCTION("""COMPUTED_VALUE"""),45980.02274305555)</f>
        <v>45980.02274</v>
      </c>
      <c r="G107" s="92" t="s">
        <v>3959</v>
      </c>
      <c r="H107" s="92">
        <v>47.0</v>
      </c>
      <c r="I107" s="92" t="s">
        <v>3971</v>
      </c>
      <c r="J107" s="92" t="str">
        <f t="shared" si="18"/>
        <v>No</v>
      </c>
      <c r="K107" s="92" t="str">
        <f t="shared" si="23"/>
        <v>No</v>
      </c>
      <c r="L107" s="92" t="str">
        <f>IFERROR(__xludf.DUMMYFUNCTION("""COMPUTED_VALUE"""),"Providence, RI")</f>
        <v>Providence, RI</v>
      </c>
      <c r="M107" s="92" t="str">
        <f>IFERROR(__xludf.DUMMYFUNCTION("""COMPUTED_VALUE"""),"3 hours ago")</f>
        <v>3 hours ago</v>
      </c>
      <c r="N107" s="92">
        <f>IFERROR(__xludf.DUMMYFUNCTION("""COMPUTED_VALUE"""),3.0)</f>
        <v>3</v>
      </c>
      <c r="O107" s="92"/>
      <c r="P107" s="95" t="str">
        <f t="shared" si="22"/>
        <v>0</v>
      </c>
      <c r="Q107" s="92"/>
      <c r="R107" s="95" t="s">
        <v>3963</v>
      </c>
      <c r="Z107" s="81">
        <v>45980.0</v>
      </c>
      <c r="AA107" s="81" t="s">
        <v>3977</v>
      </c>
      <c r="AB107" s="81" t="s">
        <v>3961</v>
      </c>
      <c r="AC107" s="81">
        <f t="shared" si="5"/>
        <v>45978</v>
      </c>
      <c r="AD107" s="82">
        <f t="shared" si="6"/>
        <v>3</v>
      </c>
    </row>
    <row r="108">
      <c r="A108" s="91">
        <v>45980.02353009259</v>
      </c>
      <c r="B108" s="92" t="s">
        <v>284</v>
      </c>
      <c r="C108" s="92" t="s">
        <v>416</v>
      </c>
      <c r="D108" s="92" t="s">
        <v>417</v>
      </c>
      <c r="E108" s="93" t="s">
        <v>418</v>
      </c>
      <c r="F108" s="94">
        <f>IFERROR(__xludf.DUMMYFUNCTION("""COMPUTED_VALUE"""),45980.02353009259)</f>
        <v>45980.02353</v>
      </c>
      <c r="G108" s="92" t="s">
        <v>3959</v>
      </c>
      <c r="H108" s="92">
        <v>47.0</v>
      </c>
      <c r="I108" s="92" t="s">
        <v>3971</v>
      </c>
      <c r="J108" s="92" t="str">
        <f t="shared" si="18"/>
        <v>No</v>
      </c>
      <c r="K108" s="92" t="str">
        <f t="shared" si="23"/>
        <v>No</v>
      </c>
      <c r="L108" s="92" t="str">
        <f>IFERROR(__xludf.DUMMYFUNCTION("""COMPUTED_VALUE"""),"San Diego, CA")</f>
        <v>San Diego, CA</v>
      </c>
      <c r="M108" s="92" t="str">
        <f>IFERROR(__xludf.DUMMYFUNCTION("""COMPUTED_VALUE"""),"2 hours ago")</f>
        <v>2 hours ago</v>
      </c>
      <c r="N108" s="92">
        <f>IFERROR(__xludf.DUMMYFUNCTION("""COMPUTED_VALUE"""),2.0)</f>
        <v>2</v>
      </c>
      <c r="O108" s="92"/>
      <c r="P108" s="95" t="str">
        <f t="shared" si="22"/>
        <v>0</v>
      </c>
      <c r="Q108" s="92"/>
      <c r="R108" s="95" t="s">
        <v>3963</v>
      </c>
      <c r="Z108" s="81">
        <v>45980.0</v>
      </c>
      <c r="AA108" s="81" t="s">
        <v>3977</v>
      </c>
      <c r="AB108" s="81" t="s">
        <v>3961</v>
      </c>
      <c r="AC108" s="81">
        <f t="shared" si="5"/>
        <v>45978</v>
      </c>
      <c r="AD108" s="82">
        <f t="shared" si="6"/>
        <v>3</v>
      </c>
    </row>
    <row r="109">
      <c r="A109" s="91">
        <v>45980.03277777778</v>
      </c>
      <c r="B109" s="92" t="s">
        <v>419</v>
      </c>
      <c r="C109" s="92" t="s">
        <v>420</v>
      </c>
      <c r="D109" s="92" t="s">
        <v>421</v>
      </c>
      <c r="E109" s="93" t="s">
        <v>422</v>
      </c>
      <c r="F109" s="94">
        <f>IFERROR(__xludf.DUMMYFUNCTION("""COMPUTED_VALUE"""),45980.03277777778)</f>
        <v>45980.03278</v>
      </c>
      <c r="G109" s="92" t="s">
        <v>3959</v>
      </c>
      <c r="H109" s="92">
        <v>47.0</v>
      </c>
      <c r="I109" s="92" t="s">
        <v>3971</v>
      </c>
      <c r="J109" s="92" t="str">
        <f t="shared" si="18"/>
        <v>No</v>
      </c>
      <c r="K109" s="92" t="str">
        <f t="shared" si="23"/>
        <v>No</v>
      </c>
      <c r="L109" s="92" t="str">
        <f>IFERROR(__xludf.DUMMYFUNCTION("""COMPUTED_VALUE"""),"Pittsburgh, PA")</f>
        <v>Pittsburgh, PA</v>
      </c>
      <c r="M109" s="92" t="str">
        <f>IFERROR(__xludf.DUMMYFUNCTION("""COMPUTED_VALUE"""),"Reposted 1 hour ago")</f>
        <v>Reposted 1 hour ago</v>
      </c>
      <c r="N109" s="92">
        <f>IFERROR(__xludf.DUMMYFUNCTION("""COMPUTED_VALUE"""),1.0)</f>
        <v>1</v>
      </c>
      <c r="O109" s="92"/>
      <c r="P109" s="95" t="str">
        <f t="shared" si="22"/>
        <v>0</v>
      </c>
      <c r="Q109" s="92"/>
      <c r="R109" s="95" t="s">
        <v>3963</v>
      </c>
      <c r="Z109" s="81">
        <v>45980.0</v>
      </c>
      <c r="AA109" s="81" t="s">
        <v>3977</v>
      </c>
      <c r="AB109" s="81" t="s">
        <v>3961</v>
      </c>
      <c r="AC109" s="81">
        <f t="shared" si="5"/>
        <v>45978</v>
      </c>
      <c r="AD109" s="82">
        <f t="shared" si="6"/>
        <v>3</v>
      </c>
    </row>
    <row r="110">
      <c r="A110" s="96">
        <v>45980.04136574074</v>
      </c>
      <c r="B110" s="89" t="s">
        <v>423</v>
      </c>
      <c r="C110" s="89" t="s">
        <v>424</v>
      </c>
      <c r="D110" s="89" t="s">
        <v>425</v>
      </c>
      <c r="E110" s="90" t="s">
        <v>426</v>
      </c>
      <c r="F110" s="81">
        <f>IFERROR(__xludf.DUMMYFUNCTION("""COMPUTED_VALUE"""),45980.04136574074)</f>
        <v>45980.04137</v>
      </c>
      <c r="G110" s="89" t="s">
        <v>3959</v>
      </c>
      <c r="H110" s="89">
        <v>47.0</v>
      </c>
      <c r="I110" s="89" t="s">
        <v>3971</v>
      </c>
      <c r="J110" s="89" t="str">
        <f t="shared" si="18"/>
        <v>No</v>
      </c>
      <c r="K110" s="89" t="str">
        <f t="shared" si="23"/>
        <v>No</v>
      </c>
      <c r="L110" s="89" t="str">
        <f>IFERROR(__xludf.DUMMYFUNCTION("""COMPUTED_VALUE"""),"Palo Alto, CA")</f>
        <v>Palo Alto, CA</v>
      </c>
      <c r="M110" s="89" t="str">
        <f>IFERROR(__xludf.DUMMYFUNCTION("""COMPUTED_VALUE"""),"2 hours ago")</f>
        <v>2 hours ago</v>
      </c>
      <c r="N110" s="89">
        <f>IFERROR(__xludf.DUMMYFUNCTION("""COMPUTED_VALUE"""),2.0)</f>
        <v>2</v>
      </c>
      <c r="P110" s="52" t="str">
        <f t="shared" si="22"/>
        <v>0</v>
      </c>
      <c r="R110" s="52" t="str">
        <f t="shared" ref="R110:R119" si="28">IF(A110&lt;&gt;"","Review","")</f>
        <v>Review</v>
      </c>
      <c r="Z110" s="81">
        <v>45980.0</v>
      </c>
      <c r="AA110" s="81" t="s">
        <v>3977</v>
      </c>
      <c r="AB110" s="81" t="s">
        <v>3961</v>
      </c>
      <c r="AC110" s="81">
        <f t="shared" si="5"/>
        <v>45978</v>
      </c>
      <c r="AD110" s="82">
        <f t="shared" si="6"/>
        <v>3</v>
      </c>
    </row>
    <row r="111">
      <c r="A111" s="96">
        <v>45980.04922453704</v>
      </c>
      <c r="B111" s="89" t="s">
        <v>427</v>
      </c>
      <c r="C111" s="89" t="s">
        <v>428</v>
      </c>
      <c r="D111" s="89" t="s">
        <v>429</v>
      </c>
      <c r="E111" s="90" t="s">
        <v>430</v>
      </c>
      <c r="F111" s="81">
        <f>IFERROR(__xludf.DUMMYFUNCTION("""COMPUTED_VALUE"""),45980.04922453704)</f>
        <v>45980.04922</v>
      </c>
      <c r="G111" s="89" t="s">
        <v>3959</v>
      </c>
      <c r="H111" s="89">
        <v>47.0</v>
      </c>
      <c r="I111" s="89" t="s">
        <v>3971</v>
      </c>
      <c r="J111" s="89" t="str">
        <f t="shared" si="18"/>
        <v>No</v>
      </c>
      <c r="K111" s="89" t="str">
        <f t="shared" si="23"/>
        <v>No</v>
      </c>
      <c r="L111" s="89" t="str">
        <f>IFERROR(__xludf.DUMMYFUNCTION("""COMPUTED_VALUE"""),"Beaverton, OR")</f>
        <v>Beaverton, OR</v>
      </c>
      <c r="M111" s="89" t="str">
        <f>IFERROR(__xludf.DUMMYFUNCTION("""COMPUTED_VALUE"""),"3 hours ago")</f>
        <v>3 hours ago</v>
      </c>
      <c r="N111" s="89">
        <f>IFERROR(__xludf.DUMMYFUNCTION("""COMPUTED_VALUE"""),3.0)</f>
        <v>3</v>
      </c>
      <c r="P111" s="52" t="str">
        <f t="shared" si="22"/>
        <v>0</v>
      </c>
      <c r="R111" s="52" t="str">
        <f t="shared" si="28"/>
        <v>Review</v>
      </c>
      <c r="Z111" s="81">
        <v>45980.0</v>
      </c>
      <c r="AA111" s="81" t="s">
        <v>3977</v>
      </c>
      <c r="AB111" s="81" t="s">
        <v>3961</v>
      </c>
      <c r="AC111" s="81">
        <f t="shared" si="5"/>
        <v>45978</v>
      </c>
      <c r="AD111" s="82">
        <f t="shared" si="6"/>
        <v>3</v>
      </c>
    </row>
    <row r="112">
      <c r="A112" s="96">
        <v>45980.05951388889</v>
      </c>
      <c r="B112" s="89" t="s">
        <v>431</v>
      </c>
      <c r="C112" s="89" t="s">
        <v>432</v>
      </c>
      <c r="D112" s="89" t="s">
        <v>433</v>
      </c>
      <c r="E112" s="90" t="s">
        <v>434</v>
      </c>
      <c r="F112" s="81">
        <f>IFERROR(__xludf.DUMMYFUNCTION("""COMPUTED_VALUE"""),45980.05951388889)</f>
        <v>45980.05951</v>
      </c>
      <c r="G112" s="89" t="s">
        <v>3959</v>
      </c>
      <c r="H112" s="89">
        <v>47.0</v>
      </c>
      <c r="I112" s="89" t="s">
        <v>3971</v>
      </c>
      <c r="J112" s="89" t="str">
        <f t="shared" si="18"/>
        <v>No</v>
      </c>
      <c r="K112" s="89" t="str">
        <f t="shared" si="23"/>
        <v>No</v>
      </c>
      <c r="L112" s="89" t="str">
        <f>IFERROR(__xludf.DUMMYFUNCTION("""COMPUTED_VALUE"""),"Utah, United States")</f>
        <v>Utah, United States</v>
      </c>
      <c r="M112" s="89" t="str">
        <f>IFERROR(__xludf.DUMMYFUNCTION("""COMPUTED_VALUE"""),"")</f>
        <v/>
      </c>
      <c r="N112" s="89" t="str">
        <f>IFERROR(__xludf.DUMMYFUNCTION("""COMPUTED_VALUE"""),"")</f>
        <v/>
      </c>
      <c r="P112" s="52" t="str">
        <f t="shared" si="22"/>
        <v>0</v>
      </c>
      <c r="R112" s="52" t="str">
        <f t="shared" si="28"/>
        <v>Review</v>
      </c>
      <c r="Z112" s="81">
        <v>45980.0</v>
      </c>
      <c r="AA112" s="81" t="s">
        <v>3977</v>
      </c>
      <c r="AB112" s="81" t="s">
        <v>3961</v>
      </c>
      <c r="AC112" s="81">
        <f t="shared" si="5"/>
        <v>45978</v>
      </c>
      <c r="AD112" s="82">
        <f t="shared" si="6"/>
        <v>3</v>
      </c>
    </row>
    <row r="113">
      <c r="A113" s="96">
        <v>45980.07975694445</v>
      </c>
      <c r="B113" s="89" t="s">
        <v>435</v>
      </c>
      <c r="C113" s="89" t="s">
        <v>436</v>
      </c>
      <c r="D113" s="89" t="s">
        <v>437</v>
      </c>
      <c r="E113" s="90" t="s">
        <v>438</v>
      </c>
      <c r="F113" s="81">
        <f>IFERROR(__xludf.DUMMYFUNCTION("""COMPUTED_VALUE"""),45980.07975694445)</f>
        <v>45980.07976</v>
      </c>
      <c r="G113" s="89" t="s">
        <v>3959</v>
      </c>
      <c r="H113" s="89">
        <v>47.0</v>
      </c>
      <c r="I113" s="89" t="s">
        <v>3971</v>
      </c>
      <c r="J113" s="89" t="str">
        <f t="shared" si="18"/>
        <v>No</v>
      </c>
      <c r="K113" s="89" t="str">
        <f t="shared" si="23"/>
        <v>No</v>
      </c>
      <c r="L113" s="89" t="str">
        <f>IFERROR(__xludf.DUMMYFUNCTION("""COMPUTED_VALUE"""),"New York, United States")</f>
        <v>New York, United States</v>
      </c>
      <c r="M113" s="89" t="str">
        <f>IFERROR(__xludf.DUMMYFUNCTION("""COMPUTED_VALUE"""),"4 hours ago")</f>
        <v>4 hours ago</v>
      </c>
      <c r="N113" s="89">
        <f>IFERROR(__xludf.DUMMYFUNCTION("""COMPUTED_VALUE"""),4.0)</f>
        <v>4</v>
      </c>
      <c r="P113" s="52" t="str">
        <f t="shared" si="22"/>
        <v>0</v>
      </c>
      <c r="R113" s="52" t="str">
        <f t="shared" si="28"/>
        <v>Review</v>
      </c>
      <c r="Z113" s="81">
        <v>45980.0</v>
      </c>
      <c r="AA113" s="81" t="s">
        <v>3977</v>
      </c>
      <c r="AB113" s="81" t="s">
        <v>3961</v>
      </c>
      <c r="AC113" s="81">
        <f t="shared" si="5"/>
        <v>45978</v>
      </c>
      <c r="AD113" s="82">
        <f t="shared" si="6"/>
        <v>3</v>
      </c>
    </row>
    <row r="114">
      <c r="A114" s="96">
        <v>45980.082708333335</v>
      </c>
      <c r="B114" s="89" t="s">
        <v>439</v>
      </c>
      <c r="C114" s="89" t="s">
        <v>440</v>
      </c>
      <c r="D114" s="89" t="s">
        <v>441</v>
      </c>
      <c r="E114" s="90" t="s">
        <v>442</v>
      </c>
      <c r="F114" s="81">
        <f>IFERROR(__xludf.DUMMYFUNCTION("""COMPUTED_VALUE"""),45980.082708333335)</f>
        <v>45980.08271</v>
      </c>
      <c r="G114" s="89" t="s">
        <v>3959</v>
      </c>
      <c r="H114" s="89">
        <v>47.0</v>
      </c>
      <c r="I114" s="89" t="s">
        <v>3971</v>
      </c>
      <c r="J114" s="89" t="str">
        <f t="shared" si="18"/>
        <v>No</v>
      </c>
      <c r="K114" s="89" t="str">
        <f t="shared" si="23"/>
        <v>No</v>
      </c>
      <c r="L114" s="89" t="str">
        <f>IFERROR(__xludf.DUMMYFUNCTION("""COMPUTED_VALUE"""),"Acton, MA")</f>
        <v>Acton, MA</v>
      </c>
      <c r="M114" s="89" t="str">
        <f>IFERROR(__xludf.DUMMYFUNCTION("""COMPUTED_VALUE"""),"2 hours ago")</f>
        <v>2 hours ago</v>
      </c>
      <c r="N114" s="89">
        <f>IFERROR(__xludf.DUMMYFUNCTION("""COMPUTED_VALUE"""),2.0)</f>
        <v>2</v>
      </c>
      <c r="P114" s="52" t="str">
        <f t="shared" si="22"/>
        <v>0</v>
      </c>
      <c r="R114" s="52" t="str">
        <f t="shared" si="28"/>
        <v>Review</v>
      </c>
      <c r="Z114" s="81">
        <v>45980.0</v>
      </c>
      <c r="AA114" s="81" t="s">
        <v>3977</v>
      </c>
      <c r="AB114" s="81" t="s">
        <v>3961</v>
      </c>
      <c r="AC114" s="81">
        <f t="shared" si="5"/>
        <v>45978</v>
      </c>
      <c r="AD114" s="82">
        <f t="shared" si="6"/>
        <v>3</v>
      </c>
    </row>
    <row r="115">
      <c r="A115" s="96">
        <v>45981.005844907406</v>
      </c>
      <c r="B115" s="89" t="s">
        <v>443</v>
      </c>
      <c r="C115" s="89" t="s">
        <v>444</v>
      </c>
      <c r="D115" s="89" t="s">
        <v>445</v>
      </c>
      <c r="E115" s="90" t="s">
        <v>446</v>
      </c>
      <c r="F115" s="81">
        <f>IFERROR(__xludf.DUMMYFUNCTION("""COMPUTED_VALUE"""),45981.005844907406)</f>
        <v>45981.00584</v>
      </c>
      <c r="G115" s="89" t="s">
        <v>3959</v>
      </c>
      <c r="H115" s="89">
        <v>47.0</v>
      </c>
      <c r="I115" s="89" t="s">
        <v>3972</v>
      </c>
      <c r="J115" s="89" t="str">
        <f t="shared" si="18"/>
        <v>No</v>
      </c>
      <c r="K115" s="89" t="str">
        <f t="shared" si="23"/>
        <v>No</v>
      </c>
      <c r="L115" s="89" t="str">
        <f>IFERROR(__xludf.DUMMYFUNCTION("""COMPUTED_VALUE"""),"Boston, MA")</f>
        <v>Boston, MA</v>
      </c>
      <c r="M115" s="89" t="str">
        <f>IFERROR(__xludf.DUMMYFUNCTION("""COMPUTED_VALUE"""),"4 hours ago")</f>
        <v>4 hours ago</v>
      </c>
      <c r="N115" s="89">
        <f>IFERROR(__xludf.DUMMYFUNCTION("""COMPUTED_VALUE"""),4.0)</f>
        <v>4</v>
      </c>
      <c r="P115" s="52" t="str">
        <f t="shared" si="22"/>
        <v>0</v>
      </c>
      <c r="R115" s="52" t="str">
        <f t="shared" si="28"/>
        <v>Review</v>
      </c>
      <c r="Z115" s="81">
        <v>45981.0</v>
      </c>
      <c r="AA115" s="81" t="s">
        <v>3977</v>
      </c>
      <c r="AB115" s="81" t="s">
        <v>3961</v>
      </c>
      <c r="AC115" s="81">
        <f t="shared" si="5"/>
        <v>45978</v>
      </c>
      <c r="AD115" s="82">
        <f t="shared" si="6"/>
        <v>4</v>
      </c>
    </row>
    <row r="116">
      <c r="A116" s="96">
        <v>45981.45506944445</v>
      </c>
      <c r="B116" s="89" t="s">
        <v>447</v>
      </c>
      <c r="C116" s="89" t="s">
        <v>448</v>
      </c>
      <c r="D116" s="89" t="s">
        <v>449</v>
      </c>
      <c r="E116" s="90" t="s">
        <v>450</v>
      </c>
      <c r="F116" s="81">
        <f>IFERROR(__xludf.DUMMYFUNCTION("""COMPUTED_VALUE"""),45981.45506944445)</f>
        <v>45981.45507</v>
      </c>
      <c r="G116" s="89" t="s">
        <v>3959</v>
      </c>
      <c r="H116" s="89">
        <v>47.0</v>
      </c>
      <c r="I116" s="89" t="s">
        <v>3972</v>
      </c>
      <c r="J116" s="89" t="str">
        <f t="shared" si="18"/>
        <v>No</v>
      </c>
      <c r="K116" s="89" t="str">
        <f t="shared" si="23"/>
        <v>No</v>
      </c>
      <c r="L116" s="89" t="str">
        <f>IFERROR(__xludf.DUMMYFUNCTION("""COMPUTED_VALUE"""),"Raleigh, NC")</f>
        <v>Raleigh, NC</v>
      </c>
      <c r="M116" s="89" t="str">
        <f>IFERROR(__xludf.DUMMYFUNCTION("""COMPUTED_VALUE"""),"12 minutes ago")</f>
        <v>12 minutes ago</v>
      </c>
      <c r="N116" s="89">
        <f>IFERROR(__xludf.DUMMYFUNCTION("""COMPUTED_VALUE"""),12.0)</f>
        <v>12</v>
      </c>
      <c r="P116" s="52" t="str">
        <f t="shared" si="22"/>
        <v>0</v>
      </c>
      <c r="R116" s="52" t="str">
        <f t="shared" si="28"/>
        <v>Review</v>
      </c>
      <c r="Z116" s="81">
        <v>45981.0</v>
      </c>
      <c r="AA116" s="81" t="s">
        <v>3977</v>
      </c>
      <c r="AB116" s="81" t="s">
        <v>3961</v>
      </c>
      <c r="AC116" s="81">
        <f t="shared" si="5"/>
        <v>45978</v>
      </c>
      <c r="AD116" s="82">
        <f t="shared" si="6"/>
        <v>4</v>
      </c>
    </row>
    <row r="117">
      <c r="A117" s="96">
        <v>45981.455416666664</v>
      </c>
      <c r="B117" s="89" t="s">
        <v>451</v>
      </c>
      <c r="C117" s="89" t="s">
        <v>452</v>
      </c>
      <c r="D117" s="89" t="s">
        <v>453</v>
      </c>
      <c r="E117" s="90" t="s">
        <v>454</v>
      </c>
      <c r="F117" s="81">
        <f>IFERROR(__xludf.DUMMYFUNCTION("""COMPUTED_VALUE"""),45981.455416666664)</f>
        <v>45981.45542</v>
      </c>
      <c r="G117" s="89" t="s">
        <v>3959</v>
      </c>
      <c r="H117" s="89">
        <v>47.0</v>
      </c>
      <c r="I117" s="89" t="s">
        <v>3972</v>
      </c>
      <c r="J117" s="89" t="str">
        <f t="shared" si="18"/>
        <v>No</v>
      </c>
      <c r="K117" s="89" t="str">
        <f t="shared" si="23"/>
        <v>No</v>
      </c>
      <c r="L117" s="89" t="str">
        <f>IFERROR(__xludf.DUMMYFUNCTION("""COMPUTED_VALUE"""),"United States")</f>
        <v>United States</v>
      </c>
      <c r="M117" s="89" t="str">
        <f>IFERROR(__xludf.DUMMYFUNCTION("""COMPUTED_VALUE"""),"Reposted 12 minutes ago")</f>
        <v>Reposted 12 minutes ago</v>
      </c>
      <c r="N117" s="89">
        <f>IFERROR(__xludf.DUMMYFUNCTION("""COMPUTED_VALUE"""),12.0)</f>
        <v>12</v>
      </c>
      <c r="P117" s="52" t="str">
        <f t="shared" si="22"/>
        <v>0</v>
      </c>
      <c r="R117" s="52" t="str">
        <f t="shared" si="28"/>
        <v>Review</v>
      </c>
      <c r="Z117" s="81">
        <v>45981.0</v>
      </c>
      <c r="AA117" s="81" t="s">
        <v>3977</v>
      </c>
      <c r="AB117" s="81" t="s">
        <v>3961</v>
      </c>
      <c r="AC117" s="81">
        <f t="shared" si="5"/>
        <v>45978</v>
      </c>
      <c r="AD117" s="82">
        <f t="shared" si="6"/>
        <v>4</v>
      </c>
    </row>
    <row r="118">
      <c r="A118" s="96">
        <v>45981.457337962966</v>
      </c>
      <c r="B118" s="89" t="s">
        <v>455</v>
      </c>
      <c r="C118" s="89" t="s">
        <v>456</v>
      </c>
      <c r="D118" s="89" t="s">
        <v>457</v>
      </c>
      <c r="E118" s="90" t="s">
        <v>458</v>
      </c>
      <c r="F118" s="81">
        <f>IFERROR(__xludf.DUMMYFUNCTION("""COMPUTED_VALUE"""),45981.457337962966)</f>
        <v>45981.45734</v>
      </c>
      <c r="G118" s="89" t="s">
        <v>3959</v>
      </c>
      <c r="H118" s="89">
        <v>47.0</v>
      </c>
      <c r="I118" s="89" t="s">
        <v>3972</v>
      </c>
      <c r="J118" s="89" t="str">
        <f t="shared" si="18"/>
        <v>No</v>
      </c>
      <c r="K118" s="89" t="str">
        <f t="shared" si="23"/>
        <v>No</v>
      </c>
      <c r="L118" s="89" t="str">
        <f>IFERROR(__xludf.DUMMYFUNCTION("""COMPUTED_VALUE"""),"Minneapolis, MN")</f>
        <v>Minneapolis, MN</v>
      </c>
      <c r="M118" s="89" t="str">
        <f>IFERROR(__xludf.DUMMYFUNCTION("""COMPUTED_VALUE"""),"45 minutes ago")</f>
        <v>45 minutes ago</v>
      </c>
      <c r="N118" s="89">
        <f>IFERROR(__xludf.DUMMYFUNCTION("""COMPUTED_VALUE"""),45.0)</f>
        <v>45</v>
      </c>
      <c r="P118" s="52" t="str">
        <f t="shared" si="22"/>
        <v>0</v>
      </c>
      <c r="R118" s="52" t="str">
        <f t="shared" si="28"/>
        <v>Review</v>
      </c>
      <c r="Z118" s="81">
        <v>45981.0</v>
      </c>
      <c r="AA118" s="81" t="s">
        <v>3977</v>
      </c>
      <c r="AB118" s="81" t="s">
        <v>3961</v>
      </c>
      <c r="AC118" s="81">
        <f t="shared" si="5"/>
        <v>45978</v>
      </c>
      <c r="AD118" s="82">
        <f t="shared" si="6"/>
        <v>4</v>
      </c>
    </row>
    <row r="119">
      <c r="A119" s="96">
        <v>45981.45762731481</v>
      </c>
      <c r="B119" s="89" t="s">
        <v>459</v>
      </c>
      <c r="C119" s="89" t="s">
        <v>460</v>
      </c>
      <c r="D119" s="89" t="s">
        <v>461</v>
      </c>
      <c r="E119" s="90" t="s">
        <v>462</v>
      </c>
      <c r="F119" s="81">
        <f>IFERROR(__xludf.DUMMYFUNCTION("""COMPUTED_VALUE"""),45981.45762731481)</f>
        <v>45981.45763</v>
      </c>
      <c r="G119" s="89" t="s">
        <v>3959</v>
      </c>
      <c r="H119" s="89">
        <v>47.0</v>
      </c>
      <c r="I119" s="89" t="s">
        <v>3972</v>
      </c>
      <c r="J119" s="89" t="str">
        <f t="shared" si="18"/>
        <v>No</v>
      </c>
      <c r="K119" s="89" t="str">
        <f t="shared" si="23"/>
        <v>No</v>
      </c>
      <c r="L119" s="89" t="str">
        <f>IFERROR(__xludf.DUMMYFUNCTION("""COMPUTED_VALUE"""),"Cleveland, OH")</f>
        <v>Cleveland, OH</v>
      </c>
      <c r="M119" s="89" t="str">
        <f>IFERROR(__xludf.DUMMYFUNCTION("""COMPUTED_VALUE"""),"Reposted 12 minutes ago")</f>
        <v>Reposted 12 minutes ago</v>
      </c>
      <c r="N119" s="89">
        <f>IFERROR(__xludf.DUMMYFUNCTION("""COMPUTED_VALUE"""),12.0)</f>
        <v>12</v>
      </c>
      <c r="P119" s="52" t="str">
        <f t="shared" si="22"/>
        <v>0</v>
      </c>
      <c r="R119" s="52" t="str">
        <f t="shared" si="28"/>
        <v>Review</v>
      </c>
      <c r="Z119" s="81">
        <v>45981.0</v>
      </c>
      <c r="AA119" s="81" t="s">
        <v>3977</v>
      </c>
      <c r="AB119" s="81" t="s">
        <v>3961</v>
      </c>
      <c r="AC119" s="81">
        <f t="shared" si="5"/>
        <v>45978</v>
      </c>
      <c r="AD119" s="82">
        <f t="shared" si="6"/>
        <v>4</v>
      </c>
    </row>
    <row r="120">
      <c r="A120" s="91">
        <v>45981.45789351852</v>
      </c>
      <c r="B120" s="92" t="s">
        <v>463</v>
      </c>
      <c r="C120" s="92" t="s">
        <v>464</v>
      </c>
      <c r="D120" s="92" t="s">
        <v>465</v>
      </c>
      <c r="E120" s="93" t="s">
        <v>466</v>
      </c>
      <c r="F120" s="94">
        <f>IFERROR(__xludf.DUMMYFUNCTION("""COMPUTED_VALUE"""),45981.45789351852)</f>
        <v>45981.45789</v>
      </c>
      <c r="G120" s="92" t="s">
        <v>3959</v>
      </c>
      <c r="H120" s="92">
        <v>47.0</v>
      </c>
      <c r="I120" s="92" t="s">
        <v>3972</v>
      </c>
      <c r="J120" s="92" t="str">
        <f t="shared" si="18"/>
        <v>No</v>
      </c>
      <c r="K120" s="92" t="str">
        <f t="shared" si="23"/>
        <v>No</v>
      </c>
      <c r="L120" s="92" t="str">
        <f>IFERROR(__xludf.DUMMYFUNCTION("""COMPUTED_VALUE"""),"Woodstock, CT")</f>
        <v>Woodstock, CT</v>
      </c>
      <c r="M120" s="92" t="str">
        <f>IFERROR(__xludf.DUMMYFUNCTION("""COMPUTED_VALUE"""),"Reposted 7 minutes ago")</f>
        <v>Reposted 7 minutes ago</v>
      </c>
      <c r="N120" s="92">
        <f>IFERROR(__xludf.DUMMYFUNCTION("""COMPUTED_VALUE"""),7.0)</f>
        <v>7</v>
      </c>
      <c r="O120" s="92"/>
      <c r="P120" s="95" t="str">
        <f t="shared" si="22"/>
        <v>0</v>
      </c>
      <c r="Q120" s="92"/>
      <c r="R120" s="95" t="s">
        <v>3963</v>
      </c>
      <c r="Z120" s="81">
        <v>45981.0</v>
      </c>
      <c r="AA120" s="81" t="s">
        <v>3977</v>
      </c>
      <c r="AB120" s="81" t="s">
        <v>3961</v>
      </c>
      <c r="AC120" s="81">
        <f t="shared" si="5"/>
        <v>45978</v>
      </c>
      <c r="AD120" s="82">
        <f t="shared" si="6"/>
        <v>4</v>
      </c>
    </row>
    <row r="121">
      <c r="A121" s="96">
        <v>45981.4659375</v>
      </c>
      <c r="B121" s="89" t="s">
        <v>467</v>
      </c>
      <c r="C121" s="89" t="s">
        <v>468</v>
      </c>
      <c r="D121" s="89" t="s">
        <v>469</v>
      </c>
      <c r="E121" s="90" t="s">
        <v>470</v>
      </c>
      <c r="F121" s="81">
        <f>IFERROR(__xludf.DUMMYFUNCTION("""COMPUTED_VALUE"""),45981.4659375)</f>
        <v>45981.46594</v>
      </c>
      <c r="G121" s="89" t="s">
        <v>3959</v>
      </c>
      <c r="H121" s="89">
        <v>47.0</v>
      </c>
      <c r="I121" s="89" t="s">
        <v>3972</v>
      </c>
      <c r="J121" s="89" t="str">
        <f t="shared" si="18"/>
        <v>No</v>
      </c>
      <c r="K121" s="89" t="str">
        <f t="shared" si="23"/>
        <v>No</v>
      </c>
      <c r="L121" s="89" t="str">
        <f>IFERROR(__xludf.DUMMYFUNCTION("""COMPUTED_VALUE"""),"United States")</f>
        <v>United States</v>
      </c>
      <c r="M121" s="89" t="str">
        <f>IFERROR(__xludf.DUMMYFUNCTION("""COMPUTED_VALUE"""),"53 minutes ago")</f>
        <v>53 minutes ago</v>
      </c>
      <c r="N121" s="89">
        <f>IFERROR(__xludf.DUMMYFUNCTION("""COMPUTED_VALUE"""),53.0)</f>
        <v>53</v>
      </c>
      <c r="P121" s="52" t="str">
        <f t="shared" si="22"/>
        <v>0</v>
      </c>
      <c r="R121" s="52" t="str">
        <f t="shared" ref="R121:R122" si="29">IF(A121&lt;&gt;"","Review","")</f>
        <v>Review</v>
      </c>
      <c r="Z121" s="81">
        <v>45981.0</v>
      </c>
      <c r="AA121" s="81" t="s">
        <v>3977</v>
      </c>
      <c r="AB121" s="81" t="s">
        <v>3961</v>
      </c>
      <c r="AC121" s="81">
        <f t="shared" si="5"/>
        <v>45978</v>
      </c>
      <c r="AD121" s="82">
        <f t="shared" si="6"/>
        <v>4</v>
      </c>
    </row>
    <row r="122">
      <c r="A122" s="96">
        <v>45981.466157407405</v>
      </c>
      <c r="B122" s="89" t="s">
        <v>471</v>
      </c>
      <c r="C122" s="89" t="s">
        <v>472</v>
      </c>
      <c r="D122" s="89" t="s">
        <v>473</v>
      </c>
      <c r="E122" s="90" t="s">
        <v>474</v>
      </c>
      <c r="F122" s="81">
        <f>IFERROR(__xludf.DUMMYFUNCTION("""COMPUTED_VALUE"""),45981.466157407405)</f>
        <v>45981.46616</v>
      </c>
      <c r="G122" s="89" t="s">
        <v>3959</v>
      </c>
      <c r="H122" s="89">
        <v>47.0</v>
      </c>
      <c r="I122" s="89" t="s">
        <v>3972</v>
      </c>
      <c r="J122" s="89" t="str">
        <f t="shared" si="18"/>
        <v>No</v>
      </c>
      <c r="K122" s="89" t="str">
        <f t="shared" si="23"/>
        <v>No</v>
      </c>
      <c r="L122" s="89" t="str">
        <f>IFERROR(__xludf.DUMMYFUNCTION("""COMPUTED_VALUE"""),"Columbus, OH")</f>
        <v>Columbus, OH</v>
      </c>
      <c r="M122" s="89" t="str">
        <f>IFERROR(__xludf.DUMMYFUNCTION("""COMPUTED_VALUE"""),"Reposted 53 minutes ago")</f>
        <v>Reposted 53 minutes ago</v>
      </c>
      <c r="N122" s="89">
        <f>IFERROR(__xludf.DUMMYFUNCTION("""COMPUTED_VALUE"""),53.0)</f>
        <v>53</v>
      </c>
      <c r="P122" s="52" t="str">
        <f t="shared" si="22"/>
        <v>0</v>
      </c>
      <c r="R122" s="52" t="str">
        <f t="shared" si="29"/>
        <v>Review</v>
      </c>
      <c r="Z122" s="81">
        <v>45981.0</v>
      </c>
      <c r="AA122" s="81" t="s">
        <v>3977</v>
      </c>
      <c r="AB122" s="81" t="s">
        <v>3961</v>
      </c>
      <c r="AC122" s="81">
        <f t="shared" si="5"/>
        <v>45978</v>
      </c>
      <c r="AD122" s="82">
        <f t="shared" si="6"/>
        <v>4</v>
      </c>
    </row>
    <row r="123">
      <c r="A123" s="91">
        <v>45982.06780092593</v>
      </c>
      <c r="B123" s="92" t="s">
        <v>475</v>
      </c>
      <c r="C123" s="92" t="s">
        <v>476</v>
      </c>
      <c r="D123" s="92" t="s">
        <v>477</v>
      </c>
      <c r="E123" s="93" t="s">
        <v>478</v>
      </c>
      <c r="F123" s="94">
        <f>IFERROR(__xludf.DUMMYFUNCTION("""COMPUTED_VALUE"""),45982.06780092593)</f>
        <v>45982.0678</v>
      </c>
      <c r="G123" s="92" t="s">
        <v>3959</v>
      </c>
      <c r="H123" s="92">
        <v>47.0</v>
      </c>
      <c r="I123" s="92" t="s">
        <v>3954</v>
      </c>
      <c r="J123" s="92" t="str">
        <f t="shared" si="18"/>
        <v>No</v>
      </c>
      <c r="K123" s="92" t="str">
        <f t="shared" si="23"/>
        <v>No</v>
      </c>
      <c r="L123" s="92" t="str">
        <f>IFERROR(__xludf.DUMMYFUNCTION("""COMPUTED_VALUE"""),"Texas, United States")</f>
        <v>Texas, United States</v>
      </c>
      <c r="M123" s="92" t="str">
        <f>IFERROR(__xludf.DUMMYFUNCTION("""COMPUTED_VALUE"""),"20 minutes ago")</f>
        <v>20 minutes ago</v>
      </c>
      <c r="N123" s="92">
        <f>IFERROR(__xludf.DUMMYFUNCTION("""COMPUTED_VALUE"""),20.0)</f>
        <v>20</v>
      </c>
      <c r="O123" s="92"/>
      <c r="P123" s="95" t="str">
        <f t="shared" si="22"/>
        <v>0</v>
      </c>
      <c r="Q123" s="92"/>
      <c r="R123" s="95" t="s">
        <v>3963</v>
      </c>
      <c r="Z123" s="81">
        <v>45982.0</v>
      </c>
      <c r="AA123" s="81" t="s">
        <v>3977</v>
      </c>
      <c r="AB123" s="81" t="s">
        <v>3961</v>
      </c>
      <c r="AC123" s="81">
        <f t="shared" si="5"/>
        <v>45978</v>
      </c>
      <c r="AD123" s="82">
        <f t="shared" si="6"/>
        <v>5</v>
      </c>
    </row>
    <row r="124">
      <c r="A124" s="96">
        <v>45982.11207175926</v>
      </c>
      <c r="B124" s="89" t="s">
        <v>479</v>
      </c>
      <c r="C124" s="89" t="s">
        <v>480</v>
      </c>
      <c r="D124" s="89" t="s">
        <v>481</v>
      </c>
      <c r="E124" s="90" t="s">
        <v>482</v>
      </c>
      <c r="F124" s="81">
        <f>IFERROR(__xludf.DUMMYFUNCTION("""COMPUTED_VALUE"""),45982.11207175926)</f>
        <v>45982.11207</v>
      </c>
      <c r="G124" s="89" t="s">
        <v>3959</v>
      </c>
      <c r="H124" s="89">
        <v>47.0</v>
      </c>
      <c r="I124" s="89" t="s">
        <v>3954</v>
      </c>
      <c r="J124" s="89" t="str">
        <f t="shared" si="18"/>
        <v>No</v>
      </c>
      <c r="K124" s="89" t="str">
        <f t="shared" si="23"/>
        <v>No</v>
      </c>
      <c r="L124" s="89" t="str">
        <f>IFERROR(__xludf.DUMMYFUNCTION("""COMPUTED_VALUE"""),"Austin, TX")</f>
        <v>Austin, TX</v>
      </c>
      <c r="M124" s="89" t="str">
        <f>IFERROR(__xludf.DUMMYFUNCTION("""COMPUTED_VALUE"""),"1 hour ago")</f>
        <v>1 hour ago</v>
      </c>
      <c r="N124" s="89">
        <f>IFERROR(__xludf.DUMMYFUNCTION("""COMPUTED_VALUE"""),1.0)</f>
        <v>1</v>
      </c>
      <c r="P124" s="52" t="str">
        <f t="shared" si="22"/>
        <v>0</v>
      </c>
      <c r="R124" s="52" t="str">
        <f>IF(A124&lt;&gt;"","Review","")</f>
        <v>Review</v>
      </c>
      <c r="Z124" s="81">
        <v>45982.0</v>
      </c>
      <c r="AA124" s="81" t="s">
        <v>3977</v>
      </c>
      <c r="AB124" s="81" t="s">
        <v>3961</v>
      </c>
      <c r="AC124" s="81">
        <f t="shared" si="5"/>
        <v>45978</v>
      </c>
      <c r="AD124" s="82">
        <f t="shared" si="6"/>
        <v>5</v>
      </c>
    </row>
    <row r="125">
      <c r="A125" s="91">
        <v>45982.11236111111</v>
      </c>
      <c r="B125" s="92" t="s">
        <v>483</v>
      </c>
      <c r="C125" s="92" t="s">
        <v>484</v>
      </c>
      <c r="D125" s="92" t="s">
        <v>485</v>
      </c>
      <c r="E125" s="93" t="s">
        <v>486</v>
      </c>
      <c r="F125" s="94">
        <f>IFERROR(__xludf.DUMMYFUNCTION("""COMPUTED_VALUE"""),45982.11236111111)</f>
        <v>45982.11236</v>
      </c>
      <c r="G125" s="92" t="s">
        <v>3959</v>
      </c>
      <c r="H125" s="92">
        <v>47.0</v>
      </c>
      <c r="I125" s="92" t="s">
        <v>3954</v>
      </c>
      <c r="J125" s="92" t="str">
        <f t="shared" si="18"/>
        <v>No</v>
      </c>
      <c r="K125" s="92" t="str">
        <f t="shared" si="23"/>
        <v>No</v>
      </c>
      <c r="L125" s="92" t="str">
        <f>IFERROR(__xludf.DUMMYFUNCTION("""COMPUTED_VALUE"""),"Houston, TX")</f>
        <v>Houston, TX</v>
      </c>
      <c r="M125" s="92" t="str">
        <f>IFERROR(__xludf.DUMMYFUNCTION("""COMPUTED_VALUE"""),"Reposted 6 minutes ago")</f>
        <v>Reposted 6 minutes ago</v>
      </c>
      <c r="N125" s="92">
        <f>IFERROR(__xludf.DUMMYFUNCTION("""COMPUTED_VALUE"""),6.0)</f>
        <v>6</v>
      </c>
      <c r="O125" s="92"/>
      <c r="P125" s="95" t="str">
        <f t="shared" si="22"/>
        <v>0</v>
      </c>
      <c r="Q125" s="92"/>
      <c r="R125" s="95" t="s">
        <v>3963</v>
      </c>
      <c r="Z125" s="81">
        <v>45982.0</v>
      </c>
      <c r="AA125" s="81" t="s">
        <v>3977</v>
      </c>
      <c r="AB125" s="81" t="s">
        <v>3961</v>
      </c>
      <c r="AC125" s="81">
        <f t="shared" si="5"/>
        <v>45978</v>
      </c>
      <c r="AD125" s="82">
        <f t="shared" si="6"/>
        <v>5</v>
      </c>
    </row>
    <row r="126">
      <c r="A126" s="96">
        <v>45982.11306712963</v>
      </c>
      <c r="B126" s="89" t="s">
        <v>487</v>
      </c>
      <c r="C126" s="89" t="s">
        <v>488</v>
      </c>
      <c r="D126" s="89" t="s">
        <v>489</v>
      </c>
      <c r="E126" s="90" t="s">
        <v>490</v>
      </c>
      <c r="F126" s="81">
        <f>IFERROR(__xludf.DUMMYFUNCTION("""COMPUTED_VALUE"""),45982.11306712963)</f>
        <v>45982.11307</v>
      </c>
      <c r="G126" s="89" t="s">
        <v>3959</v>
      </c>
      <c r="H126" s="89">
        <v>47.0</v>
      </c>
      <c r="I126" s="89" t="s">
        <v>3954</v>
      </c>
      <c r="J126" s="89" t="str">
        <f t="shared" si="18"/>
        <v>No</v>
      </c>
      <c r="K126" s="89" t="str">
        <f t="shared" si="23"/>
        <v>No</v>
      </c>
      <c r="L126" s="89" t="str">
        <f>IFERROR(__xludf.DUMMYFUNCTION("""COMPUTED_VALUE"""),"Hartford, CT")</f>
        <v>Hartford, CT</v>
      </c>
      <c r="M126" s="89" t="str">
        <f>IFERROR(__xludf.DUMMYFUNCTION("""COMPUTED_VALUE"""),"Reposted 26 minutes ago")</f>
        <v>Reposted 26 minutes ago</v>
      </c>
      <c r="N126" s="89">
        <f>IFERROR(__xludf.DUMMYFUNCTION("""COMPUTED_VALUE"""),26.0)</f>
        <v>26</v>
      </c>
      <c r="P126" s="52" t="str">
        <f t="shared" si="22"/>
        <v>0</v>
      </c>
      <c r="R126" s="52" t="str">
        <f t="shared" ref="R126:R129" si="30">IF(A126&lt;&gt;"","Review","")</f>
        <v>Review</v>
      </c>
      <c r="Z126" s="81">
        <v>45982.0</v>
      </c>
      <c r="AA126" s="81" t="s">
        <v>3977</v>
      </c>
      <c r="AB126" s="81" t="s">
        <v>3961</v>
      </c>
      <c r="AC126" s="81">
        <f t="shared" si="5"/>
        <v>45978</v>
      </c>
      <c r="AD126" s="82">
        <f t="shared" si="6"/>
        <v>5</v>
      </c>
    </row>
    <row r="127">
      <c r="A127" s="96">
        <v>45982.11356481481</v>
      </c>
      <c r="B127" s="89" t="s">
        <v>491</v>
      </c>
      <c r="C127" s="89" t="s">
        <v>492</v>
      </c>
      <c r="D127" s="89" t="s">
        <v>493</v>
      </c>
      <c r="E127" s="90" t="s">
        <v>494</v>
      </c>
      <c r="F127" s="81">
        <f>IFERROR(__xludf.DUMMYFUNCTION("""COMPUTED_VALUE"""),45982.11356481481)</f>
        <v>45982.11356</v>
      </c>
      <c r="G127" s="89" t="s">
        <v>3959</v>
      </c>
      <c r="H127" s="89">
        <v>47.0</v>
      </c>
      <c r="I127" s="89" t="s">
        <v>3954</v>
      </c>
      <c r="J127" s="89" t="str">
        <f t="shared" si="18"/>
        <v>No</v>
      </c>
      <c r="K127" s="89" t="str">
        <f t="shared" si="23"/>
        <v>No</v>
      </c>
      <c r="L127" s="89" t="str">
        <f>IFERROR(__xludf.DUMMYFUNCTION("""COMPUTED_VALUE"""),"Chicago, IL")</f>
        <v>Chicago, IL</v>
      </c>
      <c r="M127" s="89" t="str">
        <f>IFERROR(__xludf.DUMMYFUNCTION("""COMPUTED_VALUE"""),"36 minutes ago")</f>
        <v>36 minutes ago</v>
      </c>
      <c r="N127" s="89">
        <f>IFERROR(__xludf.DUMMYFUNCTION("""COMPUTED_VALUE"""),36.0)</f>
        <v>36</v>
      </c>
      <c r="P127" s="52" t="str">
        <f t="shared" si="22"/>
        <v>0</v>
      </c>
      <c r="R127" s="52" t="str">
        <f t="shared" si="30"/>
        <v>Review</v>
      </c>
      <c r="Z127" s="81">
        <v>45982.0</v>
      </c>
      <c r="AA127" s="81" t="s">
        <v>3977</v>
      </c>
      <c r="AB127" s="81" t="s">
        <v>3961</v>
      </c>
      <c r="AC127" s="81">
        <f t="shared" si="5"/>
        <v>45978</v>
      </c>
      <c r="AD127" s="82">
        <f t="shared" si="6"/>
        <v>5</v>
      </c>
    </row>
    <row r="128">
      <c r="A128" s="96">
        <v>45982.121030092596</v>
      </c>
      <c r="B128" s="89" t="s">
        <v>495</v>
      </c>
      <c r="C128" s="89" t="s">
        <v>496</v>
      </c>
      <c r="D128" s="89" t="s">
        <v>497</v>
      </c>
      <c r="E128" s="90" t="s">
        <v>498</v>
      </c>
      <c r="F128" s="81">
        <f>IFERROR(__xludf.DUMMYFUNCTION("""COMPUTED_VALUE"""),45982.121030092596)</f>
        <v>45982.12103</v>
      </c>
      <c r="G128" s="89" t="s">
        <v>3959</v>
      </c>
      <c r="H128" s="89">
        <v>47.0</v>
      </c>
      <c r="I128" s="89" t="s">
        <v>3954</v>
      </c>
      <c r="J128" s="89" t="str">
        <f t="shared" si="18"/>
        <v>No</v>
      </c>
      <c r="K128" s="89" t="str">
        <f t="shared" si="23"/>
        <v>No</v>
      </c>
      <c r="L128" s="89" t="str">
        <f>IFERROR(__xludf.DUMMYFUNCTION("""COMPUTED_VALUE"""),"Billings, MT")</f>
        <v>Billings, MT</v>
      </c>
      <c r="M128" s="89" t="str">
        <f>IFERROR(__xludf.DUMMYFUNCTION("""COMPUTED_VALUE"""),"15 minutes ago")</f>
        <v>15 minutes ago</v>
      </c>
      <c r="N128" s="89">
        <f>IFERROR(__xludf.DUMMYFUNCTION("""COMPUTED_VALUE"""),15.0)</f>
        <v>15</v>
      </c>
      <c r="P128" s="52" t="str">
        <f t="shared" si="22"/>
        <v>0</v>
      </c>
      <c r="R128" s="52" t="str">
        <f t="shared" si="30"/>
        <v>Review</v>
      </c>
      <c r="Z128" s="81">
        <v>45982.0</v>
      </c>
      <c r="AA128" s="81" t="s">
        <v>3977</v>
      </c>
      <c r="AB128" s="81" t="s">
        <v>3961</v>
      </c>
      <c r="AC128" s="81">
        <f t="shared" si="5"/>
        <v>45978</v>
      </c>
      <c r="AD128" s="82">
        <f t="shared" si="6"/>
        <v>5</v>
      </c>
    </row>
    <row r="129">
      <c r="A129" s="96">
        <v>45982.126979166664</v>
      </c>
      <c r="B129" s="89" t="s">
        <v>499</v>
      </c>
      <c r="C129" s="89" t="s">
        <v>500</v>
      </c>
      <c r="D129" s="89" t="s">
        <v>501</v>
      </c>
      <c r="E129" s="90" t="s">
        <v>502</v>
      </c>
      <c r="F129" s="81">
        <f>IFERROR(__xludf.DUMMYFUNCTION("""COMPUTED_VALUE"""),45982.126979166664)</f>
        <v>45982.12698</v>
      </c>
      <c r="G129" s="89" t="s">
        <v>3959</v>
      </c>
      <c r="H129" s="89">
        <v>47.0</v>
      </c>
      <c r="I129" s="89" t="s">
        <v>3954</v>
      </c>
      <c r="J129" s="89" t="str">
        <f t="shared" si="18"/>
        <v>No</v>
      </c>
      <c r="K129" s="89" t="str">
        <f t="shared" si="23"/>
        <v>No</v>
      </c>
      <c r="L129" s="89" t="str">
        <f>IFERROR(__xludf.DUMMYFUNCTION("""COMPUTED_VALUE"""),"Dover, PA")</f>
        <v>Dover, PA</v>
      </c>
      <c r="M129" s="89" t="str">
        <f>IFERROR(__xludf.DUMMYFUNCTION("""COMPUTED_VALUE"""),"Reposted 27 minutes ago")</f>
        <v>Reposted 27 minutes ago</v>
      </c>
      <c r="N129" s="89">
        <f>IFERROR(__xludf.DUMMYFUNCTION("""COMPUTED_VALUE"""),27.0)</f>
        <v>27</v>
      </c>
      <c r="P129" s="52" t="str">
        <f t="shared" si="22"/>
        <v>0</v>
      </c>
      <c r="R129" s="52" t="str">
        <f t="shared" si="30"/>
        <v>Review</v>
      </c>
      <c r="Z129" s="81">
        <v>45982.0</v>
      </c>
      <c r="AA129" s="81" t="s">
        <v>3977</v>
      </c>
      <c r="AB129" s="81" t="s">
        <v>3961</v>
      </c>
      <c r="AC129" s="81">
        <f t="shared" si="5"/>
        <v>45978</v>
      </c>
      <c r="AD129" s="82">
        <f t="shared" si="6"/>
        <v>5</v>
      </c>
    </row>
    <row r="130">
      <c r="A130" s="91">
        <v>45982.12768518519</v>
      </c>
      <c r="B130" s="92" t="s">
        <v>503</v>
      </c>
      <c r="C130" s="92" t="s">
        <v>484</v>
      </c>
      <c r="D130" s="92" t="s">
        <v>504</v>
      </c>
      <c r="E130" s="93" t="s">
        <v>505</v>
      </c>
      <c r="F130" s="94">
        <f>IFERROR(__xludf.DUMMYFUNCTION("""COMPUTED_VALUE"""),45982.12768518519)</f>
        <v>45982.12769</v>
      </c>
      <c r="G130" s="92" t="s">
        <v>3959</v>
      </c>
      <c r="H130" s="92">
        <v>47.0</v>
      </c>
      <c r="I130" s="92" t="s">
        <v>3954</v>
      </c>
      <c r="J130" s="92" t="str">
        <f t="shared" si="18"/>
        <v>No</v>
      </c>
      <c r="K130" s="92" t="str">
        <f t="shared" si="23"/>
        <v>No</v>
      </c>
      <c r="L130" s="92" t="str">
        <f>IFERROR(__xludf.DUMMYFUNCTION("""COMPUTED_VALUE"""),"St Louis, MO")</f>
        <v>St Louis, MO</v>
      </c>
      <c r="M130" s="92" t="str">
        <f>IFERROR(__xludf.DUMMYFUNCTION("""COMPUTED_VALUE"""),"Reposted 28 minutes ago")</f>
        <v>Reposted 28 minutes ago</v>
      </c>
      <c r="N130" s="92">
        <f>IFERROR(__xludf.DUMMYFUNCTION("""COMPUTED_VALUE"""),28.0)</f>
        <v>28</v>
      </c>
      <c r="O130" s="92"/>
      <c r="P130" s="95" t="str">
        <f t="shared" si="22"/>
        <v>0</v>
      </c>
      <c r="Q130" s="92"/>
      <c r="R130" s="95" t="s">
        <v>3963</v>
      </c>
      <c r="Z130" s="81">
        <v>45982.0</v>
      </c>
      <c r="AA130" s="81" t="s">
        <v>3977</v>
      </c>
      <c r="AB130" s="81" t="s">
        <v>3961</v>
      </c>
      <c r="AC130" s="81">
        <f t="shared" si="5"/>
        <v>45978</v>
      </c>
      <c r="AD130" s="82">
        <f t="shared" si="6"/>
        <v>5</v>
      </c>
    </row>
    <row r="131">
      <c r="A131" s="91">
        <v>45982.12881944444</v>
      </c>
      <c r="B131" s="92" t="s">
        <v>506</v>
      </c>
      <c r="C131" s="92" t="s">
        <v>289</v>
      </c>
      <c r="D131" s="92" t="s">
        <v>507</v>
      </c>
      <c r="E131" s="93" t="s">
        <v>508</v>
      </c>
      <c r="F131" s="94">
        <f>IFERROR(__xludf.DUMMYFUNCTION("""COMPUTED_VALUE"""),45982.12881944444)</f>
        <v>45982.12882</v>
      </c>
      <c r="G131" s="92" t="s">
        <v>3959</v>
      </c>
      <c r="H131" s="92">
        <v>47.0</v>
      </c>
      <c r="I131" s="92" t="s">
        <v>3954</v>
      </c>
      <c r="J131" s="92" t="str">
        <f t="shared" si="18"/>
        <v>No</v>
      </c>
      <c r="K131" s="92" t="str">
        <f t="shared" si="23"/>
        <v>No</v>
      </c>
      <c r="L131" s="92" t="str">
        <f>IFERROR(__xludf.DUMMYFUNCTION("""COMPUTED_VALUE"""),"San Jose, CA")</f>
        <v>San Jose, CA</v>
      </c>
      <c r="M131" s="92" t="str">
        <f>IFERROR(__xludf.DUMMYFUNCTION("""COMPUTED_VALUE"""),"16 minutes ago")</f>
        <v>16 minutes ago</v>
      </c>
      <c r="N131" s="92">
        <f>IFERROR(__xludf.DUMMYFUNCTION("""COMPUTED_VALUE"""),16.0)</f>
        <v>16</v>
      </c>
      <c r="O131" s="92"/>
      <c r="P131" s="95" t="str">
        <f t="shared" si="22"/>
        <v>0</v>
      </c>
      <c r="Q131" s="92"/>
      <c r="R131" s="95" t="s">
        <v>3963</v>
      </c>
      <c r="Z131" s="81">
        <v>45982.0</v>
      </c>
      <c r="AA131" s="81" t="s">
        <v>3977</v>
      </c>
      <c r="AB131" s="81" t="s">
        <v>3961</v>
      </c>
      <c r="AC131" s="81">
        <f t="shared" si="5"/>
        <v>45978</v>
      </c>
      <c r="AD131" s="82">
        <f t="shared" si="6"/>
        <v>5</v>
      </c>
    </row>
    <row r="132">
      <c r="A132" s="96">
        <v>45982.12988425926</v>
      </c>
      <c r="B132" s="92" t="s">
        <v>509</v>
      </c>
      <c r="C132" s="92" t="s">
        <v>405</v>
      </c>
      <c r="D132" s="92" t="s">
        <v>510</v>
      </c>
      <c r="E132" s="93" t="s">
        <v>511</v>
      </c>
      <c r="F132" s="94">
        <f>IFERROR(__xludf.DUMMYFUNCTION("""COMPUTED_VALUE"""),45982.12988425926)</f>
        <v>45982.12988</v>
      </c>
      <c r="G132" s="92" t="s">
        <v>3959</v>
      </c>
      <c r="H132" s="92">
        <v>47.0</v>
      </c>
      <c r="I132" s="92" t="s">
        <v>3954</v>
      </c>
      <c r="J132" s="92" t="str">
        <f t="shared" si="18"/>
        <v>No</v>
      </c>
      <c r="K132" s="92" t="str">
        <f t="shared" si="23"/>
        <v>No</v>
      </c>
      <c r="L132" s="92" t="str">
        <f>IFERROR(__xludf.DUMMYFUNCTION("""COMPUTED_VALUE"""),"Harrisburg, PA")</f>
        <v>Harrisburg, PA</v>
      </c>
      <c r="M132" s="92" t="str">
        <f>IFERROR(__xludf.DUMMYFUNCTION("""COMPUTED_VALUE"""),"4 hours ago")</f>
        <v>4 hours ago</v>
      </c>
      <c r="N132" s="92">
        <f>IFERROR(__xludf.DUMMYFUNCTION("""COMPUTED_VALUE"""),4.0)</f>
        <v>4</v>
      </c>
      <c r="O132" s="92"/>
      <c r="P132" s="95" t="str">
        <f t="shared" si="22"/>
        <v>0</v>
      </c>
      <c r="Q132" s="92"/>
      <c r="R132" s="95" t="s">
        <v>3963</v>
      </c>
      <c r="Z132" s="81">
        <v>45982.0</v>
      </c>
      <c r="AA132" s="81" t="s">
        <v>3977</v>
      </c>
      <c r="AB132" s="81" t="s">
        <v>3961</v>
      </c>
      <c r="AC132" s="81">
        <f t="shared" si="5"/>
        <v>45978</v>
      </c>
      <c r="AD132" s="82">
        <f t="shared" si="6"/>
        <v>5</v>
      </c>
    </row>
    <row r="133">
      <c r="A133" s="96">
        <v>45982.13265046296</v>
      </c>
      <c r="B133" s="89" t="s">
        <v>512</v>
      </c>
      <c r="C133" s="89" t="s">
        <v>513</v>
      </c>
      <c r="D133" s="89" t="s">
        <v>514</v>
      </c>
      <c r="E133" s="90" t="s">
        <v>515</v>
      </c>
      <c r="F133" s="81">
        <f>IFERROR(__xludf.DUMMYFUNCTION("""COMPUTED_VALUE"""),45982.13265046296)</f>
        <v>45982.13265</v>
      </c>
      <c r="G133" s="89" t="s">
        <v>3959</v>
      </c>
      <c r="H133" s="89">
        <v>47.0</v>
      </c>
      <c r="I133" s="89" t="s">
        <v>3954</v>
      </c>
      <c r="J133" s="89" t="str">
        <f t="shared" si="18"/>
        <v>No</v>
      </c>
      <c r="K133" s="89" t="str">
        <f t="shared" si="23"/>
        <v>No</v>
      </c>
      <c r="L133" s="89" t="str">
        <f>IFERROR(__xludf.DUMMYFUNCTION("""COMPUTED_VALUE"""),"United States")</f>
        <v>United States</v>
      </c>
      <c r="M133" s="89" t="str">
        <f>IFERROR(__xludf.DUMMYFUNCTION("""COMPUTED_VALUE"""),"6 hours ago")</f>
        <v>6 hours ago</v>
      </c>
      <c r="N133" s="89">
        <f>IFERROR(__xludf.DUMMYFUNCTION("""COMPUTED_VALUE"""),6.0)</f>
        <v>6</v>
      </c>
      <c r="P133" s="52" t="str">
        <f t="shared" si="22"/>
        <v>0</v>
      </c>
      <c r="R133" s="52" t="str">
        <f t="shared" ref="R133:R148" si="31">IF(A133&lt;&gt;"","Review","")</f>
        <v>Review</v>
      </c>
      <c r="Z133" s="81">
        <v>45982.0</v>
      </c>
      <c r="AA133" s="81" t="s">
        <v>3977</v>
      </c>
      <c r="AB133" s="81" t="s">
        <v>3961</v>
      </c>
      <c r="AC133" s="81">
        <f t="shared" si="5"/>
        <v>45978</v>
      </c>
      <c r="AD133" s="82">
        <f t="shared" si="6"/>
        <v>5</v>
      </c>
    </row>
    <row r="134">
      <c r="A134" s="96">
        <v>45982.13418981482</v>
      </c>
      <c r="B134" s="89" t="s">
        <v>506</v>
      </c>
      <c r="C134" s="89" t="s">
        <v>516</v>
      </c>
      <c r="D134" s="89" t="s">
        <v>517</v>
      </c>
      <c r="E134" s="90" t="s">
        <v>518</v>
      </c>
      <c r="F134" s="81">
        <f>IFERROR(__xludf.DUMMYFUNCTION("""COMPUTED_VALUE"""),45982.13418981482)</f>
        <v>45982.13419</v>
      </c>
      <c r="G134" s="89" t="s">
        <v>3959</v>
      </c>
      <c r="H134" s="89">
        <v>47.0</v>
      </c>
      <c r="I134" s="89" t="s">
        <v>3954</v>
      </c>
      <c r="J134" s="89" t="str">
        <f t="shared" si="18"/>
        <v>No</v>
      </c>
      <c r="K134" s="89" t="str">
        <f t="shared" si="23"/>
        <v>No</v>
      </c>
      <c r="L134" s="89" t="str">
        <f>IFERROR(__xludf.DUMMYFUNCTION("""COMPUTED_VALUE"""),"Hillsboro, OR")</f>
        <v>Hillsboro, OR</v>
      </c>
      <c r="M134" s="89" t="str">
        <f>IFERROR(__xludf.DUMMYFUNCTION("""COMPUTED_VALUE"""),"5 hours ago")</f>
        <v>5 hours ago</v>
      </c>
      <c r="N134" s="89">
        <f>IFERROR(__xludf.DUMMYFUNCTION("""COMPUTED_VALUE"""),5.0)</f>
        <v>5</v>
      </c>
      <c r="P134" s="52" t="str">
        <f t="shared" si="22"/>
        <v>0</v>
      </c>
      <c r="R134" s="52" t="str">
        <f t="shared" si="31"/>
        <v>Review</v>
      </c>
      <c r="Z134" s="81">
        <v>45982.0</v>
      </c>
      <c r="AA134" s="81" t="s">
        <v>3977</v>
      </c>
      <c r="AB134" s="81" t="s">
        <v>3961</v>
      </c>
      <c r="AC134" s="81">
        <f t="shared" si="5"/>
        <v>45978</v>
      </c>
      <c r="AD134" s="82">
        <f t="shared" si="6"/>
        <v>5</v>
      </c>
    </row>
    <row r="135">
      <c r="A135" s="96">
        <v>45982.1352662037</v>
      </c>
      <c r="B135" s="89" t="s">
        <v>512</v>
      </c>
      <c r="C135" s="89" t="s">
        <v>519</v>
      </c>
      <c r="D135" s="89" t="s">
        <v>520</v>
      </c>
      <c r="E135" s="90" t="s">
        <v>521</v>
      </c>
      <c r="F135" s="81">
        <f>IFERROR(__xludf.DUMMYFUNCTION("""COMPUTED_VALUE"""),45982.1352662037)</f>
        <v>45982.13527</v>
      </c>
      <c r="G135" s="89" t="s">
        <v>3959</v>
      </c>
      <c r="H135" s="89">
        <v>47.0</v>
      </c>
      <c r="I135" s="89" t="s">
        <v>3954</v>
      </c>
      <c r="J135" s="89" t="str">
        <f t="shared" si="18"/>
        <v>No</v>
      </c>
      <c r="K135" s="89" t="str">
        <f t="shared" si="23"/>
        <v>No</v>
      </c>
      <c r="L135" s="89" t="str">
        <f>IFERROR(__xludf.DUMMYFUNCTION("""COMPUTED_VALUE"""),"Charlotte, NC")</f>
        <v>Charlotte, NC</v>
      </c>
      <c r="M135" s="89" t="str">
        <f>IFERROR(__xludf.DUMMYFUNCTION("""COMPUTED_VALUE"""),"11 hours ago")</f>
        <v>11 hours ago</v>
      </c>
      <c r="N135" s="89">
        <f>IFERROR(__xludf.DUMMYFUNCTION("""COMPUTED_VALUE"""),11.0)</f>
        <v>11</v>
      </c>
      <c r="P135" s="52" t="str">
        <f t="shared" si="22"/>
        <v>0</v>
      </c>
      <c r="R135" s="52" t="str">
        <f t="shared" si="31"/>
        <v>Review</v>
      </c>
      <c r="Z135" s="81">
        <v>45982.0</v>
      </c>
      <c r="AA135" s="81" t="s">
        <v>3977</v>
      </c>
      <c r="AB135" s="81" t="s">
        <v>3961</v>
      </c>
      <c r="AC135" s="81">
        <f t="shared" si="5"/>
        <v>45978</v>
      </c>
      <c r="AD135" s="82">
        <f t="shared" si="6"/>
        <v>5</v>
      </c>
    </row>
    <row r="136">
      <c r="A136" s="96">
        <v>45982.13575231482</v>
      </c>
      <c r="B136" s="89" t="s">
        <v>512</v>
      </c>
      <c r="C136" s="89" t="s">
        <v>522</v>
      </c>
      <c r="D136" s="89" t="s">
        <v>523</v>
      </c>
      <c r="E136" s="90" t="s">
        <v>524</v>
      </c>
      <c r="F136" s="81">
        <f>IFERROR(__xludf.DUMMYFUNCTION("""COMPUTED_VALUE"""),45982.13575231482)</f>
        <v>45982.13575</v>
      </c>
      <c r="G136" s="89" t="s">
        <v>3959</v>
      </c>
      <c r="H136" s="89">
        <v>47.0</v>
      </c>
      <c r="I136" s="89" t="s">
        <v>3954</v>
      </c>
      <c r="J136" s="89" t="str">
        <f t="shared" si="18"/>
        <v>No</v>
      </c>
      <c r="K136" s="89" t="str">
        <f t="shared" si="23"/>
        <v>No</v>
      </c>
      <c r="L136" s="89" t="str">
        <f>IFERROR(__xludf.DUMMYFUNCTION("""COMPUTED_VALUE"""),"United States")</f>
        <v>United States</v>
      </c>
      <c r="M136" s="89" t="str">
        <f>IFERROR(__xludf.DUMMYFUNCTION("""COMPUTED_VALUE"""),"9 hours ago")</f>
        <v>9 hours ago</v>
      </c>
      <c r="N136" s="89">
        <f>IFERROR(__xludf.DUMMYFUNCTION("""COMPUTED_VALUE"""),9.0)</f>
        <v>9</v>
      </c>
      <c r="P136" s="52" t="str">
        <f t="shared" si="22"/>
        <v>0</v>
      </c>
      <c r="R136" s="52" t="str">
        <f t="shared" si="31"/>
        <v>Review</v>
      </c>
      <c r="Z136" s="81">
        <v>45982.0</v>
      </c>
      <c r="AA136" s="81" t="s">
        <v>3977</v>
      </c>
      <c r="AB136" s="81" t="s">
        <v>3961</v>
      </c>
      <c r="AC136" s="81">
        <f t="shared" si="5"/>
        <v>45978</v>
      </c>
      <c r="AD136" s="82">
        <f t="shared" si="6"/>
        <v>5</v>
      </c>
    </row>
    <row r="137">
      <c r="A137" s="96">
        <v>45982.14351851852</v>
      </c>
      <c r="B137" s="89" t="s">
        <v>525</v>
      </c>
      <c r="C137" s="89" t="s">
        <v>526</v>
      </c>
      <c r="D137" s="89" t="s">
        <v>527</v>
      </c>
      <c r="E137" s="90" t="s">
        <v>528</v>
      </c>
      <c r="F137" s="81">
        <f>IFERROR(__xludf.DUMMYFUNCTION("""COMPUTED_VALUE"""),45982.14351851852)</f>
        <v>45982.14352</v>
      </c>
      <c r="G137" s="89" t="s">
        <v>3959</v>
      </c>
      <c r="H137" s="89">
        <v>47.0</v>
      </c>
      <c r="I137" s="89" t="s">
        <v>3954</v>
      </c>
      <c r="J137" s="89" t="str">
        <f t="shared" si="18"/>
        <v>No</v>
      </c>
      <c r="K137" s="89" t="str">
        <f t="shared" si="23"/>
        <v>No</v>
      </c>
      <c r="L137" s="89" t="str">
        <f>IFERROR(__xludf.DUMMYFUNCTION("""COMPUTED_VALUE"""),"Roseville, CA")</f>
        <v>Roseville, CA</v>
      </c>
      <c r="M137" s="89" t="str">
        <f>IFERROR(__xludf.DUMMYFUNCTION("""COMPUTED_VALUE"""),"10 hours ago")</f>
        <v>10 hours ago</v>
      </c>
      <c r="N137" s="89">
        <f>IFERROR(__xludf.DUMMYFUNCTION("""COMPUTED_VALUE"""),10.0)</f>
        <v>10</v>
      </c>
      <c r="P137" s="52" t="str">
        <f t="shared" si="22"/>
        <v>0</v>
      </c>
      <c r="R137" s="52" t="str">
        <f t="shared" si="31"/>
        <v>Review</v>
      </c>
      <c r="Z137" s="81">
        <v>45982.0</v>
      </c>
      <c r="AA137" s="81" t="s">
        <v>3977</v>
      </c>
      <c r="AB137" s="81" t="s">
        <v>3961</v>
      </c>
      <c r="AC137" s="81">
        <f t="shared" si="5"/>
        <v>45978</v>
      </c>
      <c r="AD137" s="82">
        <f t="shared" si="6"/>
        <v>5</v>
      </c>
    </row>
    <row r="138">
      <c r="A138" s="96">
        <v>45982.14745370371</v>
      </c>
      <c r="B138" s="89" t="s">
        <v>529</v>
      </c>
      <c r="C138" s="89" t="s">
        <v>161</v>
      </c>
      <c r="D138" s="89" t="s">
        <v>530</v>
      </c>
      <c r="E138" s="90" t="s">
        <v>531</v>
      </c>
      <c r="F138" s="81">
        <f>IFERROR(__xludf.DUMMYFUNCTION("""COMPUTED_VALUE"""),45982.14745370371)</f>
        <v>45982.14745</v>
      </c>
      <c r="G138" s="89" t="s">
        <v>3959</v>
      </c>
      <c r="H138" s="89">
        <v>47.0</v>
      </c>
      <c r="I138" s="89" t="s">
        <v>3954</v>
      </c>
      <c r="J138" s="89" t="str">
        <f t="shared" si="18"/>
        <v>No</v>
      </c>
      <c r="K138" s="89" t="str">
        <f t="shared" si="23"/>
        <v>No</v>
      </c>
      <c r="L138" s="89" t="str">
        <f>IFERROR(__xludf.DUMMYFUNCTION("""COMPUTED_VALUE"""),"New York, NY")</f>
        <v>New York, NY</v>
      </c>
      <c r="M138" s="89" t="str">
        <f>IFERROR(__xludf.DUMMYFUNCTION("""COMPUTED_VALUE"""),"4 hours ago")</f>
        <v>4 hours ago</v>
      </c>
      <c r="N138" s="89">
        <f>IFERROR(__xludf.DUMMYFUNCTION("""COMPUTED_VALUE"""),4.0)</f>
        <v>4</v>
      </c>
      <c r="P138" s="52" t="str">
        <f t="shared" si="22"/>
        <v>0</v>
      </c>
      <c r="R138" s="52" t="str">
        <f t="shared" si="31"/>
        <v>Review</v>
      </c>
      <c r="Z138" s="81">
        <v>45982.0</v>
      </c>
      <c r="AA138" s="81" t="s">
        <v>3977</v>
      </c>
      <c r="AB138" s="81" t="s">
        <v>3961</v>
      </c>
      <c r="AC138" s="81">
        <f t="shared" si="5"/>
        <v>45978</v>
      </c>
      <c r="AD138" s="82">
        <f t="shared" si="6"/>
        <v>5</v>
      </c>
    </row>
    <row r="139">
      <c r="A139" s="96">
        <v>45982.148194444446</v>
      </c>
      <c r="B139" s="89" t="s">
        <v>512</v>
      </c>
      <c r="C139" s="89" t="s">
        <v>532</v>
      </c>
      <c r="D139" s="89" t="s">
        <v>533</v>
      </c>
      <c r="E139" s="90" t="s">
        <v>534</v>
      </c>
      <c r="F139" s="81">
        <f>IFERROR(__xludf.DUMMYFUNCTION("""COMPUTED_VALUE"""),45982.148194444446)</f>
        <v>45982.14819</v>
      </c>
      <c r="G139" s="89" t="s">
        <v>3959</v>
      </c>
      <c r="H139" s="89">
        <v>47.0</v>
      </c>
      <c r="I139" s="89" t="s">
        <v>3954</v>
      </c>
      <c r="J139" s="89" t="str">
        <f t="shared" si="18"/>
        <v>No</v>
      </c>
      <c r="K139" s="89" t="str">
        <f t="shared" si="23"/>
        <v>No</v>
      </c>
      <c r="L139" s="89" t="str">
        <f>IFERROR(__xludf.DUMMYFUNCTION("""COMPUTED_VALUE"""),"San Francisco, CA")</f>
        <v>San Francisco, CA</v>
      </c>
      <c r="M139" s="89" t="str">
        <f>IFERROR(__xludf.DUMMYFUNCTION("""COMPUTED_VALUE"""),"13 hours ago")</f>
        <v>13 hours ago</v>
      </c>
      <c r="N139" s="89">
        <f>IFERROR(__xludf.DUMMYFUNCTION("""COMPUTED_VALUE"""),13.0)</f>
        <v>13</v>
      </c>
      <c r="P139" s="52" t="str">
        <f t="shared" si="22"/>
        <v>0</v>
      </c>
      <c r="R139" s="52" t="str">
        <f t="shared" si="31"/>
        <v>Review</v>
      </c>
      <c r="Z139" s="81">
        <v>45982.0</v>
      </c>
      <c r="AA139" s="81" t="s">
        <v>3977</v>
      </c>
      <c r="AB139" s="81" t="s">
        <v>3961</v>
      </c>
      <c r="AC139" s="81">
        <f t="shared" si="5"/>
        <v>45978</v>
      </c>
      <c r="AD139" s="82">
        <f t="shared" si="6"/>
        <v>5</v>
      </c>
    </row>
    <row r="140">
      <c r="A140" s="96">
        <v>45982.148831018516</v>
      </c>
      <c r="B140" s="89" t="s">
        <v>509</v>
      </c>
      <c r="C140" s="89" t="s">
        <v>535</v>
      </c>
      <c r="D140" s="89" t="s">
        <v>536</v>
      </c>
      <c r="E140" s="90" t="s">
        <v>537</v>
      </c>
      <c r="F140" s="81">
        <f>IFERROR(__xludf.DUMMYFUNCTION("""COMPUTED_VALUE"""),45982.148831018516)</f>
        <v>45982.14883</v>
      </c>
      <c r="G140" s="89" t="s">
        <v>3959</v>
      </c>
      <c r="H140" s="89">
        <v>47.0</v>
      </c>
      <c r="I140" s="89" t="s">
        <v>3954</v>
      </c>
      <c r="J140" s="89" t="str">
        <f t="shared" si="18"/>
        <v>No</v>
      </c>
      <c r="K140" s="89" t="str">
        <f t="shared" si="23"/>
        <v>No</v>
      </c>
      <c r="L140" s="89" t="str">
        <f>IFERROR(__xludf.DUMMYFUNCTION("""COMPUTED_VALUE"""),"New York, NY")</f>
        <v>New York, NY</v>
      </c>
      <c r="M140" s="89" t="str">
        <f>IFERROR(__xludf.DUMMYFUNCTION("""COMPUTED_VALUE"""),"12 hours ago")</f>
        <v>12 hours ago</v>
      </c>
      <c r="N140" s="89">
        <f>IFERROR(__xludf.DUMMYFUNCTION("""COMPUTED_VALUE"""),12.0)</f>
        <v>12</v>
      </c>
      <c r="P140" s="52" t="str">
        <f t="shared" si="22"/>
        <v>0</v>
      </c>
      <c r="R140" s="52" t="str">
        <f t="shared" si="31"/>
        <v>Review</v>
      </c>
      <c r="Z140" s="81">
        <v>45982.0</v>
      </c>
      <c r="AA140" s="81" t="s">
        <v>3977</v>
      </c>
      <c r="AB140" s="81" t="s">
        <v>3961</v>
      </c>
      <c r="AC140" s="81">
        <f t="shared" si="5"/>
        <v>45978</v>
      </c>
      <c r="AD140" s="82">
        <f t="shared" si="6"/>
        <v>5</v>
      </c>
    </row>
    <row r="141">
      <c r="A141" s="96">
        <v>45982.150509259256</v>
      </c>
      <c r="B141" s="89" t="s">
        <v>509</v>
      </c>
      <c r="C141" s="89" t="s">
        <v>538</v>
      </c>
      <c r="D141" s="89" t="s">
        <v>539</v>
      </c>
      <c r="E141" s="90" t="s">
        <v>540</v>
      </c>
      <c r="F141" s="81">
        <f>IFERROR(__xludf.DUMMYFUNCTION("""COMPUTED_VALUE"""),45982.150509259256)</f>
        <v>45982.15051</v>
      </c>
      <c r="G141" s="89" t="s">
        <v>3959</v>
      </c>
      <c r="H141" s="89">
        <v>47.0</v>
      </c>
      <c r="I141" s="89" t="s">
        <v>3954</v>
      </c>
      <c r="J141" s="89" t="str">
        <f t="shared" si="18"/>
        <v>No</v>
      </c>
      <c r="K141" s="89" t="str">
        <f t="shared" si="23"/>
        <v>No</v>
      </c>
      <c r="L141" s="89" t="str">
        <f>IFERROR(__xludf.DUMMYFUNCTION("""COMPUTED_VALUE"""),"Denver, CO")</f>
        <v>Denver, CO</v>
      </c>
      <c r="M141" s="89" t="str">
        <f>IFERROR(__xludf.DUMMYFUNCTION("""COMPUTED_VALUE"""),"6 hours ago")</f>
        <v>6 hours ago</v>
      </c>
      <c r="N141" s="89">
        <f>IFERROR(__xludf.DUMMYFUNCTION("""COMPUTED_VALUE"""),6.0)</f>
        <v>6</v>
      </c>
      <c r="P141" s="52" t="str">
        <f t="shared" si="22"/>
        <v>0</v>
      </c>
      <c r="R141" s="52" t="str">
        <f t="shared" si="31"/>
        <v>Review</v>
      </c>
      <c r="Z141" s="81">
        <v>45982.0</v>
      </c>
      <c r="AA141" s="81" t="s">
        <v>3977</v>
      </c>
      <c r="AB141" s="81" t="s">
        <v>3961</v>
      </c>
      <c r="AC141" s="81">
        <f t="shared" si="5"/>
        <v>45978</v>
      </c>
      <c r="AD141" s="82">
        <f t="shared" si="6"/>
        <v>5</v>
      </c>
    </row>
    <row r="142">
      <c r="A142" s="96">
        <v>45984.797488425924</v>
      </c>
      <c r="B142" s="89" t="s">
        <v>541</v>
      </c>
      <c r="C142" s="89" t="s">
        <v>542</v>
      </c>
      <c r="D142" s="89" t="s">
        <v>543</v>
      </c>
      <c r="E142" s="90" t="s">
        <v>544</v>
      </c>
      <c r="F142" s="81">
        <f>IFERROR(__xludf.DUMMYFUNCTION("""COMPUTED_VALUE"""),45984.797488425924)</f>
        <v>45984.79749</v>
      </c>
      <c r="G142" s="89" t="s">
        <v>3959</v>
      </c>
      <c r="H142" s="89">
        <v>48.0</v>
      </c>
      <c r="I142" s="89" t="s">
        <v>3962</v>
      </c>
      <c r="J142" s="89" t="str">
        <f t="shared" si="18"/>
        <v>No</v>
      </c>
      <c r="K142" s="89" t="str">
        <f t="shared" si="23"/>
        <v>No</v>
      </c>
      <c r="L142" s="89" t="str">
        <f>IFERROR(__xludf.DUMMYFUNCTION("""COMPUTED_VALUE"""),"Lake Mary, FL")</f>
        <v>Lake Mary, FL</v>
      </c>
      <c r="M142" s="89" t="str">
        <f>IFERROR(__xludf.DUMMYFUNCTION("""COMPUTED_VALUE"""),"Reposted 2 hours ago")</f>
        <v>Reposted 2 hours ago</v>
      </c>
      <c r="N142" s="89">
        <f>IFERROR(__xludf.DUMMYFUNCTION("""COMPUTED_VALUE"""),2.0)</f>
        <v>2</v>
      </c>
      <c r="P142" s="52" t="str">
        <f t="shared" si="22"/>
        <v>0</v>
      </c>
      <c r="R142" s="52" t="str">
        <f t="shared" si="31"/>
        <v>Review</v>
      </c>
      <c r="Z142" s="81">
        <v>45984.0</v>
      </c>
      <c r="AA142" s="81" t="s">
        <v>3977</v>
      </c>
      <c r="AB142" s="81" t="s">
        <v>3961</v>
      </c>
      <c r="AC142" s="81">
        <f t="shared" si="5"/>
        <v>45978</v>
      </c>
      <c r="AD142" s="82">
        <f t="shared" si="6"/>
        <v>7</v>
      </c>
    </row>
    <row r="143">
      <c r="A143" s="96">
        <v>45985.434537037036</v>
      </c>
      <c r="B143" s="89" t="s">
        <v>545</v>
      </c>
      <c r="C143" s="89" t="s">
        <v>546</v>
      </c>
      <c r="D143" s="89" t="s">
        <v>547</v>
      </c>
      <c r="E143" s="90" t="s">
        <v>548</v>
      </c>
      <c r="F143" s="81">
        <f>IFERROR(__xludf.DUMMYFUNCTION("""COMPUTED_VALUE"""),45985.434537037036)</f>
        <v>45985.43454</v>
      </c>
      <c r="G143" s="89" t="s">
        <v>3959</v>
      </c>
      <c r="H143" s="89">
        <v>48.0</v>
      </c>
      <c r="I143" s="89" t="s">
        <v>3964</v>
      </c>
      <c r="J143" s="89" t="str">
        <f t="shared" si="18"/>
        <v>No</v>
      </c>
      <c r="K143" s="89" t="str">
        <f t="shared" si="23"/>
        <v>No</v>
      </c>
      <c r="L143" s="89" t="str">
        <f>IFERROR(__xludf.DUMMYFUNCTION("""COMPUTED_VALUE"""),"Jupiter, FL")</f>
        <v>Jupiter, FL</v>
      </c>
      <c r="M143" s="89" t="str">
        <f>IFERROR(__xludf.DUMMYFUNCTION("""COMPUTED_VALUE"""),"Reposted 36 minutes ago")</f>
        <v>Reposted 36 minutes ago</v>
      </c>
      <c r="N143" s="89">
        <f>IFERROR(__xludf.DUMMYFUNCTION("""COMPUTED_VALUE"""),36.0)</f>
        <v>36</v>
      </c>
      <c r="P143" s="52" t="str">
        <f t="shared" si="22"/>
        <v>0</v>
      </c>
      <c r="R143" s="52" t="str">
        <f t="shared" si="31"/>
        <v>Review</v>
      </c>
      <c r="S143" s="52" t="s">
        <v>3981</v>
      </c>
      <c r="Z143" s="81">
        <v>45985.0</v>
      </c>
      <c r="AA143" s="81" t="s">
        <v>3982</v>
      </c>
      <c r="AB143" s="81" t="s">
        <v>3961</v>
      </c>
      <c r="AC143" s="81">
        <f t="shared" si="5"/>
        <v>45985</v>
      </c>
      <c r="AD143" s="82">
        <f t="shared" si="6"/>
        <v>1</v>
      </c>
    </row>
    <row r="144">
      <c r="A144" s="96">
        <v>45985.47903935185</v>
      </c>
      <c r="B144" s="89" t="s">
        <v>549</v>
      </c>
      <c r="C144" s="89" t="s">
        <v>550</v>
      </c>
      <c r="D144" s="89" t="s">
        <v>551</v>
      </c>
      <c r="E144" s="90" t="s">
        <v>552</v>
      </c>
      <c r="F144" s="81">
        <f>IFERROR(__xludf.DUMMYFUNCTION("""COMPUTED_VALUE"""),45985.47903935185)</f>
        <v>45985.47904</v>
      </c>
      <c r="G144" s="89" t="s">
        <v>3959</v>
      </c>
      <c r="H144" s="89">
        <v>48.0</v>
      </c>
      <c r="I144" s="89" t="s">
        <v>3964</v>
      </c>
      <c r="J144" s="89" t="str">
        <f t="shared" si="18"/>
        <v>No</v>
      </c>
      <c r="K144" s="89" t="str">
        <f t="shared" si="23"/>
        <v>No</v>
      </c>
      <c r="L144" s="89" t="str">
        <f>IFERROR(__xludf.DUMMYFUNCTION("""COMPUTED_VALUE"""),"O'Fallon, MO")</f>
        <v>O'Fallon, MO</v>
      </c>
      <c r="M144" s="89" t="str">
        <f>IFERROR(__xludf.DUMMYFUNCTION("""COMPUTED_VALUE"""),"")</f>
        <v/>
      </c>
      <c r="N144" s="89" t="str">
        <f>IFERROR(__xludf.DUMMYFUNCTION("""COMPUTED_VALUE"""),"")</f>
        <v/>
      </c>
      <c r="P144" s="52" t="str">
        <f t="shared" si="22"/>
        <v>0</v>
      </c>
      <c r="R144" s="52" t="str">
        <f t="shared" si="31"/>
        <v>Review</v>
      </c>
      <c r="Z144" s="81">
        <v>45985.0</v>
      </c>
      <c r="AA144" s="81" t="s">
        <v>3982</v>
      </c>
      <c r="AB144" s="81" t="s">
        <v>3961</v>
      </c>
      <c r="AC144" s="81">
        <f t="shared" si="5"/>
        <v>45985</v>
      </c>
      <c r="AD144" s="82">
        <f t="shared" si="6"/>
        <v>1</v>
      </c>
    </row>
    <row r="145">
      <c r="A145" s="96">
        <v>45985.47913194444</v>
      </c>
      <c r="B145" s="89" t="s">
        <v>553</v>
      </c>
      <c r="C145" s="89" t="s">
        <v>554</v>
      </c>
      <c r="D145" s="89" t="s">
        <v>555</v>
      </c>
      <c r="E145" s="90" t="s">
        <v>556</v>
      </c>
      <c r="F145" s="81">
        <f>IFERROR(__xludf.DUMMYFUNCTION("""COMPUTED_VALUE"""),45985.47913194444)</f>
        <v>45985.47913</v>
      </c>
      <c r="G145" s="89" t="s">
        <v>3959</v>
      </c>
      <c r="H145" s="89">
        <v>48.0</v>
      </c>
      <c r="I145" s="89" t="s">
        <v>3964</v>
      </c>
      <c r="J145" s="89" t="str">
        <f t="shared" si="18"/>
        <v>No</v>
      </c>
      <c r="K145" s="89" t="str">
        <f t="shared" si="23"/>
        <v>No</v>
      </c>
      <c r="L145" s="89" t="str">
        <f>IFERROR(__xludf.DUMMYFUNCTION("""COMPUTED_VALUE"""),"Malvern, PA")</f>
        <v>Malvern, PA</v>
      </c>
      <c r="M145" s="89" t="str">
        <f>IFERROR(__xludf.DUMMYFUNCTION("""COMPUTED_VALUE"""),"Reposted 34 minutes ago")</f>
        <v>Reposted 34 minutes ago</v>
      </c>
      <c r="N145" s="89">
        <f>IFERROR(__xludf.DUMMYFUNCTION("""COMPUTED_VALUE"""),34.0)</f>
        <v>34</v>
      </c>
      <c r="P145" s="52" t="str">
        <f t="shared" si="22"/>
        <v>0</v>
      </c>
      <c r="R145" s="52" t="str">
        <f t="shared" si="31"/>
        <v>Review</v>
      </c>
      <c r="Z145" s="81">
        <v>45985.0</v>
      </c>
      <c r="AA145" s="81" t="s">
        <v>3982</v>
      </c>
      <c r="AB145" s="81" t="s">
        <v>3961</v>
      </c>
      <c r="AC145" s="81">
        <f t="shared" si="5"/>
        <v>45985</v>
      </c>
      <c r="AD145" s="82">
        <f t="shared" si="6"/>
        <v>1</v>
      </c>
    </row>
    <row r="146">
      <c r="A146" s="96">
        <v>45985.47928240741</v>
      </c>
      <c r="B146" s="89" t="s">
        <v>557</v>
      </c>
      <c r="C146" s="89" t="s">
        <v>558</v>
      </c>
      <c r="D146" s="89" t="s">
        <v>559</v>
      </c>
      <c r="E146" s="90" t="s">
        <v>560</v>
      </c>
      <c r="F146" s="81">
        <f>IFERROR(__xludf.DUMMYFUNCTION("""COMPUTED_VALUE"""),45985.47928240741)</f>
        <v>45985.47928</v>
      </c>
      <c r="G146" s="89" t="s">
        <v>3959</v>
      </c>
      <c r="H146" s="89">
        <v>48.0</v>
      </c>
      <c r="I146" s="89" t="s">
        <v>3964</v>
      </c>
      <c r="J146" s="89" t="str">
        <f t="shared" si="18"/>
        <v>No</v>
      </c>
      <c r="K146" s="89" t="str">
        <f t="shared" si="23"/>
        <v>No</v>
      </c>
      <c r="L146" s="89" t="str">
        <f>IFERROR(__xludf.DUMMYFUNCTION("""COMPUTED_VALUE"""),"Stamford, CT")</f>
        <v>Stamford, CT</v>
      </c>
      <c r="M146" s="89" t="str">
        <f>IFERROR(__xludf.DUMMYFUNCTION("""COMPUTED_VALUE"""),"Reposted 1 hour ago")</f>
        <v>Reposted 1 hour ago</v>
      </c>
      <c r="N146" s="89">
        <f>IFERROR(__xludf.DUMMYFUNCTION("""COMPUTED_VALUE"""),1.0)</f>
        <v>1</v>
      </c>
      <c r="P146" s="52" t="str">
        <f t="shared" si="22"/>
        <v>0</v>
      </c>
      <c r="R146" s="52" t="str">
        <f t="shared" si="31"/>
        <v>Review</v>
      </c>
      <c r="Z146" s="81">
        <v>45985.0</v>
      </c>
      <c r="AA146" s="81" t="s">
        <v>3982</v>
      </c>
      <c r="AB146" s="81" t="s">
        <v>3961</v>
      </c>
      <c r="AC146" s="81">
        <f t="shared" si="5"/>
        <v>45985</v>
      </c>
      <c r="AD146" s="82">
        <f t="shared" si="6"/>
        <v>1</v>
      </c>
    </row>
    <row r="147">
      <c r="A147" s="96">
        <v>45985.4837962963</v>
      </c>
      <c r="B147" s="89" t="s">
        <v>561</v>
      </c>
      <c r="C147" s="89" t="s">
        <v>562</v>
      </c>
      <c r="D147" s="89" t="s">
        <v>563</v>
      </c>
      <c r="E147" s="90" t="s">
        <v>564</v>
      </c>
      <c r="F147" s="81">
        <f>IFERROR(__xludf.DUMMYFUNCTION("""COMPUTED_VALUE"""),45985.4837962963)</f>
        <v>45985.4838</v>
      </c>
      <c r="G147" s="89" t="s">
        <v>3959</v>
      </c>
      <c r="H147" s="89">
        <v>48.0</v>
      </c>
      <c r="I147" s="89" t="s">
        <v>3964</v>
      </c>
      <c r="J147" s="89" t="str">
        <f t="shared" si="18"/>
        <v>No</v>
      </c>
      <c r="K147" s="89" t="str">
        <f t="shared" si="23"/>
        <v>No</v>
      </c>
      <c r="L147" s="89" t="str">
        <f>IFERROR(__xludf.DUMMYFUNCTION("""COMPUTED_VALUE"""),"Santa Clara, CA")</f>
        <v>Santa Clara, CA</v>
      </c>
      <c r="M147" s="89" t="str">
        <f>IFERROR(__xludf.DUMMYFUNCTION("""COMPUTED_VALUE"""),"1 day ago")</f>
        <v>1 day ago</v>
      </c>
      <c r="N147" s="89">
        <f>IFERROR(__xludf.DUMMYFUNCTION("""COMPUTED_VALUE"""),1.0)</f>
        <v>1</v>
      </c>
      <c r="P147" s="52" t="str">
        <f t="shared" si="22"/>
        <v>0</v>
      </c>
      <c r="R147" s="52" t="str">
        <f t="shared" si="31"/>
        <v>Review</v>
      </c>
      <c r="Z147" s="81">
        <v>45985.0</v>
      </c>
      <c r="AA147" s="81" t="s">
        <v>3982</v>
      </c>
      <c r="AB147" s="81" t="s">
        <v>3961</v>
      </c>
      <c r="AC147" s="81">
        <f t="shared" si="5"/>
        <v>45985</v>
      </c>
      <c r="AD147" s="82">
        <f t="shared" si="6"/>
        <v>1</v>
      </c>
    </row>
    <row r="148">
      <c r="A148" s="103">
        <v>45986.0</v>
      </c>
      <c r="B148" s="89" t="s">
        <v>565</v>
      </c>
      <c r="C148" s="89" t="s">
        <v>566</v>
      </c>
      <c r="D148" s="89" t="s">
        <v>567</v>
      </c>
      <c r="E148" s="90" t="s">
        <v>568</v>
      </c>
      <c r="F148" s="81">
        <f>IFERROR(__xludf.DUMMYFUNCTION("""COMPUTED_VALUE"""),45986.0)</f>
        <v>45986</v>
      </c>
      <c r="G148" s="89" t="s">
        <v>3959</v>
      </c>
      <c r="H148" s="89">
        <v>48.0</v>
      </c>
      <c r="I148" s="89" t="s">
        <v>3966</v>
      </c>
      <c r="J148" s="89" t="str">
        <f t="shared" si="18"/>
        <v>No</v>
      </c>
      <c r="K148" s="89" t="str">
        <f t="shared" si="23"/>
        <v>No</v>
      </c>
      <c r="L148" s="89" t="str">
        <f>IFERROR(__xludf.DUMMYFUNCTION("""COMPUTED_VALUE"""),"Remote, US")</f>
        <v>Remote, US</v>
      </c>
      <c r="M148" s="89" t="str">
        <f>IFERROR(__xludf.DUMMYFUNCTION("""COMPUTED_VALUE"""),"")</f>
        <v/>
      </c>
      <c r="N148" s="89" t="str">
        <f>IFERROR(__xludf.DUMMYFUNCTION("""COMPUTED_VALUE"""),"")</f>
        <v/>
      </c>
      <c r="P148" s="52" t="str">
        <f t="shared" si="22"/>
        <v>0</v>
      </c>
      <c r="R148" s="52" t="str">
        <f t="shared" si="31"/>
        <v>Review</v>
      </c>
      <c r="Z148" s="81">
        <v>45986.0</v>
      </c>
      <c r="AA148" s="81" t="s">
        <v>3982</v>
      </c>
      <c r="AB148" s="81" t="s">
        <v>3961</v>
      </c>
      <c r="AC148" s="81">
        <f t="shared" si="5"/>
        <v>45985</v>
      </c>
      <c r="AD148" s="82">
        <f t="shared" si="6"/>
        <v>2</v>
      </c>
    </row>
    <row r="149">
      <c r="A149" s="96">
        <v>45990.006423611114</v>
      </c>
      <c r="B149" s="89" t="s">
        <v>569</v>
      </c>
      <c r="C149" s="92" t="s">
        <v>405</v>
      </c>
      <c r="D149" s="92" t="s">
        <v>570</v>
      </c>
      <c r="E149" s="93" t="s">
        <v>571</v>
      </c>
      <c r="F149" s="94">
        <f>IFERROR(__xludf.DUMMYFUNCTION("""COMPUTED_VALUE"""),45990.006423611114)</f>
        <v>45990.00642</v>
      </c>
      <c r="G149" s="92" t="s">
        <v>3959</v>
      </c>
      <c r="H149" s="92">
        <v>48.0</v>
      </c>
      <c r="I149" s="92" t="s">
        <v>3960</v>
      </c>
      <c r="J149" s="92" t="str">
        <f t="shared" si="18"/>
        <v>No</v>
      </c>
      <c r="K149" s="92" t="str">
        <f t="shared" si="23"/>
        <v>No</v>
      </c>
      <c r="L149" s="92" t="str">
        <f>IFERROR(__xludf.DUMMYFUNCTION("""COMPUTED_VALUE"""),"Austin, TX")</f>
        <v>Austin, TX</v>
      </c>
      <c r="M149" s="92" t="str">
        <f>IFERROR(__xludf.DUMMYFUNCTION("""COMPUTED_VALUE"""),"1 hour ago")</f>
        <v>1 hour ago</v>
      </c>
      <c r="N149" s="92">
        <f>IFERROR(__xludf.DUMMYFUNCTION("""COMPUTED_VALUE"""),1.0)</f>
        <v>1</v>
      </c>
      <c r="O149" s="92"/>
      <c r="P149" s="95" t="str">
        <f t="shared" si="22"/>
        <v>0</v>
      </c>
      <c r="Q149" s="92"/>
      <c r="R149" s="95" t="s">
        <v>3963</v>
      </c>
      <c r="Z149" s="81">
        <v>45990.0</v>
      </c>
      <c r="AA149" s="81" t="s">
        <v>3982</v>
      </c>
      <c r="AB149" s="81" t="s">
        <v>3961</v>
      </c>
      <c r="AC149" s="81">
        <f t="shared" si="5"/>
        <v>45985</v>
      </c>
      <c r="AD149" s="82">
        <f t="shared" si="6"/>
        <v>6</v>
      </c>
    </row>
    <row r="150">
      <c r="A150" s="96">
        <v>45990.006423611114</v>
      </c>
      <c r="B150" s="89" t="s">
        <v>569</v>
      </c>
      <c r="C150" s="92" t="s">
        <v>405</v>
      </c>
      <c r="D150" s="92" t="s">
        <v>570</v>
      </c>
      <c r="E150" s="93" t="s">
        <v>571</v>
      </c>
      <c r="F150" s="94">
        <f>IFERROR(__xludf.DUMMYFUNCTION("""COMPUTED_VALUE"""),45990.006423611114)</f>
        <v>45990.00642</v>
      </c>
      <c r="G150" s="92" t="s">
        <v>3959</v>
      </c>
      <c r="H150" s="92">
        <v>48.0</v>
      </c>
      <c r="I150" s="92" t="s">
        <v>3960</v>
      </c>
      <c r="J150" s="92" t="str">
        <f t="shared" si="18"/>
        <v>No</v>
      </c>
      <c r="K150" s="92" t="str">
        <f t="shared" si="23"/>
        <v>No</v>
      </c>
      <c r="L150" s="92" t="str">
        <f>IFERROR(__xludf.DUMMYFUNCTION("""COMPUTED_VALUE"""),"Austin, TX")</f>
        <v>Austin, TX</v>
      </c>
      <c r="M150" s="92" t="str">
        <f>IFERROR(__xludf.DUMMYFUNCTION("""COMPUTED_VALUE"""),"1 hour ago")</f>
        <v>1 hour ago</v>
      </c>
      <c r="N150" s="92">
        <f>IFERROR(__xludf.DUMMYFUNCTION("""COMPUTED_VALUE"""),1.0)</f>
        <v>1</v>
      </c>
      <c r="O150" s="92"/>
      <c r="P150" s="95" t="str">
        <f t="shared" si="22"/>
        <v>0</v>
      </c>
      <c r="Q150" s="92"/>
      <c r="R150" s="95" t="s">
        <v>3963</v>
      </c>
      <c r="Z150" s="81">
        <v>45990.0</v>
      </c>
      <c r="AA150" s="81" t="s">
        <v>3982</v>
      </c>
      <c r="AB150" s="81" t="s">
        <v>3961</v>
      </c>
      <c r="AC150" s="81">
        <f t="shared" si="5"/>
        <v>45985</v>
      </c>
      <c r="AD150" s="82">
        <f t="shared" si="6"/>
        <v>6</v>
      </c>
    </row>
    <row r="151">
      <c r="A151" s="103">
        <v>45992.0</v>
      </c>
      <c r="B151" s="89" t="s">
        <v>572</v>
      </c>
      <c r="C151" s="89" t="s">
        <v>45</v>
      </c>
      <c r="D151" s="89" t="s">
        <v>573</v>
      </c>
      <c r="E151" s="90" t="s">
        <v>574</v>
      </c>
      <c r="F151" s="81">
        <f>IFERROR(__xludf.DUMMYFUNCTION("""COMPUTED_VALUE"""),45992.0)</f>
        <v>45992</v>
      </c>
      <c r="G151" s="89" t="s">
        <v>3983</v>
      </c>
      <c r="H151" s="89">
        <v>49.0</v>
      </c>
      <c r="I151" s="89" t="s">
        <v>3964</v>
      </c>
      <c r="J151" s="89" t="str">
        <f t="shared" si="18"/>
        <v>No</v>
      </c>
      <c r="K151" s="89" t="str">
        <f t="shared" si="23"/>
        <v>No</v>
      </c>
      <c r="L151" s="89" t="str">
        <f>IFERROR(__xludf.DUMMYFUNCTION("""COMPUTED_VALUE"""),"USA")</f>
        <v>USA</v>
      </c>
      <c r="M151" s="89" t="str">
        <f>IFERROR(__xludf.DUMMYFUNCTION("""COMPUTED_VALUE"""),"")</f>
        <v/>
      </c>
      <c r="N151" s="89" t="str">
        <f>IFERROR(__xludf.DUMMYFUNCTION("""COMPUTED_VALUE"""),"")</f>
        <v/>
      </c>
      <c r="P151" s="52" t="str">
        <f t="shared" si="22"/>
        <v>0</v>
      </c>
      <c r="R151" s="52" t="str">
        <f t="shared" ref="R151:R995" si="32">IF(A151&lt;&gt;"","Review","")</f>
        <v>Review</v>
      </c>
      <c r="Z151" s="81">
        <v>45992.0</v>
      </c>
      <c r="AA151" s="81" t="s">
        <v>3984</v>
      </c>
      <c r="AB151" s="81" t="s">
        <v>3985</v>
      </c>
      <c r="AC151" s="81">
        <f t="shared" si="5"/>
        <v>45992</v>
      </c>
      <c r="AD151" s="82">
        <f t="shared" si="6"/>
        <v>1</v>
      </c>
    </row>
    <row r="152">
      <c r="A152" s="96">
        <v>45991.84798611111</v>
      </c>
      <c r="B152" s="89" t="s">
        <v>575</v>
      </c>
      <c r="C152" s="89" t="s">
        <v>576</v>
      </c>
      <c r="D152" s="89" t="s">
        <v>577</v>
      </c>
      <c r="E152" s="90" t="s">
        <v>578</v>
      </c>
      <c r="F152" s="81">
        <f>IFERROR(__xludf.DUMMYFUNCTION("""COMPUTED_VALUE"""),45991.84798611111)</f>
        <v>45991.84799</v>
      </c>
      <c r="G152" s="89" t="s">
        <v>3959</v>
      </c>
      <c r="H152" s="89">
        <v>49.0</v>
      </c>
      <c r="I152" s="89" t="s">
        <v>3962</v>
      </c>
      <c r="J152" s="89" t="str">
        <f t="shared" si="18"/>
        <v>No</v>
      </c>
      <c r="K152" s="89" t="str">
        <f t="shared" si="23"/>
        <v>No</v>
      </c>
      <c r="L152" s="89" t="str">
        <f>IFERROR(__xludf.DUMMYFUNCTION("""COMPUTED_VALUE"""),"San Francisco Bay Area")</f>
        <v>San Francisco Bay Area</v>
      </c>
      <c r="M152" s="89" t="str">
        <f>IFERROR(__xludf.DUMMYFUNCTION("""COMPUTED_VALUE"""),"53 minutes ago")</f>
        <v>53 minutes ago</v>
      </c>
      <c r="N152" s="89">
        <f>IFERROR(__xludf.DUMMYFUNCTION("""COMPUTED_VALUE"""),53.0)</f>
        <v>53</v>
      </c>
      <c r="P152" s="52" t="str">
        <f t="shared" si="22"/>
        <v>0</v>
      </c>
      <c r="R152" s="52" t="str">
        <f t="shared" si="32"/>
        <v>Review</v>
      </c>
      <c r="Z152" s="81">
        <v>45991.0</v>
      </c>
      <c r="AA152" s="81" t="s">
        <v>3982</v>
      </c>
      <c r="AB152" s="81" t="s">
        <v>3961</v>
      </c>
      <c r="AC152" s="81">
        <f t="shared" si="5"/>
        <v>45985</v>
      </c>
      <c r="AD152" s="82">
        <f t="shared" si="6"/>
        <v>7</v>
      </c>
    </row>
    <row r="153">
      <c r="A153" s="96">
        <v>45991.84829861111</v>
      </c>
      <c r="B153" s="89" t="s">
        <v>579</v>
      </c>
      <c r="C153" s="89" t="s">
        <v>580</v>
      </c>
      <c r="D153" s="89" t="s">
        <v>581</v>
      </c>
      <c r="E153" s="90" t="s">
        <v>582</v>
      </c>
      <c r="F153" s="81">
        <f>IFERROR(__xludf.DUMMYFUNCTION("""COMPUTED_VALUE"""),45991.84829861111)</f>
        <v>45991.8483</v>
      </c>
      <c r="G153" s="89" t="s">
        <v>3959</v>
      </c>
      <c r="H153" s="89">
        <v>49.0</v>
      </c>
      <c r="I153" s="89" t="s">
        <v>3962</v>
      </c>
      <c r="J153" s="89" t="str">
        <f t="shared" si="18"/>
        <v>No</v>
      </c>
      <c r="K153" s="89" t="str">
        <f t="shared" si="23"/>
        <v>No</v>
      </c>
      <c r="L153" s="89" t="str">
        <f>IFERROR(__xludf.DUMMYFUNCTION("""COMPUTED_VALUE"""),"Torrance, CA")</f>
        <v>Torrance, CA</v>
      </c>
      <c r="M153" s="89" t="str">
        <f>IFERROR(__xludf.DUMMYFUNCTION("""COMPUTED_VALUE"""),"Reposted 1 hour ago")</f>
        <v>Reposted 1 hour ago</v>
      </c>
      <c r="N153" s="89">
        <f>IFERROR(__xludf.DUMMYFUNCTION("""COMPUTED_VALUE"""),1.0)</f>
        <v>1</v>
      </c>
      <c r="P153" s="52" t="str">
        <f t="shared" si="22"/>
        <v>0</v>
      </c>
      <c r="R153" s="52" t="str">
        <f t="shared" si="32"/>
        <v>Review</v>
      </c>
      <c r="Z153" s="81">
        <v>45991.0</v>
      </c>
      <c r="AA153" s="81" t="s">
        <v>3982</v>
      </c>
      <c r="AB153" s="81" t="s">
        <v>3961</v>
      </c>
      <c r="AC153" s="81">
        <f t="shared" si="5"/>
        <v>45985</v>
      </c>
      <c r="AD153" s="82">
        <f t="shared" si="6"/>
        <v>7</v>
      </c>
    </row>
    <row r="154">
      <c r="A154" s="96">
        <v>45991.84850694444</v>
      </c>
      <c r="B154" s="89" t="s">
        <v>583</v>
      </c>
      <c r="C154" s="89" t="s">
        <v>584</v>
      </c>
      <c r="D154" s="89" t="s">
        <v>585</v>
      </c>
      <c r="E154" s="90" t="s">
        <v>586</v>
      </c>
      <c r="F154" s="81">
        <f>IFERROR(__xludf.DUMMYFUNCTION("""COMPUTED_VALUE"""),45991.84850694444)</f>
        <v>45991.84851</v>
      </c>
      <c r="G154" s="89" t="s">
        <v>3959</v>
      </c>
      <c r="H154" s="89">
        <v>49.0</v>
      </c>
      <c r="I154" s="89" t="s">
        <v>3962</v>
      </c>
      <c r="J154" s="89" t="str">
        <f t="shared" si="18"/>
        <v>No</v>
      </c>
      <c r="K154" s="89" t="str">
        <f t="shared" si="23"/>
        <v>No</v>
      </c>
      <c r="L154" s="89" t="str">
        <f>IFERROR(__xludf.DUMMYFUNCTION("""COMPUTED_VALUE"""),"San Mateo, CA")</f>
        <v>San Mateo, CA</v>
      </c>
      <c r="M154" s="89" t="str">
        <f>IFERROR(__xludf.DUMMYFUNCTION("""COMPUTED_VALUE"""),"10 minutes ago")</f>
        <v>10 minutes ago</v>
      </c>
      <c r="N154" s="89">
        <f>IFERROR(__xludf.DUMMYFUNCTION("""COMPUTED_VALUE"""),10.0)</f>
        <v>10</v>
      </c>
      <c r="P154" s="52" t="str">
        <f t="shared" si="22"/>
        <v>0</v>
      </c>
      <c r="R154" s="52" t="str">
        <f t="shared" si="32"/>
        <v>Review</v>
      </c>
      <c r="Z154" s="81">
        <v>45991.0</v>
      </c>
      <c r="AA154" s="81" t="s">
        <v>3982</v>
      </c>
      <c r="AB154" s="81" t="s">
        <v>3961</v>
      </c>
      <c r="AC154" s="81">
        <f t="shared" si="5"/>
        <v>45985</v>
      </c>
      <c r="AD154" s="82">
        <f t="shared" si="6"/>
        <v>7</v>
      </c>
    </row>
    <row r="155">
      <c r="A155" s="96">
        <v>45991.851689814815</v>
      </c>
      <c r="B155" s="89" t="s">
        <v>587</v>
      </c>
      <c r="C155" s="89" t="s">
        <v>588</v>
      </c>
      <c r="D155" s="89" t="s">
        <v>589</v>
      </c>
      <c r="E155" s="90" t="s">
        <v>590</v>
      </c>
      <c r="F155" s="81">
        <f>IFERROR(__xludf.DUMMYFUNCTION("""COMPUTED_VALUE"""),45991.851689814815)</f>
        <v>45991.85169</v>
      </c>
      <c r="G155" s="89" t="s">
        <v>3959</v>
      </c>
      <c r="H155" s="89">
        <v>49.0</v>
      </c>
      <c r="I155" s="89" t="s">
        <v>3962</v>
      </c>
      <c r="J155" s="89" t="str">
        <f t="shared" si="18"/>
        <v>No</v>
      </c>
      <c r="K155" s="89" t="str">
        <f t="shared" si="23"/>
        <v>No</v>
      </c>
      <c r="L155" s="89" t="str">
        <f>IFERROR(__xludf.DUMMYFUNCTION("""COMPUTED_VALUE"""),"Denver, CO")</f>
        <v>Denver, CO</v>
      </c>
      <c r="M155" s="89" t="str">
        <f>IFERROR(__xludf.DUMMYFUNCTION("""COMPUTED_VALUE"""),"2 hours ago")</f>
        <v>2 hours ago</v>
      </c>
      <c r="N155" s="89">
        <f>IFERROR(__xludf.DUMMYFUNCTION("""COMPUTED_VALUE"""),2.0)</f>
        <v>2</v>
      </c>
      <c r="P155" s="52" t="str">
        <f t="shared" si="22"/>
        <v>0</v>
      </c>
      <c r="R155" s="52" t="str">
        <f t="shared" si="32"/>
        <v>Review</v>
      </c>
      <c r="Z155" s="81">
        <v>45991.0</v>
      </c>
      <c r="AA155" s="81" t="s">
        <v>3982</v>
      </c>
      <c r="AB155" s="81" t="s">
        <v>3961</v>
      </c>
      <c r="AC155" s="81">
        <f t="shared" si="5"/>
        <v>45985</v>
      </c>
      <c r="AD155" s="82">
        <f t="shared" si="6"/>
        <v>7</v>
      </c>
    </row>
    <row r="156">
      <c r="A156" s="96">
        <v>45991.85833333333</v>
      </c>
      <c r="B156" s="89" t="s">
        <v>591</v>
      </c>
      <c r="C156" s="89" t="s">
        <v>592</v>
      </c>
      <c r="D156" s="89" t="s">
        <v>593</v>
      </c>
      <c r="E156" s="90" t="s">
        <v>594</v>
      </c>
      <c r="F156" s="81">
        <f>IFERROR(__xludf.DUMMYFUNCTION("""COMPUTED_VALUE"""),45991.85833333333)</f>
        <v>45991.85833</v>
      </c>
      <c r="G156" s="89" t="s">
        <v>3959</v>
      </c>
      <c r="H156" s="89">
        <v>49.0</v>
      </c>
      <c r="I156" s="89" t="s">
        <v>3962</v>
      </c>
      <c r="J156" s="89" t="str">
        <f t="shared" si="18"/>
        <v>No</v>
      </c>
      <c r="K156" s="89" t="str">
        <f t="shared" si="23"/>
        <v>No</v>
      </c>
      <c r="L156" s="89" t="str">
        <f>IFERROR(__xludf.DUMMYFUNCTION("""COMPUTED_VALUE"""),"United States")</f>
        <v>United States</v>
      </c>
      <c r="M156" s="89" t="str">
        <f>IFERROR(__xludf.DUMMYFUNCTION("""COMPUTED_VALUE"""),"2 hours ago")</f>
        <v>2 hours ago</v>
      </c>
      <c r="N156" s="89">
        <f>IFERROR(__xludf.DUMMYFUNCTION("""COMPUTED_VALUE"""),2.0)</f>
        <v>2</v>
      </c>
      <c r="P156" s="52" t="str">
        <f t="shared" si="22"/>
        <v>0</v>
      </c>
      <c r="R156" s="52" t="str">
        <f t="shared" si="32"/>
        <v>Review</v>
      </c>
      <c r="Z156" s="81">
        <v>45991.0</v>
      </c>
      <c r="AA156" s="81" t="s">
        <v>3982</v>
      </c>
      <c r="AB156" s="81" t="s">
        <v>3961</v>
      </c>
      <c r="AC156" s="81">
        <f t="shared" si="5"/>
        <v>45985</v>
      </c>
      <c r="AD156" s="82">
        <f t="shared" si="6"/>
        <v>7</v>
      </c>
    </row>
    <row r="157">
      <c r="A157" s="96">
        <v>45991.858506944445</v>
      </c>
      <c r="B157" s="89" t="s">
        <v>595</v>
      </c>
      <c r="C157" s="89" t="s">
        <v>596</v>
      </c>
      <c r="D157" s="89" t="s">
        <v>597</v>
      </c>
      <c r="E157" s="90" t="s">
        <v>598</v>
      </c>
      <c r="F157" s="81">
        <f>IFERROR(__xludf.DUMMYFUNCTION("""COMPUTED_VALUE"""),45991.858506944445)</f>
        <v>45991.85851</v>
      </c>
      <c r="G157" s="89" t="s">
        <v>3959</v>
      </c>
      <c r="H157" s="89">
        <v>49.0</v>
      </c>
      <c r="I157" s="89" t="s">
        <v>3962</v>
      </c>
      <c r="J157" s="89" t="str">
        <f t="shared" si="18"/>
        <v>No</v>
      </c>
      <c r="K157" s="89" t="str">
        <f t="shared" si="23"/>
        <v>No</v>
      </c>
      <c r="L157" s="89" t="str">
        <f>IFERROR(__xludf.DUMMYFUNCTION("""COMPUTED_VALUE"""),"Tysons Corner, VA")</f>
        <v>Tysons Corner, VA</v>
      </c>
      <c r="M157" s="89" t="str">
        <f>IFERROR(__xludf.DUMMYFUNCTION("""COMPUTED_VALUE"""),"2 hours ago")</f>
        <v>2 hours ago</v>
      </c>
      <c r="N157" s="89">
        <f>IFERROR(__xludf.DUMMYFUNCTION("""COMPUTED_VALUE"""),2.0)</f>
        <v>2</v>
      </c>
      <c r="P157" s="52" t="str">
        <f t="shared" si="22"/>
        <v>0</v>
      </c>
      <c r="R157" s="52" t="str">
        <f t="shared" si="32"/>
        <v>Review</v>
      </c>
      <c r="Z157" s="81">
        <v>45991.0</v>
      </c>
      <c r="AA157" s="81" t="s">
        <v>3982</v>
      </c>
      <c r="AB157" s="81" t="s">
        <v>3961</v>
      </c>
      <c r="AC157" s="81">
        <f t="shared" si="5"/>
        <v>45985</v>
      </c>
      <c r="AD157" s="82">
        <f t="shared" si="6"/>
        <v>7</v>
      </c>
    </row>
    <row r="158">
      <c r="A158" s="96">
        <v>45991.85870370371</v>
      </c>
      <c r="B158" s="89" t="s">
        <v>599</v>
      </c>
      <c r="C158" s="89" t="s">
        <v>600</v>
      </c>
      <c r="D158" s="89" t="s">
        <v>601</v>
      </c>
      <c r="E158" s="90" t="s">
        <v>602</v>
      </c>
      <c r="F158" s="81">
        <f>IFERROR(__xludf.DUMMYFUNCTION("""COMPUTED_VALUE"""),45991.85870370371)</f>
        <v>45991.8587</v>
      </c>
      <c r="G158" s="89" t="s">
        <v>3959</v>
      </c>
      <c r="H158" s="89">
        <v>49.0</v>
      </c>
      <c r="I158" s="89" t="s">
        <v>3962</v>
      </c>
      <c r="J158" s="89" t="str">
        <f t="shared" si="18"/>
        <v>No</v>
      </c>
      <c r="K158" s="89" t="str">
        <f t="shared" si="23"/>
        <v>No</v>
      </c>
      <c r="L158" s="89" t="str">
        <f>IFERROR(__xludf.DUMMYFUNCTION("""COMPUTED_VALUE"""),"United States")</f>
        <v>United States</v>
      </c>
      <c r="M158" s="89" t="str">
        <f>IFERROR(__xludf.DUMMYFUNCTION("""COMPUTED_VALUE"""),"Reposted 1 hour ago")</f>
        <v>Reposted 1 hour ago</v>
      </c>
      <c r="N158" s="89">
        <f>IFERROR(__xludf.DUMMYFUNCTION("""COMPUTED_VALUE"""),1.0)</f>
        <v>1</v>
      </c>
      <c r="P158" s="52" t="str">
        <f t="shared" si="22"/>
        <v>0</v>
      </c>
      <c r="R158" s="52" t="str">
        <f t="shared" si="32"/>
        <v>Review</v>
      </c>
      <c r="Z158" s="81">
        <v>45991.0</v>
      </c>
      <c r="AA158" s="81" t="s">
        <v>3982</v>
      </c>
      <c r="AB158" s="81" t="s">
        <v>3961</v>
      </c>
      <c r="AC158" s="81">
        <f t="shared" si="5"/>
        <v>45985</v>
      </c>
      <c r="AD158" s="82">
        <f t="shared" si="6"/>
        <v>7</v>
      </c>
    </row>
    <row r="159">
      <c r="A159" s="96">
        <v>45991.879375</v>
      </c>
      <c r="B159" s="89" t="s">
        <v>603</v>
      </c>
      <c r="C159" s="89" t="s">
        <v>488</v>
      </c>
      <c r="D159" s="89" t="s">
        <v>604</v>
      </c>
      <c r="E159" s="90" t="s">
        <v>605</v>
      </c>
      <c r="F159" s="81">
        <f>IFERROR(__xludf.DUMMYFUNCTION("""COMPUTED_VALUE"""),45991.879375)</f>
        <v>45991.87938</v>
      </c>
      <c r="G159" s="89" t="s">
        <v>3959</v>
      </c>
      <c r="H159" s="89">
        <v>49.0</v>
      </c>
      <c r="I159" s="89" t="s">
        <v>3962</v>
      </c>
      <c r="J159" s="89" t="str">
        <f t="shared" si="18"/>
        <v>No</v>
      </c>
      <c r="K159" s="89" t="str">
        <f t="shared" si="23"/>
        <v>No</v>
      </c>
      <c r="L159" s="89" t="str">
        <f>IFERROR(__xludf.DUMMYFUNCTION("""COMPUTED_VALUE"""),"San Francisco, CA")</f>
        <v>San Francisco, CA</v>
      </c>
      <c r="M159" s="89" t="str">
        <f>IFERROR(__xludf.DUMMYFUNCTION("""COMPUTED_VALUE"""),"Reposted 3 hours ago")</f>
        <v>Reposted 3 hours ago</v>
      </c>
      <c r="N159" s="89">
        <f>IFERROR(__xludf.DUMMYFUNCTION("""COMPUTED_VALUE"""),3.0)</f>
        <v>3</v>
      </c>
      <c r="P159" s="52" t="str">
        <f t="shared" si="22"/>
        <v>0</v>
      </c>
      <c r="R159" s="52" t="str">
        <f t="shared" si="32"/>
        <v>Review</v>
      </c>
      <c r="Z159" s="81">
        <v>45991.0</v>
      </c>
      <c r="AA159" s="81" t="s">
        <v>3982</v>
      </c>
      <c r="AB159" s="81" t="s">
        <v>3961</v>
      </c>
      <c r="AC159" s="81">
        <f t="shared" si="5"/>
        <v>45985</v>
      </c>
      <c r="AD159" s="82">
        <f t="shared" si="6"/>
        <v>7</v>
      </c>
    </row>
    <row r="160">
      <c r="A160" s="96">
        <v>45991.88025462963</v>
      </c>
      <c r="B160" s="89" t="s">
        <v>606</v>
      </c>
      <c r="C160" s="89" t="s">
        <v>596</v>
      </c>
      <c r="D160" s="89" t="s">
        <v>607</v>
      </c>
      <c r="E160" s="90" t="s">
        <v>608</v>
      </c>
      <c r="F160" s="81">
        <f>IFERROR(__xludf.DUMMYFUNCTION("""COMPUTED_VALUE"""),45991.88025462963)</f>
        <v>45991.88025</v>
      </c>
      <c r="G160" s="89" t="s">
        <v>3959</v>
      </c>
      <c r="H160" s="89">
        <v>49.0</v>
      </c>
      <c r="I160" s="89" t="s">
        <v>3962</v>
      </c>
      <c r="J160" s="89" t="str">
        <f t="shared" si="18"/>
        <v>No</v>
      </c>
      <c r="K160" s="89" t="str">
        <f t="shared" si="23"/>
        <v>No</v>
      </c>
      <c r="L160" s="89" t="str">
        <f>IFERROR(__xludf.DUMMYFUNCTION("""COMPUTED_VALUE"""),"Tysons Corner, VA")</f>
        <v>Tysons Corner, VA</v>
      </c>
      <c r="M160" s="89" t="str">
        <f>IFERROR(__xludf.DUMMYFUNCTION("""COMPUTED_VALUE"""),"2 hours ago")</f>
        <v>2 hours ago</v>
      </c>
      <c r="N160" s="89">
        <f>IFERROR(__xludf.DUMMYFUNCTION("""COMPUTED_VALUE"""),2.0)</f>
        <v>2</v>
      </c>
      <c r="P160" s="52" t="str">
        <f t="shared" si="22"/>
        <v>0</v>
      </c>
      <c r="R160" s="52" t="str">
        <f t="shared" si="32"/>
        <v>Review</v>
      </c>
      <c r="Z160" s="81">
        <v>45991.0</v>
      </c>
      <c r="AA160" s="81" t="s">
        <v>3982</v>
      </c>
      <c r="AB160" s="81" t="s">
        <v>3961</v>
      </c>
      <c r="AC160" s="81">
        <f t="shared" si="5"/>
        <v>45985</v>
      </c>
      <c r="AD160" s="82">
        <f t="shared" si="6"/>
        <v>7</v>
      </c>
    </row>
    <row r="161">
      <c r="A161" s="96">
        <v>45991.88037037037</v>
      </c>
      <c r="B161" s="89" t="s">
        <v>609</v>
      </c>
      <c r="C161" s="89" t="s">
        <v>610</v>
      </c>
      <c r="D161" s="89" t="s">
        <v>611</v>
      </c>
      <c r="E161" s="90" t="s">
        <v>612</v>
      </c>
      <c r="F161" s="81">
        <f>IFERROR(__xludf.DUMMYFUNCTION("""COMPUTED_VALUE"""),45991.88037037037)</f>
        <v>45991.88037</v>
      </c>
      <c r="G161" s="89" t="s">
        <v>3959</v>
      </c>
      <c r="H161" s="89">
        <v>49.0</v>
      </c>
      <c r="I161" s="89" t="s">
        <v>3962</v>
      </c>
      <c r="J161" s="89" t="str">
        <f t="shared" si="18"/>
        <v>No</v>
      </c>
      <c r="K161" s="89" t="str">
        <f t="shared" si="23"/>
        <v>No</v>
      </c>
      <c r="L161" s="89" t="str">
        <f>IFERROR(__xludf.DUMMYFUNCTION("""COMPUTED_VALUE"""),"Greater Pittsburgh Region")</f>
        <v>Greater Pittsburgh Region</v>
      </c>
      <c r="M161" s="89" t="str">
        <f>IFERROR(__xludf.DUMMYFUNCTION("""COMPUTED_VALUE"""),"Reposted 40 minutes ago")</f>
        <v>Reposted 40 minutes ago</v>
      </c>
      <c r="N161" s="89">
        <f>IFERROR(__xludf.DUMMYFUNCTION("""COMPUTED_VALUE"""),40.0)</f>
        <v>40</v>
      </c>
      <c r="P161" s="52" t="str">
        <f t="shared" si="22"/>
        <v>0</v>
      </c>
      <c r="R161" s="52" t="str">
        <f t="shared" si="32"/>
        <v>Review</v>
      </c>
      <c r="Z161" s="81">
        <v>45991.0</v>
      </c>
      <c r="AA161" s="81" t="s">
        <v>3982</v>
      </c>
      <c r="AB161" s="81" t="s">
        <v>3961</v>
      </c>
      <c r="AC161" s="81">
        <f t="shared" si="5"/>
        <v>45985</v>
      </c>
      <c r="AD161" s="82">
        <f t="shared" si="6"/>
        <v>7</v>
      </c>
    </row>
    <row r="162">
      <c r="A162" s="96">
        <v>45991.880532407406</v>
      </c>
      <c r="B162" s="89" t="s">
        <v>613</v>
      </c>
      <c r="C162" s="89" t="s">
        <v>614</v>
      </c>
      <c r="D162" s="89" t="s">
        <v>615</v>
      </c>
      <c r="E162" s="90" t="s">
        <v>616</v>
      </c>
      <c r="F162" s="81">
        <f>IFERROR(__xludf.DUMMYFUNCTION("""COMPUTED_VALUE"""),45991.880532407406)</f>
        <v>45991.88053</v>
      </c>
      <c r="G162" s="89" t="s">
        <v>3959</v>
      </c>
      <c r="H162" s="89">
        <v>49.0</v>
      </c>
      <c r="I162" s="89" t="s">
        <v>3962</v>
      </c>
      <c r="J162" s="89" t="str">
        <f t="shared" si="18"/>
        <v>No</v>
      </c>
      <c r="K162" s="89" t="str">
        <f t="shared" si="23"/>
        <v>No</v>
      </c>
      <c r="L162" s="89" t="str">
        <f>IFERROR(__xludf.DUMMYFUNCTION("""COMPUTED_VALUE"""),"New York, United States")</f>
        <v>New York, United States</v>
      </c>
      <c r="M162" s="89" t="str">
        <f>IFERROR(__xludf.DUMMYFUNCTION("""COMPUTED_VALUE"""),"Reposted 43 minutes ago")</f>
        <v>Reposted 43 minutes ago</v>
      </c>
      <c r="N162" s="89">
        <f>IFERROR(__xludf.DUMMYFUNCTION("""COMPUTED_VALUE"""),43.0)</f>
        <v>43</v>
      </c>
      <c r="P162" s="52" t="str">
        <f t="shared" si="22"/>
        <v>0</v>
      </c>
      <c r="R162" s="52" t="str">
        <f t="shared" si="32"/>
        <v>Review</v>
      </c>
      <c r="Z162" s="81">
        <v>45991.0</v>
      </c>
      <c r="AA162" s="81" t="s">
        <v>3982</v>
      </c>
      <c r="AB162" s="81" t="s">
        <v>3961</v>
      </c>
      <c r="AC162" s="81">
        <f t="shared" si="5"/>
        <v>45985</v>
      </c>
      <c r="AD162" s="82">
        <f t="shared" si="6"/>
        <v>7</v>
      </c>
    </row>
    <row r="163">
      <c r="A163" s="96">
        <v>45991.8819212963</v>
      </c>
      <c r="B163" s="89" t="s">
        <v>617</v>
      </c>
      <c r="C163" s="89" t="s">
        <v>618</v>
      </c>
      <c r="D163" s="89" t="s">
        <v>619</v>
      </c>
      <c r="E163" s="90" t="s">
        <v>620</v>
      </c>
      <c r="F163" s="81">
        <f>IFERROR(__xludf.DUMMYFUNCTION("""COMPUTED_VALUE"""),45991.8819212963)</f>
        <v>45991.88192</v>
      </c>
      <c r="G163" s="89" t="s">
        <v>3959</v>
      </c>
      <c r="H163" s="89">
        <v>49.0</v>
      </c>
      <c r="I163" s="89" t="s">
        <v>3962</v>
      </c>
      <c r="J163" s="89" t="str">
        <f t="shared" si="18"/>
        <v>No</v>
      </c>
      <c r="K163" s="89" t="str">
        <f t="shared" si="23"/>
        <v>No</v>
      </c>
      <c r="L163" s="89" t="str">
        <f>IFERROR(__xludf.DUMMYFUNCTION("""COMPUTED_VALUE"""),"United States")</f>
        <v>United States</v>
      </c>
      <c r="M163" s="89" t="str">
        <f>IFERROR(__xludf.DUMMYFUNCTION("""COMPUTED_VALUE"""),"28 minutes ago")</f>
        <v>28 minutes ago</v>
      </c>
      <c r="N163" s="89">
        <f>IFERROR(__xludf.DUMMYFUNCTION("""COMPUTED_VALUE"""),28.0)</f>
        <v>28</v>
      </c>
      <c r="P163" s="52" t="str">
        <f t="shared" si="22"/>
        <v>0</v>
      </c>
      <c r="R163" s="52" t="str">
        <f t="shared" si="32"/>
        <v>Review</v>
      </c>
      <c r="Z163" s="81">
        <v>45991.0</v>
      </c>
      <c r="AA163" s="81" t="s">
        <v>3982</v>
      </c>
      <c r="AB163" s="81" t="s">
        <v>3961</v>
      </c>
      <c r="AC163" s="81">
        <f t="shared" si="5"/>
        <v>45985</v>
      </c>
      <c r="AD163" s="82">
        <f t="shared" si="6"/>
        <v>7</v>
      </c>
    </row>
    <row r="164">
      <c r="A164" s="96">
        <v>45991.88380787037</v>
      </c>
      <c r="B164" s="89" t="s">
        <v>621</v>
      </c>
      <c r="C164" s="89" t="s">
        <v>600</v>
      </c>
      <c r="D164" s="89" t="s">
        <v>622</v>
      </c>
      <c r="E164" s="90" t="s">
        <v>623</v>
      </c>
      <c r="F164" s="81">
        <f>IFERROR(__xludf.DUMMYFUNCTION("""COMPUTED_VALUE"""),45991.88380787037)</f>
        <v>45991.88381</v>
      </c>
      <c r="G164" s="89" t="s">
        <v>3959</v>
      </c>
      <c r="H164" s="89">
        <v>49.0</v>
      </c>
      <c r="I164" s="89" t="s">
        <v>3962</v>
      </c>
      <c r="J164" s="89" t="str">
        <f t="shared" si="18"/>
        <v>No</v>
      </c>
      <c r="K164" s="89" t="str">
        <f t="shared" si="23"/>
        <v>No</v>
      </c>
      <c r="L164" s="89" t="str">
        <f>IFERROR(__xludf.DUMMYFUNCTION("""COMPUTED_VALUE"""),"Dallas, TX")</f>
        <v>Dallas, TX</v>
      </c>
      <c r="M164" s="89" t="str">
        <f>IFERROR(__xludf.DUMMYFUNCTION("""COMPUTED_VALUE"""),"Reposted 2 hours ago")</f>
        <v>Reposted 2 hours ago</v>
      </c>
      <c r="N164" s="89">
        <f>IFERROR(__xludf.DUMMYFUNCTION("""COMPUTED_VALUE"""),2.0)</f>
        <v>2</v>
      </c>
      <c r="P164" s="52" t="str">
        <f t="shared" si="22"/>
        <v>0</v>
      </c>
      <c r="R164" s="52" t="str">
        <f t="shared" si="32"/>
        <v>Review</v>
      </c>
      <c r="Z164" s="81">
        <v>45991.0</v>
      </c>
      <c r="AA164" s="81" t="s">
        <v>3982</v>
      </c>
      <c r="AB164" s="81" t="s">
        <v>3961</v>
      </c>
      <c r="AC164" s="81">
        <f t="shared" si="5"/>
        <v>45985</v>
      </c>
      <c r="AD164" s="82">
        <f t="shared" si="6"/>
        <v>7</v>
      </c>
    </row>
    <row r="165">
      <c r="A165" s="96">
        <v>45991.88413194445</v>
      </c>
      <c r="B165" s="89" t="s">
        <v>624</v>
      </c>
      <c r="C165" s="89" t="s">
        <v>625</v>
      </c>
      <c r="D165" s="89" t="s">
        <v>626</v>
      </c>
      <c r="E165" s="90" t="s">
        <v>627</v>
      </c>
      <c r="F165" s="81">
        <f>IFERROR(__xludf.DUMMYFUNCTION("""COMPUTED_VALUE"""),45991.88413194445)</f>
        <v>45991.88413</v>
      </c>
      <c r="G165" s="89" t="s">
        <v>3959</v>
      </c>
      <c r="H165" s="89">
        <v>49.0</v>
      </c>
      <c r="I165" s="89" t="s">
        <v>3962</v>
      </c>
      <c r="J165" s="89" t="str">
        <f t="shared" si="18"/>
        <v>No</v>
      </c>
      <c r="K165" s="89" t="str">
        <f t="shared" si="23"/>
        <v>No</v>
      </c>
      <c r="L165" s="89" t="str">
        <f>IFERROR(__xludf.DUMMYFUNCTION("""COMPUTED_VALUE"""),"Washington, DC")</f>
        <v>Washington, DC</v>
      </c>
      <c r="M165" s="89" t="str">
        <f>IFERROR(__xludf.DUMMYFUNCTION("""COMPUTED_VALUE"""),"11 minutes ago")</f>
        <v>11 minutes ago</v>
      </c>
      <c r="N165" s="89">
        <f>IFERROR(__xludf.DUMMYFUNCTION("""COMPUTED_VALUE"""),11.0)</f>
        <v>11</v>
      </c>
      <c r="P165" s="52" t="str">
        <f t="shared" si="22"/>
        <v>0</v>
      </c>
      <c r="R165" s="52" t="str">
        <f t="shared" si="32"/>
        <v>Review</v>
      </c>
      <c r="Z165" s="81">
        <v>45991.0</v>
      </c>
      <c r="AA165" s="81" t="s">
        <v>3982</v>
      </c>
      <c r="AB165" s="81" t="s">
        <v>3961</v>
      </c>
      <c r="AC165" s="81">
        <f t="shared" si="5"/>
        <v>45985</v>
      </c>
      <c r="AD165" s="82">
        <f t="shared" si="6"/>
        <v>7</v>
      </c>
    </row>
    <row r="166">
      <c r="A166" s="96">
        <v>45998.02023148148</v>
      </c>
      <c r="B166" s="89" t="s">
        <v>529</v>
      </c>
      <c r="C166" s="89" t="s">
        <v>161</v>
      </c>
      <c r="D166" s="89" t="s">
        <v>628</v>
      </c>
      <c r="E166" s="90" t="s">
        <v>629</v>
      </c>
      <c r="F166" s="81">
        <f>IFERROR(__xludf.DUMMYFUNCTION("""COMPUTED_VALUE"""),45998.02023148148)</f>
        <v>45998.02023</v>
      </c>
      <c r="G166" s="89" t="s">
        <v>3983</v>
      </c>
      <c r="H166" s="89">
        <v>50.0</v>
      </c>
      <c r="I166" s="89" t="s">
        <v>3962</v>
      </c>
      <c r="J166" s="89" t="str">
        <f t="shared" si="18"/>
        <v>No</v>
      </c>
      <c r="K166" s="89" t="str">
        <f t="shared" si="23"/>
        <v>No</v>
      </c>
      <c r="L166" s="89" t="str">
        <f>IFERROR(__xludf.DUMMYFUNCTION("""COMPUTED_VALUE"""),"Mountain View, CA")</f>
        <v>Mountain View, CA</v>
      </c>
      <c r="M166" s="89" t="str">
        <f>IFERROR(__xludf.DUMMYFUNCTION("""COMPUTED_VALUE"""),"1 hour ago")</f>
        <v>1 hour ago</v>
      </c>
      <c r="N166" s="89">
        <f>IFERROR(__xludf.DUMMYFUNCTION("""COMPUTED_VALUE"""),1.0)</f>
        <v>1</v>
      </c>
      <c r="P166" s="52" t="str">
        <f t="shared" si="22"/>
        <v>0</v>
      </c>
      <c r="R166" s="52" t="str">
        <f t="shared" si="32"/>
        <v>Review</v>
      </c>
      <c r="Z166" s="81">
        <v>45998.0</v>
      </c>
      <c r="AA166" s="81" t="s">
        <v>3984</v>
      </c>
      <c r="AB166" s="81" t="s">
        <v>3985</v>
      </c>
      <c r="AC166" s="81">
        <f t="shared" si="5"/>
        <v>45992</v>
      </c>
      <c r="AD166" s="82">
        <f t="shared" si="6"/>
        <v>7</v>
      </c>
    </row>
    <row r="167">
      <c r="A167" s="96">
        <v>45998.021458333336</v>
      </c>
      <c r="B167" s="89" t="s">
        <v>630</v>
      </c>
      <c r="C167" s="89" t="s">
        <v>631</v>
      </c>
      <c r="D167" s="89" t="s">
        <v>632</v>
      </c>
      <c r="E167" s="90" t="s">
        <v>633</v>
      </c>
      <c r="F167" s="81">
        <f>IFERROR(__xludf.DUMMYFUNCTION("""COMPUTED_VALUE"""),45998.021458333336)</f>
        <v>45998.02146</v>
      </c>
      <c r="G167" s="89" t="s">
        <v>3983</v>
      </c>
      <c r="H167" s="89">
        <v>50.0</v>
      </c>
      <c r="I167" s="89" t="s">
        <v>3962</v>
      </c>
      <c r="J167" s="89" t="str">
        <f t="shared" si="18"/>
        <v>No</v>
      </c>
      <c r="K167" s="89" t="str">
        <f t="shared" si="23"/>
        <v>No</v>
      </c>
      <c r="L167" s="89" t="str">
        <f>IFERROR(__xludf.DUMMYFUNCTION("""COMPUTED_VALUE"""),"Massachusetts, United States")</f>
        <v>Massachusetts, United States</v>
      </c>
      <c r="M167" s="89" t="str">
        <f>IFERROR(__xludf.DUMMYFUNCTION("""COMPUTED_VALUE"""),"2 hours ago")</f>
        <v>2 hours ago</v>
      </c>
      <c r="N167" s="89">
        <f>IFERROR(__xludf.DUMMYFUNCTION("""COMPUTED_VALUE"""),2.0)</f>
        <v>2</v>
      </c>
      <c r="P167" s="52" t="str">
        <f t="shared" si="22"/>
        <v>0</v>
      </c>
      <c r="R167" s="52" t="str">
        <f t="shared" si="32"/>
        <v>Review</v>
      </c>
      <c r="Z167" s="81">
        <v>45998.0</v>
      </c>
      <c r="AA167" s="81" t="s">
        <v>3984</v>
      </c>
      <c r="AB167" s="81" t="s">
        <v>3985</v>
      </c>
      <c r="AC167" s="81">
        <f t="shared" si="5"/>
        <v>45992</v>
      </c>
      <c r="AD167" s="82">
        <f t="shared" si="6"/>
        <v>7</v>
      </c>
    </row>
    <row r="168">
      <c r="A168" s="96">
        <v>46000.021527777775</v>
      </c>
      <c r="B168" s="89" t="s">
        <v>634</v>
      </c>
      <c r="C168" s="89" t="s">
        <v>635</v>
      </c>
      <c r="D168" s="89" t="s">
        <v>636</v>
      </c>
      <c r="E168" s="90" t="s">
        <v>637</v>
      </c>
      <c r="F168" s="81">
        <f>IFERROR(__xludf.DUMMYFUNCTION("""COMPUTED_VALUE"""),46000.021527777775)</f>
        <v>46000.02153</v>
      </c>
      <c r="G168" s="89" t="s">
        <v>3983</v>
      </c>
      <c r="H168" s="89">
        <v>50.0</v>
      </c>
      <c r="I168" s="89" t="s">
        <v>3966</v>
      </c>
      <c r="J168" s="89" t="str">
        <f t="shared" si="18"/>
        <v>No</v>
      </c>
      <c r="K168" s="89" t="str">
        <f t="shared" si="23"/>
        <v>No</v>
      </c>
      <c r="L168" s="89" t="str">
        <f>IFERROR(__xludf.DUMMYFUNCTION("""COMPUTED_VALUE"""),"Cranford, NJ")</f>
        <v>Cranford, NJ</v>
      </c>
      <c r="M168" s="89" t="str">
        <f>IFERROR(__xludf.DUMMYFUNCTION("""COMPUTED_VALUE"""),"Reposted 3 days ago")</f>
        <v>Reposted 3 days ago</v>
      </c>
      <c r="N168" s="89">
        <f>IFERROR(__xludf.DUMMYFUNCTION("""COMPUTED_VALUE"""),3.0)</f>
        <v>3</v>
      </c>
      <c r="P168" s="52" t="str">
        <f t="shared" si="22"/>
        <v>0</v>
      </c>
      <c r="R168" s="52" t="str">
        <f t="shared" si="32"/>
        <v>Review</v>
      </c>
      <c r="Z168" s="81">
        <v>46000.0</v>
      </c>
      <c r="AA168" s="81" t="s">
        <v>3986</v>
      </c>
      <c r="AB168" s="81" t="s">
        <v>3985</v>
      </c>
      <c r="AC168" s="81">
        <f t="shared" si="5"/>
        <v>45999</v>
      </c>
      <c r="AD168" s="82">
        <f t="shared" si="6"/>
        <v>2</v>
      </c>
    </row>
    <row r="169">
      <c r="A169" s="96">
        <v>46000.0215625</v>
      </c>
      <c r="B169" s="89" t="s">
        <v>638</v>
      </c>
      <c r="C169" s="89" t="s">
        <v>635</v>
      </c>
      <c r="D169" s="89" t="s">
        <v>639</v>
      </c>
      <c r="E169" s="90" t="s">
        <v>640</v>
      </c>
      <c r="F169" s="81">
        <f>IFERROR(__xludf.DUMMYFUNCTION("""COMPUTED_VALUE"""),46000.0215625)</f>
        <v>46000.02156</v>
      </c>
      <c r="G169" s="89" t="s">
        <v>3983</v>
      </c>
      <c r="H169" s="89">
        <v>50.0</v>
      </c>
      <c r="I169" s="89" t="s">
        <v>3966</v>
      </c>
      <c r="J169" s="89" t="str">
        <f t="shared" si="18"/>
        <v>No</v>
      </c>
      <c r="K169" s="89" t="str">
        <f t="shared" si="23"/>
        <v>No</v>
      </c>
      <c r="L169" s="89" t="str">
        <f>IFERROR(__xludf.DUMMYFUNCTION("""COMPUTED_VALUE"""),"Lone Tree, CO")</f>
        <v>Lone Tree, CO</v>
      </c>
      <c r="M169" s="89" t="str">
        <f>IFERROR(__xludf.DUMMYFUNCTION("""COMPUTED_VALUE"""),"Reposted 1 day ago")</f>
        <v>Reposted 1 day ago</v>
      </c>
      <c r="N169" s="89">
        <f>IFERROR(__xludf.DUMMYFUNCTION("""COMPUTED_VALUE"""),1.0)</f>
        <v>1</v>
      </c>
      <c r="P169" s="52" t="str">
        <f t="shared" si="22"/>
        <v>0</v>
      </c>
      <c r="R169" s="52" t="str">
        <f t="shared" si="32"/>
        <v>Review</v>
      </c>
      <c r="Z169" s="81">
        <v>46000.0</v>
      </c>
      <c r="AA169" s="81" t="s">
        <v>3986</v>
      </c>
      <c r="AB169" s="81" t="s">
        <v>3985</v>
      </c>
      <c r="AC169" s="81">
        <f t="shared" si="5"/>
        <v>45999</v>
      </c>
      <c r="AD169" s="82">
        <f t="shared" si="6"/>
        <v>2</v>
      </c>
    </row>
    <row r="170">
      <c r="A170" s="96">
        <v>46000.021678240744</v>
      </c>
      <c r="B170" s="89" t="s">
        <v>641</v>
      </c>
      <c r="C170" s="89" t="s">
        <v>635</v>
      </c>
      <c r="D170" s="89" t="s">
        <v>642</v>
      </c>
      <c r="E170" s="90" t="s">
        <v>643</v>
      </c>
      <c r="F170" s="81">
        <f>IFERROR(__xludf.DUMMYFUNCTION("""COMPUTED_VALUE"""),46000.021678240744)</f>
        <v>46000.02168</v>
      </c>
      <c r="G170" s="89" t="s">
        <v>3983</v>
      </c>
      <c r="H170" s="89">
        <v>50.0</v>
      </c>
      <c r="I170" s="89" t="s">
        <v>3966</v>
      </c>
      <c r="J170" s="89" t="str">
        <f t="shared" si="18"/>
        <v>No</v>
      </c>
      <c r="K170" s="89" t="str">
        <f t="shared" si="23"/>
        <v>No</v>
      </c>
      <c r="L170" s="89" t="str">
        <f>IFERROR(__xludf.DUMMYFUNCTION("""COMPUTED_VALUE"""),"Washington, DC")</f>
        <v>Washington, DC</v>
      </c>
      <c r="M170" s="89" t="str">
        <f>IFERROR(__xludf.DUMMYFUNCTION("""COMPUTED_VALUE"""),"Reposted 1 week ago")</f>
        <v>Reposted 1 week ago</v>
      </c>
      <c r="N170" s="89">
        <f>IFERROR(__xludf.DUMMYFUNCTION("""COMPUTED_VALUE"""),1.0)</f>
        <v>1</v>
      </c>
      <c r="P170" s="52" t="str">
        <f t="shared" si="22"/>
        <v>0</v>
      </c>
      <c r="R170" s="52" t="str">
        <f t="shared" si="32"/>
        <v>Review</v>
      </c>
      <c r="Z170" s="81">
        <v>46000.0</v>
      </c>
      <c r="AA170" s="81" t="s">
        <v>3986</v>
      </c>
      <c r="AB170" s="81" t="s">
        <v>3985</v>
      </c>
      <c r="AC170" s="81">
        <f t="shared" si="5"/>
        <v>45999</v>
      </c>
      <c r="AD170" s="82">
        <f t="shared" si="6"/>
        <v>2</v>
      </c>
    </row>
    <row r="171">
      <c r="A171" s="96">
        <v>46000.021782407406</v>
      </c>
      <c r="B171" s="89" t="s">
        <v>644</v>
      </c>
      <c r="C171" s="89" t="s">
        <v>635</v>
      </c>
      <c r="D171" s="89" t="s">
        <v>645</v>
      </c>
      <c r="E171" s="90" t="s">
        <v>646</v>
      </c>
      <c r="F171" s="81">
        <f>IFERROR(__xludf.DUMMYFUNCTION("""COMPUTED_VALUE"""),46000.021782407406)</f>
        <v>46000.02178</v>
      </c>
      <c r="G171" s="89" t="s">
        <v>3983</v>
      </c>
      <c r="H171" s="89">
        <v>50.0</v>
      </c>
      <c r="I171" s="89" t="s">
        <v>3966</v>
      </c>
      <c r="J171" s="89" t="str">
        <f t="shared" si="18"/>
        <v>No</v>
      </c>
      <c r="K171" s="89" t="str">
        <f t="shared" si="23"/>
        <v>No</v>
      </c>
      <c r="L171" s="89" t="str">
        <f>IFERROR(__xludf.DUMMYFUNCTION("""COMPUTED_VALUE"""),"Lenexa, KS")</f>
        <v>Lenexa, KS</v>
      </c>
      <c r="M171" s="89" t="str">
        <f>IFERROR(__xludf.DUMMYFUNCTION("""COMPUTED_VALUE"""),"Reposted 1 week ago")</f>
        <v>Reposted 1 week ago</v>
      </c>
      <c r="N171" s="89">
        <f>IFERROR(__xludf.DUMMYFUNCTION("""COMPUTED_VALUE"""),1.0)</f>
        <v>1</v>
      </c>
      <c r="P171" s="52" t="str">
        <f t="shared" si="22"/>
        <v>0</v>
      </c>
      <c r="R171" s="52" t="str">
        <f t="shared" si="32"/>
        <v>Review</v>
      </c>
      <c r="Z171" s="81">
        <v>46000.0</v>
      </c>
      <c r="AA171" s="81" t="s">
        <v>3986</v>
      </c>
      <c r="AB171" s="81" t="s">
        <v>3985</v>
      </c>
      <c r="AC171" s="81">
        <f t="shared" si="5"/>
        <v>45999</v>
      </c>
      <c r="AD171" s="82">
        <f t="shared" si="6"/>
        <v>2</v>
      </c>
    </row>
    <row r="172">
      <c r="A172" s="96">
        <v>46000.021944444445</v>
      </c>
      <c r="B172" s="89" t="s">
        <v>647</v>
      </c>
      <c r="C172" s="89" t="s">
        <v>635</v>
      </c>
      <c r="D172" s="89" t="s">
        <v>648</v>
      </c>
      <c r="E172" s="90" t="s">
        <v>649</v>
      </c>
      <c r="F172" s="81">
        <f>IFERROR(__xludf.DUMMYFUNCTION("""COMPUTED_VALUE"""),46000.021944444445)</f>
        <v>46000.02194</v>
      </c>
      <c r="G172" s="89" t="s">
        <v>3983</v>
      </c>
      <c r="H172" s="89">
        <v>50.0</v>
      </c>
      <c r="I172" s="89" t="s">
        <v>3966</v>
      </c>
      <c r="J172" s="89" t="str">
        <f t="shared" si="18"/>
        <v>No</v>
      </c>
      <c r="K172" s="89" t="str">
        <f t="shared" si="23"/>
        <v>No</v>
      </c>
      <c r="L172" s="89" t="str">
        <f>IFERROR(__xludf.DUMMYFUNCTION("""COMPUTED_VALUE"""),"Lenexa, KS")</f>
        <v>Lenexa, KS</v>
      </c>
      <c r="M172" s="89" t="str">
        <f>IFERROR(__xludf.DUMMYFUNCTION("""COMPUTED_VALUE"""),"Reposted 2 days ago")</f>
        <v>Reposted 2 days ago</v>
      </c>
      <c r="N172" s="89">
        <f>IFERROR(__xludf.DUMMYFUNCTION("""COMPUTED_VALUE"""),2.0)</f>
        <v>2</v>
      </c>
      <c r="P172" s="52" t="str">
        <f t="shared" si="22"/>
        <v>0</v>
      </c>
      <c r="R172" s="52" t="str">
        <f t="shared" si="32"/>
        <v>Review</v>
      </c>
      <c r="Z172" s="81">
        <v>46000.0</v>
      </c>
      <c r="AA172" s="81" t="s">
        <v>3986</v>
      </c>
      <c r="AB172" s="81" t="s">
        <v>3985</v>
      </c>
      <c r="AC172" s="81">
        <f t="shared" si="5"/>
        <v>45999</v>
      </c>
      <c r="AD172" s="82">
        <f t="shared" si="6"/>
        <v>2</v>
      </c>
    </row>
    <row r="173">
      <c r="A173" s="96">
        <v>46000.02202546296</v>
      </c>
      <c r="B173" s="89" t="s">
        <v>650</v>
      </c>
      <c r="C173" s="89" t="s">
        <v>635</v>
      </c>
      <c r="D173" s="89" t="s">
        <v>651</v>
      </c>
      <c r="E173" s="90" t="s">
        <v>652</v>
      </c>
      <c r="F173" s="81">
        <f>IFERROR(__xludf.DUMMYFUNCTION("""COMPUTED_VALUE"""),46000.02202546296)</f>
        <v>46000.02203</v>
      </c>
      <c r="G173" s="89" t="s">
        <v>3983</v>
      </c>
      <c r="H173" s="89">
        <v>50.0</v>
      </c>
      <c r="I173" s="89" t="s">
        <v>3966</v>
      </c>
      <c r="J173" s="89" t="str">
        <f t="shared" si="18"/>
        <v>No</v>
      </c>
      <c r="K173" s="89" t="str">
        <f t="shared" si="23"/>
        <v>No</v>
      </c>
      <c r="L173" s="89" t="str">
        <f>IFERROR(__xludf.DUMMYFUNCTION("""COMPUTED_VALUE"""),"Lone Tree, CO")</f>
        <v>Lone Tree, CO</v>
      </c>
      <c r="M173" s="89" t="str">
        <f>IFERROR(__xludf.DUMMYFUNCTION("""COMPUTED_VALUE"""),"Reposted 2 weeks ago")</f>
        <v>Reposted 2 weeks ago</v>
      </c>
      <c r="N173" s="89">
        <f>IFERROR(__xludf.DUMMYFUNCTION("""COMPUTED_VALUE"""),2.0)</f>
        <v>2</v>
      </c>
      <c r="P173" s="52" t="str">
        <f t="shared" si="22"/>
        <v>0</v>
      </c>
      <c r="R173" s="52" t="str">
        <f t="shared" si="32"/>
        <v>Review</v>
      </c>
      <c r="Z173" s="81">
        <v>46000.0</v>
      </c>
      <c r="AA173" s="81" t="s">
        <v>3986</v>
      </c>
      <c r="AB173" s="81" t="s">
        <v>3985</v>
      </c>
      <c r="AC173" s="81">
        <f t="shared" si="5"/>
        <v>45999</v>
      </c>
      <c r="AD173" s="82">
        <f t="shared" si="6"/>
        <v>2</v>
      </c>
    </row>
    <row r="174">
      <c r="A174" s="96">
        <v>46000.02228009259</v>
      </c>
      <c r="B174" s="89" t="s">
        <v>653</v>
      </c>
      <c r="C174" s="89" t="s">
        <v>635</v>
      </c>
      <c r="D174" s="89" t="s">
        <v>654</v>
      </c>
      <c r="E174" s="90" t="s">
        <v>655</v>
      </c>
      <c r="F174" s="81">
        <f>IFERROR(__xludf.DUMMYFUNCTION("""COMPUTED_VALUE"""),46000.02228009259)</f>
        <v>46000.02228</v>
      </c>
      <c r="G174" s="89" t="s">
        <v>3983</v>
      </c>
      <c r="H174" s="89">
        <v>50.0</v>
      </c>
      <c r="I174" s="89" t="s">
        <v>3966</v>
      </c>
      <c r="J174" s="89" t="str">
        <f t="shared" si="18"/>
        <v>No</v>
      </c>
      <c r="K174" s="89" t="str">
        <f t="shared" si="23"/>
        <v>No</v>
      </c>
      <c r="L174" s="89" t="str">
        <f>IFERROR(__xludf.DUMMYFUNCTION("""COMPUTED_VALUE"""),"Lawrence, KS")</f>
        <v>Lawrence, KS</v>
      </c>
      <c r="M174" s="89" t="str">
        <f>IFERROR(__xludf.DUMMYFUNCTION("""COMPUTED_VALUE"""),"Reposted 1 week ago")</f>
        <v>Reposted 1 week ago</v>
      </c>
      <c r="N174" s="89">
        <f>IFERROR(__xludf.DUMMYFUNCTION("""COMPUTED_VALUE"""),1.0)</f>
        <v>1</v>
      </c>
      <c r="P174" s="52" t="str">
        <f t="shared" si="22"/>
        <v>0</v>
      </c>
      <c r="R174" s="52" t="str">
        <f t="shared" si="32"/>
        <v>Review</v>
      </c>
      <c r="Z174" s="81">
        <v>46000.0</v>
      </c>
      <c r="AA174" s="81" t="s">
        <v>3986</v>
      </c>
      <c r="AB174" s="81" t="s">
        <v>3985</v>
      </c>
      <c r="AC174" s="81">
        <f t="shared" si="5"/>
        <v>45999</v>
      </c>
      <c r="AD174" s="82">
        <f t="shared" si="6"/>
        <v>2</v>
      </c>
    </row>
    <row r="175">
      <c r="A175" s="96">
        <v>46000.022372685184</v>
      </c>
      <c r="B175" s="89" t="s">
        <v>656</v>
      </c>
      <c r="C175" s="89" t="s">
        <v>635</v>
      </c>
      <c r="D175" s="89" t="s">
        <v>657</v>
      </c>
      <c r="E175" s="90" t="s">
        <v>658</v>
      </c>
      <c r="F175" s="81">
        <f>IFERROR(__xludf.DUMMYFUNCTION("""COMPUTED_VALUE"""),46000.022372685184)</f>
        <v>46000.02237</v>
      </c>
      <c r="G175" s="89" t="s">
        <v>3983</v>
      </c>
      <c r="H175" s="89">
        <v>50.0</v>
      </c>
      <c r="I175" s="89" t="s">
        <v>3966</v>
      </c>
      <c r="J175" s="89" t="str">
        <f t="shared" si="18"/>
        <v>No</v>
      </c>
      <c r="K175" s="89" t="str">
        <f t="shared" si="23"/>
        <v>No</v>
      </c>
      <c r="L175" s="89" t="str">
        <f>IFERROR(__xludf.DUMMYFUNCTION("""COMPUTED_VALUE"""),"Omaha, NE")</f>
        <v>Omaha, NE</v>
      </c>
      <c r="M175" s="89" t="str">
        <f>IFERROR(__xludf.DUMMYFUNCTION("""COMPUTED_VALUE"""),"1 week ago")</f>
        <v>1 week ago</v>
      </c>
      <c r="N175" s="89">
        <f>IFERROR(__xludf.DUMMYFUNCTION("""COMPUTED_VALUE"""),1.0)</f>
        <v>1</v>
      </c>
      <c r="P175" s="52" t="str">
        <f t="shared" si="22"/>
        <v>0</v>
      </c>
      <c r="R175" s="52" t="str">
        <f t="shared" si="32"/>
        <v>Review</v>
      </c>
      <c r="Z175" s="81">
        <v>46000.0</v>
      </c>
      <c r="AA175" s="81" t="s">
        <v>3986</v>
      </c>
      <c r="AB175" s="81" t="s">
        <v>3985</v>
      </c>
      <c r="AC175" s="81">
        <f t="shared" si="5"/>
        <v>45999</v>
      </c>
      <c r="AD175" s="82">
        <f t="shared" si="6"/>
        <v>2</v>
      </c>
    </row>
    <row r="176">
      <c r="A176" s="103">
        <v>46000.0</v>
      </c>
      <c r="B176" s="89"/>
      <c r="C176" s="89"/>
      <c r="D176" s="89"/>
      <c r="E176" s="90" t="s">
        <v>659</v>
      </c>
      <c r="F176" s="81">
        <f>IFERROR(__xludf.DUMMYFUNCTION("""COMPUTED_VALUE"""),46000.0)</f>
        <v>46000</v>
      </c>
      <c r="G176" s="89" t="s">
        <v>3983</v>
      </c>
      <c r="H176" s="89">
        <v>50.0</v>
      </c>
      <c r="I176" s="89" t="s">
        <v>3966</v>
      </c>
      <c r="J176" s="89" t="str">
        <f t="shared" si="18"/>
        <v>No</v>
      </c>
      <c r="K176" s="89" t="str">
        <f t="shared" si="23"/>
        <v>No</v>
      </c>
      <c r="L176" s="89" t="str">
        <f>IFERROR(__xludf.DUMMYFUNCTION("""COMPUTED_VALUE"""),"")</f>
        <v/>
      </c>
      <c r="M176" s="89" t="str">
        <f>IFERROR(__xludf.DUMMYFUNCTION("""COMPUTED_VALUE"""),"")</f>
        <v/>
      </c>
      <c r="N176" s="89" t="str">
        <f>IFERROR(__xludf.DUMMYFUNCTION("""COMPUTED_VALUE"""),"")</f>
        <v/>
      </c>
      <c r="P176" s="52" t="str">
        <f t="shared" si="22"/>
        <v>0</v>
      </c>
      <c r="R176" s="52" t="str">
        <f t="shared" si="32"/>
        <v>Review</v>
      </c>
      <c r="Z176" s="81">
        <v>46000.0</v>
      </c>
      <c r="AA176" s="81" t="s">
        <v>3986</v>
      </c>
      <c r="AB176" s="81" t="s">
        <v>3985</v>
      </c>
      <c r="AC176" s="81">
        <f t="shared" si="5"/>
        <v>45999</v>
      </c>
      <c r="AD176" s="82">
        <f t="shared" si="6"/>
        <v>2</v>
      </c>
    </row>
    <row r="177">
      <c r="A177" s="103">
        <v>46000.0</v>
      </c>
      <c r="B177" s="89"/>
      <c r="C177" s="89"/>
      <c r="D177" s="89"/>
      <c r="E177" s="90" t="s">
        <v>660</v>
      </c>
      <c r="F177" s="81">
        <f>IFERROR(__xludf.DUMMYFUNCTION("""COMPUTED_VALUE"""),46000.0)</f>
        <v>46000</v>
      </c>
      <c r="G177" s="89" t="s">
        <v>3983</v>
      </c>
      <c r="H177" s="89">
        <v>50.0</v>
      </c>
      <c r="I177" s="89" t="s">
        <v>3966</v>
      </c>
      <c r="J177" s="89" t="str">
        <f t="shared" si="18"/>
        <v>No</v>
      </c>
      <c r="K177" s="89" t="str">
        <f t="shared" si="23"/>
        <v>No</v>
      </c>
      <c r="L177" s="89" t="str">
        <f>IFERROR(__xludf.DUMMYFUNCTION("""COMPUTED_VALUE"""),"")</f>
        <v/>
      </c>
      <c r="M177" s="89" t="str">
        <f>IFERROR(__xludf.DUMMYFUNCTION("""COMPUTED_VALUE"""),"")</f>
        <v/>
      </c>
      <c r="N177" s="89" t="str">
        <f>IFERROR(__xludf.DUMMYFUNCTION("""COMPUTED_VALUE"""),"")</f>
        <v/>
      </c>
      <c r="P177" s="52" t="str">
        <f t="shared" si="22"/>
        <v>0</v>
      </c>
      <c r="R177" s="52" t="str">
        <f t="shared" si="32"/>
        <v>Review</v>
      </c>
      <c r="Z177" s="81">
        <v>46000.0</v>
      </c>
      <c r="AA177" s="81" t="s">
        <v>3986</v>
      </c>
      <c r="AB177" s="81" t="s">
        <v>3985</v>
      </c>
      <c r="AC177" s="81">
        <f t="shared" si="5"/>
        <v>45999</v>
      </c>
      <c r="AD177" s="82">
        <f t="shared" si="6"/>
        <v>2</v>
      </c>
    </row>
    <row r="178">
      <c r="A178" s="96">
        <v>46000.035266203704</v>
      </c>
      <c r="B178" s="89" t="s">
        <v>661</v>
      </c>
      <c r="C178" s="89" t="s">
        <v>662</v>
      </c>
      <c r="D178" s="89" t="s">
        <v>663</v>
      </c>
      <c r="E178" s="90" t="s">
        <v>664</v>
      </c>
      <c r="F178" s="81">
        <f>IFERROR(__xludf.DUMMYFUNCTION("""COMPUTED_VALUE"""),46000.035266203704)</f>
        <v>46000.03527</v>
      </c>
      <c r="G178" s="89" t="s">
        <v>3983</v>
      </c>
      <c r="H178" s="89">
        <v>50.0</v>
      </c>
      <c r="I178" s="89" t="s">
        <v>3966</v>
      </c>
      <c r="J178" s="89" t="str">
        <f t="shared" si="18"/>
        <v>No</v>
      </c>
      <c r="K178" s="89" t="str">
        <f t="shared" si="23"/>
        <v>No</v>
      </c>
      <c r="L178" s="89" t="str">
        <f>IFERROR(__xludf.DUMMYFUNCTION("""COMPUTED_VALUE"""),"Mountain View, CA")</f>
        <v>Mountain View, CA</v>
      </c>
      <c r="M178" s="89" t="str">
        <f>IFERROR(__xludf.DUMMYFUNCTION("""COMPUTED_VALUE"""),"Reposted 32 minutes ago")</f>
        <v>Reposted 32 minutes ago</v>
      </c>
      <c r="N178" s="89">
        <f>IFERROR(__xludf.DUMMYFUNCTION("""COMPUTED_VALUE"""),32.0)</f>
        <v>32</v>
      </c>
      <c r="P178" s="52" t="str">
        <f t="shared" si="22"/>
        <v>0</v>
      </c>
      <c r="R178" s="52" t="str">
        <f t="shared" si="32"/>
        <v>Review</v>
      </c>
      <c r="Z178" s="81">
        <v>46000.0</v>
      </c>
      <c r="AA178" s="81" t="s">
        <v>3986</v>
      </c>
      <c r="AB178" s="81" t="s">
        <v>3985</v>
      </c>
      <c r="AC178" s="81">
        <f t="shared" si="5"/>
        <v>45999</v>
      </c>
      <c r="AD178" s="82">
        <f t="shared" si="6"/>
        <v>2</v>
      </c>
    </row>
    <row r="179">
      <c r="A179" s="96">
        <v>46000.03533564815</v>
      </c>
      <c r="B179" s="89" t="s">
        <v>665</v>
      </c>
      <c r="C179" s="89" t="s">
        <v>666</v>
      </c>
      <c r="D179" s="89" t="s">
        <v>667</v>
      </c>
      <c r="E179" s="90" t="s">
        <v>668</v>
      </c>
      <c r="F179" s="81">
        <f>IFERROR(__xludf.DUMMYFUNCTION("""COMPUTED_VALUE"""),46000.03533564815)</f>
        <v>46000.03534</v>
      </c>
      <c r="G179" s="89" t="s">
        <v>3983</v>
      </c>
      <c r="H179" s="89">
        <v>50.0</v>
      </c>
      <c r="I179" s="89" t="s">
        <v>3966</v>
      </c>
      <c r="J179" s="89" t="str">
        <f t="shared" si="18"/>
        <v>No</v>
      </c>
      <c r="K179" s="89" t="str">
        <f t="shared" si="23"/>
        <v>No</v>
      </c>
      <c r="L179" s="89" t="str">
        <f>IFERROR(__xludf.DUMMYFUNCTION("""COMPUTED_VALUE"""),"Virginia Beach, VA")</f>
        <v>Virginia Beach, VA</v>
      </c>
      <c r="M179" s="89" t="str">
        <f>IFERROR(__xludf.DUMMYFUNCTION("""COMPUTED_VALUE"""),"Reposted 7 minutes ago")</f>
        <v>Reposted 7 minutes ago</v>
      </c>
      <c r="N179" s="89">
        <f>IFERROR(__xludf.DUMMYFUNCTION("""COMPUTED_VALUE"""),7.0)</f>
        <v>7</v>
      </c>
      <c r="P179" s="52" t="str">
        <f t="shared" si="22"/>
        <v>0</v>
      </c>
      <c r="R179" s="52" t="str">
        <f t="shared" si="32"/>
        <v>Review</v>
      </c>
      <c r="Z179" s="81">
        <v>46000.0</v>
      </c>
      <c r="AA179" s="81" t="s">
        <v>3986</v>
      </c>
      <c r="AB179" s="81" t="s">
        <v>3985</v>
      </c>
      <c r="AC179" s="81">
        <f t="shared" si="5"/>
        <v>45999</v>
      </c>
      <c r="AD179" s="82">
        <f t="shared" si="6"/>
        <v>2</v>
      </c>
    </row>
    <row r="180">
      <c r="A180" s="96">
        <v>46000.03591435185</v>
      </c>
      <c r="B180" s="89" t="s">
        <v>669</v>
      </c>
      <c r="C180" s="89" t="s">
        <v>670</v>
      </c>
      <c r="D180" s="89" t="s">
        <v>671</v>
      </c>
      <c r="E180" s="90" t="s">
        <v>672</v>
      </c>
      <c r="F180" s="81">
        <f>IFERROR(__xludf.DUMMYFUNCTION("""COMPUTED_VALUE"""),46000.03591435185)</f>
        <v>46000.03591</v>
      </c>
      <c r="G180" s="89" t="s">
        <v>3983</v>
      </c>
      <c r="H180" s="89">
        <v>50.0</v>
      </c>
      <c r="I180" s="89" t="s">
        <v>3966</v>
      </c>
      <c r="J180" s="89" t="str">
        <f t="shared" si="18"/>
        <v>No</v>
      </c>
      <c r="K180" s="89" t="str">
        <f t="shared" si="23"/>
        <v>No</v>
      </c>
      <c r="L180" s="89" t="str">
        <f>IFERROR(__xludf.DUMMYFUNCTION("""COMPUTED_VALUE"""),"United States")</f>
        <v>United States</v>
      </c>
      <c r="M180" s="89" t="str">
        <f>IFERROR(__xludf.DUMMYFUNCTION("""COMPUTED_VALUE"""),"Reposted 17 minutes ago")</f>
        <v>Reposted 17 minutes ago</v>
      </c>
      <c r="N180" s="89">
        <f>IFERROR(__xludf.DUMMYFUNCTION("""COMPUTED_VALUE"""),17.0)</f>
        <v>17</v>
      </c>
      <c r="P180" s="52" t="str">
        <f t="shared" si="22"/>
        <v>0</v>
      </c>
      <c r="R180" s="52" t="str">
        <f t="shared" si="32"/>
        <v>Review</v>
      </c>
      <c r="Z180" s="81">
        <v>46000.0</v>
      </c>
      <c r="AA180" s="81" t="s">
        <v>3986</v>
      </c>
      <c r="AB180" s="81" t="s">
        <v>3985</v>
      </c>
      <c r="AC180" s="81">
        <f t="shared" si="5"/>
        <v>45999</v>
      </c>
      <c r="AD180" s="82">
        <f t="shared" si="6"/>
        <v>2</v>
      </c>
    </row>
    <row r="181">
      <c r="A181" s="96">
        <v>46000.03806712963</v>
      </c>
      <c r="B181" s="89" t="s">
        <v>673</v>
      </c>
      <c r="C181" s="89" t="s">
        <v>674</v>
      </c>
      <c r="D181" s="89" t="s">
        <v>675</v>
      </c>
      <c r="E181" s="90" t="s">
        <v>676</v>
      </c>
      <c r="F181" s="81">
        <f>IFERROR(__xludf.DUMMYFUNCTION("""COMPUTED_VALUE"""),46000.03806712963)</f>
        <v>46000.03807</v>
      </c>
      <c r="G181" s="89" t="s">
        <v>3983</v>
      </c>
      <c r="H181" s="89">
        <v>50.0</v>
      </c>
      <c r="I181" s="89" t="s">
        <v>3966</v>
      </c>
      <c r="J181" s="89" t="str">
        <f t="shared" si="18"/>
        <v>No</v>
      </c>
      <c r="K181" s="89" t="str">
        <f t="shared" si="23"/>
        <v>No</v>
      </c>
      <c r="L181" s="89" t="str">
        <f>IFERROR(__xludf.DUMMYFUNCTION("""COMPUTED_VALUE"""),"Seattle, WA")</f>
        <v>Seattle, WA</v>
      </c>
      <c r="M181" s="89" t="str">
        <f>IFERROR(__xludf.DUMMYFUNCTION("""COMPUTED_VALUE"""),"11 minutes ago")</f>
        <v>11 minutes ago</v>
      </c>
      <c r="N181" s="89">
        <f>IFERROR(__xludf.DUMMYFUNCTION("""COMPUTED_VALUE"""),11.0)</f>
        <v>11</v>
      </c>
      <c r="P181" s="52" t="str">
        <f t="shared" si="22"/>
        <v>0</v>
      </c>
      <c r="R181" s="52" t="str">
        <f t="shared" si="32"/>
        <v>Review</v>
      </c>
      <c r="Z181" s="81">
        <v>46000.0</v>
      </c>
      <c r="AA181" s="81" t="s">
        <v>3986</v>
      </c>
      <c r="AB181" s="81" t="s">
        <v>3985</v>
      </c>
      <c r="AC181" s="81">
        <f t="shared" si="5"/>
        <v>45999</v>
      </c>
      <c r="AD181" s="82">
        <f t="shared" si="6"/>
        <v>2</v>
      </c>
    </row>
    <row r="182">
      <c r="A182" s="96">
        <v>46000.039247685185</v>
      </c>
      <c r="B182" s="89" t="s">
        <v>677</v>
      </c>
      <c r="C182" s="89" t="s">
        <v>161</v>
      </c>
      <c r="D182" s="89" t="s">
        <v>678</v>
      </c>
      <c r="E182" s="90" t="s">
        <v>679</v>
      </c>
      <c r="F182" s="81">
        <f>IFERROR(__xludf.DUMMYFUNCTION("""COMPUTED_VALUE"""),46000.039247685185)</f>
        <v>46000.03925</v>
      </c>
      <c r="G182" s="89" t="s">
        <v>3983</v>
      </c>
      <c r="H182" s="89">
        <v>50.0</v>
      </c>
      <c r="I182" s="89" t="s">
        <v>3966</v>
      </c>
      <c r="J182" s="89" t="str">
        <f t="shared" si="18"/>
        <v>No</v>
      </c>
      <c r="K182" s="89" t="str">
        <f t="shared" si="23"/>
        <v>No</v>
      </c>
      <c r="L182" s="89" t="str">
        <f>IFERROR(__xludf.DUMMYFUNCTION("""COMPUTED_VALUE"""),"Mountain View, CA")</f>
        <v>Mountain View, CA</v>
      </c>
      <c r="M182" s="89" t="str">
        <f>IFERROR(__xludf.DUMMYFUNCTION("""COMPUTED_VALUE"""),"1 hour ago")</f>
        <v>1 hour ago</v>
      </c>
      <c r="N182" s="89">
        <f>IFERROR(__xludf.DUMMYFUNCTION("""COMPUTED_VALUE"""),1.0)</f>
        <v>1</v>
      </c>
      <c r="P182" s="52" t="str">
        <f t="shared" si="22"/>
        <v>0</v>
      </c>
      <c r="R182" s="52" t="str">
        <f t="shared" si="32"/>
        <v>Review</v>
      </c>
      <c r="Z182" s="81">
        <v>46000.0</v>
      </c>
      <c r="AA182" s="81" t="s">
        <v>3986</v>
      </c>
      <c r="AB182" s="81" t="s">
        <v>3985</v>
      </c>
      <c r="AC182" s="81">
        <f t="shared" si="5"/>
        <v>45999</v>
      </c>
      <c r="AD182" s="82">
        <f t="shared" si="6"/>
        <v>2</v>
      </c>
    </row>
    <row r="183">
      <c r="A183" s="96">
        <v>46000.045</v>
      </c>
      <c r="B183" s="89" t="s">
        <v>506</v>
      </c>
      <c r="C183" s="89" t="s">
        <v>680</v>
      </c>
      <c r="D183" s="89" t="s">
        <v>681</v>
      </c>
      <c r="E183" s="90" t="s">
        <v>682</v>
      </c>
      <c r="F183" s="81">
        <f>IFERROR(__xludf.DUMMYFUNCTION("""COMPUTED_VALUE"""),46000.045)</f>
        <v>46000.045</v>
      </c>
      <c r="G183" s="89" t="s">
        <v>3983</v>
      </c>
      <c r="H183" s="89">
        <v>50.0</v>
      </c>
      <c r="I183" s="89" t="s">
        <v>3966</v>
      </c>
      <c r="J183" s="89" t="str">
        <f t="shared" si="18"/>
        <v>No</v>
      </c>
      <c r="K183" s="89" t="str">
        <f t="shared" si="23"/>
        <v>No</v>
      </c>
      <c r="L183" s="89" t="str">
        <f>IFERROR(__xludf.DUMMYFUNCTION("""COMPUTED_VALUE"""),"Santa Clara, CA")</f>
        <v>Santa Clara, CA</v>
      </c>
      <c r="M183" s="89" t="str">
        <f>IFERROR(__xludf.DUMMYFUNCTION("""COMPUTED_VALUE"""),"1 hour ago")</f>
        <v>1 hour ago</v>
      </c>
      <c r="N183" s="89">
        <f>IFERROR(__xludf.DUMMYFUNCTION("""COMPUTED_VALUE"""),1.0)</f>
        <v>1</v>
      </c>
      <c r="P183" s="52" t="str">
        <f t="shared" si="22"/>
        <v>0</v>
      </c>
      <c r="R183" s="52" t="str">
        <f t="shared" si="32"/>
        <v>Review</v>
      </c>
      <c r="Z183" s="81">
        <v>46000.0</v>
      </c>
      <c r="AA183" s="81" t="s">
        <v>3986</v>
      </c>
      <c r="AB183" s="81" t="s">
        <v>3985</v>
      </c>
      <c r="AC183" s="81">
        <f t="shared" si="5"/>
        <v>45999</v>
      </c>
      <c r="AD183" s="82">
        <f t="shared" si="6"/>
        <v>2</v>
      </c>
    </row>
    <row r="184">
      <c r="A184" s="96">
        <v>46000.048310185186</v>
      </c>
      <c r="B184" s="89" t="s">
        <v>677</v>
      </c>
      <c r="C184" s="89" t="s">
        <v>161</v>
      </c>
      <c r="D184" s="89" t="s">
        <v>683</v>
      </c>
      <c r="E184" s="90" t="s">
        <v>684</v>
      </c>
      <c r="F184" s="81">
        <f>IFERROR(__xludf.DUMMYFUNCTION("""COMPUTED_VALUE"""),46000.048310185186)</f>
        <v>46000.04831</v>
      </c>
      <c r="G184" s="89" t="s">
        <v>3983</v>
      </c>
      <c r="H184" s="89">
        <v>50.0</v>
      </c>
      <c r="I184" s="89" t="s">
        <v>3966</v>
      </c>
      <c r="J184" s="89" t="str">
        <f t="shared" si="18"/>
        <v>No</v>
      </c>
      <c r="K184" s="89" t="str">
        <f t="shared" si="23"/>
        <v>No</v>
      </c>
      <c r="L184" s="89" t="str">
        <f>IFERROR(__xludf.DUMMYFUNCTION("""COMPUTED_VALUE"""),"New York, NY")</f>
        <v>New York, NY</v>
      </c>
      <c r="M184" s="89" t="str">
        <f>IFERROR(__xludf.DUMMYFUNCTION("""COMPUTED_VALUE"""),"2 hours ago")</f>
        <v>2 hours ago</v>
      </c>
      <c r="N184" s="89">
        <f>IFERROR(__xludf.DUMMYFUNCTION("""COMPUTED_VALUE"""),2.0)</f>
        <v>2</v>
      </c>
      <c r="P184" s="52" t="str">
        <f t="shared" si="22"/>
        <v>0</v>
      </c>
      <c r="R184" s="52" t="str">
        <f t="shared" si="32"/>
        <v>Review</v>
      </c>
      <c r="Z184" s="81">
        <v>46000.0</v>
      </c>
      <c r="AA184" s="81" t="s">
        <v>3986</v>
      </c>
      <c r="AB184" s="81" t="s">
        <v>3985</v>
      </c>
      <c r="AC184" s="81">
        <f t="shared" si="5"/>
        <v>45999</v>
      </c>
      <c r="AD184" s="82">
        <f t="shared" si="6"/>
        <v>2</v>
      </c>
    </row>
    <row r="185">
      <c r="A185" s="96">
        <v>46000.05121527778</v>
      </c>
      <c r="B185" s="89" t="s">
        <v>685</v>
      </c>
      <c r="C185" s="89" t="s">
        <v>686</v>
      </c>
      <c r="D185" s="89" t="s">
        <v>687</v>
      </c>
      <c r="E185" s="90" t="s">
        <v>688</v>
      </c>
      <c r="F185" s="81">
        <f>IFERROR(__xludf.DUMMYFUNCTION("""COMPUTED_VALUE"""),46000.05121527778)</f>
        <v>46000.05122</v>
      </c>
      <c r="G185" s="89" t="s">
        <v>3983</v>
      </c>
      <c r="H185" s="89">
        <v>50.0</v>
      </c>
      <c r="I185" s="89" t="s">
        <v>3966</v>
      </c>
      <c r="J185" s="89" t="str">
        <f t="shared" si="18"/>
        <v>No</v>
      </c>
      <c r="K185" s="89" t="str">
        <f t="shared" si="23"/>
        <v>No</v>
      </c>
      <c r="L185" s="89" t="str">
        <f>IFERROR(__xludf.DUMMYFUNCTION("""COMPUTED_VALUE"""),"Brea, CA")</f>
        <v>Brea, CA</v>
      </c>
      <c r="M185" s="89" t="str">
        <f>IFERROR(__xludf.DUMMYFUNCTION("""COMPUTED_VALUE"""),"2 hours ago")</f>
        <v>2 hours ago</v>
      </c>
      <c r="N185" s="89">
        <f>IFERROR(__xludf.DUMMYFUNCTION("""COMPUTED_VALUE"""),2.0)</f>
        <v>2</v>
      </c>
      <c r="P185" s="52" t="str">
        <f t="shared" si="22"/>
        <v>0</v>
      </c>
      <c r="R185" s="52" t="str">
        <f t="shared" si="32"/>
        <v>Review</v>
      </c>
      <c r="Z185" s="81">
        <v>46000.0</v>
      </c>
      <c r="AA185" s="81" t="s">
        <v>3986</v>
      </c>
      <c r="AB185" s="81" t="s">
        <v>3985</v>
      </c>
      <c r="AC185" s="81">
        <f t="shared" si="5"/>
        <v>45999</v>
      </c>
      <c r="AD185" s="82">
        <f t="shared" si="6"/>
        <v>2</v>
      </c>
    </row>
    <row r="186">
      <c r="A186" s="96">
        <v>46000.05152777778</v>
      </c>
      <c r="B186" s="89" t="s">
        <v>506</v>
      </c>
      <c r="C186" s="89" t="s">
        <v>296</v>
      </c>
      <c r="D186" s="89" t="s">
        <v>689</v>
      </c>
      <c r="E186" s="90" t="s">
        <v>690</v>
      </c>
      <c r="F186" s="81">
        <f>IFERROR(__xludf.DUMMYFUNCTION("""COMPUTED_VALUE"""),46000.05152777778)</f>
        <v>46000.05153</v>
      </c>
      <c r="G186" s="89" t="s">
        <v>3983</v>
      </c>
      <c r="H186" s="89">
        <v>50.0</v>
      </c>
      <c r="I186" s="89" t="s">
        <v>3966</v>
      </c>
      <c r="J186" s="89" t="str">
        <f t="shared" si="18"/>
        <v>No</v>
      </c>
      <c r="K186" s="89" t="str">
        <f t="shared" si="23"/>
        <v>No</v>
      </c>
      <c r="L186" s="89" t="str">
        <f>IFERROR(__xludf.DUMMYFUNCTION("""COMPUTED_VALUE"""),"Charlotte, NC")</f>
        <v>Charlotte, NC</v>
      </c>
      <c r="M186" s="89" t="str">
        <f>IFERROR(__xludf.DUMMYFUNCTION("""COMPUTED_VALUE"""),"2 hours ago")</f>
        <v>2 hours ago</v>
      </c>
      <c r="N186" s="89">
        <f>IFERROR(__xludf.DUMMYFUNCTION("""COMPUTED_VALUE"""),2.0)</f>
        <v>2</v>
      </c>
      <c r="P186" s="52" t="str">
        <f t="shared" si="22"/>
        <v>0</v>
      </c>
      <c r="R186" s="52" t="str">
        <f t="shared" si="32"/>
        <v>Review</v>
      </c>
      <c r="Z186" s="81">
        <v>46000.0</v>
      </c>
      <c r="AA186" s="81" t="s">
        <v>3986</v>
      </c>
      <c r="AB186" s="81" t="s">
        <v>3985</v>
      </c>
      <c r="AC186" s="81">
        <f t="shared" si="5"/>
        <v>45999</v>
      </c>
      <c r="AD186" s="82">
        <f t="shared" si="6"/>
        <v>2</v>
      </c>
    </row>
    <row r="187">
      <c r="A187" s="96">
        <v>46000.06555555556</v>
      </c>
      <c r="B187" s="89" t="s">
        <v>691</v>
      </c>
      <c r="C187" s="89" t="s">
        <v>692</v>
      </c>
      <c r="D187" s="89" t="s">
        <v>693</v>
      </c>
      <c r="E187" s="90" t="s">
        <v>694</v>
      </c>
      <c r="F187" s="81">
        <f>IFERROR(__xludf.DUMMYFUNCTION("""COMPUTED_VALUE"""),46000.06555555556)</f>
        <v>46000.06556</v>
      </c>
      <c r="G187" s="89" t="s">
        <v>3983</v>
      </c>
      <c r="H187" s="89">
        <v>50.0</v>
      </c>
      <c r="I187" s="89" t="s">
        <v>3966</v>
      </c>
      <c r="J187" s="89" t="str">
        <f t="shared" si="18"/>
        <v>No</v>
      </c>
      <c r="K187" s="89" t="str">
        <f t="shared" si="23"/>
        <v>No</v>
      </c>
      <c r="L187" s="89" t="str">
        <f>IFERROR(__xludf.DUMMYFUNCTION("""COMPUTED_VALUE"""),"United States")</f>
        <v>United States</v>
      </c>
      <c r="M187" s="89" t="str">
        <f>IFERROR(__xludf.DUMMYFUNCTION("""COMPUTED_VALUE"""),"2 hours ago")</f>
        <v>2 hours ago</v>
      </c>
      <c r="N187" s="89">
        <f>IFERROR(__xludf.DUMMYFUNCTION("""COMPUTED_VALUE"""),2.0)</f>
        <v>2</v>
      </c>
      <c r="P187" s="52" t="str">
        <f t="shared" si="22"/>
        <v>0</v>
      </c>
      <c r="R187" s="52" t="str">
        <f t="shared" si="32"/>
        <v>Review</v>
      </c>
      <c r="Z187" s="81">
        <v>46000.0</v>
      </c>
      <c r="AA187" s="81" t="s">
        <v>3986</v>
      </c>
      <c r="AB187" s="81" t="s">
        <v>3985</v>
      </c>
      <c r="AC187" s="81">
        <f t="shared" si="5"/>
        <v>45999</v>
      </c>
      <c r="AD187" s="82">
        <f t="shared" si="6"/>
        <v>2</v>
      </c>
    </row>
    <row r="188">
      <c r="A188" s="96">
        <v>46000.06564814815</v>
      </c>
      <c r="B188" s="89" t="s">
        <v>695</v>
      </c>
      <c r="C188" s="89" t="s">
        <v>696</v>
      </c>
      <c r="D188" s="89" t="s">
        <v>697</v>
      </c>
      <c r="E188" s="90" t="s">
        <v>698</v>
      </c>
      <c r="F188" s="81">
        <f>IFERROR(__xludf.DUMMYFUNCTION("""COMPUTED_VALUE"""),46000.06564814815)</f>
        <v>46000.06565</v>
      </c>
      <c r="G188" s="89" t="s">
        <v>3983</v>
      </c>
      <c r="H188" s="89">
        <v>50.0</v>
      </c>
      <c r="I188" s="89" t="s">
        <v>3966</v>
      </c>
      <c r="J188" s="89" t="str">
        <f t="shared" si="18"/>
        <v>No</v>
      </c>
      <c r="K188" s="89" t="str">
        <f t="shared" si="23"/>
        <v>No</v>
      </c>
      <c r="L188" s="89" t="str">
        <f>IFERROR(__xludf.DUMMYFUNCTION("""COMPUTED_VALUE"""),"United States")</f>
        <v>United States</v>
      </c>
      <c r="M188" s="89" t="str">
        <f>IFERROR(__xludf.DUMMYFUNCTION("""COMPUTED_VALUE"""),"3 hours ago")</f>
        <v>3 hours ago</v>
      </c>
      <c r="N188" s="89">
        <f>IFERROR(__xludf.DUMMYFUNCTION("""COMPUTED_VALUE"""),3.0)</f>
        <v>3</v>
      </c>
      <c r="P188" s="52" t="str">
        <f t="shared" si="22"/>
        <v>0</v>
      </c>
      <c r="R188" s="52" t="str">
        <f t="shared" si="32"/>
        <v>Review</v>
      </c>
      <c r="Z188" s="81">
        <v>46000.0</v>
      </c>
      <c r="AA188" s="81" t="s">
        <v>3986</v>
      </c>
      <c r="AB188" s="81" t="s">
        <v>3985</v>
      </c>
      <c r="AC188" s="81">
        <f t="shared" si="5"/>
        <v>45999</v>
      </c>
      <c r="AD188" s="82">
        <f t="shared" si="6"/>
        <v>2</v>
      </c>
    </row>
    <row r="189">
      <c r="A189" s="96">
        <v>46000.06962962963</v>
      </c>
      <c r="B189" s="89" t="s">
        <v>699</v>
      </c>
      <c r="C189" s="89" t="s">
        <v>371</v>
      </c>
      <c r="D189" s="89" t="s">
        <v>700</v>
      </c>
      <c r="E189" s="90" t="s">
        <v>701</v>
      </c>
      <c r="F189" s="81">
        <f>IFERROR(__xludf.DUMMYFUNCTION("""COMPUTED_VALUE"""),46000.06962962963)</f>
        <v>46000.06963</v>
      </c>
      <c r="G189" s="89" t="s">
        <v>3983</v>
      </c>
      <c r="H189" s="89">
        <v>50.0</v>
      </c>
      <c r="I189" s="89" t="s">
        <v>3966</v>
      </c>
      <c r="J189" s="89" t="str">
        <f t="shared" si="18"/>
        <v>No</v>
      </c>
      <c r="K189" s="89" t="str">
        <f t="shared" si="23"/>
        <v>No</v>
      </c>
      <c r="L189" s="89" t="str">
        <f>IFERROR(__xludf.DUMMYFUNCTION("""COMPUTED_VALUE"""),"San Francisco, CA")</f>
        <v>San Francisco, CA</v>
      </c>
      <c r="M189" s="89" t="str">
        <f>IFERROR(__xludf.DUMMYFUNCTION("""COMPUTED_VALUE"""),"3 hours ago")</f>
        <v>3 hours ago</v>
      </c>
      <c r="N189" s="89">
        <f>IFERROR(__xludf.DUMMYFUNCTION("""COMPUTED_VALUE"""),3.0)</f>
        <v>3</v>
      </c>
      <c r="P189" s="52" t="str">
        <f t="shared" si="22"/>
        <v>0</v>
      </c>
      <c r="R189" s="52" t="str">
        <f t="shared" si="32"/>
        <v>Review</v>
      </c>
      <c r="Z189" s="81">
        <v>46000.0</v>
      </c>
      <c r="AA189" s="81" t="s">
        <v>3986</v>
      </c>
      <c r="AB189" s="81" t="s">
        <v>3985</v>
      </c>
      <c r="AC189" s="81">
        <f t="shared" si="5"/>
        <v>45999</v>
      </c>
      <c r="AD189" s="82">
        <f t="shared" si="6"/>
        <v>2</v>
      </c>
    </row>
    <row r="190">
      <c r="A190" s="96">
        <v>46000.0696875</v>
      </c>
      <c r="B190" s="89" t="s">
        <v>702</v>
      </c>
      <c r="C190" s="89" t="s">
        <v>405</v>
      </c>
      <c r="D190" s="89" t="s">
        <v>703</v>
      </c>
      <c r="E190" s="90" t="s">
        <v>704</v>
      </c>
      <c r="F190" s="81">
        <f>IFERROR(__xludf.DUMMYFUNCTION("""COMPUTED_VALUE"""),46000.0696875)</f>
        <v>46000.06969</v>
      </c>
      <c r="G190" s="89" t="s">
        <v>3983</v>
      </c>
      <c r="H190" s="89">
        <v>50.0</v>
      </c>
      <c r="I190" s="89" t="s">
        <v>3966</v>
      </c>
      <c r="J190" s="89" t="str">
        <f t="shared" si="18"/>
        <v>No</v>
      </c>
      <c r="K190" s="89" t="str">
        <f t="shared" si="23"/>
        <v>No</v>
      </c>
      <c r="L190" s="89" t="str">
        <f>IFERROR(__xludf.DUMMYFUNCTION("""COMPUTED_VALUE"""),"Sacramento, CA")</f>
        <v>Sacramento, CA</v>
      </c>
      <c r="M190" s="89" t="str">
        <f>IFERROR(__xludf.DUMMYFUNCTION("""COMPUTED_VALUE"""),"2 hours ago")</f>
        <v>2 hours ago</v>
      </c>
      <c r="N190" s="89">
        <f>IFERROR(__xludf.DUMMYFUNCTION("""COMPUTED_VALUE"""),2.0)</f>
        <v>2</v>
      </c>
      <c r="P190" s="52" t="str">
        <f t="shared" si="22"/>
        <v>0</v>
      </c>
      <c r="R190" s="52" t="str">
        <f t="shared" si="32"/>
        <v>Review</v>
      </c>
      <c r="Z190" s="81">
        <v>46000.0</v>
      </c>
      <c r="AA190" s="81" t="s">
        <v>3986</v>
      </c>
      <c r="AB190" s="81" t="s">
        <v>3985</v>
      </c>
      <c r="AC190" s="81">
        <f t="shared" si="5"/>
        <v>45999</v>
      </c>
      <c r="AD190" s="82">
        <f t="shared" si="6"/>
        <v>2</v>
      </c>
    </row>
    <row r="191">
      <c r="A191" s="96">
        <v>46000.06979166667</v>
      </c>
      <c r="B191" s="89" t="s">
        <v>705</v>
      </c>
      <c r="C191" s="89" t="s">
        <v>706</v>
      </c>
      <c r="D191" s="89" t="s">
        <v>707</v>
      </c>
      <c r="E191" s="90" t="s">
        <v>708</v>
      </c>
      <c r="F191" s="81">
        <f>IFERROR(__xludf.DUMMYFUNCTION("""COMPUTED_VALUE"""),46000.06979166667)</f>
        <v>46000.06979</v>
      </c>
      <c r="G191" s="89" t="s">
        <v>3983</v>
      </c>
      <c r="H191" s="89">
        <v>50.0</v>
      </c>
      <c r="I191" s="89" t="s">
        <v>3966</v>
      </c>
      <c r="J191" s="89" t="str">
        <f t="shared" si="18"/>
        <v>No</v>
      </c>
      <c r="K191" s="89" t="str">
        <f t="shared" si="23"/>
        <v>No</v>
      </c>
      <c r="L191" s="89" t="str">
        <f>IFERROR(__xludf.DUMMYFUNCTION("""COMPUTED_VALUE"""),"Hudson, NH")</f>
        <v>Hudson, NH</v>
      </c>
      <c r="M191" s="89" t="str">
        <f>IFERROR(__xludf.DUMMYFUNCTION("""COMPUTED_VALUE"""),"3 hours ago")</f>
        <v>3 hours ago</v>
      </c>
      <c r="N191" s="89">
        <f>IFERROR(__xludf.DUMMYFUNCTION("""COMPUTED_VALUE"""),3.0)</f>
        <v>3</v>
      </c>
      <c r="P191" s="52" t="str">
        <f t="shared" si="22"/>
        <v>0</v>
      </c>
      <c r="R191" s="52" t="str">
        <f t="shared" si="32"/>
        <v>Review</v>
      </c>
      <c r="Z191" s="81">
        <v>46000.0</v>
      </c>
      <c r="AA191" s="81" t="s">
        <v>3986</v>
      </c>
      <c r="AB191" s="81" t="s">
        <v>3985</v>
      </c>
      <c r="AC191" s="81">
        <f t="shared" si="5"/>
        <v>45999</v>
      </c>
      <c r="AD191" s="82">
        <f t="shared" si="6"/>
        <v>2</v>
      </c>
    </row>
    <row r="192">
      <c r="A192" s="96">
        <v>46001.37106481481</v>
      </c>
      <c r="B192" s="89" t="s">
        <v>709</v>
      </c>
      <c r="C192" s="89" t="s">
        <v>710</v>
      </c>
      <c r="D192" s="89" t="s">
        <v>711</v>
      </c>
      <c r="E192" s="90" t="s">
        <v>712</v>
      </c>
      <c r="F192" s="81">
        <f>IFERROR(__xludf.DUMMYFUNCTION("""COMPUTED_VALUE"""),46001.37106481481)</f>
        <v>46001.37106</v>
      </c>
      <c r="G192" s="89" t="s">
        <v>3983</v>
      </c>
      <c r="H192" s="89">
        <v>50.0</v>
      </c>
      <c r="I192" s="89" t="s">
        <v>3971</v>
      </c>
      <c r="J192" s="89" t="str">
        <f t="shared" si="18"/>
        <v>No</v>
      </c>
      <c r="K192" s="89" t="str">
        <f t="shared" si="23"/>
        <v>No</v>
      </c>
      <c r="L192" s="89" t="str">
        <f>IFERROR(__xludf.DUMMYFUNCTION("""COMPUTED_VALUE"""),"San Francisco, CA")</f>
        <v>San Francisco, CA</v>
      </c>
      <c r="M192" s="89" t="str">
        <f>IFERROR(__xludf.DUMMYFUNCTION("""COMPUTED_VALUE"""),"Reposted 46 minutes ago")</f>
        <v>Reposted 46 minutes ago</v>
      </c>
      <c r="N192" s="89">
        <f>IFERROR(__xludf.DUMMYFUNCTION("""COMPUTED_VALUE"""),46.0)</f>
        <v>46</v>
      </c>
      <c r="P192" s="52" t="str">
        <f t="shared" si="22"/>
        <v>0</v>
      </c>
      <c r="R192" s="52" t="str">
        <f t="shared" si="32"/>
        <v>Review</v>
      </c>
      <c r="Z192" s="81">
        <v>46001.0</v>
      </c>
      <c r="AA192" s="81" t="s">
        <v>3986</v>
      </c>
      <c r="AB192" s="81" t="s">
        <v>3985</v>
      </c>
      <c r="AC192" s="81">
        <f t="shared" si="5"/>
        <v>45999</v>
      </c>
      <c r="AD192" s="82">
        <f t="shared" si="6"/>
        <v>3</v>
      </c>
    </row>
    <row r="193">
      <c r="A193" s="96">
        <v>46001.37157407407</v>
      </c>
      <c r="B193" s="89" t="s">
        <v>506</v>
      </c>
      <c r="C193" s="89" t="s">
        <v>713</v>
      </c>
      <c r="D193" s="89" t="s">
        <v>714</v>
      </c>
      <c r="E193" s="90" t="s">
        <v>715</v>
      </c>
      <c r="F193" s="81">
        <f>IFERROR(__xludf.DUMMYFUNCTION("""COMPUTED_VALUE"""),46001.37157407407)</f>
        <v>46001.37157</v>
      </c>
      <c r="G193" s="89" t="s">
        <v>3983</v>
      </c>
      <c r="H193" s="89">
        <v>50.0</v>
      </c>
      <c r="I193" s="89" t="s">
        <v>3971</v>
      </c>
      <c r="J193" s="89" t="str">
        <f t="shared" si="18"/>
        <v>No</v>
      </c>
      <c r="K193" s="89" t="str">
        <f t="shared" si="23"/>
        <v>No</v>
      </c>
      <c r="L193" s="89" t="str">
        <f>IFERROR(__xludf.DUMMYFUNCTION("""COMPUTED_VALUE"""),"Norfolk, VA")</f>
        <v>Norfolk, VA</v>
      </c>
      <c r="M193" s="89" t="str">
        <f>IFERROR(__xludf.DUMMYFUNCTION("""COMPUTED_VALUE"""),"Reposted 52 minutes ago")</f>
        <v>Reposted 52 minutes ago</v>
      </c>
      <c r="N193" s="89">
        <f>IFERROR(__xludf.DUMMYFUNCTION("""COMPUTED_VALUE"""),52.0)</f>
        <v>52</v>
      </c>
      <c r="P193" s="52" t="str">
        <f t="shared" si="22"/>
        <v>0</v>
      </c>
      <c r="R193" s="52" t="str">
        <f t="shared" si="32"/>
        <v>Review</v>
      </c>
      <c r="Z193" s="81">
        <v>46001.0</v>
      </c>
      <c r="AA193" s="81" t="s">
        <v>3986</v>
      </c>
      <c r="AB193" s="81" t="s">
        <v>3985</v>
      </c>
      <c r="AC193" s="81">
        <f t="shared" si="5"/>
        <v>45999</v>
      </c>
      <c r="AD193" s="82">
        <f t="shared" si="6"/>
        <v>3</v>
      </c>
    </row>
    <row r="194">
      <c r="A194" s="96">
        <v>46001.37556712963</v>
      </c>
      <c r="B194" s="89" t="s">
        <v>716</v>
      </c>
      <c r="C194" s="89" t="s">
        <v>488</v>
      </c>
      <c r="D194" s="89" t="s">
        <v>717</v>
      </c>
      <c r="E194" s="90" t="s">
        <v>718</v>
      </c>
      <c r="F194" s="81">
        <f>IFERROR(__xludf.DUMMYFUNCTION("""COMPUTED_VALUE"""),46001.37556712963)</f>
        <v>46001.37557</v>
      </c>
      <c r="G194" s="89" t="s">
        <v>3983</v>
      </c>
      <c r="H194" s="89">
        <v>50.0</v>
      </c>
      <c r="I194" s="89" t="s">
        <v>3971</v>
      </c>
      <c r="J194" s="89" t="str">
        <f t="shared" si="18"/>
        <v>No</v>
      </c>
      <c r="K194" s="89" t="str">
        <f t="shared" si="23"/>
        <v>No</v>
      </c>
      <c r="L194" s="89" t="str">
        <f>IFERROR(__xludf.DUMMYFUNCTION("""COMPUTED_VALUE"""),"Cottage Grove, MN")</f>
        <v>Cottage Grove, MN</v>
      </c>
      <c r="M194" s="89" t="str">
        <f>IFERROR(__xludf.DUMMYFUNCTION("""COMPUTED_VALUE"""),"Reposted 46 minutes ago")</f>
        <v>Reposted 46 minutes ago</v>
      </c>
      <c r="N194" s="89">
        <f>IFERROR(__xludf.DUMMYFUNCTION("""COMPUTED_VALUE"""),46.0)</f>
        <v>46</v>
      </c>
      <c r="P194" s="52" t="str">
        <f t="shared" si="22"/>
        <v>0</v>
      </c>
      <c r="R194" s="52" t="str">
        <f t="shared" si="32"/>
        <v>Review</v>
      </c>
      <c r="Z194" s="81">
        <v>46001.0</v>
      </c>
      <c r="AA194" s="81" t="s">
        <v>3986</v>
      </c>
      <c r="AB194" s="81" t="s">
        <v>3985</v>
      </c>
      <c r="AC194" s="81">
        <f t="shared" si="5"/>
        <v>45999</v>
      </c>
      <c r="AD194" s="82">
        <f t="shared" si="6"/>
        <v>3</v>
      </c>
    </row>
    <row r="195">
      <c r="A195" s="96">
        <v>46001.3755787037</v>
      </c>
      <c r="B195" s="89" t="s">
        <v>719</v>
      </c>
      <c r="C195" s="89" t="s">
        <v>720</v>
      </c>
      <c r="D195" s="89" t="s">
        <v>721</v>
      </c>
      <c r="E195" s="90" t="s">
        <v>722</v>
      </c>
      <c r="F195" s="81">
        <f>IFERROR(__xludf.DUMMYFUNCTION("""COMPUTED_VALUE"""),46001.3755787037)</f>
        <v>46001.37558</v>
      </c>
      <c r="G195" s="89" t="s">
        <v>3983</v>
      </c>
      <c r="H195" s="89">
        <v>50.0</v>
      </c>
      <c r="I195" s="89" t="s">
        <v>3971</v>
      </c>
      <c r="J195" s="89" t="str">
        <f t="shared" si="18"/>
        <v>No</v>
      </c>
      <c r="K195" s="89" t="str">
        <f t="shared" si="23"/>
        <v>No</v>
      </c>
      <c r="L195" s="89" t="str">
        <f>IFERROR(__xludf.DUMMYFUNCTION("""COMPUTED_VALUE"""),"San Francisco Bay Area")</f>
        <v>San Francisco Bay Area</v>
      </c>
      <c r="M195" s="89" t="str">
        <f>IFERROR(__xludf.DUMMYFUNCTION("""COMPUTED_VALUE"""),"Reposted 51 minutes ago")</f>
        <v>Reposted 51 minutes ago</v>
      </c>
      <c r="N195" s="89">
        <f>IFERROR(__xludf.DUMMYFUNCTION("""COMPUTED_VALUE"""),51.0)</f>
        <v>51</v>
      </c>
      <c r="P195" s="52" t="str">
        <f t="shared" si="22"/>
        <v>0</v>
      </c>
      <c r="R195" s="52" t="str">
        <f t="shared" si="32"/>
        <v>Review</v>
      </c>
      <c r="Z195" s="81">
        <v>46001.0</v>
      </c>
      <c r="AA195" s="81" t="s">
        <v>3986</v>
      </c>
      <c r="AB195" s="81" t="s">
        <v>3985</v>
      </c>
      <c r="AC195" s="81">
        <f t="shared" si="5"/>
        <v>45999</v>
      </c>
      <c r="AD195" s="82">
        <f t="shared" si="6"/>
        <v>3</v>
      </c>
    </row>
    <row r="196">
      <c r="A196" s="96">
        <v>46001.37662037037</v>
      </c>
      <c r="B196" s="89" t="s">
        <v>723</v>
      </c>
      <c r="C196" s="89" t="s">
        <v>724</v>
      </c>
      <c r="D196" s="89" t="s">
        <v>725</v>
      </c>
      <c r="E196" s="90" t="s">
        <v>726</v>
      </c>
      <c r="F196" s="81">
        <f>IFERROR(__xludf.DUMMYFUNCTION("""COMPUTED_VALUE"""),46001.37662037037)</f>
        <v>46001.37662</v>
      </c>
      <c r="G196" s="89" t="s">
        <v>3983</v>
      </c>
      <c r="H196" s="89">
        <v>50.0</v>
      </c>
      <c r="I196" s="89" t="s">
        <v>3971</v>
      </c>
      <c r="J196" s="89" t="str">
        <f t="shared" si="18"/>
        <v>No</v>
      </c>
      <c r="K196" s="89" t="str">
        <f t="shared" si="23"/>
        <v>No</v>
      </c>
      <c r="L196" s="89" t="str">
        <f>IFERROR(__xludf.DUMMYFUNCTION("""COMPUTED_VALUE"""),"San Francisco, CA")</f>
        <v>San Francisco, CA</v>
      </c>
      <c r="M196" s="89" t="str">
        <f>IFERROR(__xludf.DUMMYFUNCTION("""COMPUTED_VALUE"""),"Reposted 57 minutes ago")</f>
        <v>Reposted 57 minutes ago</v>
      </c>
      <c r="N196" s="89">
        <f>IFERROR(__xludf.DUMMYFUNCTION("""COMPUTED_VALUE"""),57.0)</f>
        <v>57</v>
      </c>
      <c r="P196" s="52" t="str">
        <f t="shared" si="22"/>
        <v>0</v>
      </c>
      <c r="R196" s="52" t="str">
        <f t="shared" si="32"/>
        <v>Review</v>
      </c>
      <c r="Z196" s="81">
        <v>46001.0</v>
      </c>
      <c r="AA196" s="81" t="s">
        <v>3986</v>
      </c>
      <c r="AB196" s="81" t="s">
        <v>3985</v>
      </c>
      <c r="AC196" s="81">
        <f t="shared" si="5"/>
        <v>45999</v>
      </c>
      <c r="AD196" s="82">
        <f t="shared" si="6"/>
        <v>3</v>
      </c>
    </row>
    <row r="197">
      <c r="A197" s="96">
        <v>46001.37751157407</v>
      </c>
      <c r="B197" s="89" t="s">
        <v>727</v>
      </c>
      <c r="C197" s="89" t="s">
        <v>728</v>
      </c>
      <c r="D197" s="89" t="s">
        <v>729</v>
      </c>
      <c r="E197" s="90" t="s">
        <v>730</v>
      </c>
      <c r="F197" s="81">
        <f>IFERROR(__xludf.DUMMYFUNCTION("""COMPUTED_VALUE"""),46001.37751157407)</f>
        <v>46001.37751</v>
      </c>
      <c r="G197" s="89" t="s">
        <v>3983</v>
      </c>
      <c r="H197" s="89">
        <v>50.0</v>
      </c>
      <c r="I197" s="89" t="s">
        <v>3971</v>
      </c>
      <c r="J197" s="89" t="str">
        <f t="shared" si="18"/>
        <v>No</v>
      </c>
      <c r="K197" s="89" t="str">
        <f t="shared" si="23"/>
        <v>No</v>
      </c>
      <c r="L197" s="89" t="str">
        <f>IFERROR(__xludf.DUMMYFUNCTION("""COMPUTED_VALUE"""),"Phoenix, AZ")</f>
        <v>Phoenix, AZ</v>
      </c>
      <c r="M197" s="89" t="str">
        <f>IFERROR(__xludf.DUMMYFUNCTION("""COMPUTED_VALUE"""),"Reposted 52 minutes ago")</f>
        <v>Reposted 52 minutes ago</v>
      </c>
      <c r="N197" s="89">
        <f>IFERROR(__xludf.DUMMYFUNCTION("""COMPUTED_VALUE"""),52.0)</f>
        <v>52</v>
      </c>
      <c r="P197" s="52" t="str">
        <f t="shared" si="22"/>
        <v>0</v>
      </c>
      <c r="R197" s="52" t="str">
        <f t="shared" si="32"/>
        <v>Review</v>
      </c>
      <c r="Z197" s="81">
        <v>46001.0</v>
      </c>
      <c r="AA197" s="81" t="s">
        <v>3986</v>
      </c>
      <c r="AB197" s="81" t="s">
        <v>3985</v>
      </c>
      <c r="AC197" s="81">
        <f t="shared" si="5"/>
        <v>45999</v>
      </c>
      <c r="AD197" s="82">
        <f t="shared" si="6"/>
        <v>3</v>
      </c>
    </row>
    <row r="198">
      <c r="A198" s="96">
        <v>46001.37787037037</v>
      </c>
      <c r="B198" s="89" t="s">
        <v>685</v>
      </c>
      <c r="C198" s="89" t="s">
        <v>731</v>
      </c>
      <c r="D198" s="89" t="s">
        <v>732</v>
      </c>
      <c r="E198" s="90" t="s">
        <v>733</v>
      </c>
      <c r="F198" s="81">
        <f>IFERROR(__xludf.DUMMYFUNCTION("""COMPUTED_VALUE"""),46001.37787037037)</f>
        <v>46001.37787</v>
      </c>
      <c r="G198" s="89" t="s">
        <v>3983</v>
      </c>
      <c r="H198" s="89">
        <v>50.0</v>
      </c>
      <c r="I198" s="89" t="s">
        <v>3971</v>
      </c>
      <c r="J198" s="89" t="str">
        <f t="shared" si="18"/>
        <v>No</v>
      </c>
      <c r="K198" s="89" t="str">
        <f t="shared" si="23"/>
        <v>No</v>
      </c>
      <c r="L198" s="89" t="str">
        <f>IFERROR(__xludf.DUMMYFUNCTION("""COMPUTED_VALUE"""),"Maple Grove, MN")</f>
        <v>Maple Grove, MN</v>
      </c>
      <c r="M198" s="89" t="str">
        <f>IFERROR(__xludf.DUMMYFUNCTION("""COMPUTED_VALUE"""),"24 minutes ago")</f>
        <v>24 minutes ago</v>
      </c>
      <c r="N198" s="89">
        <f>IFERROR(__xludf.DUMMYFUNCTION("""COMPUTED_VALUE"""),24.0)</f>
        <v>24</v>
      </c>
      <c r="P198" s="52" t="str">
        <f t="shared" si="22"/>
        <v>0</v>
      </c>
      <c r="R198" s="52" t="str">
        <f t="shared" si="32"/>
        <v>Review</v>
      </c>
      <c r="Z198" s="81">
        <v>46001.0</v>
      </c>
      <c r="AA198" s="81" t="s">
        <v>3986</v>
      </c>
      <c r="AB198" s="81" t="s">
        <v>3985</v>
      </c>
      <c r="AC198" s="81">
        <f t="shared" si="5"/>
        <v>45999</v>
      </c>
      <c r="AD198" s="82">
        <f t="shared" si="6"/>
        <v>3</v>
      </c>
    </row>
    <row r="199">
      <c r="A199" s="96">
        <v>46001.37813657407</v>
      </c>
      <c r="B199" s="89" t="s">
        <v>734</v>
      </c>
      <c r="C199" s="89" t="s">
        <v>735</v>
      </c>
      <c r="D199" s="89" t="s">
        <v>736</v>
      </c>
      <c r="E199" s="90" t="s">
        <v>737</v>
      </c>
      <c r="F199" s="81">
        <f>IFERROR(__xludf.DUMMYFUNCTION("""COMPUTED_VALUE"""),46001.37813657407)</f>
        <v>46001.37814</v>
      </c>
      <c r="G199" s="89" t="s">
        <v>3983</v>
      </c>
      <c r="H199" s="89">
        <v>50.0</v>
      </c>
      <c r="I199" s="89" t="s">
        <v>3971</v>
      </c>
      <c r="J199" s="89" t="str">
        <f t="shared" si="18"/>
        <v>No</v>
      </c>
      <c r="K199" s="89" t="str">
        <f t="shared" si="23"/>
        <v>No</v>
      </c>
      <c r="L199" s="89" t="str">
        <f>IFERROR(__xludf.DUMMYFUNCTION("""COMPUTED_VALUE"""),"Bellevue, WA")</f>
        <v>Bellevue, WA</v>
      </c>
      <c r="M199" s="89" t="str">
        <f>IFERROR(__xludf.DUMMYFUNCTION("""COMPUTED_VALUE"""),"Reposted 49 minutes ago")</f>
        <v>Reposted 49 minutes ago</v>
      </c>
      <c r="N199" s="89">
        <f>IFERROR(__xludf.DUMMYFUNCTION("""COMPUTED_VALUE"""),49.0)</f>
        <v>49</v>
      </c>
      <c r="P199" s="52" t="str">
        <f t="shared" si="22"/>
        <v>0</v>
      </c>
      <c r="R199" s="52" t="str">
        <f t="shared" si="32"/>
        <v>Review</v>
      </c>
      <c r="Z199" s="81">
        <v>46001.0</v>
      </c>
      <c r="AA199" s="81" t="s">
        <v>3986</v>
      </c>
      <c r="AB199" s="81" t="s">
        <v>3985</v>
      </c>
      <c r="AC199" s="81">
        <f t="shared" si="5"/>
        <v>45999</v>
      </c>
      <c r="AD199" s="82">
        <f t="shared" si="6"/>
        <v>3</v>
      </c>
    </row>
    <row r="200">
      <c r="A200" s="96">
        <v>46001.37892361111</v>
      </c>
      <c r="B200" s="89" t="s">
        <v>738</v>
      </c>
      <c r="C200" s="89" t="s">
        <v>739</v>
      </c>
      <c r="D200" s="89" t="s">
        <v>740</v>
      </c>
      <c r="E200" s="90" t="s">
        <v>741</v>
      </c>
      <c r="F200" s="81">
        <f>IFERROR(__xludf.DUMMYFUNCTION("""COMPUTED_VALUE"""),46001.37892361111)</f>
        <v>46001.37892</v>
      </c>
      <c r="G200" s="89" t="s">
        <v>3983</v>
      </c>
      <c r="H200" s="89">
        <v>50.0</v>
      </c>
      <c r="I200" s="89" t="s">
        <v>3971</v>
      </c>
      <c r="J200" s="89" t="str">
        <f t="shared" si="18"/>
        <v>No</v>
      </c>
      <c r="K200" s="89" t="str">
        <f t="shared" si="23"/>
        <v>No</v>
      </c>
      <c r="L200" s="89" t="str">
        <f>IFERROR(__xludf.DUMMYFUNCTION("""COMPUTED_VALUE"""),"Los Angeles, CA")</f>
        <v>Los Angeles, CA</v>
      </c>
      <c r="M200" s="89" t="str">
        <f>IFERROR(__xludf.DUMMYFUNCTION("""COMPUTED_VALUE"""),"Reposted 17 minutes ago")</f>
        <v>Reposted 17 minutes ago</v>
      </c>
      <c r="N200" s="89">
        <f>IFERROR(__xludf.DUMMYFUNCTION("""COMPUTED_VALUE"""),17.0)</f>
        <v>17</v>
      </c>
      <c r="P200" s="52" t="str">
        <f t="shared" si="22"/>
        <v>0</v>
      </c>
      <c r="R200" s="52" t="str">
        <f t="shared" si="32"/>
        <v>Review</v>
      </c>
      <c r="Z200" s="81">
        <v>46001.0</v>
      </c>
      <c r="AA200" s="81" t="s">
        <v>3986</v>
      </c>
      <c r="AB200" s="81" t="s">
        <v>3985</v>
      </c>
      <c r="AC200" s="81">
        <f t="shared" si="5"/>
        <v>45999</v>
      </c>
      <c r="AD200" s="82">
        <f t="shared" si="6"/>
        <v>3</v>
      </c>
    </row>
    <row r="201">
      <c r="A201" s="96">
        <v>46001.380590277775</v>
      </c>
      <c r="B201" s="89" t="s">
        <v>742</v>
      </c>
      <c r="C201" s="89" t="s">
        <v>743</v>
      </c>
      <c r="D201" s="89" t="s">
        <v>744</v>
      </c>
      <c r="E201" s="90" t="s">
        <v>745</v>
      </c>
      <c r="F201" s="81">
        <f>IFERROR(__xludf.DUMMYFUNCTION("""COMPUTED_VALUE"""),46001.380590277775)</f>
        <v>46001.38059</v>
      </c>
      <c r="G201" s="89" t="s">
        <v>3983</v>
      </c>
      <c r="H201" s="89">
        <v>50.0</v>
      </c>
      <c r="I201" s="89" t="s">
        <v>3971</v>
      </c>
      <c r="J201" s="89" t="str">
        <f t="shared" si="18"/>
        <v>No</v>
      </c>
      <c r="K201" s="89" t="str">
        <f t="shared" si="23"/>
        <v>No</v>
      </c>
      <c r="L201" s="89" t="str">
        <f>IFERROR(__xludf.DUMMYFUNCTION("""COMPUTED_VALUE"""),"Sunnyvale, CA")</f>
        <v>Sunnyvale, CA</v>
      </c>
      <c r="M201" s="89" t="str">
        <f>IFERROR(__xludf.DUMMYFUNCTION("""COMPUTED_VALUE"""),"Reposted 27 minutes ago")</f>
        <v>Reposted 27 minutes ago</v>
      </c>
      <c r="N201" s="89">
        <f>IFERROR(__xludf.DUMMYFUNCTION("""COMPUTED_VALUE"""),27.0)</f>
        <v>27</v>
      </c>
      <c r="P201" s="52" t="str">
        <f t="shared" si="22"/>
        <v>0</v>
      </c>
      <c r="R201" s="52" t="str">
        <f t="shared" si="32"/>
        <v>Review</v>
      </c>
      <c r="Z201" s="81">
        <v>46001.0</v>
      </c>
      <c r="AA201" s="81" t="s">
        <v>3986</v>
      </c>
      <c r="AB201" s="81" t="s">
        <v>3985</v>
      </c>
      <c r="AC201" s="81">
        <f t="shared" si="5"/>
        <v>45999</v>
      </c>
      <c r="AD201" s="82">
        <f t="shared" si="6"/>
        <v>3</v>
      </c>
    </row>
    <row r="202">
      <c r="A202" s="96">
        <v>46001.381516203706</v>
      </c>
      <c r="B202" s="89" t="s">
        <v>451</v>
      </c>
      <c r="C202" s="89" t="s">
        <v>746</v>
      </c>
      <c r="D202" s="89" t="s">
        <v>747</v>
      </c>
      <c r="E202" s="90" t="s">
        <v>748</v>
      </c>
      <c r="F202" s="81">
        <f>IFERROR(__xludf.DUMMYFUNCTION("""COMPUTED_VALUE"""),46001.381516203706)</f>
        <v>46001.38152</v>
      </c>
      <c r="G202" s="89" t="s">
        <v>3983</v>
      </c>
      <c r="H202" s="89">
        <v>50.0</v>
      </c>
      <c r="I202" s="89" t="s">
        <v>3971</v>
      </c>
      <c r="J202" s="89" t="str">
        <f t="shared" si="18"/>
        <v>No</v>
      </c>
      <c r="K202" s="89" t="str">
        <f t="shared" si="23"/>
        <v>No</v>
      </c>
      <c r="L202" s="89" t="str">
        <f>IFERROR(__xludf.DUMMYFUNCTION("""COMPUTED_VALUE"""),"Charlotte, NC")</f>
        <v>Charlotte, NC</v>
      </c>
      <c r="M202" s="89" t="str">
        <f>IFERROR(__xludf.DUMMYFUNCTION("""COMPUTED_VALUE"""),"Reposted 37 minutes ago")</f>
        <v>Reposted 37 minutes ago</v>
      </c>
      <c r="N202" s="89">
        <f>IFERROR(__xludf.DUMMYFUNCTION("""COMPUTED_VALUE"""),37.0)</f>
        <v>37</v>
      </c>
      <c r="P202" s="52" t="str">
        <f t="shared" si="22"/>
        <v>0</v>
      </c>
      <c r="R202" s="52" t="str">
        <f t="shared" si="32"/>
        <v>Review</v>
      </c>
      <c r="Z202" s="81">
        <v>46001.0</v>
      </c>
      <c r="AA202" s="81" t="s">
        <v>3986</v>
      </c>
      <c r="AB202" s="81" t="s">
        <v>3985</v>
      </c>
      <c r="AC202" s="81">
        <f t="shared" si="5"/>
        <v>45999</v>
      </c>
      <c r="AD202" s="82">
        <f t="shared" si="6"/>
        <v>3</v>
      </c>
    </row>
    <row r="203">
      <c r="A203" s="96">
        <v>46001.38292824074</v>
      </c>
      <c r="B203" s="89" t="s">
        <v>749</v>
      </c>
      <c r="C203" s="89" t="s">
        <v>750</v>
      </c>
      <c r="D203" s="89" t="s">
        <v>751</v>
      </c>
      <c r="E203" s="90" t="s">
        <v>752</v>
      </c>
      <c r="F203" s="81">
        <f>IFERROR(__xludf.DUMMYFUNCTION("""COMPUTED_VALUE"""),46001.38292824074)</f>
        <v>46001.38293</v>
      </c>
      <c r="G203" s="89" t="s">
        <v>3983</v>
      </c>
      <c r="H203" s="89">
        <v>50.0</v>
      </c>
      <c r="I203" s="89" t="s">
        <v>3971</v>
      </c>
      <c r="J203" s="89" t="str">
        <f t="shared" si="18"/>
        <v>No</v>
      </c>
      <c r="K203" s="89" t="str">
        <f t="shared" si="23"/>
        <v>No</v>
      </c>
      <c r="L203" s="89" t="str">
        <f>IFERROR(__xludf.DUMMYFUNCTION("""COMPUTED_VALUE"""),"Chicago, IL")</f>
        <v>Chicago, IL</v>
      </c>
      <c r="M203" s="89" t="str">
        <f>IFERROR(__xludf.DUMMYFUNCTION("""COMPUTED_VALUE"""),"Reposted 50 minutes ago")</f>
        <v>Reposted 50 minutes ago</v>
      </c>
      <c r="N203" s="89">
        <f>IFERROR(__xludf.DUMMYFUNCTION("""COMPUTED_VALUE"""),50.0)</f>
        <v>50</v>
      </c>
      <c r="P203" s="52" t="str">
        <f t="shared" si="22"/>
        <v>0</v>
      </c>
      <c r="R203" s="52" t="str">
        <f t="shared" si="32"/>
        <v>Review</v>
      </c>
      <c r="Z203" s="81">
        <v>46001.0</v>
      </c>
      <c r="AA203" s="81" t="s">
        <v>3986</v>
      </c>
      <c r="AB203" s="81" t="s">
        <v>3985</v>
      </c>
      <c r="AC203" s="81">
        <f t="shared" si="5"/>
        <v>45999</v>
      </c>
      <c r="AD203" s="82">
        <f t="shared" si="6"/>
        <v>3</v>
      </c>
    </row>
    <row r="204">
      <c r="A204" s="96">
        <v>46001.38396990741</v>
      </c>
      <c r="B204" s="89" t="s">
        <v>753</v>
      </c>
      <c r="C204" s="89" t="s">
        <v>754</v>
      </c>
      <c r="D204" s="89" t="s">
        <v>755</v>
      </c>
      <c r="E204" s="90" t="s">
        <v>756</v>
      </c>
      <c r="F204" s="81">
        <f>IFERROR(__xludf.DUMMYFUNCTION("""COMPUTED_VALUE"""),46001.38396990741)</f>
        <v>46001.38397</v>
      </c>
      <c r="G204" s="89" t="s">
        <v>3983</v>
      </c>
      <c r="H204" s="89">
        <v>50.0</v>
      </c>
      <c r="I204" s="89" t="s">
        <v>3971</v>
      </c>
      <c r="J204" s="89" t="str">
        <f t="shared" si="18"/>
        <v>No</v>
      </c>
      <c r="K204" s="89" t="str">
        <f t="shared" si="23"/>
        <v>No</v>
      </c>
      <c r="L204" s="89" t="str">
        <f>IFERROR(__xludf.DUMMYFUNCTION("""COMPUTED_VALUE"""),"Gaithersburg, MD")</f>
        <v>Gaithersburg, MD</v>
      </c>
      <c r="M204" s="89" t="str">
        <f>IFERROR(__xludf.DUMMYFUNCTION("""COMPUTED_VALUE"""),"Reposted 25 minutes ago")</f>
        <v>Reposted 25 minutes ago</v>
      </c>
      <c r="N204" s="89">
        <f>IFERROR(__xludf.DUMMYFUNCTION("""COMPUTED_VALUE"""),25.0)</f>
        <v>25</v>
      </c>
      <c r="P204" s="52" t="str">
        <f t="shared" si="22"/>
        <v>0</v>
      </c>
      <c r="R204" s="52" t="str">
        <f t="shared" si="32"/>
        <v>Review</v>
      </c>
      <c r="Z204" s="81">
        <v>46001.0</v>
      </c>
      <c r="AA204" s="81" t="s">
        <v>3986</v>
      </c>
      <c r="AB204" s="81" t="s">
        <v>3985</v>
      </c>
      <c r="AC204" s="81">
        <f t="shared" si="5"/>
        <v>45999</v>
      </c>
      <c r="AD204" s="82">
        <f t="shared" si="6"/>
        <v>3</v>
      </c>
    </row>
    <row r="205">
      <c r="A205" s="96">
        <v>46001.384097222224</v>
      </c>
      <c r="B205" s="89" t="s">
        <v>506</v>
      </c>
      <c r="C205" s="89" t="s">
        <v>488</v>
      </c>
      <c r="D205" s="89" t="s">
        <v>757</v>
      </c>
      <c r="E205" s="90" t="s">
        <v>758</v>
      </c>
      <c r="F205" s="81">
        <f>IFERROR(__xludf.DUMMYFUNCTION("""COMPUTED_VALUE"""),46001.384097222224)</f>
        <v>46001.3841</v>
      </c>
      <c r="G205" s="89" t="s">
        <v>3983</v>
      </c>
      <c r="H205" s="89">
        <v>50.0</v>
      </c>
      <c r="I205" s="89" t="s">
        <v>3971</v>
      </c>
      <c r="J205" s="89" t="str">
        <f t="shared" si="18"/>
        <v>No</v>
      </c>
      <c r="K205" s="89" t="str">
        <f t="shared" si="23"/>
        <v>No</v>
      </c>
      <c r="L205" s="89" t="str">
        <f>IFERROR(__xludf.DUMMYFUNCTION("""COMPUTED_VALUE"""),"Malvern, PA")</f>
        <v>Malvern, PA</v>
      </c>
      <c r="M205" s="89" t="str">
        <f>IFERROR(__xludf.DUMMYFUNCTION("""COMPUTED_VALUE"""),"56 minutes ago")</f>
        <v>56 minutes ago</v>
      </c>
      <c r="N205" s="89">
        <f>IFERROR(__xludf.DUMMYFUNCTION("""COMPUTED_VALUE"""),56.0)</f>
        <v>56</v>
      </c>
      <c r="P205" s="52" t="str">
        <f t="shared" si="22"/>
        <v>0</v>
      </c>
      <c r="R205" s="52" t="str">
        <f t="shared" si="32"/>
        <v>Review</v>
      </c>
      <c r="Z205" s="81">
        <v>46001.0</v>
      </c>
      <c r="AA205" s="81" t="s">
        <v>3986</v>
      </c>
      <c r="AB205" s="81" t="s">
        <v>3985</v>
      </c>
      <c r="AC205" s="81">
        <f t="shared" si="5"/>
        <v>45999</v>
      </c>
      <c r="AD205" s="82">
        <f t="shared" si="6"/>
        <v>3</v>
      </c>
    </row>
    <row r="206">
      <c r="A206" s="96">
        <v>46001.384375</v>
      </c>
      <c r="B206" s="89" t="s">
        <v>759</v>
      </c>
      <c r="C206" s="89" t="s">
        <v>760</v>
      </c>
      <c r="D206" s="89" t="s">
        <v>761</v>
      </c>
      <c r="E206" s="90" t="s">
        <v>762</v>
      </c>
      <c r="F206" s="81">
        <f>IFERROR(__xludf.DUMMYFUNCTION("""COMPUTED_VALUE"""),46001.384375)</f>
        <v>46001.38438</v>
      </c>
      <c r="G206" s="89" t="s">
        <v>3983</v>
      </c>
      <c r="H206" s="89">
        <v>50.0</v>
      </c>
      <c r="I206" s="89" t="s">
        <v>3971</v>
      </c>
      <c r="J206" s="89" t="str">
        <f t="shared" si="18"/>
        <v>No</v>
      </c>
      <c r="K206" s="89" t="str">
        <f t="shared" si="23"/>
        <v>No</v>
      </c>
      <c r="L206" s="89" t="str">
        <f>IFERROR(__xludf.DUMMYFUNCTION("""COMPUTED_VALUE"""),"Alpharetta, GA")</f>
        <v>Alpharetta, GA</v>
      </c>
      <c r="M206" s="89" t="str">
        <f>IFERROR(__xludf.DUMMYFUNCTION("""COMPUTED_VALUE"""),"Reposted 22 minutes ago")</f>
        <v>Reposted 22 minutes ago</v>
      </c>
      <c r="N206" s="89">
        <f>IFERROR(__xludf.DUMMYFUNCTION("""COMPUTED_VALUE"""),22.0)</f>
        <v>22</v>
      </c>
      <c r="P206" s="52" t="str">
        <f t="shared" si="22"/>
        <v>0</v>
      </c>
      <c r="R206" s="52" t="str">
        <f t="shared" si="32"/>
        <v>Review</v>
      </c>
      <c r="Z206" s="81">
        <v>46001.0</v>
      </c>
      <c r="AA206" s="81" t="s">
        <v>3986</v>
      </c>
      <c r="AB206" s="81" t="s">
        <v>3985</v>
      </c>
      <c r="AC206" s="81">
        <f t="shared" si="5"/>
        <v>45999</v>
      </c>
      <c r="AD206" s="82">
        <f t="shared" si="6"/>
        <v>3</v>
      </c>
    </row>
    <row r="207">
      <c r="A207" s="96">
        <v>46010.880833333336</v>
      </c>
      <c r="B207" s="89" t="s">
        <v>763</v>
      </c>
      <c r="C207" s="89" t="s">
        <v>764</v>
      </c>
      <c r="D207" s="89" t="s">
        <v>765</v>
      </c>
      <c r="E207" s="90" t="s">
        <v>766</v>
      </c>
      <c r="F207" s="81">
        <f>IFERROR(__xludf.DUMMYFUNCTION("""COMPUTED_VALUE"""),46010.880833333336)</f>
        <v>46010.88083</v>
      </c>
      <c r="G207" s="89" t="s">
        <v>3983</v>
      </c>
      <c r="H207" s="89">
        <v>51.0</v>
      </c>
      <c r="I207" s="89" t="s">
        <v>3954</v>
      </c>
      <c r="J207" s="89" t="str">
        <f t="shared" si="18"/>
        <v>No</v>
      </c>
      <c r="K207" s="89" t="str">
        <f t="shared" si="23"/>
        <v>No</v>
      </c>
      <c r="L207" s="89" t="str">
        <f>IFERROR(__xludf.DUMMYFUNCTION("""COMPUTED_VALUE"""),"Cedar Rapids, IA")</f>
        <v>Cedar Rapids, IA</v>
      </c>
      <c r="M207" s="89" t="str">
        <f>IFERROR(__xludf.DUMMYFUNCTION("""COMPUTED_VALUE"""),"30 minutes ago")</f>
        <v>30 minutes ago</v>
      </c>
      <c r="N207" s="89">
        <f>IFERROR(__xludf.DUMMYFUNCTION("""COMPUTED_VALUE"""),30.0)</f>
        <v>30</v>
      </c>
      <c r="P207" s="52" t="str">
        <f t="shared" si="22"/>
        <v>0</v>
      </c>
      <c r="R207" s="52" t="str">
        <f t="shared" si="32"/>
        <v>Review</v>
      </c>
      <c r="Z207" s="81">
        <v>46010.0</v>
      </c>
      <c r="AA207" s="81" t="s">
        <v>3987</v>
      </c>
      <c r="AB207" s="81" t="s">
        <v>3985</v>
      </c>
      <c r="AC207" s="81">
        <f t="shared" si="5"/>
        <v>46006</v>
      </c>
      <c r="AD207" s="82">
        <f t="shared" si="6"/>
        <v>5</v>
      </c>
    </row>
    <row r="208">
      <c r="A208" s="96">
        <v>46011.86651620371</v>
      </c>
      <c r="B208" s="89" t="s">
        <v>767</v>
      </c>
      <c r="C208" s="89" t="s">
        <v>768</v>
      </c>
      <c r="D208" s="89" t="s">
        <v>769</v>
      </c>
      <c r="E208" s="90" t="s">
        <v>770</v>
      </c>
      <c r="F208" s="81">
        <f>IFERROR(__xludf.DUMMYFUNCTION("""COMPUTED_VALUE"""),46011.86651620371)</f>
        <v>46011.86652</v>
      </c>
      <c r="G208" s="89" t="s">
        <v>3983</v>
      </c>
      <c r="H208" s="89">
        <v>51.0</v>
      </c>
      <c r="I208" s="89" t="s">
        <v>3960</v>
      </c>
      <c r="J208" s="89" t="str">
        <f t="shared" si="18"/>
        <v>No</v>
      </c>
      <c r="K208" s="89" t="str">
        <f t="shared" si="23"/>
        <v>No</v>
      </c>
      <c r="L208" s="89" t="str">
        <f>IFERROR(__xludf.DUMMYFUNCTION("""COMPUTED_VALUE"""),"McLean, VA")</f>
        <v>McLean, VA</v>
      </c>
      <c r="M208" s="89" t="str">
        <f>IFERROR(__xludf.DUMMYFUNCTION("""COMPUTED_VALUE"""),"46 minutes ago")</f>
        <v>46 minutes ago</v>
      </c>
      <c r="N208" s="89">
        <f>IFERROR(__xludf.DUMMYFUNCTION("""COMPUTED_VALUE"""),46.0)</f>
        <v>46</v>
      </c>
      <c r="P208" s="52" t="str">
        <f t="shared" si="22"/>
        <v>0</v>
      </c>
      <c r="R208" s="52" t="str">
        <f t="shared" si="32"/>
        <v>Review</v>
      </c>
      <c r="Z208" s="81">
        <v>46011.0</v>
      </c>
      <c r="AA208" s="81" t="s">
        <v>3987</v>
      </c>
      <c r="AB208" s="81" t="s">
        <v>3985</v>
      </c>
      <c r="AC208" s="81">
        <f t="shared" si="5"/>
        <v>46006</v>
      </c>
      <c r="AD208" s="82">
        <f t="shared" si="6"/>
        <v>6</v>
      </c>
    </row>
    <row r="209">
      <c r="A209" s="96">
        <v>46012.929756944446</v>
      </c>
      <c r="B209" s="89" t="s">
        <v>771</v>
      </c>
      <c r="C209" s="89" t="s">
        <v>625</v>
      </c>
      <c r="D209" s="89" t="s">
        <v>772</v>
      </c>
      <c r="E209" s="90" t="s">
        <v>773</v>
      </c>
      <c r="F209" s="81">
        <f>IFERROR(__xludf.DUMMYFUNCTION("""COMPUTED_VALUE"""),46012.929756944446)</f>
        <v>46012.92976</v>
      </c>
      <c r="G209" s="89" t="s">
        <v>3983</v>
      </c>
      <c r="H209" s="89">
        <v>52.0</v>
      </c>
      <c r="I209" s="89" t="s">
        <v>3962</v>
      </c>
      <c r="J209" s="89" t="str">
        <f t="shared" si="18"/>
        <v>No</v>
      </c>
      <c r="K209" s="89" t="str">
        <f t="shared" si="23"/>
        <v>No</v>
      </c>
      <c r="L209" s="89" t="str">
        <f>IFERROR(__xludf.DUMMYFUNCTION("""COMPUTED_VALUE"""),"Chicago, IL")</f>
        <v>Chicago, IL</v>
      </c>
      <c r="M209" s="89" t="str">
        <f>IFERROR(__xludf.DUMMYFUNCTION("""COMPUTED_VALUE"""),"59 minutes ago")</f>
        <v>59 minutes ago</v>
      </c>
      <c r="N209" s="89">
        <f>IFERROR(__xludf.DUMMYFUNCTION("""COMPUTED_VALUE"""),59.0)</f>
        <v>59</v>
      </c>
      <c r="P209" s="52" t="str">
        <f t="shared" si="22"/>
        <v>0</v>
      </c>
      <c r="R209" s="52" t="str">
        <f t="shared" si="32"/>
        <v>Review</v>
      </c>
      <c r="Z209" s="81">
        <v>46012.0</v>
      </c>
      <c r="AA209" s="81" t="s">
        <v>3987</v>
      </c>
      <c r="AB209" s="81" t="s">
        <v>3985</v>
      </c>
      <c r="AC209" s="81">
        <f t="shared" si="5"/>
        <v>46006</v>
      </c>
      <c r="AD209" s="82">
        <f t="shared" si="6"/>
        <v>7</v>
      </c>
    </row>
    <row r="210">
      <c r="A210" s="96">
        <v>46015.395590277774</v>
      </c>
      <c r="B210" s="89" t="s">
        <v>774</v>
      </c>
      <c r="C210" s="89" t="s">
        <v>775</v>
      </c>
      <c r="D210" s="89" t="s">
        <v>776</v>
      </c>
      <c r="E210" s="90" t="s">
        <v>777</v>
      </c>
      <c r="F210" s="81">
        <f>IFERROR(__xludf.DUMMYFUNCTION("""COMPUTED_VALUE"""),46015.395590277774)</f>
        <v>46015.39559</v>
      </c>
      <c r="G210" s="89" t="s">
        <v>3983</v>
      </c>
      <c r="H210" s="89">
        <v>52.0</v>
      </c>
      <c r="I210" s="89" t="s">
        <v>3971</v>
      </c>
      <c r="J210" s="89" t="str">
        <f t="shared" si="18"/>
        <v>No</v>
      </c>
      <c r="K210" s="89" t="str">
        <f t="shared" si="23"/>
        <v>No</v>
      </c>
      <c r="L210" s="89" t="str">
        <f>IFERROR(__xludf.DUMMYFUNCTION("""COMPUTED_VALUE"""),"New Jersey, United States")</f>
        <v>New Jersey, United States</v>
      </c>
      <c r="M210" s="89" t="str">
        <f>IFERROR(__xludf.DUMMYFUNCTION("""COMPUTED_VALUE"""),"38 minutes ago")</f>
        <v>38 minutes ago</v>
      </c>
      <c r="N210" s="89">
        <f>IFERROR(__xludf.DUMMYFUNCTION("""COMPUTED_VALUE"""),38.0)</f>
        <v>38</v>
      </c>
      <c r="P210" s="52" t="str">
        <f t="shared" si="22"/>
        <v>0</v>
      </c>
      <c r="R210" s="52" t="str">
        <f t="shared" si="32"/>
        <v>Review</v>
      </c>
      <c r="Z210" s="81">
        <v>46015.0</v>
      </c>
      <c r="AA210" s="81" t="s">
        <v>3988</v>
      </c>
      <c r="AB210" s="81" t="s">
        <v>3985</v>
      </c>
      <c r="AC210" s="81">
        <f t="shared" si="5"/>
        <v>46013</v>
      </c>
      <c r="AD210" s="82">
        <f t="shared" si="6"/>
        <v>3</v>
      </c>
    </row>
    <row r="211">
      <c r="A211" s="96">
        <v>46026.76474537037</v>
      </c>
      <c r="B211" s="89" t="s">
        <v>778</v>
      </c>
      <c r="C211" s="89" t="s">
        <v>779</v>
      </c>
      <c r="D211" s="89" t="s">
        <v>780</v>
      </c>
      <c r="E211" s="90" t="s">
        <v>781</v>
      </c>
      <c r="F211" s="81">
        <f>IFERROR(__xludf.DUMMYFUNCTION("""COMPUTED_VALUE"""),46026.76474537037)</f>
        <v>46026.76475</v>
      </c>
      <c r="G211" s="89" t="s">
        <v>3989</v>
      </c>
      <c r="H211" s="89">
        <v>2.0</v>
      </c>
      <c r="I211" s="89" t="s">
        <v>3962</v>
      </c>
      <c r="J211" s="89" t="str">
        <f t="shared" si="18"/>
        <v>No</v>
      </c>
      <c r="K211" s="89" t="str">
        <f t="shared" si="23"/>
        <v>No</v>
      </c>
      <c r="L211" s="89" t="str">
        <f>IFERROR(__xludf.DUMMYFUNCTION("""COMPUTED_VALUE"""),"San Diego, CA")</f>
        <v>San Diego, CA</v>
      </c>
      <c r="M211" s="89" t="str">
        <f>IFERROR(__xludf.DUMMYFUNCTION("""COMPUTED_VALUE"""),"5 days ago")</f>
        <v>5 days ago</v>
      </c>
      <c r="N211" s="89">
        <f>IFERROR(__xludf.DUMMYFUNCTION("""COMPUTED_VALUE"""),5.0)</f>
        <v>5</v>
      </c>
      <c r="P211" s="52" t="str">
        <f t="shared" si="22"/>
        <v>0</v>
      </c>
      <c r="R211" s="52" t="str">
        <f t="shared" si="32"/>
        <v>Review</v>
      </c>
      <c r="Z211" s="81">
        <v>46026.0</v>
      </c>
      <c r="AA211" s="81" t="s">
        <v>3990</v>
      </c>
      <c r="AB211" s="81" t="s">
        <v>3991</v>
      </c>
      <c r="AC211" s="81">
        <f t="shared" si="5"/>
        <v>46020</v>
      </c>
      <c r="AD211" s="82">
        <f t="shared" si="6"/>
        <v>7</v>
      </c>
    </row>
    <row r="212">
      <c r="A212" s="104">
        <v>46027.0</v>
      </c>
      <c r="B212" s="89" t="s">
        <v>782</v>
      </c>
      <c r="C212" s="89" t="s">
        <v>177</v>
      </c>
      <c r="D212" s="89" t="s">
        <v>783</v>
      </c>
      <c r="E212" s="89" t="s">
        <v>784</v>
      </c>
      <c r="F212" s="81">
        <f>IFERROR(__xludf.DUMMYFUNCTION("""COMPUTED_VALUE"""),46027.0)</f>
        <v>46027</v>
      </c>
      <c r="G212" s="89" t="s">
        <v>3989</v>
      </c>
      <c r="H212" s="89">
        <v>2.0</v>
      </c>
      <c r="I212" s="89" t="s">
        <v>3964</v>
      </c>
      <c r="J212" s="89" t="str">
        <f t="shared" si="18"/>
        <v>No</v>
      </c>
      <c r="K212" s="89" t="str">
        <f t="shared" si="23"/>
        <v>No</v>
      </c>
      <c r="L212" s="89" t="str">
        <f>IFERROR(__xludf.DUMMYFUNCTION("""COMPUTED_VALUE"""),"Multi Location")</f>
        <v>Multi Location</v>
      </c>
      <c r="M212" s="89" t="str">
        <f>IFERROR(__xludf.DUMMYFUNCTION("""COMPUTED_VALUE"""),"")</f>
        <v/>
      </c>
      <c r="N212" s="89" t="str">
        <f>IFERROR(__xludf.DUMMYFUNCTION("""COMPUTED_VALUE"""),"")</f>
        <v/>
      </c>
      <c r="P212" s="52" t="str">
        <f t="shared" si="22"/>
        <v>0</v>
      </c>
      <c r="R212" s="52" t="str">
        <f t="shared" si="32"/>
        <v>Review</v>
      </c>
      <c r="Z212" s="81">
        <v>46027.0</v>
      </c>
      <c r="AA212" s="81" t="s">
        <v>3992</v>
      </c>
      <c r="AB212" s="81" t="s">
        <v>3991</v>
      </c>
      <c r="AC212" s="81">
        <f t="shared" si="5"/>
        <v>46027</v>
      </c>
      <c r="AD212" s="82">
        <f t="shared" si="6"/>
        <v>1</v>
      </c>
    </row>
    <row r="213">
      <c r="A213" s="104">
        <v>46027.0</v>
      </c>
      <c r="B213" s="89" t="s">
        <v>785</v>
      </c>
      <c r="C213" s="89" t="s">
        <v>786</v>
      </c>
      <c r="D213" s="89" t="s">
        <v>783</v>
      </c>
      <c r="E213" s="89" t="s">
        <v>784</v>
      </c>
      <c r="F213" s="81">
        <f>IFERROR(__xludf.DUMMYFUNCTION("""COMPUTED_VALUE"""),46027.0)</f>
        <v>46027</v>
      </c>
      <c r="G213" s="89" t="s">
        <v>3989</v>
      </c>
      <c r="H213" s="89">
        <v>2.0</v>
      </c>
      <c r="I213" s="89" t="s">
        <v>3964</v>
      </c>
      <c r="J213" s="89" t="str">
        <f t="shared" si="18"/>
        <v>No</v>
      </c>
      <c r="K213" s="89" t="str">
        <f t="shared" si="23"/>
        <v>No</v>
      </c>
      <c r="L213" s="89" t="str">
        <f>IFERROR(__xludf.DUMMYFUNCTION("""COMPUTED_VALUE"""),"Multi Location")</f>
        <v>Multi Location</v>
      </c>
      <c r="M213" s="89" t="str">
        <f>IFERROR(__xludf.DUMMYFUNCTION("""COMPUTED_VALUE"""),"")</f>
        <v/>
      </c>
      <c r="N213" s="89" t="str">
        <f>IFERROR(__xludf.DUMMYFUNCTION("""COMPUTED_VALUE"""),"")</f>
        <v/>
      </c>
      <c r="P213" s="52" t="str">
        <f t="shared" si="22"/>
        <v>0</v>
      </c>
      <c r="R213" s="52" t="str">
        <f t="shared" si="32"/>
        <v>Review</v>
      </c>
      <c r="Z213" s="81">
        <v>46027.0</v>
      </c>
      <c r="AA213" s="81" t="s">
        <v>3992</v>
      </c>
      <c r="AB213" s="81" t="s">
        <v>3991</v>
      </c>
      <c r="AC213" s="81">
        <f t="shared" si="5"/>
        <v>46027</v>
      </c>
      <c r="AD213" s="82">
        <f t="shared" si="6"/>
        <v>1</v>
      </c>
    </row>
    <row r="214">
      <c r="A214" s="104">
        <v>46027.0</v>
      </c>
      <c r="B214" s="89" t="s">
        <v>378</v>
      </c>
      <c r="C214" s="89" t="s">
        <v>289</v>
      </c>
      <c r="D214" s="89" t="s">
        <v>783</v>
      </c>
      <c r="E214" s="89" t="s">
        <v>784</v>
      </c>
      <c r="F214" s="81">
        <f>IFERROR(__xludf.DUMMYFUNCTION("""COMPUTED_VALUE"""),46027.0)</f>
        <v>46027</v>
      </c>
      <c r="G214" s="89" t="s">
        <v>3989</v>
      </c>
      <c r="H214" s="89">
        <v>2.0</v>
      </c>
      <c r="I214" s="89" t="s">
        <v>3964</v>
      </c>
      <c r="J214" s="89" t="str">
        <f t="shared" si="18"/>
        <v>No</v>
      </c>
      <c r="K214" s="89" t="str">
        <f t="shared" si="23"/>
        <v>No</v>
      </c>
      <c r="L214" s="89" t="str">
        <f>IFERROR(__xludf.DUMMYFUNCTION("""COMPUTED_VALUE"""),"Multi Location")</f>
        <v>Multi Location</v>
      </c>
      <c r="M214" s="89" t="str">
        <f>IFERROR(__xludf.DUMMYFUNCTION("""COMPUTED_VALUE"""),"")</f>
        <v/>
      </c>
      <c r="N214" s="89" t="str">
        <f>IFERROR(__xludf.DUMMYFUNCTION("""COMPUTED_VALUE"""),"")</f>
        <v/>
      </c>
      <c r="P214" s="52" t="str">
        <f t="shared" si="22"/>
        <v>0</v>
      </c>
      <c r="R214" s="52" t="str">
        <f t="shared" si="32"/>
        <v>Review</v>
      </c>
      <c r="Z214" s="81">
        <v>46027.0</v>
      </c>
      <c r="AA214" s="81" t="s">
        <v>3992</v>
      </c>
      <c r="AB214" s="81" t="s">
        <v>3991</v>
      </c>
      <c r="AC214" s="81">
        <f t="shared" si="5"/>
        <v>46027</v>
      </c>
      <c r="AD214" s="82">
        <f t="shared" si="6"/>
        <v>1</v>
      </c>
    </row>
    <row r="215">
      <c r="A215" s="104">
        <v>46027.0</v>
      </c>
      <c r="B215" s="89" t="s">
        <v>787</v>
      </c>
      <c r="C215" s="90" t="s">
        <v>788</v>
      </c>
      <c r="D215" s="89" t="s">
        <v>783</v>
      </c>
      <c r="E215" s="89" t="s">
        <v>784</v>
      </c>
      <c r="F215" s="81">
        <f>IFERROR(__xludf.DUMMYFUNCTION("""COMPUTED_VALUE"""),46027.0)</f>
        <v>46027</v>
      </c>
      <c r="G215" s="89" t="s">
        <v>3989</v>
      </c>
      <c r="H215" s="89">
        <v>2.0</v>
      </c>
      <c r="I215" s="89" t="s">
        <v>3964</v>
      </c>
      <c r="J215" s="89" t="str">
        <f t="shared" si="18"/>
        <v>No</v>
      </c>
      <c r="K215" s="89" t="str">
        <f t="shared" si="23"/>
        <v>No</v>
      </c>
      <c r="L215" s="89" t="str">
        <f>IFERROR(__xludf.DUMMYFUNCTION("""COMPUTED_VALUE"""),"Multi Location")</f>
        <v>Multi Location</v>
      </c>
      <c r="M215" s="89" t="str">
        <f>IFERROR(__xludf.DUMMYFUNCTION("""COMPUTED_VALUE"""),"")</f>
        <v/>
      </c>
      <c r="N215" s="89" t="str">
        <f>IFERROR(__xludf.DUMMYFUNCTION("""COMPUTED_VALUE"""),"")</f>
        <v/>
      </c>
      <c r="P215" s="52" t="str">
        <f t="shared" si="22"/>
        <v>0</v>
      </c>
      <c r="R215" s="52" t="str">
        <f t="shared" si="32"/>
        <v>Review</v>
      </c>
      <c r="Z215" s="81">
        <v>46027.0</v>
      </c>
      <c r="AA215" s="81" t="s">
        <v>3992</v>
      </c>
      <c r="AB215" s="81" t="s">
        <v>3991</v>
      </c>
      <c r="AC215" s="81">
        <f t="shared" si="5"/>
        <v>46027</v>
      </c>
      <c r="AD215" s="82">
        <f t="shared" si="6"/>
        <v>1</v>
      </c>
    </row>
    <row r="216">
      <c r="A216" s="104">
        <v>46027.0</v>
      </c>
      <c r="B216" s="89" t="s">
        <v>787</v>
      </c>
      <c r="C216" s="89" t="s">
        <v>789</v>
      </c>
      <c r="D216" s="89" t="s">
        <v>783</v>
      </c>
      <c r="E216" s="89" t="s">
        <v>784</v>
      </c>
      <c r="F216" s="81">
        <f>IFERROR(__xludf.DUMMYFUNCTION("""COMPUTED_VALUE"""),46027.0)</f>
        <v>46027</v>
      </c>
      <c r="G216" s="89" t="s">
        <v>3989</v>
      </c>
      <c r="H216" s="89">
        <v>2.0</v>
      </c>
      <c r="I216" s="89" t="s">
        <v>3964</v>
      </c>
      <c r="J216" s="89" t="str">
        <f t="shared" si="18"/>
        <v>No</v>
      </c>
      <c r="K216" s="89" t="str">
        <f t="shared" si="23"/>
        <v>No</v>
      </c>
      <c r="L216" s="89" t="str">
        <f>IFERROR(__xludf.DUMMYFUNCTION("""COMPUTED_VALUE"""),"Multi Location")</f>
        <v>Multi Location</v>
      </c>
      <c r="M216" s="89" t="str">
        <f>IFERROR(__xludf.DUMMYFUNCTION("""COMPUTED_VALUE"""),"")</f>
        <v/>
      </c>
      <c r="N216" s="89" t="str">
        <f>IFERROR(__xludf.DUMMYFUNCTION("""COMPUTED_VALUE"""),"")</f>
        <v/>
      </c>
      <c r="P216" s="52" t="str">
        <f t="shared" si="22"/>
        <v>0</v>
      </c>
      <c r="R216" s="52" t="str">
        <f t="shared" si="32"/>
        <v>Review</v>
      </c>
      <c r="Z216" s="81">
        <v>46027.0</v>
      </c>
      <c r="AA216" s="81" t="s">
        <v>3992</v>
      </c>
      <c r="AB216" s="81" t="s">
        <v>3991</v>
      </c>
      <c r="AC216" s="81">
        <f t="shared" si="5"/>
        <v>46027</v>
      </c>
      <c r="AD216" s="82">
        <f t="shared" si="6"/>
        <v>1</v>
      </c>
    </row>
    <row r="217">
      <c r="A217" s="104">
        <v>46027.0</v>
      </c>
      <c r="B217" s="89" t="s">
        <v>790</v>
      </c>
      <c r="C217" s="89" t="s">
        <v>791</v>
      </c>
      <c r="D217" s="89" t="s">
        <v>783</v>
      </c>
      <c r="E217" s="89" t="s">
        <v>784</v>
      </c>
      <c r="F217" s="81">
        <f>IFERROR(__xludf.DUMMYFUNCTION("""COMPUTED_VALUE"""),46027.0)</f>
        <v>46027</v>
      </c>
      <c r="G217" s="89" t="s">
        <v>3989</v>
      </c>
      <c r="H217" s="89">
        <v>2.0</v>
      </c>
      <c r="I217" s="89" t="s">
        <v>3964</v>
      </c>
      <c r="J217" s="89" t="str">
        <f t="shared" si="18"/>
        <v>No</v>
      </c>
      <c r="K217" s="89" t="str">
        <f t="shared" si="23"/>
        <v>No</v>
      </c>
      <c r="L217" s="89" t="str">
        <f>IFERROR(__xludf.DUMMYFUNCTION("""COMPUTED_VALUE"""),"Multi Location")</f>
        <v>Multi Location</v>
      </c>
      <c r="M217" s="89" t="str">
        <f>IFERROR(__xludf.DUMMYFUNCTION("""COMPUTED_VALUE"""),"")</f>
        <v/>
      </c>
      <c r="N217" s="89" t="str">
        <f>IFERROR(__xludf.DUMMYFUNCTION("""COMPUTED_VALUE"""),"")</f>
        <v/>
      </c>
      <c r="P217" s="52" t="str">
        <f t="shared" si="22"/>
        <v>0</v>
      </c>
      <c r="R217" s="52" t="str">
        <f t="shared" si="32"/>
        <v>Review</v>
      </c>
      <c r="Z217" s="81">
        <v>46027.0</v>
      </c>
      <c r="AA217" s="81" t="s">
        <v>3992</v>
      </c>
      <c r="AB217" s="81" t="s">
        <v>3991</v>
      </c>
      <c r="AC217" s="81">
        <f t="shared" si="5"/>
        <v>46027</v>
      </c>
      <c r="AD217" s="82">
        <f t="shared" si="6"/>
        <v>1</v>
      </c>
    </row>
    <row r="218">
      <c r="A218" s="104">
        <v>46027.0</v>
      </c>
      <c r="B218" s="89" t="s">
        <v>792</v>
      </c>
      <c r="C218" s="89" t="s">
        <v>793</v>
      </c>
      <c r="D218" s="89" t="s">
        <v>783</v>
      </c>
      <c r="E218" s="89" t="s">
        <v>784</v>
      </c>
      <c r="F218" s="81">
        <f>IFERROR(__xludf.DUMMYFUNCTION("""COMPUTED_VALUE"""),46027.0)</f>
        <v>46027</v>
      </c>
      <c r="G218" s="89" t="s">
        <v>3989</v>
      </c>
      <c r="H218" s="89">
        <v>2.0</v>
      </c>
      <c r="I218" s="89" t="s">
        <v>3964</v>
      </c>
      <c r="J218" s="89" t="str">
        <f t="shared" si="18"/>
        <v>No</v>
      </c>
      <c r="K218" s="89" t="str">
        <f t="shared" si="23"/>
        <v>No</v>
      </c>
      <c r="L218" s="89" t="str">
        <f>IFERROR(__xludf.DUMMYFUNCTION("""COMPUTED_VALUE"""),"Multi Location")</f>
        <v>Multi Location</v>
      </c>
      <c r="M218" s="89" t="str">
        <f>IFERROR(__xludf.DUMMYFUNCTION("""COMPUTED_VALUE"""),"")</f>
        <v/>
      </c>
      <c r="N218" s="89" t="str">
        <f>IFERROR(__xludf.DUMMYFUNCTION("""COMPUTED_VALUE"""),"")</f>
        <v/>
      </c>
      <c r="P218" s="52" t="str">
        <f t="shared" si="22"/>
        <v>0</v>
      </c>
      <c r="R218" s="52" t="str">
        <f t="shared" si="32"/>
        <v>Review</v>
      </c>
      <c r="Z218" s="81">
        <v>46027.0</v>
      </c>
      <c r="AA218" s="81" t="s">
        <v>3992</v>
      </c>
      <c r="AB218" s="81" t="s">
        <v>3991</v>
      </c>
      <c r="AC218" s="81">
        <f t="shared" si="5"/>
        <v>46027</v>
      </c>
      <c r="AD218" s="82">
        <f t="shared" si="6"/>
        <v>1</v>
      </c>
    </row>
    <row r="219">
      <c r="A219" s="104">
        <v>46027.0</v>
      </c>
      <c r="B219" s="89" t="s">
        <v>795</v>
      </c>
      <c r="C219" s="89" t="s">
        <v>796</v>
      </c>
      <c r="D219" s="89" t="s">
        <v>783</v>
      </c>
      <c r="E219" s="89" t="s">
        <v>784</v>
      </c>
      <c r="F219" s="81">
        <f>IFERROR(__xludf.DUMMYFUNCTION("""COMPUTED_VALUE"""),46027.0)</f>
        <v>46027</v>
      </c>
      <c r="G219" s="89" t="s">
        <v>3989</v>
      </c>
      <c r="H219" s="89">
        <v>2.0</v>
      </c>
      <c r="I219" s="89" t="s">
        <v>3964</v>
      </c>
      <c r="J219" s="89" t="str">
        <f t="shared" si="18"/>
        <v>No</v>
      </c>
      <c r="K219" s="89" t="str">
        <f t="shared" si="23"/>
        <v>No</v>
      </c>
      <c r="L219" s="89" t="str">
        <f>IFERROR(__xludf.DUMMYFUNCTION("""COMPUTED_VALUE"""),"Multi Location")</f>
        <v>Multi Location</v>
      </c>
      <c r="M219" s="89" t="str">
        <f>IFERROR(__xludf.DUMMYFUNCTION("""COMPUTED_VALUE"""),"")</f>
        <v/>
      </c>
      <c r="N219" s="89" t="str">
        <f>IFERROR(__xludf.DUMMYFUNCTION("""COMPUTED_VALUE"""),"")</f>
        <v/>
      </c>
      <c r="P219" s="52" t="str">
        <f t="shared" si="22"/>
        <v>0</v>
      </c>
      <c r="R219" s="52" t="str">
        <f t="shared" si="32"/>
        <v>Review</v>
      </c>
      <c r="Z219" s="81">
        <v>46027.0</v>
      </c>
      <c r="AA219" s="81" t="s">
        <v>3992</v>
      </c>
      <c r="AB219" s="81" t="s">
        <v>3991</v>
      </c>
      <c r="AC219" s="81">
        <f t="shared" si="5"/>
        <v>46027</v>
      </c>
      <c r="AD219" s="82">
        <f t="shared" si="6"/>
        <v>1</v>
      </c>
    </row>
    <row r="220">
      <c r="A220" s="104">
        <v>46027.0</v>
      </c>
      <c r="B220" s="89" t="s">
        <v>797</v>
      </c>
      <c r="C220" s="89" t="s">
        <v>798</v>
      </c>
      <c r="D220" s="89" t="s">
        <v>783</v>
      </c>
      <c r="E220" s="89" t="s">
        <v>784</v>
      </c>
      <c r="F220" s="81">
        <f>IFERROR(__xludf.DUMMYFUNCTION("""COMPUTED_VALUE"""),46027.0)</f>
        <v>46027</v>
      </c>
      <c r="G220" s="89" t="s">
        <v>3989</v>
      </c>
      <c r="H220" s="89">
        <v>2.0</v>
      </c>
      <c r="I220" s="89" t="s">
        <v>3964</v>
      </c>
      <c r="J220" s="89" t="str">
        <f t="shared" si="18"/>
        <v>No</v>
      </c>
      <c r="K220" s="89" t="str">
        <f t="shared" si="23"/>
        <v>No</v>
      </c>
      <c r="L220" s="89" t="str">
        <f>IFERROR(__xludf.DUMMYFUNCTION("""COMPUTED_VALUE"""),"Multi Location")</f>
        <v>Multi Location</v>
      </c>
      <c r="M220" s="89" t="str">
        <f>IFERROR(__xludf.DUMMYFUNCTION("""COMPUTED_VALUE"""),"")</f>
        <v/>
      </c>
      <c r="N220" s="89" t="str">
        <f>IFERROR(__xludf.DUMMYFUNCTION("""COMPUTED_VALUE"""),"")</f>
        <v/>
      </c>
      <c r="P220" s="52" t="str">
        <f t="shared" si="22"/>
        <v>0</v>
      </c>
      <c r="R220" s="52" t="str">
        <f t="shared" si="32"/>
        <v>Review</v>
      </c>
      <c r="Z220" s="81">
        <v>46027.0</v>
      </c>
      <c r="AA220" s="81" t="s">
        <v>3992</v>
      </c>
      <c r="AB220" s="81" t="s">
        <v>3991</v>
      </c>
      <c r="AC220" s="81">
        <f t="shared" si="5"/>
        <v>46027</v>
      </c>
      <c r="AD220" s="82">
        <f t="shared" si="6"/>
        <v>1</v>
      </c>
    </row>
    <row r="221">
      <c r="A221" s="104">
        <v>46027.0</v>
      </c>
      <c r="B221" s="89" t="s">
        <v>799</v>
      </c>
      <c r="C221" s="89" t="s">
        <v>800</v>
      </c>
      <c r="D221" s="89" t="s">
        <v>783</v>
      </c>
      <c r="E221" s="89" t="s">
        <v>784</v>
      </c>
      <c r="F221" s="81">
        <f>IFERROR(__xludf.DUMMYFUNCTION("""COMPUTED_VALUE"""),46027.0)</f>
        <v>46027</v>
      </c>
      <c r="G221" s="89" t="s">
        <v>3989</v>
      </c>
      <c r="H221" s="89">
        <v>2.0</v>
      </c>
      <c r="I221" s="89" t="s">
        <v>3964</v>
      </c>
      <c r="J221" s="89" t="str">
        <f t="shared" si="18"/>
        <v>No</v>
      </c>
      <c r="K221" s="89" t="str">
        <f t="shared" si="23"/>
        <v>No</v>
      </c>
      <c r="L221" s="89" t="str">
        <f>IFERROR(__xludf.DUMMYFUNCTION("""COMPUTED_VALUE"""),"Multi Location")</f>
        <v>Multi Location</v>
      </c>
      <c r="M221" s="89" t="str">
        <f>IFERROR(__xludf.DUMMYFUNCTION("""COMPUTED_VALUE"""),"")</f>
        <v/>
      </c>
      <c r="N221" s="89" t="str">
        <f>IFERROR(__xludf.DUMMYFUNCTION("""COMPUTED_VALUE"""),"")</f>
        <v/>
      </c>
      <c r="P221" s="52" t="str">
        <f t="shared" si="22"/>
        <v>0</v>
      </c>
      <c r="R221" s="52" t="str">
        <f t="shared" si="32"/>
        <v>Review</v>
      </c>
      <c r="Z221" s="81">
        <v>46027.0</v>
      </c>
      <c r="AA221" s="81" t="s">
        <v>3992</v>
      </c>
      <c r="AB221" s="81" t="s">
        <v>3991</v>
      </c>
      <c r="AC221" s="81">
        <f t="shared" si="5"/>
        <v>46027</v>
      </c>
      <c r="AD221" s="82">
        <f t="shared" si="6"/>
        <v>1</v>
      </c>
    </row>
    <row r="222">
      <c r="A222" s="104">
        <v>46027.0</v>
      </c>
      <c r="B222" s="89" t="s">
        <v>801</v>
      </c>
      <c r="C222" s="89" t="s">
        <v>802</v>
      </c>
      <c r="D222" s="89" t="s">
        <v>783</v>
      </c>
      <c r="E222" s="89" t="s">
        <v>784</v>
      </c>
      <c r="F222" s="81">
        <f>IFERROR(__xludf.DUMMYFUNCTION("""COMPUTED_VALUE"""),46027.0)</f>
        <v>46027</v>
      </c>
      <c r="G222" s="89" t="s">
        <v>3989</v>
      </c>
      <c r="H222" s="89">
        <v>2.0</v>
      </c>
      <c r="I222" s="89" t="s">
        <v>3964</v>
      </c>
      <c r="J222" s="89" t="str">
        <f t="shared" si="18"/>
        <v>No</v>
      </c>
      <c r="K222" s="89" t="str">
        <f t="shared" si="23"/>
        <v>No</v>
      </c>
      <c r="L222" s="89" t="str">
        <f>IFERROR(__xludf.DUMMYFUNCTION("""COMPUTED_VALUE"""),"Multi Location")</f>
        <v>Multi Location</v>
      </c>
      <c r="M222" s="89" t="str">
        <f>IFERROR(__xludf.DUMMYFUNCTION("""COMPUTED_VALUE"""),"")</f>
        <v/>
      </c>
      <c r="N222" s="89" t="str">
        <f>IFERROR(__xludf.DUMMYFUNCTION("""COMPUTED_VALUE"""),"")</f>
        <v/>
      </c>
      <c r="P222" s="52" t="str">
        <f t="shared" si="22"/>
        <v>0</v>
      </c>
      <c r="R222" s="52" t="str">
        <f t="shared" si="32"/>
        <v>Review</v>
      </c>
      <c r="Z222" s="81">
        <v>46027.0</v>
      </c>
      <c r="AA222" s="81" t="s">
        <v>3992</v>
      </c>
      <c r="AB222" s="81" t="s">
        <v>3991</v>
      </c>
      <c r="AC222" s="81">
        <f t="shared" si="5"/>
        <v>46027</v>
      </c>
      <c r="AD222" s="82">
        <f t="shared" si="6"/>
        <v>1</v>
      </c>
    </row>
    <row r="223">
      <c r="A223" s="104">
        <v>46027.0</v>
      </c>
      <c r="B223" s="89" t="s">
        <v>778</v>
      </c>
      <c r="C223" s="89" t="s">
        <v>779</v>
      </c>
      <c r="D223" s="89" t="s">
        <v>783</v>
      </c>
      <c r="E223" s="89" t="s">
        <v>784</v>
      </c>
      <c r="F223" s="81">
        <f>IFERROR(__xludf.DUMMYFUNCTION("""COMPUTED_VALUE"""),46027.0)</f>
        <v>46027</v>
      </c>
      <c r="G223" s="89" t="s">
        <v>3989</v>
      </c>
      <c r="H223" s="89">
        <v>2.0</v>
      </c>
      <c r="I223" s="89" t="s">
        <v>3964</v>
      </c>
      <c r="J223" s="89" t="str">
        <f t="shared" si="18"/>
        <v>No</v>
      </c>
      <c r="K223" s="89" t="str">
        <f t="shared" si="23"/>
        <v>No</v>
      </c>
      <c r="L223" s="89" t="str">
        <f>IFERROR(__xludf.DUMMYFUNCTION("""COMPUTED_VALUE"""),"Multi Location")</f>
        <v>Multi Location</v>
      </c>
      <c r="M223" s="89" t="str">
        <f>IFERROR(__xludf.DUMMYFUNCTION("""COMPUTED_VALUE"""),"")</f>
        <v/>
      </c>
      <c r="N223" s="89" t="str">
        <f>IFERROR(__xludf.DUMMYFUNCTION("""COMPUTED_VALUE"""),"")</f>
        <v/>
      </c>
      <c r="P223" s="52" t="str">
        <f t="shared" si="22"/>
        <v>0</v>
      </c>
      <c r="R223" s="52" t="str">
        <f t="shared" si="32"/>
        <v>Review</v>
      </c>
      <c r="Z223" s="81">
        <v>46027.0</v>
      </c>
      <c r="AA223" s="81" t="s">
        <v>3992</v>
      </c>
      <c r="AB223" s="81" t="s">
        <v>3991</v>
      </c>
      <c r="AC223" s="81">
        <f t="shared" si="5"/>
        <v>46027</v>
      </c>
      <c r="AD223" s="82">
        <f t="shared" si="6"/>
        <v>1</v>
      </c>
    </row>
    <row r="224">
      <c r="A224" s="104">
        <v>46027.0</v>
      </c>
      <c r="B224" s="89" t="s">
        <v>801</v>
      </c>
      <c r="C224" s="89" t="s">
        <v>802</v>
      </c>
      <c r="D224" s="89" t="s">
        <v>783</v>
      </c>
      <c r="E224" s="89" t="s">
        <v>784</v>
      </c>
      <c r="F224" s="81">
        <f>IFERROR(__xludf.DUMMYFUNCTION("""COMPUTED_VALUE"""),46027.0)</f>
        <v>46027</v>
      </c>
      <c r="G224" s="89" t="s">
        <v>3989</v>
      </c>
      <c r="H224" s="89">
        <v>2.0</v>
      </c>
      <c r="I224" s="89" t="s">
        <v>3964</v>
      </c>
      <c r="J224" s="89" t="str">
        <f t="shared" si="18"/>
        <v>No</v>
      </c>
      <c r="K224" s="89" t="str">
        <f t="shared" si="23"/>
        <v>No</v>
      </c>
      <c r="L224" s="89" t="str">
        <f>IFERROR(__xludf.DUMMYFUNCTION("""COMPUTED_VALUE"""),"Multi Location")</f>
        <v>Multi Location</v>
      </c>
      <c r="M224" s="89" t="str">
        <f>IFERROR(__xludf.DUMMYFUNCTION("""COMPUTED_VALUE"""),"")</f>
        <v/>
      </c>
      <c r="N224" s="89" t="str">
        <f>IFERROR(__xludf.DUMMYFUNCTION("""COMPUTED_VALUE"""),"")</f>
        <v/>
      </c>
      <c r="P224" s="52" t="str">
        <f t="shared" si="22"/>
        <v>0</v>
      </c>
      <c r="R224" s="52" t="str">
        <f t="shared" si="32"/>
        <v>Review</v>
      </c>
      <c r="Z224" s="81">
        <v>46027.0</v>
      </c>
      <c r="AA224" s="81" t="s">
        <v>3992</v>
      </c>
      <c r="AB224" s="81" t="s">
        <v>3991</v>
      </c>
      <c r="AC224" s="81">
        <f t="shared" si="5"/>
        <v>46027</v>
      </c>
      <c r="AD224" s="82">
        <f t="shared" si="6"/>
        <v>1</v>
      </c>
    </row>
    <row r="225">
      <c r="A225" s="104">
        <v>46027.0</v>
      </c>
      <c r="B225" s="89" t="s">
        <v>803</v>
      </c>
      <c r="C225" s="89" t="s">
        <v>804</v>
      </c>
      <c r="D225" s="89" t="s">
        <v>783</v>
      </c>
      <c r="E225" s="89" t="s">
        <v>784</v>
      </c>
      <c r="F225" s="81">
        <f>IFERROR(__xludf.DUMMYFUNCTION("""COMPUTED_VALUE"""),46027.0)</f>
        <v>46027</v>
      </c>
      <c r="G225" s="89" t="s">
        <v>3989</v>
      </c>
      <c r="H225" s="89">
        <v>2.0</v>
      </c>
      <c r="I225" s="89" t="s">
        <v>3964</v>
      </c>
      <c r="J225" s="89" t="str">
        <f t="shared" si="18"/>
        <v>No</v>
      </c>
      <c r="K225" s="89" t="str">
        <f t="shared" si="23"/>
        <v>No</v>
      </c>
      <c r="L225" s="89" t="str">
        <f>IFERROR(__xludf.DUMMYFUNCTION("""COMPUTED_VALUE"""),"Multi Location")</f>
        <v>Multi Location</v>
      </c>
      <c r="M225" s="89" t="str">
        <f>IFERROR(__xludf.DUMMYFUNCTION("""COMPUTED_VALUE"""),"")</f>
        <v/>
      </c>
      <c r="N225" s="89" t="str">
        <f>IFERROR(__xludf.DUMMYFUNCTION("""COMPUTED_VALUE"""),"")</f>
        <v/>
      </c>
      <c r="P225" s="52" t="str">
        <f t="shared" si="22"/>
        <v>0</v>
      </c>
      <c r="R225" s="52" t="str">
        <f t="shared" si="32"/>
        <v>Review</v>
      </c>
      <c r="Z225" s="81">
        <v>46027.0</v>
      </c>
      <c r="AA225" s="81" t="s">
        <v>3992</v>
      </c>
      <c r="AB225" s="81" t="s">
        <v>3991</v>
      </c>
      <c r="AC225" s="81">
        <f t="shared" si="5"/>
        <v>46027</v>
      </c>
      <c r="AD225" s="82">
        <f t="shared" si="6"/>
        <v>1</v>
      </c>
    </row>
    <row r="226">
      <c r="A226" s="104">
        <v>46027.0</v>
      </c>
      <c r="B226" s="89" t="s">
        <v>805</v>
      </c>
      <c r="C226" s="89" t="s">
        <v>806</v>
      </c>
      <c r="D226" s="89" t="s">
        <v>783</v>
      </c>
      <c r="E226" s="89" t="s">
        <v>784</v>
      </c>
      <c r="F226" s="81">
        <f>IFERROR(__xludf.DUMMYFUNCTION("""COMPUTED_VALUE"""),46027.0)</f>
        <v>46027</v>
      </c>
      <c r="G226" s="89" t="s">
        <v>3989</v>
      </c>
      <c r="H226" s="89">
        <v>2.0</v>
      </c>
      <c r="I226" s="89" t="s">
        <v>3964</v>
      </c>
      <c r="J226" s="89" t="str">
        <f t="shared" si="18"/>
        <v>No</v>
      </c>
      <c r="K226" s="89" t="str">
        <f t="shared" si="23"/>
        <v>No</v>
      </c>
      <c r="L226" s="89" t="str">
        <f>IFERROR(__xludf.DUMMYFUNCTION("""COMPUTED_VALUE"""),"Multi Location")</f>
        <v>Multi Location</v>
      </c>
      <c r="M226" s="89" t="str">
        <f>IFERROR(__xludf.DUMMYFUNCTION("""COMPUTED_VALUE"""),"")</f>
        <v/>
      </c>
      <c r="N226" s="89" t="str">
        <f>IFERROR(__xludf.DUMMYFUNCTION("""COMPUTED_VALUE"""),"")</f>
        <v/>
      </c>
      <c r="P226" s="52" t="str">
        <f t="shared" si="22"/>
        <v>0</v>
      </c>
      <c r="R226" s="52" t="str">
        <f t="shared" si="32"/>
        <v>Review</v>
      </c>
      <c r="Z226" s="81">
        <v>46027.0</v>
      </c>
      <c r="AA226" s="81" t="s">
        <v>3992</v>
      </c>
      <c r="AB226" s="81" t="s">
        <v>3991</v>
      </c>
      <c r="AC226" s="81">
        <f t="shared" si="5"/>
        <v>46027</v>
      </c>
      <c r="AD226" s="82">
        <f t="shared" si="6"/>
        <v>1</v>
      </c>
    </row>
    <row r="227">
      <c r="A227" s="104">
        <v>46027.0</v>
      </c>
      <c r="B227" s="89" t="s">
        <v>807</v>
      </c>
      <c r="C227" s="89" t="s">
        <v>808</v>
      </c>
      <c r="D227" s="89" t="s">
        <v>783</v>
      </c>
      <c r="E227" s="89" t="s">
        <v>784</v>
      </c>
      <c r="F227" s="81">
        <f>IFERROR(__xludf.DUMMYFUNCTION("""COMPUTED_VALUE"""),46027.0)</f>
        <v>46027</v>
      </c>
      <c r="G227" s="89" t="s">
        <v>3989</v>
      </c>
      <c r="H227" s="89">
        <v>2.0</v>
      </c>
      <c r="I227" s="89" t="s">
        <v>3964</v>
      </c>
      <c r="J227" s="89" t="str">
        <f t="shared" si="18"/>
        <v>No</v>
      </c>
      <c r="K227" s="89" t="str">
        <f t="shared" si="23"/>
        <v>No</v>
      </c>
      <c r="L227" s="89" t="str">
        <f>IFERROR(__xludf.DUMMYFUNCTION("""COMPUTED_VALUE"""),"Multi Location")</f>
        <v>Multi Location</v>
      </c>
      <c r="M227" s="89" t="str">
        <f>IFERROR(__xludf.DUMMYFUNCTION("""COMPUTED_VALUE"""),"")</f>
        <v/>
      </c>
      <c r="N227" s="89" t="str">
        <f>IFERROR(__xludf.DUMMYFUNCTION("""COMPUTED_VALUE"""),"")</f>
        <v/>
      </c>
      <c r="P227" s="52" t="str">
        <f t="shared" si="22"/>
        <v>0</v>
      </c>
      <c r="R227" s="52" t="str">
        <f t="shared" si="32"/>
        <v>Review</v>
      </c>
      <c r="Z227" s="81">
        <v>46027.0</v>
      </c>
      <c r="AA227" s="81" t="s">
        <v>3992</v>
      </c>
      <c r="AB227" s="81" t="s">
        <v>3991</v>
      </c>
      <c r="AC227" s="81">
        <f t="shared" si="5"/>
        <v>46027</v>
      </c>
      <c r="AD227" s="82">
        <f t="shared" si="6"/>
        <v>1</v>
      </c>
    </row>
    <row r="228">
      <c r="A228" s="104">
        <v>46027.0</v>
      </c>
      <c r="B228" s="89" t="s">
        <v>809</v>
      </c>
      <c r="C228" s="89" t="s">
        <v>810</v>
      </c>
      <c r="D228" s="89" t="s">
        <v>783</v>
      </c>
      <c r="E228" s="89" t="s">
        <v>784</v>
      </c>
      <c r="F228" s="81">
        <f>IFERROR(__xludf.DUMMYFUNCTION("""COMPUTED_VALUE"""),46027.0)</f>
        <v>46027</v>
      </c>
      <c r="G228" s="89" t="s">
        <v>3989</v>
      </c>
      <c r="H228" s="89">
        <v>2.0</v>
      </c>
      <c r="I228" s="89" t="s">
        <v>3964</v>
      </c>
      <c r="J228" s="89" t="str">
        <f t="shared" si="18"/>
        <v>No</v>
      </c>
      <c r="K228" s="89" t="str">
        <f t="shared" si="23"/>
        <v>No</v>
      </c>
      <c r="L228" s="89" t="str">
        <f>IFERROR(__xludf.DUMMYFUNCTION("""COMPUTED_VALUE"""),"Multi Location")</f>
        <v>Multi Location</v>
      </c>
      <c r="M228" s="89" t="str">
        <f>IFERROR(__xludf.DUMMYFUNCTION("""COMPUTED_VALUE"""),"")</f>
        <v/>
      </c>
      <c r="N228" s="89" t="str">
        <f>IFERROR(__xludf.DUMMYFUNCTION("""COMPUTED_VALUE"""),"")</f>
        <v/>
      </c>
      <c r="P228" s="52" t="str">
        <f t="shared" si="22"/>
        <v>0</v>
      </c>
      <c r="R228" s="52" t="str">
        <f t="shared" si="32"/>
        <v>Review</v>
      </c>
      <c r="Z228" s="81">
        <v>46027.0</v>
      </c>
      <c r="AA228" s="81" t="s">
        <v>3992</v>
      </c>
      <c r="AB228" s="81" t="s">
        <v>3991</v>
      </c>
      <c r="AC228" s="81">
        <f t="shared" si="5"/>
        <v>46027</v>
      </c>
      <c r="AD228" s="82">
        <f t="shared" si="6"/>
        <v>1</v>
      </c>
    </row>
    <row r="229">
      <c r="A229" s="104">
        <v>46027.0</v>
      </c>
      <c r="B229" s="89" t="s">
        <v>811</v>
      </c>
      <c r="C229" s="89" t="s">
        <v>812</v>
      </c>
      <c r="D229" s="89" t="s">
        <v>783</v>
      </c>
      <c r="E229" s="89" t="s">
        <v>784</v>
      </c>
      <c r="F229" s="81">
        <f>IFERROR(__xludf.DUMMYFUNCTION("""COMPUTED_VALUE"""),46027.0)</f>
        <v>46027</v>
      </c>
      <c r="G229" s="89" t="s">
        <v>3989</v>
      </c>
      <c r="H229" s="89">
        <v>2.0</v>
      </c>
      <c r="I229" s="89" t="s">
        <v>3964</v>
      </c>
      <c r="J229" s="89" t="str">
        <f t="shared" si="18"/>
        <v>No</v>
      </c>
      <c r="K229" s="89" t="str">
        <f t="shared" si="23"/>
        <v>No</v>
      </c>
      <c r="L229" s="89" t="str">
        <f>IFERROR(__xludf.DUMMYFUNCTION("""COMPUTED_VALUE"""),"Multi Location")</f>
        <v>Multi Location</v>
      </c>
      <c r="M229" s="89" t="str">
        <f>IFERROR(__xludf.DUMMYFUNCTION("""COMPUTED_VALUE"""),"")</f>
        <v/>
      </c>
      <c r="N229" s="89" t="str">
        <f>IFERROR(__xludf.DUMMYFUNCTION("""COMPUTED_VALUE"""),"")</f>
        <v/>
      </c>
      <c r="P229" s="52" t="str">
        <f t="shared" si="22"/>
        <v>0</v>
      </c>
      <c r="R229" s="52" t="str">
        <f t="shared" si="32"/>
        <v>Review</v>
      </c>
      <c r="Z229" s="81">
        <v>46027.0</v>
      </c>
      <c r="AA229" s="81" t="s">
        <v>3992</v>
      </c>
      <c r="AB229" s="81" t="s">
        <v>3991</v>
      </c>
      <c r="AC229" s="81">
        <f t="shared" si="5"/>
        <v>46027</v>
      </c>
      <c r="AD229" s="82">
        <f t="shared" si="6"/>
        <v>1</v>
      </c>
    </row>
    <row r="230">
      <c r="A230" s="104">
        <v>46027.0</v>
      </c>
      <c r="B230" s="89" t="s">
        <v>813</v>
      </c>
      <c r="C230" s="89" t="s">
        <v>371</v>
      </c>
      <c r="D230" s="89" t="s">
        <v>783</v>
      </c>
      <c r="E230" s="89" t="s">
        <v>784</v>
      </c>
      <c r="F230" s="81">
        <f>IFERROR(__xludf.DUMMYFUNCTION("""COMPUTED_VALUE"""),46027.0)</f>
        <v>46027</v>
      </c>
      <c r="G230" s="89" t="s">
        <v>3989</v>
      </c>
      <c r="H230" s="89">
        <v>2.0</v>
      </c>
      <c r="I230" s="89" t="s">
        <v>3964</v>
      </c>
      <c r="J230" s="89" t="str">
        <f t="shared" si="18"/>
        <v>No</v>
      </c>
      <c r="K230" s="89" t="str">
        <f t="shared" si="23"/>
        <v>No</v>
      </c>
      <c r="L230" s="89" t="str">
        <f>IFERROR(__xludf.DUMMYFUNCTION("""COMPUTED_VALUE"""),"Multi Location")</f>
        <v>Multi Location</v>
      </c>
      <c r="M230" s="89" t="str">
        <f>IFERROR(__xludf.DUMMYFUNCTION("""COMPUTED_VALUE"""),"")</f>
        <v/>
      </c>
      <c r="N230" s="89" t="str">
        <f>IFERROR(__xludf.DUMMYFUNCTION("""COMPUTED_VALUE"""),"")</f>
        <v/>
      </c>
      <c r="P230" s="52" t="str">
        <f t="shared" si="22"/>
        <v>0</v>
      </c>
      <c r="R230" s="52" t="str">
        <f t="shared" si="32"/>
        <v>Review</v>
      </c>
      <c r="Z230" s="81">
        <v>46027.0</v>
      </c>
      <c r="AA230" s="81" t="s">
        <v>3992</v>
      </c>
      <c r="AB230" s="81" t="s">
        <v>3991</v>
      </c>
      <c r="AC230" s="81">
        <f t="shared" si="5"/>
        <v>46027</v>
      </c>
      <c r="AD230" s="82">
        <f t="shared" si="6"/>
        <v>1</v>
      </c>
    </row>
    <row r="231">
      <c r="A231" s="104">
        <v>46027.0</v>
      </c>
      <c r="B231" s="89" t="s">
        <v>814</v>
      </c>
      <c r="C231" s="89" t="s">
        <v>815</v>
      </c>
      <c r="D231" s="89" t="s">
        <v>783</v>
      </c>
      <c r="E231" s="89" t="s">
        <v>784</v>
      </c>
      <c r="F231" s="81">
        <f>IFERROR(__xludf.DUMMYFUNCTION("""COMPUTED_VALUE"""),46027.0)</f>
        <v>46027</v>
      </c>
      <c r="G231" s="89" t="s">
        <v>3989</v>
      </c>
      <c r="H231" s="89">
        <v>2.0</v>
      </c>
      <c r="I231" s="89" t="s">
        <v>3964</v>
      </c>
      <c r="J231" s="89" t="str">
        <f t="shared" si="18"/>
        <v>No</v>
      </c>
      <c r="K231" s="89" t="str">
        <f t="shared" si="23"/>
        <v>No</v>
      </c>
      <c r="L231" s="89" t="str">
        <f>IFERROR(__xludf.DUMMYFUNCTION("""COMPUTED_VALUE"""),"Multi Location")</f>
        <v>Multi Location</v>
      </c>
      <c r="M231" s="89" t="str">
        <f>IFERROR(__xludf.DUMMYFUNCTION("""COMPUTED_VALUE"""),"")</f>
        <v/>
      </c>
      <c r="N231" s="89" t="str">
        <f>IFERROR(__xludf.DUMMYFUNCTION("""COMPUTED_VALUE"""),"")</f>
        <v/>
      </c>
      <c r="P231" s="52" t="str">
        <f t="shared" si="22"/>
        <v>0</v>
      </c>
      <c r="R231" s="52" t="str">
        <f t="shared" si="32"/>
        <v>Review</v>
      </c>
      <c r="Z231" s="81">
        <v>46027.0</v>
      </c>
      <c r="AA231" s="81" t="s">
        <v>3992</v>
      </c>
      <c r="AB231" s="81" t="s">
        <v>3991</v>
      </c>
      <c r="AC231" s="81">
        <f t="shared" si="5"/>
        <v>46027</v>
      </c>
      <c r="AD231" s="82">
        <f t="shared" si="6"/>
        <v>1</v>
      </c>
    </row>
    <row r="232">
      <c r="A232" s="104">
        <v>46027.0</v>
      </c>
      <c r="B232" s="89" t="s">
        <v>813</v>
      </c>
      <c r="C232" s="89" t="s">
        <v>371</v>
      </c>
      <c r="D232" s="89" t="s">
        <v>783</v>
      </c>
      <c r="E232" s="89" t="s">
        <v>784</v>
      </c>
      <c r="F232" s="81">
        <f>IFERROR(__xludf.DUMMYFUNCTION("""COMPUTED_VALUE"""),46027.0)</f>
        <v>46027</v>
      </c>
      <c r="G232" s="89" t="s">
        <v>3989</v>
      </c>
      <c r="H232" s="89">
        <v>2.0</v>
      </c>
      <c r="I232" s="89" t="s">
        <v>3964</v>
      </c>
      <c r="J232" s="89" t="str">
        <f t="shared" si="18"/>
        <v>No</v>
      </c>
      <c r="K232" s="89" t="str">
        <f t="shared" si="23"/>
        <v>No</v>
      </c>
      <c r="L232" s="89" t="str">
        <f>IFERROR(__xludf.DUMMYFUNCTION("""COMPUTED_VALUE"""),"Multi Location")</f>
        <v>Multi Location</v>
      </c>
      <c r="M232" s="89" t="str">
        <f>IFERROR(__xludf.DUMMYFUNCTION("""COMPUTED_VALUE"""),"")</f>
        <v/>
      </c>
      <c r="N232" s="89" t="str">
        <f>IFERROR(__xludf.DUMMYFUNCTION("""COMPUTED_VALUE"""),"")</f>
        <v/>
      </c>
      <c r="P232" s="52" t="str">
        <f t="shared" si="22"/>
        <v>0</v>
      </c>
      <c r="R232" s="52" t="str">
        <f t="shared" si="32"/>
        <v>Review</v>
      </c>
      <c r="Z232" s="81">
        <v>46027.0</v>
      </c>
      <c r="AA232" s="81" t="s">
        <v>3992</v>
      </c>
      <c r="AB232" s="81" t="s">
        <v>3991</v>
      </c>
      <c r="AC232" s="81">
        <f t="shared" si="5"/>
        <v>46027</v>
      </c>
      <c r="AD232" s="82">
        <f t="shared" si="6"/>
        <v>1</v>
      </c>
    </row>
    <row r="233">
      <c r="A233" s="104">
        <v>46027.0</v>
      </c>
      <c r="B233" s="89" t="s">
        <v>816</v>
      </c>
      <c r="C233" s="89" t="s">
        <v>817</v>
      </c>
      <c r="D233" s="89" t="s">
        <v>783</v>
      </c>
      <c r="E233" s="89" t="s">
        <v>784</v>
      </c>
      <c r="F233" s="81">
        <f>IFERROR(__xludf.DUMMYFUNCTION("""COMPUTED_VALUE"""),46027.0)</f>
        <v>46027</v>
      </c>
      <c r="G233" s="89" t="s">
        <v>3989</v>
      </c>
      <c r="H233" s="89">
        <v>2.0</v>
      </c>
      <c r="I233" s="89" t="s">
        <v>3964</v>
      </c>
      <c r="J233" s="89" t="str">
        <f t="shared" si="18"/>
        <v>No</v>
      </c>
      <c r="K233" s="89" t="str">
        <f t="shared" si="23"/>
        <v>No</v>
      </c>
      <c r="L233" s="89" t="str">
        <f>IFERROR(__xludf.DUMMYFUNCTION("""COMPUTED_VALUE"""),"Multi Location")</f>
        <v>Multi Location</v>
      </c>
      <c r="M233" s="89" t="str">
        <f>IFERROR(__xludf.DUMMYFUNCTION("""COMPUTED_VALUE"""),"")</f>
        <v/>
      </c>
      <c r="N233" s="89" t="str">
        <f>IFERROR(__xludf.DUMMYFUNCTION("""COMPUTED_VALUE"""),"")</f>
        <v/>
      </c>
      <c r="P233" s="52" t="str">
        <f t="shared" si="22"/>
        <v>0</v>
      </c>
      <c r="R233" s="52" t="str">
        <f t="shared" si="32"/>
        <v>Review</v>
      </c>
      <c r="Z233" s="81">
        <v>46027.0</v>
      </c>
      <c r="AA233" s="81" t="s">
        <v>3992</v>
      </c>
      <c r="AB233" s="81" t="s">
        <v>3991</v>
      </c>
      <c r="AC233" s="81">
        <f t="shared" si="5"/>
        <v>46027</v>
      </c>
      <c r="AD233" s="82">
        <f t="shared" si="6"/>
        <v>1</v>
      </c>
    </row>
    <row r="234">
      <c r="A234" s="104">
        <v>46027.0</v>
      </c>
      <c r="B234" s="89" t="s">
        <v>818</v>
      </c>
      <c r="C234" s="89" t="s">
        <v>819</v>
      </c>
      <c r="D234" s="89" t="s">
        <v>783</v>
      </c>
      <c r="E234" s="89" t="s">
        <v>784</v>
      </c>
      <c r="F234" s="81">
        <f>IFERROR(__xludf.DUMMYFUNCTION("""COMPUTED_VALUE"""),46027.0)</f>
        <v>46027</v>
      </c>
      <c r="G234" s="89" t="s">
        <v>3989</v>
      </c>
      <c r="H234" s="89">
        <v>2.0</v>
      </c>
      <c r="I234" s="89" t="s">
        <v>3964</v>
      </c>
      <c r="J234" s="89" t="str">
        <f t="shared" si="18"/>
        <v>No</v>
      </c>
      <c r="K234" s="89" t="str">
        <f t="shared" si="23"/>
        <v>No</v>
      </c>
      <c r="L234" s="89" t="str">
        <f>IFERROR(__xludf.DUMMYFUNCTION("""COMPUTED_VALUE"""),"Multi Location")</f>
        <v>Multi Location</v>
      </c>
      <c r="M234" s="89" t="str">
        <f>IFERROR(__xludf.DUMMYFUNCTION("""COMPUTED_VALUE"""),"")</f>
        <v/>
      </c>
      <c r="N234" s="89" t="str">
        <f>IFERROR(__xludf.DUMMYFUNCTION("""COMPUTED_VALUE"""),"")</f>
        <v/>
      </c>
      <c r="P234" s="52" t="str">
        <f t="shared" si="22"/>
        <v>0</v>
      </c>
      <c r="R234" s="52" t="str">
        <f t="shared" si="32"/>
        <v>Review</v>
      </c>
      <c r="Z234" s="81">
        <v>46027.0</v>
      </c>
      <c r="AA234" s="81" t="s">
        <v>3992</v>
      </c>
      <c r="AB234" s="81" t="s">
        <v>3991</v>
      </c>
      <c r="AC234" s="81">
        <f t="shared" si="5"/>
        <v>46027</v>
      </c>
      <c r="AD234" s="82">
        <f t="shared" si="6"/>
        <v>1</v>
      </c>
    </row>
    <row r="235">
      <c r="A235" s="104">
        <v>46027.0</v>
      </c>
      <c r="B235" s="89" t="s">
        <v>820</v>
      </c>
      <c r="C235" s="89" t="s">
        <v>371</v>
      </c>
      <c r="D235" s="89" t="s">
        <v>783</v>
      </c>
      <c r="E235" s="89" t="s">
        <v>784</v>
      </c>
      <c r="F235" s="81">
        <f>IFERROR(__xludf.DUMMYFUNCTION("""COMPUTED_VALUE"""),46027.0)</f>
        <v>46027</v>
      </c>
      <c r="G235" s="89" t="s">
        <v>3989</v>
      </c>
      <c r="H235" s="89">
        <v>2.0</v>
      </c>
      <c r="I235" s="89" t="s">
        <v>3964</v>
      </c>
      <c r="J235" s="89" t="str">
        <f t="shared" si="18"/>
        <v>No</v>
      </c>
      <c r="K235" s="89" t="str">
        <f t="shared" si="23"/>
        <v>No</v>
      </c>
      <c r="L235" s="89" t="str">
        <f>IFERROR(__xludf.DUMMYFUNCTION("""COMPUTED_VALUE"""),"Multi Location")</f>
        <v>Multi Location</v>
      </c>
      <c r="M235" s="89" t="str">
        <f>IFERROR(__xludf.DUMMYFUNCTION("""COMPUTED_VALUE"""),"")</f>
        <v/>
      </c>
      <c r="N235" s="89" t="str">
        <f>IFERROR(__xludf.DUMMYFUNCTION("""COMPUTED_VALUE"""),"")</f>
        <v/>
      </c>
      <c r="P235" s="52" t="str">
        <f t="shared" si="22"/>
        <v>0</v>
      </c>
      <c r="R235" s="52" t="str">
        <f t="shared" si="32"/>
        <v>Review</v>
      </c>
      <c r="Z235" s="81">
        <v>46027.0</v>
      </c>
      <c r="AA235" s="81" t="s">
        <v>3992</v>
      </c>
      <c r="AB235" s="81" t="s">
        <v>3991</v>
      </c>
      <c r="AC235" s="81">
        <f t="shared" si="5"/>
        <v>46027</v>
      </c>
      <c r="AD235" s="82">
        <f t="shared" si="6"/>
        <v>1</v>
      </c>
    </row>
    <row r="236">
      <c r="A236" s="104">
        <v>46027.0</v>
      </c>
      <c r="B236" s="89" t="s">
        <v>820</v>
      </c>
      <c r="C236" s="89" t="s">
        <v>371</v>
      </c>
      <c r="D236" s="89" t="s">
        <v>783</v>
      </c>
      <c r="E236" s="89" t="s">
        <v>784</v>
      </c>
      <c r="F236" s="81">
        <f>IFERROR(__xludf.DUMMYFUNCTION("""COMPUTED_VALUE"""),46027.0)</f>
        <v>46027</v>
      </c>
      <c r="G236" s="89" t="s">
        <v>3989</v>
      </c>
      <c r="H236" s="89">
        <v>2.0</v>
      </c>
      <c r="I236" s="89" t="s">
        <v>3964</v>
      </c>
      <c r="J236" s="89" t="str">
        <f t="shared" si="18"/>
        <v>No</v>
      </c>
      <c r="K236" s="89" t="str">
        <f t="shared" si="23"/>
        <v>No</v>
      </c>
      <c r="L236" s="89" t="str">
        <f>IFERROR(__xludf.DUMMYFUNCTION("""COMPUTED_VALUE"""),"Multi Location")</f>
        <v>Multi Location</v>
      </c>
      <c r="M236" s="89" t="str">
        <f>IFERROR(__xludf.DUMMYFUNCTION("""COMPUTED_VALUE"""),"")</f>
        <v/>
      </c>
      <c r="N236" s="89" t="str">
        <f>IFERROR(__xludf.DUMMYFUNCTION("""COMPUTED_VALUE"""),"")</f>
        <v/>
      </c>
      <c r="P236" s="52" t="str">
        <f t="shared" si="22"/>
        <v>0</v>
      </c>
      <c r="R236" s="52" t="str">
        <f t="shared" si="32"/>
        <v>Review</v>
      </c>
      <c r="Z236" s="81">
        <v>46027.0</v>
      </c>
      <c r="AA236" s="81" t="s">
        <v>3992</v>
      </c>
      <c r="AB236" s="81" t="s">
        <v>3991</v>
      </c>
      <c r="AC236" s="81">
        <f t="shared" si="5"/>
        <v>46027</v>
      </c>
      <c r="AD236" s="82">
        <f t="shared" si="6"/>
        <v>1</v>
      </c>
    </row>
    <row r="237">
      <c r="A237" s="104">
        <v>46027.0</v>
      </c>
      <c r="B237" s="89" t="s">
        <v>813</v>
      </c>
      <c r="C237" s="89" t="s">
        <v>371</v>
      </c>
      <c r="D237" s="89" t="s">
        <v>783</v>
      </c>
      <c r="E237" s="89" t="s">
        <v>784</v>
      </c>
      <c r="F237" s="81">
        <f>IFERROR(__xludf.DUMMYFUNCTION("""COMPUTED_VALUE"""),46027.0)</f>
        <v>46027</v>
      </c>
      <c r="G237" s="89" t="s">
        <v>3989</v>
      </c>
      <c r="H237" s="89">
        <v>2.0</v>
      </c>
      <c r="I237" s="89" t="s">
        <v>3964</v>
      </c>
      <c r="J237" s="89" t="str">
        <f t="shared" si="18"/>
        <v>No</v>
      </c>
      <c r="K237" s="89" t="str">
        <f t="shared" si="23"/>
        <v>No</v>
      </c>
      <c r="L237" s="89" t="str">
        <f>IFERROR(__xludf.DUMMYFUNCTION("""COMPUTED_VALUE"""),"Multi Location")</f>
        <v>Multi Location</v>
      </c>
      <c r="M237" s="89" t="str">
        <f>IFERROR(__xludf.DUMMYFUNCTION("""COMPUTED_VALUE"""),"")</f>
        <v/>
      </c>
      <c r="N237" s="89" t="str">
        <f>IFERROR(__xludf.DUMMYFUNCTION("""COMPUTED_VALUE"""),"")</f>
        <v/>
      </c>
      <c r="P237" s="52" t="str">
        <f t="shared" si="22"/>
        <v>0</v>
      </c>
      <c r="R237" s="52" t="str">
        <f t="shared" si="32"/>
        <v>Review</v>
      </c>
      <c r="Z237" s="81">
        <v>46027.0</v>
      </c>
      <c r="AA237" s="81" t="s">
        <v>3992</v>
      </c>
      <c r="AB237" s="81" t="s">
        <v>3991</v>
      </c>
      <c r="AC237" s="81">
        <f t="shared" si="5"/>
        <v>46027</v>
      </c>
      <c r="AD237" s="82">
        <f t="shared" si="6"/>
        <v>1</v>
      </c>
    </row>
    <row r="238">
      <c r="A238" s="104">
        <v>46027.0</v>
      </c>
      <c r="B238" s="89" t="s">
        <v>397</v>
      </c>
      <c r="C238" s="89" t="s">
        <v>670</v>
      </c>
      <c r="D238" s="89" t="s">
        <v>783</v>
      </c>
      <c r="E238" s="89" t="s">
        <v>784</v>
      </c>
      <c r="F238" s="81">
        <f>IFERROR(__xludf.DUMMYFUNCTION("""COMPUTED_VALUE"""),46027.0)</f>
        <v>46027</v>
      </c>
      <c r="G238" s="89" t="s">
        <v>3989</v>
      </c>
      <c r="H238" s="89">
        <v>2.0</v>
      </c>
      <c r="I238" s="89" t="s">
        <v>3964</v>
      </c>
      <c r="J238" s="89" t="str">
        <f t="shared" si="18"/>
        <v>No</v>
      </c>
      <c r="K238" s="89" t="str">
        <f t="shared" si="23"/>
        <v>No</v>
      </c>
      <c r="L238" s="89" t="str">
        <f>IFERROR(__xludf.DUMMYFUNCTION("""COMPUTED_VALUE"""),"Multi Location")</f>
        <v>Multi Location</v>
      </c>
      <c r="M238" s="89" t="str">
        <f>IFERROR(__xludf.DUMMYFUNCTION("""COMPUTED_VALUE"""),"")</f>
        <v/>
      </c>
      <c r="N238" s="89" t="str">
        <f>IFERROR(__xludf.DUMMYFUNCTION("""COMPUTED_VALUE"""),"")</f>
        <v/>
      </c>
      <c r="P238" s="52" t="str">
        <f t="shared" si="22"/>
        <v>0</v>
      </c>
      <c r="R238" s="52" t="str">
        <f t="shared" si="32"/>
        <v>Review</v>
      </c>
      <c r="Z238" s="81">
        <v>46027.0</v>
      </c>
      <c r="AA238" s="81" t="s">
        <v>3992</v>
      </c>
      <c r="AB238" s="81" t="s">
        <v>3991</v>
      </c>
      <c r="AC238" s="81">
        <f t="shared" si="5"/>
        <v>46027</v>
      </c>
      <c r="AD238" s="82">
        <f t="shared" si="6"/>
        <v>1</v>
      </c>
    </row>
    <row r="239">
      <c r="A239" s="104">
        <v>46027.0</v>
      </c>
      <c r="B239" s="89" t="s">
        <v>821</v>
      </c>
      <c r="C239" s="89" t="s">
        <v>822</v>
      </c>
      <c r="D239" s="89" t="s">
        <v>783</v>
      </c>
      <c r="E239" s="89" t="s">
        <v>784</v>
      </c>
      <c r="F239" s="81">
        <f>IFERROR(__xludf.DUMMYFUNCTION("""COMPUTED_VALUE"""),46027.0)</f>
        <v>46027</v>
      </c>
      <c r="G239" s="89" t="s">
        <v>3989</v>
      </c>
      <c r="H239" s="89">
        <v>2.0</v>
      </c>
      <c r="I239" s="89" t="s">
        <v>3964</v>
      </c>
      <c r="J239" s="89" t="str">
        <f t="shared" si="18"/>
        <v>No</v>
      </c>
      <c r="K239" s="89" t="str">
        <f t="shared" si="23"/>
        <v>No</v>
      </c>
      <c r="L239" s="89" t="str">
        <f>IFERROR(__xludf.DUMMYFUNCTION("""COMPUTED_VALUE"""),"Multi Location")</f>
        <v>Multi Location</v>
      </c>
      <c r="M239" s="89" t="str">
        <f>IFERROR(__xludf.DUMMYFUNCTION("""COMPUTED_VALUE"""),"")</f>
        <v/>
      </c>
      <c r="N239" s="89" t="str">
        <f>IFERROR(__xludf.DUMMYFUNCTION("""COMPUTED_VALUE"""),"")</f>
        <v/>
      </c>
      <c r="P239" s="52" t="str">
        <f t="shared" si="22"/>
        <v>0</v>
      </c>
      <c r="R239" s="52" t="str">
        <f t="shared" si="32"/>
        <v>Review</v>
      </c>
      <c r="Z239" s="81">
        <v>46027.0</v>
      </c>
      <c r="AA239" s="81" t="s">
        <v>3992</v>
      </c>
      <c r="AB239" s="81" t="s">
        <v>3991</v>
      </c>
      <c r="AC239" s="81">
        <f t="shared" si="5"/>
        <v>46027</v>
      </c>
      <c r="AD239" s="82">
        <f t="shared" si="6"/>
        <v>1</v>
      </c>
    </row>
    <row r="240">
      <c r="A240" s="104">
        <v>46027.0</v>
      </c>
      <c r="B240" s="89" t="s">
        <v>823</v>
      </c>
      <c r="C240" s="89" t="s">
        <v>220</v>
      </c>
      <c r="D240" s="89" t="s">
        <v>783</v>
      </c>
      <c r="E240" s="89" t="s">
        <v>784</v>
      </c>
      <c r="F240" s="81">
        <f>IFERROR(__xludf.DUMMYFUNCTION("""COMPUTED_VALUE"""),46027.0)</f>
        <v>46027</v>
      </c>
      <c r="G240" s="89" t="s">
        <v>3989</v>
      </c>
      <c r="H240" s="89">
        <v>2.0</v>
      </c>
      <c r="I240" s="89" t="s">
        <v>3964</v>
      </c>
      <c r="J240" s="89" t="str">
        <f t="shared" si="18"/>
        <v>No</v>
      </c>
      <c r="K240" s="89" t="str">
        <f t="shared" si="23"/>
        <v>No</v>
      </c>
      <c r="L240" s="89" t="str">
        <f>IFERROR(__xludf.DUMMYFUNCTION("""COMPUTED_VALUE"""),"Multi Location")</f>
        <v>Multi Location</v>
      </c>
      <c r="M240" s="89" t="str">
        <f>IFERROR(__xludf.DUMMYFUNCTION("""COMPUTED_VALUE"""),"")</f>
        <v/>
      </c>
      <c r="N240" s="89" t="str">
        <f>IFERROR(__xludf.DUMMYFUNCTION("""COMPUTED_VALUE"""),"")</f>
        <v/>
      </c>
      <c r="P240" s="52" t="str">
        <f t="shared" si="22"/>
        <v>0</v>
      </c>
      <c r="R240" s="52" t="str">
        <f t="shared" si="32"/>
        <v>Review</v>
      </c>
      <c r="Z240" s="81">
        <v>46027.0</v>
      </c>
      <c r="AA240" s="81" t="s">
        <v>3992</v>
      </c>
      <c r="AB240" s="81" t="s">
        <v>3991</v>
      </c>
      <c r="AC240" s="81">
        <f t="shared" si="5"/>
        <v>46027</v>
      </c>
      <c r="AD240" s="82">
        <f t="shared" si="6"/>
        <v>1</v>
      </c>
    </row>
    <row r="241">
      <c r="A241" s="104">
        <v>46027.0</v>
      </c>
      <c r="B241" s="89" t="s">
        <v>824</v>
      </c>
      <c r="C241" s="89" t="s">
        <v>825</v>
      </c>
      <c r="D241" s="89" t="s">
        <v>783</v>
      </c>
      <c r="E241" s="89" t="s">
        <v>784</v>
      </c>
      <c r="F241" s="81">
        <f>IFERROR(__xludf.DUMMYFUNCTION("""COMPUTED_VALUE"""),46027.0)</f>
        <v>46027</v>
      </c>
      <c r="G241" s="89" t="s">
        <v>3989</v>
      </c>
      <c r="H241" s="89">
        <v>2.0</v>
      </c>
      <c r="I241" s="89" t="s">
        <v>3964</v>
      </c>
      <c r="J241" s="89" t="str">
        <f t="shared" si="18"/>
        <v>No</v>
      </c>
      <c r="K241" s="89" t="str">
        <f t="shared" si="23"/>
        <v>No</v>
      </c>
      <c r="L241" s="89" t="str">
        <f>IFERROR(__xludf.DUMMYFUNCTION("""COMPUTED_VALUE"""),"Multi Location")</f>
        <v>Multi Location</v>
      </c>
      <c r="M241" s="89" t="str">
        <f>IFERROR(__xludf.DUMMYFUNCTION("""COMPUTED_VALUE"""),"")</f>
        <v/>
      </c>
      <c r="N241" s="89" t="str">
        <f>IFERROR(__xludf.DUMMYFUNCTION("""COMPUTED_VALUE"""),"")</f>
        <v/>
      </c>
      <c r="P241" s="52" t="str">
        <f t="shared" si="22"/>
        <v>0</v>
      </c>
      <c r="R241" s="52" t="str">
        <f t="shared" si="32"/>
        <v>Review</v>
      </c>
      <c r="Z241" s="81">
        <v>46027.0</v>
      </c>
      <c r="AA241" s="81" t="s">
        <v>3992</v>
      </c>
      <c r="AB241" s="81" t="s">
        <v>3991</v>
      </c>
      <c r="AC241" s="81">
        <f t="shared" si="5"/>
        <v>46027</v>
      </c>
      <c r="AD241" s="82">
        <f t="shared" si="6"/>
        <v>1</v>
      </c>
    </row>
    <row r="242">
      <c r="A242" s="104">
        <v>46023.0</v>
      </c>
      <c r="B242" s="89" t="s">
        <v>826</v>
      </c>
      <c r="C242" s="89" t="s">
        <v>827</v>
      </c>
      <c r="D242" s="89" t="s">
        <v>783</v>
      </c>
      <c r="E242" s="89" t="s">
        <v>784</v>
      </c>
      <c r="F242" s="81">
        <f>IFERROR(__xludf.DUMMYFUNCTION("""COMPUTED_VALUE"""),46023.0)</f>
        <v>46023</v>
      </c>
      <c r="G242" s="89" t="s">
        <v>3989</v>
      </c>
      <c r="H242" s="89">
        <v>1.0</v>
      </c>
      <c r="I242" s="89" t="s">
        <v>3972</v>
      </c>
      <c r="J242" s="89" t="str">
        <f t="shared" si="18"/>
        <v>No</v>
      </c>
      <c r="K242" s="89" t="str">
        <f t="shared" si="23"/>
        <v>No</v>
      </c>
      <c r="L242" s="89" t="str">
        <f>IFERROR(__xludf.DUMMYFUNCTION("""COMPUTED_VALUE"""),"Multi Location")</f>
        <v>Multi Location</v>
      </c>
      <c r="M242" s="89" t="str">
        <f>IFERROR(__xludf.DUMMYFUNCTION("""COMPUTED_VALUE"""),"")</f>
        <v/>
      </c>
      <c r="N242" s="89" t="str">
        <f>IFERROR(__xludf.DUMMYFUNCTION("""COMPUTED_VALUE"""),"")</f>
        <v/>
      </c>
      <c r="P242" s="52" t="str">
        <f t="shared" si="22"/>
        <v>0</v>
      </c>
      <c r="R242" s="52" t="str">
        <f t="shared" si="32"/>
        <v>Review</v>
      </c>
      <c r="Z242" s="81">
        <v>46023.0</v>
      </c>
      <c r="AA242" s="81" t="s">
        <v>3990</v>
      </c>
      <c r="AB242" s="81" t="s">
        <v>3991</v>
      </c>
      <c r="AC242" s="81">
        <f t="shared" si="5"/>
        <v>46020</v>
      </c>
      <c r="AD242" s="82">
        <f t="shared" si="6"/>
        <v>4</v>
      </c>
    </row>
    <row r="243">
      <c r="A243" s="104">
        <v>46023.0</v>
      </c>
      <c r="B243" s="89" t="s">
        <v>826</v>
      </c>
      <c r="C243" s="89" t="s">
        <v>828</v>
      </c>
      <c r="D243" s="89" t="s">
        <v>783</v>
      </c>
      <c r="E243" s="89" t="s">
        <v>784</v>
      </c>
      <c r="F243" s="81">
        <f>IFERROR(__xludf.DUMMYFUNCTION("""COMPUTED_VALUE"""),46023.0)</f>
        <v>46023</v>
      </c>
      <c r="G243" s="89" t="s">
        <v>3989</v>
      </c>
      <c r="H243" s="89">
        <v>1.0</v>
      </c>
      <c r="I243" s="89" t="s">
        <v>3972</v>
      </c>
      <c r="J243" s="89" t="str">
        <f t="shared" si="18"/>
        <v>No</v>
      </c>
      <c r="K243" s="89" t="str">
        <f t="shared" si="23"/>
        <v>No</v>
      </c>
      <c r="L243" s="89" t="str">
        <f>IFERROR(__xludf.DUMMYFUNCTION("""COMPUTED_VALUE"""),"Multi Location")</f>
        <v>Multi Location</v>
      </c>
      <c r="M243" s="89" t="str">
        <f>IFERROR(__xludf.DUMMYFUNCTION("""COMPUTED_VALUE"""),"")</f>
        <v/>
      </c>
      <c r="N243" s="89" t="str">
        <f>IFERROR(__xludf.DUMMYFUNCTION("""COMPUTED_VALUE"""),"")</f>
        <v/>
      </c>
      <c r="P243" s="52" t="str">
        <f t="shared" si="22"/>
        <v>0</v>
      </c>
      <c r="R243" s="52" t="str">
        <f t="shared" si="32"/>
        <v>Review</v>
      </c>
      <c r="Z243" s="81">
        <v>46023.0</v>
      </c>
      <c r="AA243" s="81" t="s">
        <v>3990</v>
      </c>
      <c r="AB243" s="81" t="s">
        <v>3991</v>
      </c>
      <c r="AC243" s="81">
        <f t="shared" si="5"/>
        <v>46020</v>
      </c>
      <c r="AD243" s="82">
        <f t="shared" si="6"/>
        <v>4</v>
      </c>
    </row>
    <row r="244">
      <c r="A244" s="104">
        <v>46023.0</v>
      </c>
      <c r="B244" s="89" t="s">
        <v>829</v>
      </c>
      <c r="C244" s="89" t="s">
        <v>830</v>
      </c>
      <c r="D244" s="89" t="s">
        <v>783</v>
      </c>
      <c r="E244" s="89" t="s">
        <v>784</v>
      </c>
      <c r="F244" s="81">
        <f>IFERROR(__xludf.DUMMYFUNCTION("""COMPUTED_VALUE"""),46023.0)</f>
        <v>46023</v>
      </c>
      <c r="G244" s="89" t="s">
        <v>3989</v>
      </c>
      <c r="H244" s="89">
        <v>1.0</v>
      </c>
      <c r="I244" s="89" t="s">
        <v>3972</v>
      </c>
      <c r="J244" s="89" t="str">
        <f t="shared" si="18"/>
        <v>No</v>
      </c>
      <c r="K244" s="89" t="str">
        <f t="shared" si="23"/>
        <v>No</v>
      </c>
      <c r="L244" s="89" t="str">
        <f>IFERROR(__xludf.DUMMYFUNCTION("""COMPUTED_VALUE"""),"Multi Location")</f>
        <v>Multi Location</v>
      </c>
      <c r="M244" s="89" t="str">
        <f>IFERROR(__xludf.DUMMYFUNCTION("""COMPUTED_VALUE"""),"")</f>
        <v/>
      </c>
      <c r="N244" s="89" t="str">
        <f>IFERROR(__xludf.DUMMYFUNCTION("""COMPUTED_VALUE"""),"")</f>
        <v/>
      </c>
      <c r="P244" s="52" t="str">
        <f t="shared" si="22"/>
        <v>0</v>
      </c>
      <c r="R244" s="52" t="str">
        <f t="shared" si="32"/>
        <v>Review</v>
      </c>
      <c r="Z244" s="81">
        <v>46023.0</v>
      </c>
      <c r="AA244" s="81" t="s">
        <v>3990</v>
      </c>
      <c r="AB244" s="81" t="s">
        <v>3991</v>
      </c>
      <c r="AC244" s="81">
        <f t="shared" si="5"/>
        <v>46020</v>
      </c>
      <c r="AD244" s="82">
        <f t="shared" si="6"/>
        <v>4</v>
      </c>
    </row>
    <row r="245">
      <c r="A245" s="104">
        <v>46023.0</v>
      </c>
      <c r="B245" s="89" t="s">
        <v>831</v>
      </c>
      <c r="C245" s="89" t="s">
        <v>802</v>
      </c>
      <c r="D245" s="89" t="s">
        <v>783</v>
      </c>
      <c r="E245" s="89" t="s">
        <v>784</v>
      </c>
      <c r="F245" s="81">
        <f>IFERROR(__xludf.DUMMYFUNCTION("""COMPUTED_VALUE"""),46023.0)</f>
        <v>46023</v>
      </c>
      <c r="G245" s="89" t="s">
        <v>3989</v>
      </c>
      <c r="H245" s="89">
        <v>1.0</v>
      </c>
      <c r="I245" s="89" t="s">
        <v>3972</v>
      </c>
      <c r="J245" s="89" t="str">
        <f t="shared" si="18"/>
        <v>No</v>
      </c>
      <c r="K245" s="89" t="str">
        <f t="shared" si="23"/>
        <v>No</v>
      </c>
      <c r="L245" s="89" t="str">
        <f>IFERROR(__xludf.DUMMYFUNCTION("""COMPUTED_VALUE"""),"Multi Location")</f>
        <v>Multi Location</v>
      </c>
      <c r="M245" s="89" t="str">
        <f>IFERROR(__xludf.DUMMYFUNCTION("""COMPUTED_VALUE"""),"")</f>
        <v/>
      </c>
      <c r="N245" s="89" t="str">
        <f>IFERROR(__xludf.DUMMYFUNCTION("""COMPUTED_VALUE"""),"")</f>
        <v/>
      </c>
      <c r="P245" s="52" t="str">
        <f t="shared" si="22"/>
        <v>0</v>
      </c>
      <c r="R245" s="52" t="str">
        <f t="shared" si="32"/>
        <v>Review</v>
      </c>
      <c r="Z245" s="81">
        <v>46023.0</v>
      </c>
      <c r="AA245" s="81" t="s">
        <v>3990</v>
      </c>
      <c r="AB245" s="81" t="s">
        <v>3991</v>
      </c>
      <c r="AC245" s="81">
        <f t="shared" si="5"/>
        <v>46020</v>
      </c>
      <c r="AD245" s="82">
        <f t="shared" si="6"/>
        <v>4</v>
      </c>
    </row>
    <row r="246">
      <c r="A246" s="104">
        <v>46023.0</v>
      </c>
      <c r="B246" s="89" t="s">
        <v>832</v>
      </c>
      <c r="C246" s="89" t="s">
        <v>833</v>
      </c>
      <c r="D246" s="89" t="s">
        <v>783</v>
      </c>
      <c r="E246" s="89" t="s">
        <v>784</v>
      </c>
      <c r="F246" s="81">
        <f>IFERROR(__xludf.DUMMYFUNCTION("""COMPUTED_VALUE"""),46023.0)</f>
        <v>46023</v>
      </c>
      <c r="G246" s="89" t="s">
        <v>3989</v>
      </c>
      <c r="H246" s="89">
        <v>1.0</v>
      </c>
      <c r="I246" s="89" t="s">
        <v>3972</v>
      </c>
      <c r="J246" s="89" t="str">
        <f t="shared" si="18"/>
        <v>No</v>
      </c>
      <c r="K246" s="89" t="str">
        <f t="shared" si="23"/>
        <v>No</v>
      </c>
      <c r="L246" s="89" t="str">
        <f>IFERROR(__xludf.DUMMYFUNCTION("""COMPUTED_VALUE"""),"Multi Location")</f>
        <v>Multi Location</v>
      </c>
      <c r="M246" s="89" t="str">
        <f>IFERROR(__xludf.DUMMYFUNCTION("""COMPUTED_VALUE"""),"")</f>
        <v/>
      </c>
      <c r="N246" s="89" t="str">
        <f>IFERROR(__xludf.DUMMYFUNCTION("""COMPUTED_VALUE"""),"")</f>
        <v/>
      </c>
      <c r="P246" s="52" t="str">
        <f t="shared" si="22"/>
        <v>0</v>
      </c>
      <c r="R246" s="52" t="str">
        <f t="shared" si="32"/>
        <v>Review</v>
      </c>
      <c r="Z246" s="81">
        <v>46023.0</v>
      </c>
      <c r="AA246" s="81" t="s">
        <v>3990</v>
      </c>
      <c r="AB246" s="81" t="s">
        <v>3991</v>
      </c>
      <c r="AC246" s="81">
        <f t="shared" si="5"/>
        <v>46020</v>
      </c>
      <c r="AD246" s="82">
        <f t="shared" si="6"/>
        <v>4</v>
      </c>
    </row>
    <row r="247">
      <c r="A247" s="104">
        <v>46023.0</v>
      </c>
      <c r="B247" s="89" t="s">
        <v>826</v>
      </c>
      <c r="C247" s="89" t="s">
        <v>834</v>
      </c>
      <c r="D247" s="89" t="s">
        <v>783</v>
      </c>
      <c r="E247" s="89" t="s">
        <v>784</v>
      </c>
      <c r="F247" s="81">
        <f>IFERROR(__xludf.DUMMYFUNCTION("""COMPUTED_VALUE"""),46023.0)</f>
        <v>46023</v>
      </c>
      <c r="G247" s="89" t="s">
        <v>3989</v>
      </c>
      <c r="H247" s="89">
        <v>1.0</v>
      </c>
      <c r="I247" s="89" t="s">
        <v>3972</v>
      </c>
      <c r="J247" s="89" t="str">
        <f t="shared" si="18"/>
        <v>No</v>
      </c>
      <c r="K247" s="89" t="str">
        <f t="shared" si="23"/>
        <v>No</v>
      </c>
      <c r="L247" s="89" t="str">
        <f>IFERROR(__xludf.DUMMYFUNCTION("""COMPUTED_VALUE"""),"Multi Location")</f>
        <v>Multi Location</v>
      </c>
      <c r="M247" s="89" t="str">
        <f>IFERROR(__xludf.DUMMYFUNCTION("""COMPUTED_VALUE"""),"")</f>
        <v/>
      </c>
      <c r="N247" s="89" t="str">
        <f>IFERROR(__xludf.DUMMYFUNCTION("""COMPUTED_VALUE"""),"")</f>
        <v/>
      </c>
      <c r="P247" s="52" t="str">
        <f t="shared" si="22"/>
        <v>0</v>
      </c>
      <c r="R247" s="52" t="str">
        <f t="shared" si="32"/>
        <v>Review</v>
      </c>
      <c r="Z247" s="81">
        <v>46023.0</v>
      </c>
      <c r="AA247" s="81" t="s">
        <v>3990</v>
      </c>
      <c r="AB247" s="81" t="s">
        <v>3991</v>
      </c>
      <c r="AC247" s="81">
        <f t="shared" si="5"/>
        <v>46020</v>
      </c>
      <c r="AD247" s="82">
        <f t="shared" si="6"/>
        <v>4</v>
      </c>
    </row>
    <row r="248">
      <c r="A248" s="96">
        <v>46029.44159722222</v>
      </c>
      <c r="B248" s="89" t="s">
        <v>835</v>
      </c>
      <c r="C248" s="89" t="s">
        <v>532</v>
      </c>
      <c r="D248" s="89" t="s">
        <v>836</v>
      </c>
      <c r="E248" s="90" t="s">
        <v>837</v>
      </c>
      <c r="F248" s="81">
        <f>IFERROR(__xludf.DUMMYFUNCTION("""COMPUTED_VALUE"""),46029.44159722222)</f>
        <v>46029.4416</v>
      </c>
      <c r="G248" s="89" t="s">
        <v>3989</v>
      </c>
      <c r="H248" s="89">
        <v>2.0</v>
      </c>
      <c r="I248" s="89" t="s">
        <v>3971</v>
      </c>
      <c r="J248" s="89" t="str">
        <f t="shared" si="18"/>
        <v>No</v>
      </c>
      <c r="K248" s="89" t="str">
        <f t="shared" si="23"/>
        <v>No</v>
      </c>
      <c r="L248" s="89" t="str">
        <f>IFERROR(__xludf.DUMMYFUNCTION("""COMPUTED_VALUE"""),"New York, NY")</f>
        <v>New York, NY</v>
      </c>
      <c r="M248" s="89" t="str">
        <f>IFERROR(__xludf.DUMMYFUNCTION("""COMPUTED_VALUE"""),"Reposted 5 hours ago")</f>
        <v>Reposted 5 hours ago</v>
      </c>
      <c r="N248" s="89">
        <f>IFERROR(__xludf.DUMMYFUNCTION("""COMPUTED_VALUE"""),5.0)</f>
        <v>5</v>
      </c>
      <c r="P248" s="52" t="str">
        <f t="shared" si="22"/>
        <v>0</v>
      </c>
      <c r="R248" s="52" t="str">
        <f t="shared" si="32"/>
        <v>Review</v>
      </c>
      <c r="Z248" s="81">
        <v>46029.0</v>
      </c>
      <c r="AA248" s="81" t="s">
        <v>3992</v>
      </c>
      <c r="AB248" s="81" t="s">
        <v>3991</v>
      </c>
      <c r="AC248" s="81">
        <f t="shared" si="5"/>
        <v>46027</v>
      </c>
      <c r="AD248" s="82">
        <f t="shared" si="6"/>
        <v>3</v>
      </c>
    </row>
    <row r="249">
      <c r="A249" s="104">
        <v>46029.0</v>
      </c>
      <c r="B249" s="89" t="s">
        <v>838</v>
      </c>
      <c r="C249" s="89" t="s">
        <v>839</v>
      </c>
      <c r="D249" s="89" t="s">
        <v>783</v>
      </c>
      <c r="E249" s="89" t="s">
        <v>784</v>
      </c>
      <c r="F249" s="81">
        <f>IFERROR(__xludf.DUMMYFUNCTION("""COMPUTED_VALUE"""),46029.0)</f>
        <v>46029</v>
      </c>
      <c r="G249" s="89" t="s">
        <v>3989</v>
      </c>
      <c r="H249" s="89">
        <v>2.0</v>
      </c>
      <c r="I249" s="89" t="s">
        <v>3971</v>
      </c>
      <c r="J249" s="89" t="str">
        <f t="shared" si="18"/>
        <v>No</v>
      </c>
      <c r="K249" s="89" t="str">
        <f t="shared" si="23"/>
        <v>No</v>
      </c>
      <c r="L249" s="89" t="str">
        <f>IFERROR(__xludf.DUMMYFUNCTION("""COMPUTED_VALUE"""),"Multi Location")</f>
        <v>Multi Location</v>
      </c>
      <c r="M249" s="89" t="str">
        <f>IFERROR(__xludf.DUMMYFUNCTION("""COMPUTED_VALUE"""),"")</f>
        <v/>
      </c>
      <c r="N249" s="89" t="str">
        <f>IFERROR(__xludf.DUMMYFUNCTION("""COMPUTED_VALUE"""),"")</f>
        <v/>
      </c>
      <c r="P249" s="52" t="str">
        <f t="shared" si="22"/>
        <v>0</v>
      </c>
      <c r="R249" s="52" t="str">
        <f t="shared" si="32"/>
        <v>Review</v>
      </c>
      <c r="Z249" s="81">
        <v>46029.0</v>
      </c>
      <c r="AA249" s="81" t="s">
        <v>3992</v>
      </c>
      <c r="AB249" s="81" t="s">
        <v>3991</v>
      </c>
      <c r="AC249" s="81">
        <f t="shared" si="5"/>
        <v>46027</v>
      </c>
      <c r="AD249" s="82">
        <f t="shared" si="6"/>
        <v>3</v>
      </c>
    </row>
    <row r="250">
      <c r="A250" s="104">
        <v>46029.0</v>
      </c>
      <c r="B250" s="89" t="s">
        <v>835</v>
      </c>
      <c r="C250" s="89" t="s">
        <v>532</v>
      </c>
      <c r="D250" s="89" t="s">
        <v>783</v>
      </c>
      <c r="E250" s="89" t="s">
        <v>840</v>
      </c>
      <c r="F250" s="81">
        <f>IFERROR(__xludf.DUMMYFUNCTION("""COMPUTED_VALUE"""),46029.0)</f>
        <v>46029</v>
      </c>
      <c r="G250" s="89" t="s">
        <v>3989</v>
      </c>
      <c r="H250" s="89">
        <v>2.0</v>
      </c>
      <c r="I250" s="89" t="s">
        <v>3971</v>
      </c>
      <c r="J250" s="89" t="str">
        <f t="shared" si="18"/>
        <v>No</v>
      </c>
      <c r="K250" s="89" t="str">
        <f t="shared" si="23"/>
        <v>No</v>
      </c>
      <c r="L250" s="89" t="str">
        <f>IFERROR(__xludf.DUMMYFUNCTION("""COMPUTED_VALUE"""),"Multi Location")</f>
        <v>Multi Location</v>
      </c>
      <c r="M250" s="89" t="str">
        <f>IFERROR(__xludf.DUMMYFUNCTION("""COMPUTED_VALUE"""),"")</f>
        <v/>
      </c>
      <c r="N250" s="89" t="str">
        <f>IFERROR(__xludf.DUMMYFUNCTION("""COMPUTED_VALUE"""),"")</f>
        <v/>
      </c>
      <c r="P250" s="52" t="str">
        <f t="shared" si="22"/>
        <v>0</v>
      </c>
      <c r="R250" s="52" t="str">
        <f t="shared" si="32"/>
        <v>Review</v>
      </c>
      <c r="Z250" s="81">
        <v>46029.0</v>
      </c>
      <c r="AA250" s="81" t="s">
        <v>3992</v>
      </c>
      <c r="AB250" s="81" t="s">
        <v>3991</v>
      </c>
      <c r="AC250" s="81">
        <f t="shared" si="5"/>
        <v>46027</v>
      </c>
      <c r="AD250" s="82">
        <f t="shared" si="6"/>
        <v>3</v>
      </c>
    </row>
    <row r="251">
      <c r="A251" s="104">
        <v>46029.0</v>
      </c>
      <c r="B251" s="89" t="s">
        <v>841</v>
      </c>
      <c r="C251" s="89" t="s">
        <v>842</v>
      </c>
      <c r="D251" s="89" t="s">
        <v>783</v>
      </c>
      <c r="E251" s="89" t="s">
        <v>843</v>
      </c>
      <c r="F251" s="81">
        <f>IFERROR(__xludf.DUMMYFUNCTION("""COMPUTED_VALUE"""),46029.0)</f>
        <v>46029</v>
      </c>
      <c r="G251" s="89" t="s">
        <v>3989</v>
      </c>
      <c r="H251" s="89">
        <v>2.0</v>
      </c>
      <c r="I251" s="89" t="s">
        <v>3971</v>
      </c>
      <c r="J251" s="89" t="str">
        <f t="shared" si="18"/>
        <v>No</v>
      </c>
      <c r="K251" s="89" t="str">
        <f t="shared" si="23"/>
        <v>No</v>
      </c>
      <c r="L251" s="89" t="str">
        <f>IFERROR(__xludf.DUMMYFUNCTION("""COMPUTED_VALUE"""),"Multi Location")</f>
        <v>Multi Location</v>
      </c>
      <c r="M251" s="89" t="str">
        <f>IFERROR(__xludf.DUMMYFUNCTION("""COMPUTED_VALUE"""),"")</f>
        <v/>
      </c>
      <c r="N251" s="89" t="str">
        <f>IFERROR(__xludf.DUMMYFUNCTION("""COMPUTED_VALUE"""),"")</f>
        <v/>
      </c>
      <c r="P251" s="52" t="str">
        <f t="shared" si="22"/>
        <v>0</v>
      </c>
      <c r="R251" s="52" t="str">
        <f t="shared" si="32"/>
        <v>Review</v>
      </c>
      <c r="Z251" s="81">
        <v>46029.0</v>
      </c>
      <c r="AA251" s="81" t="s">
        <v>3992</v>
      </c>
      <c r="AB251" s="81" t="s">
        <v>3991</v>
      </c>
      <c r="AC251" s="81">
        <f t="shared" si="5"/>
        <v>46027</v>
      </c>
      <c r="AD251" s="82">
        <f t="shared" si="6"/>
        <v>3</v>
      </c>
    </row>
    <row r="252">
      <c r="A252" s="104">
        <v>46029.0</v>
      </c>
      <c r="B252" s="89" t="s">
        <v>844</v>
      </c>
      <c r="C252" s="89" t="s">
        <v>845</v>
      </c>
      <c r="D252" s="89" t="s">
        <v>783</v>
      </c>
      <c r="E252" s="89" t="s">
        <v>846</v>
      </c>
      <c r="F252" s="81">
        <f>IFERROR(__xludf.DUMMYFUNCTION("""COMPUTED_VALUE"""),46029.0)</f>
        <v>46029</v>
      </c>
      <c r="G252" s="89" t="s">
        <v>3989</v>
      </c>
      <c r="H252" s="89">
        <v>2.0</v>
      </c>
      <c r="I252" s="89" t="s">
        <v>3971</v>
      </c>
      <c r="J252" s="89" t="str">
        <f t="shared" si="18"/>
        <v>No</v>
      </c>
      <c r="K252" s="89" t="str">
        <f t="shared" si="23"/>
        <v>No</v>
      </c>
      <c r="L252" s="89" t="str">
        <f>IFERROR(__xludf.DUMMYFUNCTION("""COMPUTED_VALUE"""),"Multi Location")</f>
        <v>Multi Location</v>
      </c>
      <c r="M252" s="89" t="str">
        <f>IFERROR(__xludf.DUMMYFUNCTION("""COMPUTED_VALUE"""),"")</f>
        <v/>
      </c>
      <c r="N252" s="89" t="str">
        <f>IFERROR(__xludf.DUMMYFUNCTION("""COMPUTED_VALUE"""),"")</f>
        <v/>
      </c>
      <c r="P252" s="52" t="str">
        <f t="shared" si="22"/>
        <v>0</v>
      </c>
      <c r="R252" s="52" t="str">
        <f t="shared" si="32"/>
        <v>Review</v>
      </c>
      <c r="Z252" s="81">
        <v>46029.0</v>
      </c>
      <c r="AA252" s="81" t="s">
        <v>3992</v>
      </c>
      <c r="AB252" s="81" t="s">
        <v>3991</v>
      </c>
      <c r="AC252" s="81">
        <f t="shared" si="5"/>
        <v>46027</v>
      </c>
      <c r="AD252" s="82">
        <f t="shared" si="6"/>
        <v>3</v>
      </c>
    </row>
    <row r="253">
      <c r="A253" s="104">
        <v>46029.0</v>
      </c>
      <c r="B253" s="89" t="s">
        <v>847</v>
      </c>
      <c r="C253" s="89" t="s">
        <v>848</v>
      </c>
      <c r="D253" s="89" t="s">
        <v>783</v>
      </c>
      <c r="E253" s="89" t="s">
        <v>849</v>
      </c>
      <c r="F253" s="81">
        <f>IFERROR(__xludf.DUMMYFUNCTION("""COMPUTED_VALUE"""),46029.0)</f>
        <v>46029</v>
      </c>
      <c r="G253" s="89" t="s">
        <v>3989</v>
      </c>
      <c r="H253" s="89">
        <v>2.0</v>
      </c>
      <c r="I253" s="89" t="s">
        <v>3971</v>
      </c>
      <c r="J253" s="89" t="str">
        <f t="shared" si="18"/>
        <v>No</v>
      </c>
      <c r="K253" s="89" t="str">
        <f t="shared" si="23"/>
        <v>No</v>
      </c>
      <c r="L253" s="89" t="str">
        <f>IFERROR(__xludf.DUMMYFUNCTION("""COMPUTED_VALUE"""),"Multi Location")</f>
        <v>Multi Location</v>
      </c>
      <c r="M253" s="89" t="str">
        <f>IFERROR(__xludf.DUMMYFUNCTION("""COMPUTED_VALUE"""),"")</f>
        <v/>
      </c>
      <c r="N253" s="89" t="str">
        <f>IFERROR(__xludf.DUMMYFUNCTION("""COMPUTED_VALUE"""),"")</f>
        <v/>
      </c>
      <c r="P253" s="52" t="str">
        <f t="shared" si="22"/>
        <v>0</v>
      </c>
      <c r="R253" s="52" t="str">
        <f t="shared" si="32"/>
        <v>Review</v>
      </c>
      <c r="Z253" s="81">
        <v>46029.0</v>
      </c>
      <c r="AA253" s="81" t="s">
        <v>3992</v>
      </c>
      <c r="AB253" s="81" t="s">
        <v>3991</v>
      </c>
      <c r="AC253" s="81">
        <f t="shared" si="5"/>
        <v>46027</v>
      </c>
      <c r="AD253" s="82">
        <f t="shared" si="6"/>
        <v>3</v>
      </c>
    </row>
    <row r="254">
      <c r="A254" s="104">
        <v>46029.0</v>
      </c>
      <c r="B254" s="89" t="s">
        <v>850</v>
      </c>
      <c r="C254" s="89" t="s">
        <v>851</v>
      </c>
      <c r="D254" s="89" t="s">
        <v>783</v>
      </c>
      <c r="E254" s="89" t="s">
        <v>852</v>
      </c>
      <c r="F254" s="81">
        <f>IFERROR(__xludf.DUMMYFUNCTION("""COMPUTED_VALUE"""),46029.0)</f>
        <v>46029</v>
      </c>
      <c r="G254" s="89" t="s">
        <v>3989</v>
      </c>
      <c r="H254" s="89">
        <v>2.0</v>
      </c>
      <c r="I254" s="89" t="s">
        <v>3971</v>
      </c>
      <c r="J254" s="89" t="str">
        <f t="shared" si="18"/>
        <v>No</v>
      </c>
      <c r="K254" s="89" t="str">
        <f t="shared" si="23"/>
        <v>No</v>
      </c>
      <c r="L254" s="89" t="str">
        <f>IFERROR(__xludf.DUMMYFUNCTION("""COMPUTED_VALUE"""),"Multi Location")</f>
        <v>Multi Location</v>
      </c>
      <c r="M254" s="89" t="str">
        <f>IFERROR(__xludf.DUMMYFUNCTION("""COMPUTED_VALUE"""),"")</f>
        <v/>
      </c>
      <c r="N254" s="89" t="str">
        <f>IFERROR(__xludf.DUMMYFUNCTION("""COMPUTED_VALUE"""),"")</f>
        <v/>
      </c>
      <c r="P254" s="52" t="str">
        <f t="shared" si="22"/>
        <v>0</v>
      </c>
      <c r="R254" s="52" t="str">
        <f t="shared" si="32"/>
        <v>Review</v>
      </c>
      <c r="Z254" s="81">
        <v>46029.0</v>
      </c>
      <c r="AA254" s="81" t="s">
        <v>3992</v>
      </c>
      <c r="AB254" s="81" t="s">
        <v>3991</v>
      </c>
      <c r="AC254" s="81">
        <f t="shared" si="5"/>
        <v>46027</v>
      </c>
      <c r="AD254" s="82">
        <f t="shared" si="6"/>
        <v>3</v>
      </c>
    </row>
    <row r="255">
      <c r="A255" s="104">
        <v>46029.0</v>
      </c>
      <c r="B255" s="89" t="s">
        <v>853</v>
      </c>
      <c r="C255" s="89" t="s">
        <v>854</v>
      </c>
      <c r="D255" s="89" t="s">
        <v>783</v>
      </c>
      <c r="E255" s="89" t="s">
        <v>855</v>
      </c>
      <c r="F255" s="81">
        <f>IFERROR(__xludf.DUMMYFUNCTION("""COMPUTED_VALUE"""),46029.0)</f>
        <v>46029</v>
      </c>
      <c r="G255" s="89" t="s">
        <v>3989</v>
      </c>
      <c r="H255" s="89">
        <v>2.0</v>
      </c>
      <c r="I255" s="89" t="s">
        <v>3971</v>
      </c>
      <c r="J255" s="89" t="str">
        <f t="shared" si="18"/>
        <v>No</v>
      </c>
      <c r="K255" s="89" t="str">
        <f t="shared" si="23"/>
        <v>No</v>
      </c>
      <c r="L255" s="89" t="str">
        <f>IFERROR(__xludf.DUMMYFUNCTION("""COMPUTED_VALUE"""),"Multi Location")</f>
        <v>Multi Location</v>
      </c>
      <c r="M255" s="89" t="str">
        <f>IFERROR(__xludf.DUMMYFUNCTION("""COMPUTED_VALUE"""),"")</f>
        <v/>
      </c>
      <c r="N255" s="89" t="str">
        <f>IFERROR(__xludf.DUMMYFUNCTION("""COMPUTED_VALUE"""),"")</f>
        <v/>
      </c>
      <c r="P255" s="52" t="str">
        <f t="shared" si="22"/>
        <v>0</v>
      </c>
      <c r="R255" s="52" t="str">
        <f t="shared" si="32"/>
        <v>Review</v>
      </c>
      <c r="Z255" s="81">
        <v>46029.0</v>
      </c>
      <c r="AA255" s="81" t="s">
        <v>3992</v>
      </c>
      <c r="AB255" s="81" t="s">
        <v>3991</v>
      </c>
      <c r="AC255" s="81">
        <f t="shared" si="5"/>
        <v>46027</v>
      </c>
      <c r="AD255" s="82">
        <f t="shared" si="6"/>
        <v>3</v>
      </c>
    </row>
    <row r="256">
      <c r="A256" s="104">
        <v>46028.0</v>
      </c>
      <c r="B256" s="89" t="s">
        <v>856</v>
      </c>
      <c r="C256" s="89" t="s">
        <v>857</v>
      </c>
      <c r="D256" s="89" t="s">
        <v>858</v>
      </c>
      <c r="E256" s="89" t="s">
        <v>859</v>
      </c>
      <c r="F256" s="81">
        <f>IFERROR(__xludf.DUMMYFUNCTION("""COMPUTED_VALUE"""),46028.0)</f>
        <v>46028</v>
      </c>
      <c r="G256" s="89" t="s">
        <v>3989</v>
      </c>
      <c r="H256" s="89">
        <v>2.0</v>
      </c>
      <c r="I256" s="89" t="s">
        <v>3966</v>
      </c>
      <c r="J256" s="89" t="str">
        <f t="shared" si="18"/>
        <v>No</v>
      </c>
      <c r="K256" s="89" t="str">
        <f t="shared" si="23"/>
        <v>No</v>
      </c>
      <c r="L256" s="89" t="str">
        <f>IFERROR(__xludf.DUMMYFUNCTION("""COMPUTED_VALUE"""),"United States")</f>
        <v>United States</v>
      </c>
      <c r="M256" s="89" t="str">
        <f>IFERROR(__xludf.DUMMYFUNCTION("""COMPUTED_VALUE"""),"")</f>
        <v/>
      </c>
      <c r="N256" s="89" t="str">
        <f>IFERROR(__xludf.DUMMYFUNCTION("""COMPUTED_VALUE"""),"")</f>
        <v/>
      </c>
      <c r="P256" s="52" t="str">
        <f t="shared" si="22"/>
        <v>0</v>
      </c>
      <c r="R256" s="52" t="str">
        <f t="shared" si="32"/>
        <v>Review</v>
      </c>
      <c r="Z256" s="81">
        <v>46028.0</v>
      </c>
      <c r="AA256" s="81" t="s">
        <v>3992</v>
      </c>
      <c r="AB256" s="81" t="s">
        <v>3991</v>
      </c>
      <c r="AC256" s="81">
        <f t="shared" si="5"/>
        <v>46027</v>
      </c>
      <c r="AD256" s="82">
        <f t="shared" si="6"/>
        <v>2</v>
      </c>
    </row>
    <row r="257">
      <c r="A257" s="104">
        <v>46028.0</v>
      </c>
      <c r="B257" s="89" t="s">
        <v>860</v>
      </c>
      <c r="C257" s="89" t="s">
        <v>861</v>
      </c>
      <c r="D257" s="89" t="s">
        <v>862</v>
      </c>
      <c r="E257" s="89" t="s">
        <v>863</v>
      </c>
      <c r="F257" s="81">
        <f>IFERROR(__xludf.DUMMYFUNCTION("""COMPUTED_VALUE"""),46028.0)</f>
        <v>46028</v>
      </c>
      <c r="G257" s="89" t="s">
        <v>3989</v>
      </c>
      <c r="H257" s="89">
        <v>2.0</v>
      </c>
      <c r="I257" s="89" t="s">
        <v>3966</v>
      </c>
      <c r="J257" s="89" t="str">
        <f t="shared" si="18"/>
        <v>No</v>
      </c>
      <c r="K257" s="89" t="str">
        <f t="shared" si="23"/>
        <v>No</v>
      </c>
      <c r="L257" s="89" t="str">
        <f>IFERROR(__xludf.DUMMYFUNCTION("""COMPUTED_VALUE"""),"Menlo Park, CA")</f>
        <v>Menlo Park, CA</v>
      </c>
      <c r="M257" s="89" t="str">
        <f>IFERROR(__xludf.DUMMYFUNCTION("""COMPUTED_VALUE"""),"")</f>
        <v/>
      </c>
      <c r="N257" s="89" t="str">
        <f>IFERROR(__xludf.DUMMYFUNCTION("""COMPUTED_VALUE"""),"")</f>
        <v/>
      </c>
      <c r="P257" s="52" t="str">
        <f t="shared" si="22"/>
        <v>0</v>
      </c>
      <c r="R257" s="52" t="str">
        <f t="shared" si="32"/>
        <v>Review</v>
      </c>
      <c r="Z257" s="81">
        <v>46028.0</v>
      </c>
      <c r="AA257" s="81" t="s">
        <v>3992</v>
      </c>
      <c r="AB257" s="81" t="s">
        <v>3991</v>
      </c>
      <c r="AC257" s="81">
        <f t="shared" si="5"/>
        <v>46027</v>
      </c>
      <c r="AD257" s="82">
        <f t="shared" si="6"/>
        <v>2</v>
      </c>
    </row>
    <row r="258">
      <c r="A258" s="104">
        <v>46028.0</v>
      </c>
      <c r="B258" s="89" t="s">
        <v>864</v>
      </c>
      <c r="C258" s="89" t="s">
        <v>865</v>
      </c>
      <c r="D258" s="89" t="s">
        <v>866</v>
      </c>
      <c r="E258" s="89" t="s">
        <v>867</v>
      </c>
      <c r="F258" s="81">
        <f>IFERROR(__xludf.DUMMYFUNCTION("""COMPUTED_VALUE"""),46028.0)</f>
        <v>46028</v>
      </c>
      <c r="G258" s="89" t="s">
        <v>3989</v>
      </c>
      <c r="H258" s="89">
        <v>2.0</v>
      </c>
      <c r="I258" s="89" t="s">
        <v>3966</v>
      </c>
      <c r="J258" s="89" t="str">
        <f t="shared" si="18"/>
        <v>No</v>
      </c>
      <c r="K258" s="89" t="str">
        <f t="shared" si="23"/>
        <v>No</v>
      </c>
      <c r="L258" s="89" t="str">
        <f>IFERROR(__xludf.DUMMYFUNCTION("""COMPUTED_VALUE"""),"San Mateo, CA")</f>
        <v>San Mateo, CA</v>
      </c>
      <c r="M258" s="89" t="str">
        <f>IFERROR(__xludf.DUMMYFUNCTION("""COMPUTED_VALUE"""),"")</f>
        <v/>
      </c>
      <c r="N258" s="89" t="str">
        <f>IFERROR(__xludf.DUMMYFUNCTION("""COMPUTED_VALUE"""),"")</f>
        <v/>
      </c>
      <c r="P258" s="52" t="str">
        <f t="shared" si="22"/>
        <v>0</v>
      </c>
      <c r="R258" s="52" t="str">
        <f t="shared" si="32"/>
        <v>Review</v>
      </c>
      <c r="Z258" s="81">
        <v>46028.0</v>
      </c>
      <c r="AA258" s="81" t="s">
        <v>3992</v>
      </c>
      <c r="AB258" s="81" t="s">
        <v>3991</v>
      </c>
      <c r="AC258" s="81">
        <f t="shared" si="5"/>
        <v>46027</v>
      </c>
      <c r="AD258" s="82">
        <f t="shared" si="6"/>
        <v>2</v>
      </c>
    </row>
    <row r="259">
      <c r="A259" s="104">
        <v>46028.0</v>
      </c>
      <c r="B259" s="89" t="s">
        <v>868</v>
      </c>
      <c r="C259" s="89" t="s">
        <v>869</v>
      </c>
      <c r="D259" s="89" t="s">
        <v>870</v>
      </c>
      <c r="E259" s="89" t="s">
        <v>871</v>
      </c>
      <c r="F259" s="81">
        <f>IFERROR(__xludf.DUMMYFUNCTION("""COMPUTED_VALUE"""),46028.0)</f>
        <v>46028</v>
      </c>
      <c r="G259" s="89" t="s">
        <v>3989</v>
      </c>
      <c r="H259" s="89">
        <v>2.0</v>
      </c>
      <c r="I259" s="89" t="s">
        <v>3966</v>
      </c>
      <c r="J259" s="89" t="str">
        <f t="shared" si="18"/>
        <v>No</v>
      </c>
      <c r="K259" s="89" t="str">
        <f t="shared" si="23"/>
        <v>No</v>
      </c>
      <c r="L259" s="89" t="str">
        <f>IFERROR(__xludf.DUMMYFUNCTION("""COMPUTED_VALUE"""),"#N/A")</f>
        <v>#N/A</v>
      </c>
      <c r="M259" s="89" t="str">
        <f>IFERROR(__xludf.DUMMYFUNCTION("""COMPUTED_VALUE"""),"")</f>
        <v/>
      </c>
      <c r="N259" s="89" t="str">
        <f>IFERROR(__xludf.DUMMYFUNCTION("""COMPUTED_VALUE"""),"")</f>
        <v/>
      </c>
      <c r="P259" s="52" t="str">
        <f t="shared" si="22"/>
        <v>0</v>
      </c>
      <c r="R259" s="52" t="str">
        <f t="shared" si="32"/>
        <v>Review</v>
      </c>
      <c r="Z259" s="81">
        <v>46028.0</v>
      </c>
      <c r="AA259" s="81" t="s">
        <v>3992</v>
      </c>
      <c r="AB259" s="81" t="s">
        <v>3991</v>
      </c>
      <c r="AC259" s="81">
        <f t="shared" si="5"/>
        <v>46027</v>
      </c>
      <c r="AD259" s="82">
        <f t="shared" si="6"/>
        <v>2</v>
      </c>
    </row>
    <row r="260">
      <c r="A260" s="104">
        <v>46028.0</v>
      </c>
      <c r="B260" s="89" t="s">
        <v>872</v>
      </c>
      <c r="C260" s="89" t="s">
        <v>873</v>
      </c>
      <c r="D260" s="89" t="s">
        <v>874</v>
      </c>
      <c r="E260" s="89" t="s">
        <v>875</v>
      </c>
      <c r="F260" s="81">
        <f>IFERROR(__xludf.DUMMYFUNCTION("""COMPUTED_VALUE"""),46028.0)</f>
        <v>46028</v>
      </c>
      <c r="G260" s="89" t="s">
        <v>3989</v>
      </c>
      <c r="H260" s="89">
        <v>2.0</v>
      </c>
      <c r="I260" s="89" t="s">
        <v>3966</v>
      </c>
      <c r="J260" s="89" t="str">
        <f t="shared" si="18"/>
        <v>No</v>
      </c>
      <c r="K260" s="89" t="str">
        <f t="shared" si="23"/>
        <v>No</v>
      </c>
      <c r="L260" s="89" t="str">
        <f>IFERROR(__xludf.DUMMYFUNCTION("""COMPUTED_VALUE"""),"New York, NY")</f>
        <v>New York, NY</v>
      </c>
      <c r="M260" s="89" t="str">
        <f>IFERROR(__xludf.DUMMYFUNCTION("""COMPUTED_VALUE"""),"")</f>
        <v/>
      </c>
      <c r="N260" s="89" t="str">
        <f>IFERROR(__xludf.DUMMYFUNCTION("""COMPUTED_VALUE"""),"")</f>
        <v/>
      </c>
      <c r="P260" s="52" t="str">
        <f t="shared" si="22"/>
        <v>0</v>
      </c>
      <c r="R260" s="52" t="str">
        <f t="shared" si="32"/>
        <v>Review</v>
      </c>
      <c r="Z260" s="81">
        <v>46028.0</v>
      </c>
      <c r="AA260" s="81" t="s">
        <v>3992</v>
      </c>
      <c r="AB260" s="81" t="s">
        <v>3991</v>
      </c>
      <c r="AC260" s="81">
        <f t="shared" si="5"/>
        <v>46027</v>
      </c>
      <c r="AD260" s="82">
        <f t="shared" si="6"/>
        <v>2</v>
      </c>
    </row>
    <row r="261">
      <c r="A261" s="104">
        <v>46028.0</v>
      </c>
      <c r="B261" s="89" t="s">
        <v>876</v>
      </c>
      <c r="C261" s="89" t="s">
        <v>877</v>
      </c>
      <c r="D261" s="89" t="s">
        <v>878</v>
      </c>
      <c r="E261" s="89" t="s">
        <v>879</v>
      </c>
      <c r="F261" s="81">
        <f>IFERROR(__xludf.DUMMYFUNCTION("""COMPUTED_VALUE"""),46028.0)</f>
        <v>46028</v>
      </c>
      <c r="G261" s="89" t="s">
        <v>3989</v>
      </c>
      <c r="H261" s="89">
        <v>2.0</v>
      </c>
      <c r="I261" s="89" t="s">
        <v>3966</v>
      </c>
      <c r="J261" s="89" t="str">
        <f t="shared" si="18"/>
        <v>No</v>
      </c>
      <c r="K261" s="89" t="str">
        <f t="shared" si="23"/>
        <v>No</v>
      </c>
      <c r="L261" s="89" t="str">
        <f>IFERROR(__xludf.DUMMYFUNCTION("""COMPUTED_VALUE"""),"#N/A")</f>
        <v>#N/A</v>
      </c>
      <c r="M261" s="89" t="str">
        <f>IFERROR(__xludf.DUMMYFUNCTION("""COMPUTED_VALUE"""),"")</f>
        <v/>
      </c>
      <c r="N261" s="89" t="str">
        <f>IFERROR(__xludf.DUMMYFUNCTION("""COMPUTED_VALUE"""),"")</f>
        <v/>
      </c>
      <c r="P261" s="52" t="str">
        <f t="shared" si="22"/>
        <v>0</v>
      </c>
      <c r="R261" s="52" t="str">
        <f t="shared" si="32"/>
        <v>Review</v>
      </c>
      <c r="Z261" s="81">
        <v>46028.0</v>
      </c>
      <c r="AA261" s="81" t="s">
        <v>3992</v>
      </c>
      <c r="AB261" s="81" t="s">
        <v>3991</v>
      </c>
      <c r="AC261" s="81">
        <f t="shared" si="5"/>
        <v>46027</v>
      </c>
      <c r="AD261" s="82">
        <f t="shared" si="6"/>
        <v>2</v>
      </c>
    </row>
    <row r="262">
      <c r="A262" s="104">
        <v>46027.0</v>
      </c>
      <c r="B262" s="89" t="s">
        <v>880</v>
      </c>
      <c r="C262" s="89" t="s">
        <v>881</v>
      </c>
      <c r="D262" s="89" t="s">
        <v>858</v>
      </c>
      <c r="E262" s="89" t="s">
        <v>882</v>
      </c>
      <c r="F262" s="81">
        <f>IFERROR(__xludf.DUMMYFUNCTION("""COMPUTED_VALUE"""),46027.0)</f>
        <v>46027</v>
      </c>
      <c r="G262" s="89" t="s">
        <v>3989</v>
      </c>
      <c r="H262" s="89">
        <v>2.0</v>
      </c>
      <c r="I262" s="89" t="s">
        <v>3964</v>
      </c>
      <c r="J262" s="89" t="str">
        <f t="shared" si="18"/>
        <v>No</v>
      </c>
      <c r="K262" s="89" t="str">
        <f t="shared" si="23"/>
        <v>No</v>
      </c>
      <c r="L262" s="89" t="str">
        <f>IFERROR(__xludf.DUMMYFUNCTION("""COMPUTED_VALUE"""),"United States")</f>
        <v>United States</v>
      </c>
      <c r="M262" s="89" t="str">
        <f>IFERROR(__xludf.DUMMYFUNCTION("""COMPUTED_VALUE"""),"")</f>
        <v/>
      </c>
      <c r="N262" s="89" t="str">
        <f>IFERROR(__xludf.DUMMYFUNCTION("""COMPUTED_VALUE"""),"")</f>
        <v/>
      </c>
      <c r="P262" s="52" t="str">
        <f t="shared" si="22"/>
        <v>0</v>
      </c>
      <c r="R262" s="52" t="str">
        <f t="shared" si="32"/>
        <v>Review</v>
      </c>
      <c r="Z262" s="81">
        <v>46027.0</v>
      </c>
      <c r="AA262" s="81" t="s">
        <v>3992</v>
      </c>
      <c r="AB262" s="81" t="s">
        <v>3991</v>
      </c>
      <c r="AC262" s="81">
        <f t="shared" si="5"/>
        <v>46027</v>
      </c>
      <c r="AD262" s="82">
        <f t="shared" si="6"/>
        <v>1</v>
      </c>
    </row>
    <row r="263">
      <c r="A263" s="104">
        <v>46027.0</v>
      </c>
      <c r="B263" s="89" t="s">
        <v>883</v>
      </c>
      <c r="C263" s="89" t="s">
        <v>884</v>
      </c>
      <c r="D263" s="89" t="s">
        <v>885</v>
      </c>
      <c r="E263" s="89" t="s">
        <v>886</v>
      </c>
      <c r="F263" s="81">
        <f>IFERROR(__xludf.DUMMYFUNCTION("""COMPUTED_VALUE"""),46027.0)</f>
        <v>46027</v>
      </c>
      <c r="G263" s="89" t="s">
        <v>3989</v>
      </c>
      <c r="H263" s="89">
        <v>2.0</v>
      </c>
      <c r="I263" s="89" t="s">
        <v>3964</v>
      </c>
      <c r="J263" s="89" t="str">
        <f t="shared" si="18"/>
        <v>No</v>
      </c>
      <c r="K263" s="89" t="str">
        <f t="shared" si="23"/>
        <v>No</v>
      </c>
      <c r="L263" s="89" t="str">
        <f>IFERROR(__xludf.DUMMYFUNCTION("""COMPUTED_VALUE"""),"Menlo Park, CA, US")</f>
        <v>Menlo Park, CA, US</v>
      </c>
      <c r="M263" s="89" t="str">
        <f>IFERROR(__xludf.DUMMYFUNCTION("""COMPUTED_VALUE"""),"")</f>
        <v/>
      </c>
      <c r="N263" s="89" t="str">
        <f>IFERROR(__xludf.DUMMYFUNCTION("""COMPUTED_VALUE"""),"")</f>
        <v/>
      </c>
      <c r="P263" s="52" t="str">
        <f t="shared" si="22"/>
        <v>0</v>
      </c>
      <c r="R263" s="52" t="str">
        <f t="shared" si="32"/>
        <v>Review</v>
      </c>
      <c r="Z263" s="81">
        <v>46027.0</v>
      </c>
      <c r="AA263" s="81" t="s">
        <v>3992</v>
      </c>
      <c r="AB263" s="81" t="s">
        <v>3991</v>
      </c>
      <c r="AC263" s="81">
        <f t="shared" si="5"/>
        <v>46027</v>
      </c>
      <c r="AD263" s="82">
        <f t="shared" si="6"/>
        <v>1</v>
      </c>
    </row>
    <row r="264">
      <c r="A264" s="104">
        <v>46027.0</v>
      </c>
      <c r="B264" s="89" t="s">
        <v>887</v>
      </c>
      <c r="C264" s="89" t="s">
        <v>888</v>
      </c>
      <c r="D264" s="89" t="s">
        <v>889</v>
      </c>
      <c r="E264" s="89" t="s">
        <v>890</v>
      </c>
      <c r="F264" s="81">
        <f>IFERROR(__xludf.DUMMYFUNCTION("""COMPUTED_VALUE"""),46027.0)</f>
        <v>46027</v>
      </c>
      <c r="G264" s="89" t="s">
        <v>3989</v>
      </c>
      <c r="H264" s="89">
        <v>2.0</v>
      </c>
      <c r="I264" s="89" t="s">
        <v>3964</v>
      </c>
      <c r="J264" s="89" t="str">
        <f t="shared" si="18"/>
        <v>No</v>
      </c>
      <c r="K264" s="89" t="str">
        <f t="shared" si="23"/>
        <v>No</v>
      </c>
      <c r="L264" s="89" t="str">
        <f>IFERROR(__xludf.DUMMYFUNCTION("""COMPUTED_VALUE"""),"#N/A")</f>
        <v>#N/A</v>
      </c>
      <c r="M264" s="89" t="str">
        <f>IFERROR(__xludf.DUMMYFUNCTION("""COMPUTED_VALUE"""),"")</f>
        <v/>
      </c>
      <c r="N264" s="89" t="str">
        <f>IFERROR(__xludf.DUMMYFUNCTION("""COMPUTED_VALUE"""),"")</f>
        <v/>
      </c>
      <c r="P264" s="52" t="str">
        <f t="shared" si="22"/>
        <v>0</v>
      </c>
      <c r="R264" s="52" t="str">
        <f t="shared" si="32"/>
        <v>Review</v>
      </c>
      <c r="Z264" s="81">
        <v>46027.0</v>
      </c>
      <c r="AA264" s="81" t="s">
        <v>3992</v>
      </c>
      <c r="AB264" s="81" t="s">
        <v>3991</v>
      </c>
      <c r="AC264" s="81">
        <f t="shared" si="5"/>
        <v>46027</v>
      </c>
      <c r="AD264" s="82">
        <f t="shared" si="6"/>
        <v>1</v>
      </c>
    </row>
    <row r="265">
      <c r="A265" s="96">
        <v>46029.547627314816</v>
      </c>
      <c r="B265" s="89" t="s">
        <v>891</v>
      </c>
      <c r="C265" s="89" t="s">
        <v>892</v>
      </c>
      <c r="D265" s="89" t="s">
        <v>893</v>
      </c>
      <c r="E265" s="90" t="s">
        <v>894</v>
      </c>
      <c r="F265" s="81">
        <f>IFERROR(__xludf.DUMMYFUNCTION("""COMPUTED_VALUE"""),46029.547627314816)</f>
        <v>46029.54763</v>
      </c>
      <c r="G265" s="89" t="s">
        <v>3989</v>
      </c>
      <c r="H265" s="89">
        <v>2.0</v>
      </c>
      <c r="I265" s="89" t="s">
        <v>3971</v>
      </c>
      <c r="J265" s="89" t="str">
        <f t="shared" si="18"/>
        <v>No</v>
      </c>
      <c r="K265" s="89" t="str">
        <f t="shared" si="23"/>
        <v>No</v>
      </c>
      <c r="L265" s="89" t="str">
        <f>IFERROR(__xludf.DUMMYFUNCTION("""COMPUTED_VALUE"""),"Richmond, VA")</f>
        <v>Richmond, VA</v>
      </c>
      <c r="M265" s="89" t="str">
        <f>IFERROR(__xludf.DUMMYFUNCTION("""COMPUTED_VALUE"""),"4 hours ago")</f>
        <v>4 hours ago</v>
      </c>
      <c r="N265" s="89">
        <f>IFERROR(__xludf.DUMMYFUNCTION("""COMPUTED_VALUE"""),4.0)</f>
        <v>4</v>
      </c>
      <c r="P265" s="52" t="str">
        <f t="shared" si="22"/>
        <v>0</v>
      </c>
      <c r="R265" s="52" t="str">
        <f t="shared" si="32"/>
        <v>Review</v>
      </c>
      <c r="Z265" s="81">
        <v>46029.0</v>
      </c>
      <c r="AA265" s="81" t="s">
        <v>3992</v>
      </c>
      <c r="AB265" s="81" t="s">
        <v>3991</v>
      </c>
      <c r="AC265" s="81">
        <f t="shared" si="5"/>
        <v>46027</v>
      </c>
      <c r="AD265" s="82">
        <f t="shared" si="6"/>
        <v>3</v>
      </c>
    </row>
    <row r="266">
      <c r="A266" s="104">
        <v>46029.0</v>
      </c>
      <c r="B266" s="89" t="s">
        <v>895</v>
      </c>
      <c r="C266" s="89" t="s">
        <v>896</v>
      </c>
      <c r="D266" s="89" t="s">
        <v>897</v>
      </c>
      <c r="E266" s="89" t="s">
        <v>898</v>
      </c>
      <c r="F266" s="81">
        <f>IFERROR(__xludf.DUMMYFUNCTION("""COMPUTED_VALUE"""),46029.0)</f>
        <v>46029</v>
      </c>
      <c r="G266" s="89" t="s">
        <v>3989</v>
      </c>
      <c r="H266" s="89">
        <v>2.0</v>
      </c>
      <c r="I266" s="89" t="s">
        <v>3971</v>
      </c>
      <c r="J266" s="89" t="str">
        <f t="shared" si="18"/>
        <v>No</v>
      </c>
      <c r="K266" s="89" t="str">
        <f t="shared" si="23"/>
        <v>No</v>
      </c>
      <c r="L266" s="89" t="str">
        <f>IFERROR(__xludf.DUMMYFUNCTION("""COMPUTED_VALUE"""),"New York, New York, United States")</f>
        <v>New York, New York, United States</v>
      </c>
      <c r="M266" s="89" t="str">
        <f>IFERROR(__xludf.DUMMYFUNCTION("""COMPUTED_VALUE"""),"")</f>
        <v/>
      </c>
      <c r="N266" s="89" t="str">
        <f>IFERROR(__xludf.DUMMYFUNCTION("""COMPUTED_VALUE"""),"")</f>
        <v/>
      </c>
      <c r="P266" s="52" t="str">
        <f t="shared" si="22"/>
        <v>0</v>
      </c>
      <c r="R266" s="52" t="str">
        <f t="shared" si="32"/>
        <v>Review</v>
      </c>
      <c r="Z266" s="81">
        <v>46029.0</v>
      </c>
      <c r="AA266" s="81" t="s">
        <v>3992</v>
      </c>
      <c r="AB266" s="81" t="s">
        <v>3991</v>
      </c>
      <c r="AC266" s="81">
        <f t="shared" si="5"/>
        <v>46027</v>
      </c>
      <c r="AD266" s="82">
        <f t="shared" si="6"/>
        <v>3</v>
      </c>
    </row>
    <row r="267">
      <c r="A267" s="104">
        <v>46029.0</v>
      </c>
      <c r="B267" s="89" t="s">
        <v>829</v>
      </c>
      <c r="C267" s="89" t="s">
        <v>830</v>
      </c>
      <c r="D267" s="89" t="s">
        <v>783</v>
      </c>
      <c r="E267" s="89" t="s">
        <v>899</v>
      </c>
      <c r="F267" s="81">
        <f>IFERROR(__xludf.DUMMYFUNCTION("""COMPUTED_VALUE"""),46029.0)</f>
        <v>46029</v>
      </c>
      <c r="G267" s="89" t="s">
        <v>3989</v>
      </c>
      <c r="H267" s="89">
        <v>2.0</v>
      </c>
      <c r="I267" s="89" t="s">
        <v>3971</v>
      </c>
      <c r="J267" s="89" t="str">
        <f t="shared" si="18"/>
        <v>No</v>
      </c>
      <c r="K267" s="89" t="str">
        <f t="shared" si="23"/>
        <v>No</v>
      </c>
      <c r="L267" s="89" t="str">
        <f>IFERROR(__xludf.DUMMYFUNCTION("""COMPUTED_VALUE"""),"Multi Location")</f>
        <v>Multi Location</v>
      </c>
      <c r="M267" s="89" t="str">
        <f>IFERROR(__xludf.DUMMYFUNCTION("""COMPUTED_VALUE"""),"")</f>
        <v/>
      </c>
      <c r="N267" s="89" t="str">
        <f>IFERROR(__xludf.DUMMYFUNCTION("""COMPUTED_VALUE"""),"")</f>
        <v/>
      </c>
      <c r="P267" s="52" t="str">
        <f t="shared" si="22"/>
        <v>0</v>
      </c>
      <c r="R267" s="52" t="str">
        <f t="shared" si="32"/>
        <v>Review</v>
      </c>
      <c r="Z267" s="81">
        <v>46029.0</v>
      </c>
      <c r="AA267" s="81" t="s">
        <v>3992</v>
      </c>
      <c r="AB267" s="81" t="s">
        <v>3991</v>
      </c>
      <c r="AC267" s="81">
        <f t="shared" si="5"/>
        <v>46027</v>
      </c>
      <c r="AD267" s="82">
        <f t="shared" si="6"/>
        <v>3</v>
      </c>
    </row>
    <row r="268">
      <c r="A268" s="104">
        <v>46029.0</v>
      </c>
      <c r="B268" s="89" t="s">
        <v>397</v>
      </c>
      <c r="C268" s="89" t="s">
        <v>900</v>
      </c>
      <c r="D268" s="89" t="s">
        <v>901</v>
      </c>
      <c r="E268" s="89" t="s">
        <v>902</v>
      </c>
      <c r="F268" s="81">
        <f>IFERROR(__xludf.DUMMYFUNCTION("""COMPUTED_VALUE"""),46029.0)</f>
        <v>46029</v>
      </c>
      <c r="G268" s="89" t="s">
        <v>3989</v>
      </c>
      <c r="H268" s="89">
        <v>2.0</v>
      </c>
      <c r="I268" s="89" t="s">
        <v>3971</v>
      </c>
      <c r="J268" s="89" t="str">
        <f t="shared" si="18"/>
        <v>No</v>
      </c>
      <c r="K268" s="89" t="str">
        <f t="shared" si="23"/>
        <v>No</v>
      </c>
      <c r="L268" s="89" t="str">
        <f>IFERROR(__xludf.DUMMYFUNCTION("""COMPUTED_VALUE"""),"Burbank, CA")</f>
        <v>Burbank, CA</v>
      </c>
      <c r="M268" s="89" t="str">
        <f>IFERROR(__xludf.DUMMYFUNCTION("""COMPUTED_VALUE"""),"")</f>
        <v/>
      </c>
      <c r="N268" s="89" t="str">
        <f>IFERROR(__xludf.DUMMYFUNCTION("""COMPUTED_VALUE"""),"")</f>
        <v/>
      </c>
      <c r="P268" s="52" t="str">
        <f t="shared" si="22"/>
        <v>0</v>
      </c>
      <c r="R268" s="52" t="str">
        <f t="shared" si="32"/>
        <v>Review</v>
      </c>
      <c r="Z268" s="81">
        <v>46029.0</v>
      </c>
      <c r="AA268" s="81" t="s">
        <v>3992</v>
      </c>
      <c r="AB268" s="81" t="s">
        <v>3991</v>
      </c>
      <c r="AC268" s="81">
        <f t="shared" si="5"/>
        <v>46027</v>
      </c>
      <c r="AD268" s="82">
        <f t="shared" si="6"/>
        <v>3</v>
      </c>
    </row>
    <row r="269">
      <c r="A269" s="104">
        <v>46029.0</v>
      </c>
      <c r="B269" s="89" t="s">
        <v>903</v>
      </c>
      <c r="C269" s="89" t="s">
        <v>904</v>
      </c>
      <c r="D269" s="89" t="s">
        <v>858</v>
      </c>
      <c r="E269" s="89" t="s">
        <v>905</v>
      </c>
      <c r="F269" s="81">
        <f>IFERROR(__xludf.DUMMYFUNCTION("""COMPUTED_VALUE"""),46029.0)</f>
        <v>46029</v>
      </c>
      <c r="G269" s="89" t="s">
        <v>3989</v>
      </c>
      <c r="H269" s="89">
        <v>2.0</v>
      </c>
      <c r="I269" s="89" t="s">
        <v>3971</v>
      </c>
      <c r="J269" s="89" t="str">
        <f t="shared" si="18"/>
        <v>No</v>
      </c>
      <c r="K269" s="89" t="str">
        <f t="shared" si="23"/>
        <v>No</v>
      </c>
      <c r="L269" s="89" t="str">
        <f>IFERROR(__xludf.DUMMYFUNCTION("""COMPUTED_VALUE"""),"United States")</f>
        <v>United States</v>
      </c>
      <c r="M269" s="89" t="str">
        <f>IFERROR(__xludf.DUMMYFUNCTION("""COMPUTED_VALUE"""),"")</f>
        <v/>
      </c>
      <c r="N269" s="89" t="str">
        <f>IFERROR(__xludf.DUMMYFUNCTION("""COMPUTED_VALUE"""),"")</f>
        <v/>
      </c>
      <c r="P269" s="52" t="str">
        <f t="shared" si="22"/>
        <v>0</v>
      </c>
      <c r="R269" s="52" t="str">
        <f t="shared" si="32"/>
        <v>Review</v>
      </c>
      <c r="Z269" s="81">
        <v>46029.0</v>
      </c>
      <c r="AA269" s="81" t="s">
        <v>3992</v>
      </c>
      <c r="AB269" s="81" t="s">
        <v>3991</v>
      </c>
      <c r="AC269" s="81">
        <f t="shared" si="5"/>
        <v>46027</v>
      </c>
      <c r="AD269" s="82">
        <f t="shared" si="6"/>
        <v>3</v>
      </c>
    </row>
    <row r="270">
      <c r="A270" s="104">
        <v>46029.0</v>
      </c>
      <c r="B270" s="89" t="s">
        <v>397</v>
      </c>
      <c r="C270" s="89" t="s">
        <v>900</v>
      </c>
      <c r="D270" s="89" t="s">
        <v>906</v>
      </c>
      <c r="E270" s="89" t="s">
        <v>907</v>
      </c>
      <c r="F270" s="81">
        <f>IFERROR(__xludf.DUMMYFUNCTION("""COMPUTED_VALUE"""),46029.0)</f>
        <v>46029</v>
      </c>
      <c r="G270" s="89" t="s">
        <v>3989</v>
      </c>
      <c r="H270" s="89">
        <v>2.0</v>
      </c>
      <c r="I270" s="89" t="s">
        <v>3971</v>
      </c>
      <c r="J270" s="89" t="str">
        <f t="shared" si="18"/>
        <v>No</v>
      </c>
      <c r="K270" s="89" t="str">
        <f t="shared" si="23"/>
        <v>No</v>
      </c>
      <c r="L270" s="89" t="str">
        <f>IFERROR(__xludf.DUMMYFUNCTION("""COMPUTED_VALUE"""),"#N/A")</f>
        <v>#N/A</v>
      </c>
      <c r="M270" s="89" t="str">
        <f>IFERROR(__xludf.DUMMYFUNCTION("""COMPUTED_VALUE"""),"")</f>
        <v/>
      </c>
      <c r="N270" s="89" t="str">
        <f>IFERROR(__xludf.DUMMYFUNCTION("""COMPUTED_VALUE"""),"")</f>
        <v/>
      </c>
      <c r="P270" s="52" t="str">
        <f t="shared" si="22"/>
        <v>0</v>
      </c>
      <c r="R270" s="52" t="str">
        <f t="shared" si="32"/>
        <v>Review</v>
      </c>
      <c r="Z270" s="81">
        <v>46029.0</v>
      </c>
      <c r="AA270" s="81" t="s">
        <v>3992</v>
      </c>
      <c r="AB270" s="81" t="s">
        <v>3991</v>
      </c>
      <c r="AC270" s="81">
        <f t="shared" si="5"/>
        <v>46027</v>
      </c>
      <c r="AD270" s="82">
        <f t="shared" si="6"/>
        <v>3</v>
      </c>
    </row>
    <row r="271">
      <c r="A271" s="104">
        <v>46029.0</v>
      </c>
      <c r="B271" s="89" t="s">
        <v>908</v>
      </c>
      <c r="C271" s="89" t="s">
        <v>45</v>
      </c>
      <c r="D271" s="89" t="s">
        <v>909</v>
      </c>
      <c r="E271" s="89" t="s">
        <v>910</v>
      </c>
      <c r="F271" s="81">
        <f>IFERROR(__xludf.DUMMYFUNCTION("""COMPUTED_VALUE"""),46029.0)</f>
        <v>46029</v>
      </c>
      <c r="G271" s="89" t="s">
        <v>3989</v>
      </c>
      <c r="H271" s="89">
        <v>2.0</v>
      </c>
      <c r="I271" s="89" t="s">
        <v>3971</v>
      </c>
      <c r="J271" s="89" t="str">
        <f t="shared" si="18"/>
        <v>No</v>
      </c>
      <c r="K271" s="89" t="str">
        <f t="shared" si="23"/>
        <v>No</v>
      </c>
      <c r="L271" s="89" t="str">
        <f>IFERROR(__xludf.DUMMYFUNCTION("""COMPUTED_VALUE"""),"Redmond, WA")</f>
        <v>Redmond, WA</v>
      </c>
      <c r="M271" s="89" t="str">
        <f>IFERROR(__xludf.DUMMYFUNCTION("""COMPUTED_VALUE"""),"")</f>
        <v/>
      </c>
      <c r="N271" s="89" t="str">
        <f>IFERROR(__xludf.DUMMYFUNCTION("""COMPUTED_VALUE"""),"")</f>
        <v/>
      </c>
      <c r="P271" s="52" t="str">
        <f t="shared" si="22"/>
        <v>0</v>
      </c>
      <c r="R271" s="52" t="str">
        <f t="shared" si="32"/>
        <v>Review</v>
      </c>
      <c r="Z271" s="81">
        <v>46029.0</v>
      </c>
      <c r="AA271" s="81" t="s">
        <v>3992</v>
      </c>
      <c r="AB271" s="81" t="s">
        <v>3991</v>
      </c>
      <c r="AC271" s="81">
        <f t="shared" si="5"/>
        <v>46027</v>
      </c>
      <c r="AD271" s="82">
        <f t="shared" si="6"/>
        <v>3</v>
      </c>
    </row>
    <row r="272">
      <c r="A272" s="104">
        <v>46029.0</v>
      </c>
      <c r="B272" s="89" t="s">
        <v>911</v>
      </c>
      <c r="C272" s="89" t="s">
        <v>834</v>
      </c>
      <c r="D272" s="89" t="s">
        <v>866</v>
      </c>
      <c r="E272" s="89" t="s">
        <v>912</v>
      </c>
      <c r="F272" s="81">
        <f>IFERROR(__xludf.DUMMYFUNCTION("""COMPUTED_VALUE"""),46029.0)</f>
        <v>46029</v>
      </c>
      <c r="G272" s="89" t="s">
        <v>3989</v>
      </c>
      <c r="H272" s="89">
        <v>2.0</v>
      </c>
      <c r="I272" s="89" t="s">
        <v>3971</v>
      </c>
      <c r="J272" s="89" t="str">
        <f t="shared" si="18"/>
        <v>No</v>
      </c>
      <c r="K272" s="89" t="str">
        <f t="shared" si="23"/>
        <v>No</v>
      </c>
      <c r="L272" s="89" t="str">
        <f>IFERROR(__xludf.DUMMYFUNCTION("""COMPUTED_VALUE"""),"San Mateo, CA")</f>
        <v>San Mateo, CA</v>
      </c>
      <c r="M272" s="89" t="str">
        <f>IFERROR(__xludf.DUMMYFUNCTION("""COMPUTED_VALUE"""),"")</f>
        <v/>
      </c>
      <c r="N272" s="89" t="str">
        <f>IFERROR(__xludf.DUMMYFUNCTION("""COMPUTED_VALUE"""),"")</f>
        <v/>
      </c>
      <c r="P272" s="52" t="str">
        <f t="shared" si="22"/>
        <v>0</v>
      </c>
      <c r="R272" s="52" t="str">
        <f t="shared" si="32"/>
        <v>Review</v>
      </c>
      <c r="Z272" s="81">
        <v>46029.0</v>
      </c>
      <c r="AA272" s="81" t="s">
        <v>3992</v>
      </c>
      <c r="AB272" s="81" t="s">
        <v>3991</v>
      </c>
      <c r="AC272" s="81">
        <f t="shared" si="5"/>
        <v>46027</v>
      </c>
      <c r="AD272" s="82">
        <f t="shared" si="6"/>
        <v>3</v>
      </c>
    </row>
    <row r="273">
      <c r="A273" s="104">
        <v>46027.0</v>
      </c>
      <c r="B273" s="89" t="s">
        <v>913</v>
      </c>
      <c r="C273" s="89" t="s">
        <v>914</v>
      </c>
      <c r="D273" s="89" t="s">
        <v>874</v>
      </c>
      <c r="E273" s="89" t="s">
        <v>915</v>
      </c>
      <c r="F273" s="81">
        <f>IFERROR(__xludf.DUMMYFUNCTION("""COMPUTED_VALUE"""),46027.0)</f>
        <v>46027</v>
      </c>
      <c r="G273" s="89" t="s">
        <v>3989</v>
      </c>
      <c r="H273" s="89">
        <v>2.0</v>
      </c>
      <c r="I273" s="89" t="s">
        <v>3964</v>
      </c>
      <c r="J273" s="89" t="str">
        <f t="shared" si="18"/>
        <v>No</v>
      </c>
      <c r="K273" s="89" t="str">
        <f t="shared" si="23"/>
        <v>No</v>
      </c>
      <c r="L273" s="89" t="str">
        <f>IFERROR(__xludf.DUMMYFUNCTION("""COMPUTED_VALUE"""),"New York, NY")</f>
        <v>New York, NY</v>
      </c>
      <c r="M273" s="89" t="str">
        <f>IFERROR(__xludf.DUMMYFUNCTION("""COMPUTED_VALUE"""),"")</f>
        <v/>
      </c>
      <c r="N273" s="89" t="str">
        <f>IFERROR(__xludf.DUMMYFUNCTION("""COMPUTED_VALUE"""),"")</f>
        <v/>
      </c>
      <c r="P273" s="52" t="str">
        <f t="shared" si="22"/>
        <v>0</v>
      </c>
      <c r="R273" s="52" t="str">
        <f t="shared" si="32"/>
        <v>Review</v>
      </c>
      <c r="Z273" s="81">
        <v>46027.0</v>
      </c>
      <c r="AA273" s="81" t="s">
        <v>3992</v>
      </c>
      <c r="AB273" s="81" t="s">
        <v>3991</v>
      </c>
      <c r="AC273" s="81">
        <f t="shared" si="5"/>
        <v>46027</v>
      </c>
      <c r="AD273" s="82">
        <f t="shared" si="6"/>
        <v>1</v>
      </c>
    </row>
    <row r="274">
      <c r="A274" s="104">
        <v>46028.0</v>
      </c>
      <c r="B274" s="89" t="s">
        <v>916</v>
      </c>
      <c r="C274" s="89" t="s">
        <v>917</v>
      </c>
      <c r="D274" s="89" t="s">
        <v>675</v>
      </c>
      <c r="E274" s="90" t="s">
        <v>918</v>
      </c>
      <c r="F274" s="81">
        <f>IFERROR(__xludf.DUMMYFUNCTION("""COMPUTED_VALUE"""),46028.0)</f>
        <v>46028</v>
      </c>
      <c r="G274" s="89" t="s">
        <v>3989</v>
      </c>
      <c r="H274" s="89">
        <v>2.0</v>
      </c>
      <c r="I274" s="89" t="s">
        <v>3966</v>
      </c>
      <c r="J274" s="89" t="str">
        <f t="shared" si="18"/>
        <v>No</v>
      </c>
      <c r="K274" s="89" t="str">
        <f t="shared" si="23"/>
        <v>No</v>
      </c>
      <c r="L274" s="89" t="str">
        <f>IFERROR(__xludf.DUMMYFUNCTION("""COMPUTED_VALUE"""),"Seattle, WA")</f>
        <v>Seattle, WA</v>
      </c>
      <c r="M274" s="89" t="str">
        <f>IFERROR(__xludf.DUMMYFUNCTION("""COMPUTED_VALUE"""),"11 minutes ago")</f>
        <v>11 minutes ago</v>
      </c>
      <c r="N274" s="89">
        <f>IFERROR(__xludf.DUMMYFUNCTION("""COMPUTED_VALUE"""),11.0)</f>
        <v>11</v>
      </c>
      <c r="P274" s="52" t="str">
        <f t="shared" si="22"/>
        <v>0</v>
      </c>
      <c r="R274" s="52" t="str">
        <f t="shared" si="32"/>
        <v>Review</v>
      </c>
      <c r="Z274" s="81">
        <v>46028.0</v>
      </c>
      <c r="AA274" s="81" t="s">
        <v>3992</v>
      </c>
      <c r="AB274" s="81" t="s">
        <v>3991</v>
      </c>
      <c r="AC274" s="81">
        <f t="shared" si="5"/>
        <v>46027</v>
      </c>
      <c r="AD274" s="82">
        <f t="shared" si="6"/>
        <v>2</v>
      </c>
    </row>
    <row r="275">
      <c r="A275" s="104">
        <v>46026.0</v>
      </c>
      <c r="B275" s="89" t="s">
        <v>919</v>
      </c>
      <c r="C275" s="89" t="s">
        <v>920</v>
      </c>
      <c r="D275" s="89"/>
      <c r="E275" s="89" t="s">
        <v>921</v>
      </c>
      <c r="F275" s="81">
        <f>IFERROR(__xludf.DUMMYFUNCTION("""COMPUTED_VALUE"""),46026.0)</f>
        <v>46026</v>
      </c>
      <c r="G275" s="89" t="s">
        <v>3989</v>
      </c>
      <c r="H275" s="89">
        <v>2.0</v>
      </c>
      <c r="I275" s="89" t="s">
        <v>3962</v>
      </c>
      <c r="J275" s="89" t="str">
        <f t="shared" si="18"/>
        <v>No</v>
      </c>
      <c r="K275" s="89" t="str">
        <f t="shared" si="23"/>
        <v>No</v>
      </c>
      <c r="L275" s="89" t="str">
        <f>IFERROR(__xludf.DUMMYFUNCTION("""COMPUTED_VALUE"""),"")</f>
        <v/>
      </c>
      <c r="M275" s="89" t="str">
        <f>IFERROR(__xludf.DUMMYFUNCTION("""COMPUTED_VALUE"""),"")</f>
        <v/>
      </c>
      <c r="N275" s="89" t="str">
        <f>IFERROR(__xludf.DUMMYFUNCTION("""COMPUTED_VALUE"""),"")</f>
        <v/>
      </c>
      <c r="P275" s="52" t="str">
        <f t="shared" si="22"/>
        <v>0</v>
      </c>
      <c r="R275" s="52" t="str">
        <f t="shared" si="32"/>
        <v>Review</v>
      </c>
      <c r="Z275" s="81">
        <v>46026.0</v>
      </c>
      <c r="AA275" s="81" t="s">
        <v>3990</v>
      </c>
      <c r="AB275" s="81" t="s">
        <v>3991</v>
      </c>
      <c r="AC275" s="81">
        <f t="shared" si="5"/>
        <v>46020</v>
      </c>
      <c r="AD275" s="82">
        <f t="shared" si="6"/>
        <v>7</v>
      </c>
    </row>
    <row r="276">
      <c r="A276" s="104">
        <v>46026.0</v>
      </c>
      <c r="B276" s="89" t="s">
        <v>922</v>
      </c>
      <c r="C276" s="89" t="s">
        <v>923</v>
      </c>
      <c r="D276" s="89"/>
      <c r="E276" s="89" t="s">
        <v>924</v>
      </c>
      <c r="F276" s="81">
        <f>IFERROR(__xludf.DUMMYFUNCTION("""COMPUTED_VALUE"""),46026.0)</f>
        <v>46026</v>
      </c>
      <c r="G276" s="89" t="s">
        <v>3989</v>
      </c>
      <c r="H276" s="89">
        <v>2.0</v>
      </c>
      <c r="I276" s="89" t="s">
        <v>3962</v>
      </c>
      <c r="J276" s="89" t="str">
        <f t="shared" si="18"/>
        <v>No</v>
      </c>
      <c r="K276" s="89" t="str">
        <f t="shared" si="23"/>
        <v>No</v>
      </c>
      <c r="L276" s="89" t="str">
        <f>IFERROR(__xludf.DUMMYFUNCTION("""COMPUTED_VALUE"""),"")</f>
        <v/>
      </c>
      <c r="M276" s="89" t="str">
        <f>IFERROR(__xludf.DUMMYFUNCTION("""COMPUTED_VALUE"""),"")</f>
        <v/>
      </c>
      <c r="N276" s="89" t="str">
        <f>IFERROR(__xludf.DUMMYFUNCTION("""COMPUTED_VALUE"""),"")</f>
        <v/>
      </c>
      <c r="P276" s="52" t="str">
        <f t="shared" si="22"/>
        <v>0</v>
      </c>
      <c r="R276" s="52" t="str">
        <f t="shared" si="32"/>
        <v>Review</v>
      </c>
      <c r="Z276" s="81">
        <v>46026.0</v>
      </c>
      <c r="AA276" s="81" t="s">
        <v>3990</v>
      </c>
      <c r="AB276" s="81" t="s">
        <v>3991</v>
      </c>
      <c r="AC276" s="81">
        <f t="shared" si="5"/>
        <v>46020</v>
      </c>
      <c r="AD276" s="82">
        <f t="shared" si="6"/>
        <v>7</v>
      </c>
    </row>
    <row r="277">
      <c r="A277" s="104">
        <v>46025.0</v>
      </c>
      <c r="B277" s="89" t="s">
        <v>925</v>
      </c>
      <c r="C277" s="89" t="s">
        <v>926</v>
      </c>
      <c r="D277" s="89"/>
      <c r="E277" s="89" t="s">
        <v>927</v>
      </c>
      <c r="F277" s="81">
        <f>IFERROR(__xludf.DUMMYFUNCTION("""COMPUTED_VALUE"""),46025.0)</f>
        <v>46025</v>
      </c>
      <c r="G277" s="89" t="s">
        <v>3989</v>
      </c>
      <c r="H277" s="89">
        <v>1.0</v>
      </c>
      <c r="I277" s="89" t="s">
        <v>3960</v>
      </c>
      <c r="J277" s="89" t="str">
        <f t="shared" si="18"/>
        <v>No</v>
      </c>
      <c r="K277" s="89" t="str">
        <f t="shared" si="23"/>
        <v>No</v>
      </c>
      <c r="L277" s="89" t="str">
        <f>IFERROR(__xludf.DUMMYFUNCTION("""COMPUTED_VALUE"""),"")</f>
        <v/>
      </c>
      <c r="M277" s="89" t="str">
        <f>IFERROR(__xludf.DUMMYFUNCTION("""COMPUTED_VALUE"""),"")</f>
        <v/>
      </c>
      <c r="N277" s="89" t="str">
        <f>IFERROR(__xludf.DUMMYFUNCTION("""COMPUTED_VALUE"""),"")</f>
        <v/>
      </c>
      <c r="P277" s="52" t="str">
        <f t="shared" si="22"/>
        <v>0</v>
      </c>
      <c r="R277" s="52" t="str">
        <f t="shared" si="32"/>
        <v>Review</v>
      </c>
      <c r="Z277" s="81">
        <v>46025.0</v>
      </c>
      <c r="AA277" s="81" t="s">
        <v>3990</v>
      </c>
      <c r="AB277" s="81" t="s">
        <v>3991</v>
      </c>
      <c r="AC277" s="81">
        <f t="shared" si="5"/>
        <v>46020</v>
      </c>
      <c r="AD277" s="82">
        <f t="shared" si="6"/>
        <v>6</v>
      </c>
    </row>
    <row r="278">
      <c r="A278" s="96">
        <v>46030.81631944444</v>
      </c>
      <c r="B278" s="89" t="s">
        <v>928</v>
      </c>
      <c r="C278" s="89" t="s">
        <v>929</v>
      </c>
      <c r="D278" s="89" t="s">
        <v>930</v>
      </c>
      <c r="E278" s="90" t="s">
        <v>931</v>
      </c>
      <c r="F278" s="81">
        <f>IFERROR(__xludf.DUMMYFUNCTION("""COMPUTED_VALUE"""),46030.81631944444)</f>
        <v>46030.81632</v>
      </c>
      <c r="G278" s="89" t="s">
        <v>3989</v>
      </c>
      <c r="H278" s="89">
        <v>2.0</v>
      </c>
      <c r="I278" s="89" t="s">
        <v>3972</v>
      </c>
      <c r="J278" s="89" t="str">
        <f t="shared" si="18"/>
        <v>No</v>
      </c>
      <c r="K278" s="89" t="str">
        <f t="shared" si="23"/>
        <v>No</v>
      </c>
      <c r="L278" s="89" t="str">
        <f>IFERROR(__xludf.DUMMYFUNCTION("""COMPUTED_VALUE"""),"United States")</f>
        <v>United States</v>
      </c>
      <c r="M278" s="89" t="str">
        <f>IFERROR(__xludf.DUMMYFUNCTION("""COMPUTED_VALUE"""),"1 week ago")</f>
        <v>1 week ago</v>
      </c>
      <c r="N278" s="89">
        <f>IFERROR(__xludf.DUMMYFUNCTION("""COMPUTED_VALUE"""),1.0)</f>
        <v>1</v>
      </c>
      <c r="P278" s="52" t="str">
        <f t="shared" si="22"/>
        <v>0</v>
      </c>
      <c r="R278" s="52" t="str">
        <f t="shared" si="32"/>
        <v>Review</v>
      </c>
      <c r="Z278" s="81">
        <v>46030.0</v>
      </c>
      <c r="AA278" s="81" t="s">
        <v>3992</v>
      </c>
      <c r="AB278" s="81" t="s">
        <v>3991</v>
      </c>
      <c r="AC278" s="81">
        <f t="shared" si="5"/>
        <v>46027</v>
      </c>
      <c r="AD278" s="82">
        <f t="shared" si="6"/>
        <v>4</v>
      </c>
    </row>
    <row r="279">
      <c r="A279" s="96">
        <v>46035.59579861111</v>
      </c>
      <c r="B279" s="89" t="s">
        <v>932</v>
      </c>
      <c r="C279" s="89" t="s">
        <v>933</v>
      </c>
      <c r="D279" s="89" t="s">
        <v>934</v>
      </c>
      <c r="E279" s="90" t="s">
        <v>935</v>
      </c>
      <c r="F279" s="81">
        <f>IFERROR(__xludf.DUMMYFUNCTION("""COMPUTED_VALUE"""),46035.59579861111)</f>
        <v>46035.5958</v>
      </c>
      <c r="G279" s="89" t="s">
        <v>3989</v>
      </c>
      <c r="H279" s="89">
        <v>3.0</v>
      </c>
      <c r="I279" s="89" t="s">
        <v>3966</v>
      </c>
      <c r="J279" s="89" t="str">
        <f t="shared" si="18"/>
        <v>No</v>
      </c>
      <c r="K279" s="89" t="str">
        <f t="shared" si="23"/>
        <v>No</v>
      </c>
      <c r="L279" s="89" t="str">
        <f>IFERROR(__xludf.DUMMYFUNCTION("""COMPUTED_VALUE"""),"Mountain View, CA")</f>
        <v>Mountain View, CA</v>
      </c>
      <c r="M279" s="89" t="str">
        <f>IFERROR(__xludf.DUMMYFUNCTION("""COMPUTED_VALUE"""),"5 hours ago")</f>
        <v>5 hours ago</v>
      </c>
      <c r="N279" s="89">
        <f>IFERROR(__xludf.DUMMYFUNCTION("""COMPUTED_VALUE"""),5.0)</f>
        <v>5</v>
      </c>
      <c r="P279" s="52" t="str">
        <f t="shared" si="22"/>
        <v>0</v>
      </c>
      <c r="R279" s="52" t="str">
        <f t="shared" si="32"/>
        <v>Review</v>
      </c>
      <c r="Z279" s="81">
        <v>46035.0</v>
      </c>
      <c r="AA279" s="81" t="s">
        <v>3993</v>
      </c>
      <c r="AB279" s="81" t="s">
        <v>3991</v>
      </c>
      <c r="AC279" s="81">
        <f t="shared" si="5"/>
        <v>46034</v>
      </c>
      <c r="AD279" s="82">
        <f t="shared" si="6"/>
        <v>2</v>
      </c>
    </row>
    <row r="280">
      <c r="A280" s="96">
        <v>46040.67175925926</v>
      </c>
      <c r="B280" s="89" t="s">
        <v>88</v>
      </c>
      <c r="C280" s="89" t="s">
        <v>936</v>
      </c>
      <c r="D280" s="89" t="s">
        <v>937</v>
      </c>
      <c r="E280" s="90" t="s">
        <v>938</v>
      </c>
      <c r="F280" s="81">
        <f>IFERROR(__xludf.DUMMYFUNCTION("""COMPUTED_VALUE"""),46040.67175925926)</f>
        <v>46040.67176</v>
      </c>
      <c r="G280" s="89" t="s">
        <v>3989</v>
      </c>
      <c r="H280" s="89">
        <v>4.0</v>
      </c>
      <c r="I280" s="89" t="s">
        <v>3962</v>
      </c>
      <c r="J280" s="89" t="str">
        <f t="shared" si="18"/>
        <v>No</v>
      </c>
      <c r="K280" s="89" t="str">
        <f t="shared" si="23"/>
        <v>No</v>
      </c>
      <c r="L280" s="89" t="str">
        <f>IFERROR(__xludf.DUMMYFUNCTION("""COMPUTED_VALUE"""),"New York City Metropolitan Area")</f>
        <v>New York City Metropolitan Area</v>
      </c>
      <c r="M280" s="89" t="str">
        <f>IFERROR(__xludf.DUMMYFUNCTION("""COMPUTED_VALUE"""),"1 hour ago")</f>
        <v>1 hour ago</v>
      </c>
      <c r="N280" s="89">
        <f>IFERROR(__xludf.DUMMYFUNCTION("""COMPUTED_VALUE"""),1.0)</f>
        <v>1</v>
      </c>
      <c r="P280" s="52" t="str">
        <f t="shared" si="22"/>
        <v>0</v>
      </c>
      <c r="R280" s="52" t="str">
        <f t="shared" si="32"/>
        <v>Review</v>
      </c>
      <c r="Z280" s="81">
        <v>46040.0</v>
      </c>
      <c r="AA280" s="81" t="s">
        <v>3993</v>
      </c>
      <c r="AB280" s="81" t="s">
        <v>3991</v>
      </c>
      <c r="AC280" s="81">
        <f t="shared" si="5"/>
        <v>46034</v>
      </c>
      <c r="AD280" s="82">
        <f t="shared" si="6"/>
        <v>7</v>
      </c>
    </row>
    <row r="281">
      <c r="A281" s="96">
        <v>46042.47232638889</v>
      </c>
      <c r="B281" s="89" t="s">
        <v>939</v>
      </c>
      <c r="C281" s="89" t="s">
        <v>940</v>
      </c>
      <c r="D281" s="89" t="s">
        <v>941</v>
      </c>
      <c r="E281" s="90" t="s">
        <v>942</v>
      </c>
      <c r="F281" s="81">
        <f>IFERROR(__xludf.DUMMYFUNCTION("""COMPUTED_VALUE"""),46042.47232638889)</f>
        <v>46042.47233</v>
      </c>
      <c r="G281" s="89" t="s">
        <v>3989</v>
      </c>
      <c r="H281" s="89">
        <v>4.0</v>
      </c>
      <c r="I281" s="89" t="s">
        <v>3966</v>
      </c>
      <c r="J281" s="89" t="str">
        <f t="shared" si="18"/>
        <v>No</v>
      </c>
      <c r="K281" s="89" t="str">
        <f t="shared" si="23"/>
        <v>No</v>
      </c>
      <c r="L281" s="89" t="str">
        <f>IFERROR(__xludf.DUMMYFUNCTION("""COMPUTED_VALUE"""),"West Chester, PA")</f>
        <v>West Chester, PA</v>
      </c>
      <c r="M281" s="89" t="str">
        <f>IFERROR(__xludf.DUMMYFUNCTION("""COMPUTED_VALUE"""),"34 minutes ago")</f>
        <v>34 minutes ago</v>
      </c>
      <c r="N281" s="89">
        <f>IFERROR(__xludf.DUMMYFUNCTION("""COMPUTED_VALUE"""),34.0)</f>
        <v>34</v>
      </c>
      <c r="P281" s="52" t="str">
        <f t="shared" si="22"/>
        <v>0</v>
      </c>
      <c r="R281" s="52" t="str">
        <f t="shared" si="32"/>
        <v>Review</v>
      </c>
      <c r="Z281" s="81">
        <v>46042.0</v>
      </c>
      <c r="AA281" s="81" t="s">
        <v>3994</v>
      </c>
      <c r="AB281" s="81" t="s">
        <v>3991</v>
      </c>
      <c r="AC281" s="81">
        <f t="shared" si="5"/>
        <v>46041</v>
      </c>
      <c r="AD281" s="82">
        <f t="shared" si="6"/>
        <v>2</v>
      </c>
    </row>
    <row r="282">
      <c r="A282" s="104">
        <v>46048.0</v>
      </c>
      <c r="B282" s="89" t="s">
        <v>823</v>
      </c>
      <c r="C282" s="89" t="s">
        <v>943</v>
      </c>
      <c r="D282" s="89" t="s">
        <v>944</v>
      </c>
      <c r="E282" s="89" t="s">
        <v>220</v>
      </c>
      <c r="F282" s="81">
        <f>IFERROR(__xludf.DUMMYFUNCTION("""COMPUTED_VALUE"""),46048.0)</f>
        <v>46048</v>
      </c>
      <c r="G282" s="89" t="s">
        <v>3989</v>
      </c>
      <c r="H282" s="89">
        <v>5.0</v>
      </c>
      <c r="I282" s="89" t="s">
        <v>3964</v>
      </c>
      <c r="J282" s="89" t="str">
        <f t="shared" si="18"/>
        <v>No</v>
      </c>
      <c r="K282" s="89" t="str">
        <f t="shared" si="23"/>
        <v>No</v>
      </c>
      <c r="L282" s="89" t="str">
        <f>IFERROR(__xludf.DUMMYFUNCTION("""COMPUTED_VALUE"""),"Seattle, WA")</f>
        <v>Seattle, WA</v>
      </c>
      <c r="M282" s="89" t="str">
        <f>IFERROR(__xludf.DUMMYFUNCTION("""COMPUTED_VALUE"""),"")</f>
        <v/>
      </c>
      <c r="N282" s="89" t="str">
        <f>IFERROR(__xludf.DUMMYFUNCTION("""COMPUTED_VALUE"""),"")</f>
        <v/>
      </c>
      <c r="P282" s="52" t="str">
        <f t="shared" si="22"/>
        <v>0</v>
      </c>
      <c r="R282" s="52" t="str">
        <f t="shared" si="32"/>
        <v>Review</v>
      </c>
      <c r="Z282" s="81">
        <v>46048.0</v>
      </c>
      <c r="AA282" s="81" t="s">
        <v>3995</v>
      </c>
      <c r="AB282" s="81" t="s">
        <v>3991</v>
      </c>
      <c r="AC282" s="81">
        <f t="shared" si="5"/>
        <v>46048</v>
      </c>
      <c r="AD282" s="82">
        <f t="shared" si="6"/>
        <v>1</v>
      </c>
    </row>
    <row r="283">
      <c r="A283" s="104">
        <v>46048.0</v>
      </c>
      <c r="B283" s="89" t="s">
        <v>946</v>
      </c>
      <c r="C283" s="89" t="s">
        <v>947</v>
      </c>
      <c r="D283" s="89" t="s">
        <v>878</v>
      </c>
      <c r="E283" s="89" t="s">
        <v>220</v>
      </c>
      <c r="F283" s="81">
        <f>IFERROR(__xludf.DUMMYFUNCTION("""COMPUTED_VALUE"""),46048.0)</f>
        <v>46048</v>
      </c>
      <c r="G283" s="89" t="s">
        <v>3989</v>
      </c>
      <c r="H283" s="89">
        <v>5.0</v>
      </c>
      <c r="I283" s="89" t="s">
        <v>3964</v>
      </c>
      <c r="J283" s="89" t="str">
        <f t="shared" si="18"/>
        <v>No</v>
      </c>
      <c r="K283" s="89" t="str">
        <f t="shared" si="23"/>
        <v>No</v>
      </c>
      <c r="L283" s="89" t="str">
        <f>IFERROR(__xludf.DUMMYFUNCTION("""COMPUTED_VALUE"""),"#N/A")</f>
        <v>#N/A</v>
      </c>
      <c r="M283" s="89" t="str">
        <f>IFERROR(__xludf.DUMMYFUNCTION("""COMPUTED_VALUE"""),"")</f>
        <v/>
      </c>
      <c r="N283" s="89" t="str">
        <f>IFERROR(__xludf.DUMMYFUNCTION("""COMPUTED_VALUE"""),"")</f>
        <v/>
      </c>
      <c r="P283" s="52" t="str">
        <f t="shared" si="22"/>
        <v>0</v>
      </c>
      <c r="R283" s="52" t="str">
        <f t="shared" si="32"/>
        <v>Review</v>
      </c>
      <c r="Z283" s="81">
        <v>46048.0</v>
      </c>
      <c r="AA283" s="81" t="s">
        <v>3995</v>
      </c>
      <c r="AB283" s="81" t="s">
        <v>3991</v>
      </c>
      <c r="AC283" s="81">
        <f t="shared" si="5"/>
        <v>46048</v>
      </c>
      <c r="AD283" s="82">
        <f t="shared" si="6"/>
        <v>1</v>
      </c>
    </row>
    <row r="284">
      <c r="A284" s="104">
        <v>46048.0</v>
      </c>
      <c r="B284" s="89" t="s">
        <v>948</v>
      </c>
      <c r="C284" s="89" t="s">
        <v>949</v>
      </c>
      <c r="D284" s="89" t="s">
        <v>379</v>
      </c>
      <c r="E284" s="89" t="s">
        <v>950</v>
      </c>
      <c r="F284" s="81">
        <f>IFERROR(__xludf.DUMMYFUNCTION("""COMPUTED_VALUE"""),46048.0)</f>
        <v>46048</v>
      </c>
      <c r="G284" s="89" t="s">
        <v>3989</v>
      </c>
      <c r="H284" s="89">
        <v>5.0</v>
      </c>
      <c r="I284" s="89" t="s">
        <v>3964</v>
      </c>
      <c r="J284" s="89" t="str">
        <f t="shared" si="18"/>
        <v>No</v>
      </c>
      <c r="K284" s="89" t="str">
        <f t="shared" si="23"/>
        <v>No</v>
      </c>
      <c r="L284" s="89" t="str">
        <f>IFERROR(__xludf.DUMMYFUNCTION("""COMPUTED_VALUE"""),"Boston, MA")</f>
        <v>Boston, MA</v>
      </c>
      <c r="M284" s="89" t="str">
        <f>IFERROR(__xludf.DUMMYFUNCTION("""COMPUTED_VALUE"""),"")</f>
        <v/>
      </c>
      <c r="N284" s="89" t="str">
        <f>IFERROR(__xludf.DUMMYFUNCTION("""COMPUTED_VALUE"""),"")</f>
        <v/>
      </c>
      <c r="P284" s="52" t="str">
        <f t="shared" si="22"/>
        <v>0</v>
      </c>
      <c r="R284" s="52" t="str">
        <f t="shared" si="32"/>
        <v>Review</v>
      </c>
      <c r="Z284" s="81">
        <v>46048.0</v>
      </c>
      <c r="AA284" s="81" t="s">
        <v>3995</v>
      </c>
      <c r="AB284" s="81" t="s">
        <v>3991</v>
      </c>
      <c r="AC284" s="81">
        <f t="shared" si="5"/>
        <v>46048</v>
      </c>
      <c r="AD284" s="82">
        <f t="shared" si="6"/>
        <v>1</v>
      </c>
    </row>
    <row r="285">
      <c r="A285" s="104">
        <v>46048.0</v>
      </c>
      <c r="B285" s="89" t="s">
        <v>823</v>
      </c>
      <c r="C285" s="89" t="s">
        <v>951</v>
      </c>
      <c r="D285" s="89" t="s">
        <v>952</v>
      </c>
      <c r="E285" s="89" t="s">
        <v>220</v>
      </c>
      <c r="F285" s="81">
        <f>IFERROR(__xludf.DUMMYFUNCTION("""COMPUTED_VALUE"""),46048.0)</f>
        <v>46048</v>
      </c>
      <c r="G285" s="89" t="s">
        <v>3989</v>
      </c>
      <c r="H285" s="89">
        <v>5.0</v>
      </c>
      <c r="I285" s="89" t="s">
        <v>3964</v>
      </c>
      <c r="J285" s="89" t="str">
        <f t="shared" si="18"/>
        <v>No</v>
      </c>
      <c r="K285" s="89" t="str">
        <f t="shared" si="23"/>
        <v>No</v>
      </c>
      <c r="L285" s="89" t="str">
        <f>IFERROR(__xludf.DUMMYFUNCTION("""COMPUTED_VALUE"""),"San Jose, CA")</f>
        <v>San Jose, CA</v>
      </c>
      <c r="M285" s="89" t="str">
        <f>IFERROR(__xludf.DUMMYFUNCTION("""COMPUTED_VALUE"""),"")</f>
        <v/>
      </c>
      <c r="N285" s="89" t="str">
        <f>IFERROR(__xludf.DUMMYFUNCTION("""COMPUTED_VALUE"""),"")</f>
        <v/>
      </c>
      <c r="P285" s="52" t="str">
        <f t="shared" si="22"/>
        <v>0</v>
      </c>
      <c r="R285" s="52" t="str">
        <f t="shared" si="32"/>
        <v>Review</v>
      </c>
      <c r="Z285" s="81">
        <v>46048.0</v>
      </c>
      <c r="AA285" s="81" t="s">
        <v>3995</v>
      </c>
      <c r="AB285" s="81" t="s">
        <v>3991</v>
      </c>
      <c r="AC285" s="81">
        <f t="shared" si="5"/>
        <v>46048</v>
      </c>
      <c r="AD285" s="82">
        <f t="shared" si="6"/>
        <v>1</v>
      </c>
    </row>
    <row r="286">
      <c r="A286" s="104">
        <v>46049.0</v>
      </c>
      <c r="B286" s="89" t="s">
        <v>953</v>
      </c>
      <c r="C286" s="89" t="s">
        <v>954</v>
      </c>
      <c r="D286" s="89" t="s">
        <v>955</v>
      </c>
      <c r="E286" s="89" t="s">
        <v>956</v>
      </c>
      <c r="F286" s="81">
        <f>IFERROR(__xludf.DUMMYFUNCTION("""COMPUTED_VALUE"""),46049.0)</f>
        <v>46049</v>
      </c>
      <c r="G286" s="89" t="s">
        <v>3989</v>
      </c>
      <c r="H286" s="89">
        <v>5.0</v>
      </c>
      <c r="I286" s="89" t="s">
        <v>3966</v>
      </c>
      <c r="J286" s="89" t="str">
        <f t="shared" si="18"/>
        <v>No</v>
      </c>
      <c r="K286" s="89" t="str">
        <f t="shared" si="23"/>
        <v>No</v>
      </c>
      <c r="L286" s="89" t="str">
        <f>IFERROR(__xludf.DUMMYFUNCTION("""COMPUTED_VALUE"""),"#N/A")</f>
        <v>#N/A</v>
      </c>
      <c r="M286" s="89" t="str">
        <f>IFERROR(__xludf.DUMMYFUNCTION("""COMPUTED_VALUE"""),"")</f>
        <v/>
      </c>
      <c r="N286" s="89" t="str">
        <f>IFERROR(__xludf.DUMMYFUNCTION("""COMPUTED_VALUE"""),"")</f>
        <v/>
      </c>
      <c r="P286" s="52" t="str">
        <f t="shared" si="22"/>
        <v>0</v>
      </c>
      <c r="R286" s="52" t="str">
        <f t="shared" si="32"/>
        <v>Review</v>
      </c>
      <c r="Z286" s="81">
        <v>46049.0</v>
      </c>
      <c r="AA286" s="81" t="s">
        <v>3995</v>
      </c>
      <c r="AB286" s="81" t="s">
        <v>3991</v>
      </c>
      <c r="AC286" s="81">
        <f t="shared" si="5"/>
        <v>46048</v>
      </c>
      <c r="AD286" s="82">
        <f t="shared" si="6"/>
        <v>2</v>
      </c>
    </row>
    <row r="287">
      <c r="A287" s="104">
        <v>46049.0</v>
      </c>
      <c r="B287" s="89" t="s">
        <v>957</v>
      </c>
      <c r="C287" s="89" t="s">
        <v>958</v>
      </c>
      <c r="D287" s="89" t="s">
        <v>959</v>
      </c>
      <c r="E287" s="89" t="s">
        <v>956</v>
      </c>
      <c r="F287" s="81">
        <f>IFERROR(__xludf.DUMMYFUNCTION("""COMPUTED_VALUE"""),46049.0)</f>
        <v>46049</v>
      </c>
      <c r="G287" s="89" t="s">
        <v>3989</v>
      </c>
      <c r="H287" s="89">
        <v>5.0</v>
      </c>
      <c r="I287" s="89" t="s">
        <v>3966</v>
      </c>
      <c r="J287" s="89" t="str">
        <f t="shared" si="18"/>
        <v>No</v>
      </c>
      <c r="K287" s="89" t="str">
        <f t="shared" si="23"/>
        <v>No</v>
      </c>
      <c r="L287" s="89" t="str">
        <f>IFERROR(__xludf.DUMMYFUNCTION("""COMPUTED_VALUE"""),"San Diego, CA")</f>
        <v>San Diego, CA</v>
      </c>
      <c r="M287" s="89" t="str">
        <f>IFERROR(__xludf.DUMMYFUNCTION("""COMPUTED_VALUE"""),"")</f>
        <v/>
      </c>
      <c r="N287" s="89" t="str">
        <f>IFERROR(__xludf.DUMMYFUNCTION("""COMPUTED_VALUE"""),"")</f>
        <v/>
      </c>
      <c r="P287" s="52" t="str">
        <f t="shared" si="22"/>
        <v>0</v>
      </c>
      <c r="R287" s="52" t="str">
        <f t="shared" si="32"/>
        <v>Review</v>
      </c>
      <c r="Z287" s="81">
        <v>46049.0</v>
      </c>
      <c r="AA287" s="81" t="s">
        <v>3995</v>
      </c>
      <c r="AB287" s="81" t="s">
        <v>3991</v>
      </c>
      <c r="AC287" s="81">
        <f t="shared" si="5"/>
        <v>46048</v>
      </c>
      <c r="AD287" s="82">
        <f t="shared" si="6"/>
        <v>2</v>
      </c>
    </row>
    <row r="288">
      <c r="A288" s="104">
        <v>46049.0</v>
      </c>
      <c r="B288" s="89" t="s">
        <v>960</v>
      </c>
      <c r="C288" s="89" t="s">
        <v>961</v>
      </c>
      <c r="D288" s="89" t="s">
        <v>962</v>
      </c>
      <c r="E288" s="89" t="s">
        <v>963</v>
      </c>
      <c r="F288" s="81">
        <f>IFERROR(__xludf.DUMMYFUNCTION("""COMPUTED_VALUE"""),46049.0)</f>
        <v>46049</v>
      </c>
      <c r="G288" s="89" t="s">
        <v>3989</v>
      </c>
      <c r="H288" s="89">
        <v>5.0</v>
      </c>
      <c r="I288" s="89" t="s">
        <v>3966</v>
      </c>
      <c r="J288" s="89" t="str">
        <f t="shared" si="18"/>
        <v>No</v>
      </c>
      <c r="K288" s="89" t="str">
        <f t="shared" si="23"/>
        <v>No</v>
      </c>
      <c r="L288" s="89" t="str">
        <f>IFERROR(__xludf.DUMMYFUNCTION("""COMPUTED_VALUE"""),"Foster City, CA")</f>
        <v>Foster City, CA</v>
      </c>
      <c r="M288" s="89" t="str">
        <f>IFERROR(__xludf.DUMMYFUNCTION("""COMPUTED_VALUE"""),"")</f>
        <v/>
      </c>
      <c r="N288" s="89" t="str">
        <f>IFERROR(__xludf.DUMMYFUNCTION("""COMPUTED_VALUE"""),"")</f>
        <v/>
      </c>
      <c r="P288" s="52" t="str">
        <f t="shared" si="22"/>
        <v>0</v>
      </c>
      <c r="R288" s="52" t="str">
        <f t="shared" si="32"/>
        <v>Review</v>
      </c>
      <c r="Z288" s="81">
        <v>46049.0</v>
      </c>
      <c r="AA288" s="81" t="s">
        <v>3995</v>
      </c>
      <c r="AB288" s="81" t="s">
        <v>3991</v>
      </c>
      <c r="AC288" s="81">
        <f t="shared" si="5"/>
        <v>46048</v>
      </c>
      <c r="AD288" s="82">
        <f t="shared" si="6"/>
        <v>2</v>
      </c>
    </row>
    <row r="289">
      <c r="A289" s="104">
        <v>46049.0</v>
      </c>
      <c r="B289" s="89" t="s">
        <v>88</v>
      </c>
      <c r="C289" s="89" t="s">
        <v>964</v>
      </c>
      <c r="D289" s="89" t="s">
        <v>858</v>
      </c>
      <c r="E289" s="89" t="s">
        <v>45</v>
      </c>
      <c r="F289" s="81">
        <f>IFERROR(__xludf.DUMMYFUNCTION("""COMPUTED_VALUE"""),46049.0)</f>
        <v>46049</v>
      </c>
      <c r="G289" s="89" t="s">
        <v>3989</v>
      </c>
      <c r="H289" s="89">
        <v>5.0</v>
      </c>
      <c r="I289" s="89" t="s">
        <v>3966</v>
      </c>
      <c r="J289" s="89" t="str">
        <f t="shared" si="18"/>
        <v>No</v>
      </c>
      <c r="K289" s="89" t="str">
        <f t="shared" si="23"/>
        <v>No</v>
      </c>
      <c r="L289" s="89" t="str">
        <f>IFERROR(__xludf.DUMMYFUNCTION("""COMPUTED_VALUE"""),"United States")</f>
        <v>United States</v>
      </c>
      <c r="M289" s="89" t="str">
        <f>IFERROR(__xludf.DUMMYFUNCTION("""COMPUTED_VALUE"""),"")</f>
        <v/>
      </c>
      <c r="N289" s="89" t="str">
        <f>IFERROR(__xludf.DUMMYFUNCTION("""COMPUTED_VALUE"""),"")</f>
        <v/>
      </c>
      <c r="P289" s="52" t="str">
        <f t="shared" si="22"/>
        <v>0</v>
      </c>
      <c r="R289" s="52" t="str">
        <f t="shared" si="32"/>
        <v>Review</v>
      </c>
      <c r="Z289" s="81">
        <v>46049.0</v>
      </c>
      <c r="AA289" s="81" t="s">
        <v>3995</v>
      </c>
      <c r="AB289" s="81" t="s">
        <v>3991</v>
      </c>
      <c r="AC289" s="81">
        <f t="shared" si="5"/>
        <v>46048</v>
      </c>
      <c r="AD289" s="82">
        <f t="shared" si="6"/>
        <v>2</v>
      </c>
    </row>
    <row r="290">
      <c r="A290" s="96">
        <v>46051.412314814814</v>
      </c>
      <c r="B290" s="89" t="s">
        <v>965</v>
      </c>
      <c r="C290" s="89" t="s">
        <v>386</v>
      </c>
      <c r="D290" s="89" t="s">
        <v>966</v>
      </c>
      <c r="E290" s="90" t="s">
        <v>967</v>
      </c>
      <c r="F290" s="81">
        <f>IFERROR(__xludf.DUMMYFUNCTION("""COMPUTED_VALUE"""),46051.412314814814)</f>
        <v>46051.41231</v>
      </c>
      <c r="G290" s="89" t="s">
        <v>3989</v>
      </c>
      <c r="H290" s="89">
        <v>5.0</v>
      </c>
      <c r="I290" s="89" t="s">
        <v>3972</v>
      </c>
      <c r="J290" s="89" t="str">
        <f t="shared" si="18"/>
        <v>No</v>
      </c>
      <c r="K290" s="89" t="str">
        <f t="shared" si="23"/>
        <v>No</v>
      </c>
      <c r="L290" s="89" t="str">
        <f>IFERROR(__xludf.DUMMYFUNCTION("""COMPUTED_VALUE"""),"Roanoke, TX")</f>
        <v>Roanoke, TX</v>
      </c>
      <c r="M290" s="89" t="str">
        <f>IFERROR(__xludf.DUMMYFUNCTION("""COMPUTED_VALUE"""),"8 hours ago")</f>
        <v>8 hours ago</v>
      </c>
      <c r="N290" s="89">
        <f>IFERROR(__xludf.DUMMYFUNCTION("""COMPUTED_VALUE"""),8.0)</f>
        <v>8</v>
      </c>
      <c r="P290" s="52" t="str">
        <f t="shared" si="22"/>
        <v>0</v>
      </c>
      <c r="R290" s="52" t="str">
        <f t="shared" si="32"/>
        <v>Review</v>
      </c>
      <c r="Z290" s="81">
        <v>46051.0</v>
      </c>
      <c r="AA290" s="81" t="s">
        <v>3995</v>
      </c>
      <c r="AB290" s="81" t="s">
        <v>3991</v>
      </c>
      <c r="AC290" s="81">
        <f t="shared" si="5"/>
        <v>46048</v>
      </c>
      <c r="AD290" s="82">
        <f t="shared" si="6"/>
        <v>4</v>
      </c>
    </row>
    <row r="291">
      <c r="A291" s="104">
        <v>46051.0</v>
      </c>
      <c r="B291" s="89" t="s">
        <v>917</v>
      </c>
      <c r="C291" s="89" t="s">
        <v>916</v>
      </c>
      <c r="D291" s="89" t="s">
        <v>968</v>
      </c>
      <c r="E291" s="89" t="s">
        <v>969</v>
      </c>
      <c r="F291" s="81">
        <f>IFERROR(__xludf.DUMMYFUNCTION("""COMPUTED_VALUE"""),46051.0)</f>
        <v>46051</v>
      </c>
      <c r="G291" s="89" t="s">
        <v>3989</v>
      </c>
      <c r="H291" s="89">
        <v>5.0</v>
      </c>
      <c r="I291" s="89" t="s">
        <v>3972</v>
      </c>
      <c r="J291" s="89" t="str">
        <f t="shared" si="18"/>
        <v>No</v>
      </c>
      <c r="K291" s="89" t="str">
        <f t="shared" si="23"/>
        <v>No</v>
      </c>
      <c r="L291" s="89" t="str">
        <f>IFERROR(__xludf.DUMMYFUNCTION("""COMPUTED_VALUE"""),"https://jobright.ai/jobs/info/697303a9694e99351d144796?utm_source=1100&amp;utm_campaign=Software Engineering")</f>
        <v>https://jobright.ai/jobs/info/697303a9694e99351d144796?utm_source=1100&amp;utm_campaign=Software Engineering</v>
      </c>
      <c r="M291" s="89" t="str">
        <f>IFERROR(__xludf.DUMMYFUNCTION("""COMPUTED_VALUE"""),"")</f>
        <v/>
      </c>
      <c r="N291" s="89">
        <f>IFERROR(__xludf.DUMMYFUNCTION("""COMPUTED_VALUE"""),697303.0)</f>
        <v>697303</v>
      </c>
      <c r="P291" s="52" t="str">
        <f t="shared" si="22"/>
        <v>0</v>
      </c>
      <c r="R291" s="52" t="str">
        <f t="shared" si="32"/>
        <v>Review</v>
      </c>
      <c r="Z291" s="81">
        <v>46051.0</v>
      </c>
      <c r="AA291" s="81" t="s">
        <v>3995</v>
      </c>
      <c r="AB291" s="81" t="s">
        <v>3991</v>
      </c>
      <c r="AC291" s="81">
        <f t="shared" si="5"/>
        <v>46048</v>
      </c>
      <c r="AD291" s="82">
        <f t="shared" si="6"/>
        <v>4</v>
      </c>
    </row>
    <row r="292">
      <c r="A292" s="104">
        <v>46051.0</v>
      </c>
      <c r="B292" s="89" t="s">
        <v>888</v>
      </c>
      <c r="C292" s="89" t="s">
        <v>887</v>
      </c>
      <c r="D292" s="89" t="s">
        <v>970</v>
      </c>
      <c r="E292" s="89" t="s">
        <v>971</v>
      </c>
      <c r="F292" s="81">
        <f>IFERROR(__xludf.DUMMYFUNCTION("""COMPUTED_VALUE"""),46051.0)</f>
        <v>46051</v>
      </c>
      <c r="G292" s="89" t="s">
        <v>3989</v>
      </c>
      <c r="H292" s="89">
        <v>5.0</v>
      </c>
      <c r="I292" s="89" t="s">
        <v>3972</v>
      </c>
      <c r="J292" s="89" t="str">
        <f t="shared" si="18"/>
        <v>No</v>
      </c>
      <c r="K292" s="89" t="str">
        <f t="shared" si="23"/>
        <v>No</v>
      </c>
      <c r="L292" s="89" t="str">
        <f>IFERROR(__xludf.DUMMYFUNCTION("""COMPUTED_VALUE"""),"https://jobright.ai/jobs/info/68d1ed62a54edb3bf3e1796e?utm_source=1100&amp;utm_campaign=Software Engineering")</f>
        <v>https://jobright.ai/jobs/info/68d1ed62a54edb3bf3e1796e?utm_source=1100&amp;utm_campaign=Software Engineering</v>
      </c>
      <c r="M292" s="89" t="str">
        <f>IFERROR(__xludf.DUMMYFUNCTION("""COMPUTED_VALUE"""),"")</f>
        <v/>
      </c>
      <c r="N292" s="89">
        <f>IFERROR(__xludf.DUMMYFUNCTION("""COMPUTED_VALUE"""),68.0)</f>
        <v>68</v>
      </c>
      <c r="P292" s="52" t="str">
        <f t="shared" si="22"/>
        <v>0</v>
      </c>
      <c r="R292" s="52" t="str">
        <f t="shared" si="32"/>
        <v>Review</v>
      </c>
      <c r="Z292" s="81">
        <v>46051.0</v>
      </c>
      <c r="AA292" s="81" t="s">
        <v>3995</v>
      </c>
      <c r="AB292" s="81" t="s">
        <v>3991</v>
      </c>
      <c r="AC292" s="81">
        <f t="shared" si="5"/>
        <v>46048</v>
      </c>
      <c r="AD292" s="82">
        <f t="shared" si="6"/>
        <v>4</v>
      </c>
    </row>
    <row r="293">
      <c r="A293" s="104">
        <v>46051.0</v>
      </c>
      <c r="B293" s="89" t="s">
        <v>972</v>
      </c>
      <c r="C293" s="89" t="s">
        <v>960</v>
      </c>
      <c r="D293" s="89" t="s">
        <v>973</v>
      </c>
      <c r="E293" s="89" t="s">
        <v>969</v>
      </c>
      <c r="F293" s="81">
        <f>IFERROR(__xludf.DUMMYFUNCTION("""COMPUTED_VALUE"""),46051.0)</f>
        <v>46051</v>
      </c>
      <c r="G293" s="89" t="s">
        <v>3989</v>
      </c>
      <c r="H293" s="89">
        <v>5.0</v>
      </c>
      <c r="I293" s="89" t="s">
        <v>3972</v>
      </c>
      <c r="J293" s="89" t="str">
        <f t="shared" si="18"/>
        <v>No</v>
      </c>
      <c r="K293" s="89" t="str">
        <f t="shared" si="23"/>
        <v>No</v>
      </c>
      <c r="L293" s="89" t="str">
        <f>IFERROR(__xludf.DUMMYFUNCTION("""COMPUTED_VALUE"""),"https://jobright.ai/jobs/info/6927510ed47de4798ecdb594?utm_source=1100&amp;utm_campaign=Software Engineering")</f>
        <v>https://jobright.ai/jobs/info/6927510ed47de4798ecdb594?utm_source=1100&amp;utm_campaign=Software Engineering</v>
      </c>
      <c r="M293" s="89" t="str">
        <f>IFERROR(__xludf.DUMMYFUNCTION("""COMPUTED_VALUE"""),"")</f>
        <v/>
      </c>
      <c r="N293" s="89">
        <f>IFERROR(__xludf.DUMMYFUNCTION("""COMPUTED_VALUE"""),6927510.0)</f>
        <v>6927510</v>
      </c>
      <c r="P293" s="52" t="str">
        <f t="shared" si="22"/>
        <v>0</v>
      </c>
      <c r="R293" s="52" t="str">
        <f t="shared" si="32"/>
        <v>Review</v>
      </c>
      <c r="Z293" s="81">
        <v>46051.0</v>
      </c>
      <c r="AA293" s="81" t="s">
        <v>3995</v>
      </c>
      <c r="AB293" s="81" t="s">
        <v>3991</v>
      </c>
      <c r="AC293" s="81">
        <f t="shared" si="5"/>
        <v>46048</v>
      </c>
      <c r="AD293" s="82">
        <f t="shared" si="6"/>
        <v>4</v>
      </c>
    </row>
    <row r="294">
      <c r="A294" s="104">
        <v>46051.0</v>
      </c>
      <c r="B294" s="89" t="s">
        <v>974</v>
      </c>
      <c r="C294" s="89" t="s">
        <v>975</v>
      </c>
      <c r="D294" s="89" t="s">
        <v>976</v>
      </c>
      <c r="E294" s="89" t="s">
        <v>969</v>
      </c>
      <c r="F294" s="81">
        <f>IFERROR(__xludf.DUMMYFUNCTION("""COMPUTED_VALUE"""),46051.0)</f>
        <v>46051</v>
      </c>
      <c r="G294" s="89" t="s">
        <v>3989</v>
      </c>
      <c r="H294" s="89">
        <v>5.0</v>
      </c>
      <c r="I294" s="89" t="s">
        <v>3972</v>
      </c>
      <c r="J294" s="89" t="str">
        <f t="shared" si="18"/>
        <v>No</v>
      </c>
      <c r="K294" s="89" t="str">
        <f t="shared" si="23"/>
        <v>No</v>
      </c>
      <c r="L294" s="89" t="str">
        <f>IFERROR(__xludf.DUMMYFUNCTION("""COMPUTED_VALUE"""),"https://jobright.ai/jobs/info/6947690163141d188457136c?utm_source=1100&amp;utm_campaign=Software Engineering")</f>
        <v>https://jobright.ai/jobs/info/6947690163141d188457136c?utm_source=1100&amp;utm_campaign=Software Engineering</v>
      </c>
      <c r="M294" s="89" t="str">
        <f>IFERROR(__xludf.DUMMYFUNCTION("""COMPUTED_VALUE"""),"")</f>
        <v/>
      </c>
      <c r="N294" s="89">
        <f>IFERROR(__xludf.DUMMYFUNCTION("""COMPUTED_VALUE"""),6.947690163141E12)</f>
        <v>6947690163141</v>
      </c>
      <c r="P294" s="52" t="str">
        <f t="shared" si="22"/>
        <v>0</v>
      </c>
      <c r="R294" s="52" t="str">
        <f t="shared" si="32"/>
        <v>Review</v>
      </c>
      <c r="Z294" s="81">
        <v>46051.0</v>
      </c>
      <c r="AA294" s="81" t="s">
        <v>3995</v>
      </c>
      <c r="AB294" s="81" t="s">
        <v>3991</v>
      </c>
      <c r="AC294" s="81">
        <f t="shared" si="5"/>
        <v>46048</v>
      </c>
      <c r="AD294" s="82">
        <f t="shared" si="6"/>
        <v>4</v>
      </c>
    </row>
    <row r="295">
      <c r="A295" s="104">
        <v>46051.0</v>
      </c>
      <c r="B295" s="89" t="s">
        <v>977</v>
      </c>
      <c r="C295" s="89" t="s">
        <v>978</v>
      </c>
      <c r="D295" s="89" t="s">
        <v>979</v>
      </c>
      <c r="E295" s="89" t="s">
        <v>969</v>
      </c>
      <c r="F295" s="81">
        <f>IFERROR(__xludf.DUMMYFUNCTION("""COMPUTED_VALUE"""),46051.0)</f>
        <v>46051</v>
      </c>
      <c r="G295" s="89" t="s">
        <v>3989</v>
      </c>
      <c r="H295" s="89">
        <v>5.0</v>
      </c>
      <c r="I295" s="89" t="s">
        <v>3972</v>
      </c>
      <c r="J295" s="89" t="str">
        <f t="shared" si="18"/>
        <v>No</v>
      </c>
      <c r="K295" s="89" t="str">
        <f t="shared" si="23"/>
        <v>No</v>
      </c>
      <c r="L295" s="89" t="str">
        <f>IFERROR(__xludf.DUMMYFUNCTION("""COMPUTED_VALUE"""),"https://jobright.ai/jobs/info/6789b508fade8859f716b08e?utm_source=1100&amp;utm_campaign=Software Engineering")</f>
        <v>https://jobright.ai/jobs/info/6789b508fade8859f716b08e?utm_source=1100&amp;utm_campaign=Software Engineering</v>
      </c>
      <c r="M295" s="89" t="str">
        <f>IFERROR(__xludf.DUMMYFUNCTION("""COMPUTED_VALUE"""),"")</f>
        <v/>
      </c>
      <c r="N295" s="89">
        <f>IFERROR(__xludf.DUMMYFUNCTION("""COMPUTED_VALUE"""),6789.0)</f>
        <v>6789</v>
      </c>
      <c r="P295" s="52" t="str">
        <f t="shared" si="22"/>
        <v>0</v>
      </c>
      <c r="R295" s="52" t="str">
        <f t="shared" si="32"/>
        <v>Review</v>
      </c>
      <c r="Z295" s="81">
        <v>46051.0</v>
      </c>
      <c r="AA295" s="81" t="s">
        <v>3995</v>
      </c>
      <c r="AB295" s="81" t="s">
        <v>3991</v>
      </c>
      <c r="AC295" s="81">
        <f t="shared" si="5"/>
        <v>46048</v>
      </c>
      <c r="AD295" s="82">
        <f t="shared" si="6"/>
        <v>4</v>
      </c>
    </row>
    <row r="296">
      <c r="A296" s="104">
        <v>46051.0</v>
      </c>
      <c r="B296" s="89" t="s">
        <v>980</v>
      </c>
      <c r="C296" s="89" t="s">
        <v>981</v>
      </c>
      <c r="D296" s="89" t="s">
        <v>982</v>
      </c>
      <c r="E296" s="89" t="s">
        <v>971</v>
      </c>
      <c r="F296" s="81">
        <f>IFERROR(__xludf.DUMMYFUNCTION("""COMPUTED_VALUE"""),46051.0)</f>
        <v>46051</v>
      </c>
      <c r="G296" s="89" t="s">
        <v>3989</v>
      </c>
      <c r="H296" s="89">
        <v>5.0</v>
      </c>
      <c r="I296" s="89" t="s">
        <v>3972</v>
      </c>
      <c r="J296" s="89" t="str">
        <f t="shared" si="18"/>
        <v>No</v>
      </c>
      <c r="K296" s="89" t="str">
        <f t="shared" si="23"/>
        <v>No</v>
      </c>
      <c r="L296" s="89" t="str">
        <f>IFERROR(__xludf.DUMMYFUNCTION("""COMPUTED_VALUE"""),"https://jobright.ai/jobs/info/697b2fd31423772304eb5b2b?utm_source=1100&amp;utm_campaign=Software Engineering")</f>
        <v>https://jobright.ai/jobs/info/697b2fd31423772304eb5b2b?utm_source=1100&amp;utm_campaign=Software Engineering</v>
      </c>
      <c r="M296" s="89" t="str">
        <f>IFERROR(__xludf.DUMMYFUNCTION("""COMPUTED_VALUE"""),"")</f>
        <v/>
      </c>
      <c r="N296" s="89">
        <f>IFERROR(__xludf.DUMMYFUNCTION("""COMPUTED_VALUE"""),697.0)</f>
        <v>697</v>
      </c>
      <c r="P296" s="52" t="str">
        <f t="shared" si="22"/>
        <v>0</v>
      </c>
      <c r="R296" s="52" t="str">
        <f t="shared" si="32"/>
        <v>Review</v>
      </c>
      <c r="Z296" s="81">
        <v>46051.0</v>
      </c>
      <c r="AA296" s="81" t="s">
        <v>3995</v>
      </c>
      <c r="AB296" s="81" t="s">
        <v>3991</v>
      </c>
      <c r="AC296" s="81">
        <f t="shared" si="5"/>
        <v>46048</v>
      </c>
      <c r="AD296" s="82">
        <f t="shared" si="6"/>
        <v>4</v>
      </c>
    </row>
    <row r="297">
      <c r="A297" s="104">
        <v>46051.0</v>
      </c>
      <c r="B297" s="89" t="s">
        <v>983</v>
      </c>
      <c r="C297" s="89" t="s">
        <v>984</v>
      </c>
      <c r="D297" s="89" t="s">
        <v>985</v>
      </c>
      <c r="E297" s="89" t="s">
        <v>969</v>
      </c>
      <c r="F297" s="81">
        <f>IFERROR(__xludf.DUMMYFUNCTION("""COMPUTED_VALUE"""),46051.0)</f>
        <v>46051</v>
      </c>
      <c r="G297" s="89" t="s">
        <v>3989</v>
      </c>
      <c r="H297" s="89">
        <v>5.0</v>
      </c>
      <c r="I297" s="89" t="s">
        <v>3972</v>
      </c>
      <c r="J297" s="89" t="str">
        <f t="shared" si="18"/>
        <v>No</v>
      </c>
      <c r="K297" s="89" t="str">
        <f t="shared" si="23"/>
        <v>No</v>
      </c>
      <c r="L297" s="89" t="str">
        <f>IFERROR(__xludf.DUMMYFUNCTION("""COMPUTED_VALUE"""),"https://jobright.ai/jobs/info/697b2c2c17b11b1c2e424083?utm_source=1100&amp;utm_campaign=Software Engineering")</f>
        <v>https://jobright.ai/jobs/info/697b2c2c17b11b1c2e424083?utm_source=1100&amp;utm_campaign=Software Engineering</v>
      </c>
      <c r="M297" s="89" t="str">
        <f>IFERROR(__xludf.DUMMYFUNCTION("""COMPUTED_VALUE"""),"")</f>
        <v/>
      </c>
      <c r="N297" s="89">
        <f>IFERROR(__xludf.DUMMYFUNCTION("""COMPUTED_VALUE"""),697.0)</f>
        <v>697</v>
      </c>
      <c r="P297" s="52" t="str">
        <f t="shared" si="22"/>
        <v>0</v>
      </c>
      <c r="R297" s="52" t="str">
        <f t="shared" si="32"/>
        <v>Review</v>
      </c>
      <c r="Z297" s="81">
        <v>46051.0</v>
      </c>
      <c r="AA297" s="81" t="s">
        <v>3995</v>
      </c>
      <c r="AB297" s="81" t="s">
        <v>3991</v>
      </c>
      <c r="AC297" s="81">
        <f t="shared" si="5"/>
        <v>46048</v>
      </c>
      <c r="AD297" s="82">
        <f t="shared" si="6"/>
        <v>4</v>
      </c>
    </row>
    <row r="298">
      <c r="A298" s="104">
        <v>46051.0</v>
      </c>
      <c r="B298" s="90" t="s">
        <v>788</v>
      </c>
      <c r="C298" s="89" t="s">
        <v>787</v>
      </c>
      <c r="D298" s="89" t="s">
        <v>986</v>
      </c>
      <c r="E298" s="89" t="s">
        <v>971</v>
      </c>
      <c r="F298" s="81">
        <f>IFERROR(__xludf.DUMMYFUNCTION("""COMPUTED_VALUE"""),46051.0)</f>
        <v>46051</v>
      </c>
      <c r="G298" s="89" t="s">
        <v>3989</v>
      </c>
      <c r="H298" s="89">
        <v>5.0</v>
      </c>
      <c r="I298" s="89" t="s">
        <v>3972</v>
      </c>
      <c r="J298" s="89" t="str">
        <f t="shared" si="18"/>
        <v>No</v>
      </c>
      <c r="K298" s="89" t="str">
        <f t="shared" si="23"/>
        <v>No</v>
      </c>
      <c r="L298" s="89" t="str">
        <f>IFERROR(__xludf.DUMMYFUNCTION("""COMPUTED_VALUE"""),"https://jobright.ai/jobs/info/691dfcc409cc522e877347d6?utm_source=1100&amp;utm_campaign=Software Engineering")</f>
        <v>https://jobright.ai/jobs/info/691dfcc409cc522e877347d6?utm_source=1100&amp;utm_campaign=Software Engineering</v>
      </c>
      <c r="M298" s="89" t="str">
        <f>IFERROR(__xludf.DUMMYFUNCTION("""COMPUTED_VALUE"""),"")</f>
        <v/>
      </c>
      <c r="N298" s="89">
        <f>IFERROR(__xludf.DUMMYFUNCTION("""COMPUTED_VALUE"""),691.0)</f>
        <v>691</v>
      </c>
      <c r="P298" s="52" t="str">
        <f t="shared" si="22"/>
        <v>0</v>
      </c>
      <c r="R298" s="52" t="str">
        <f t="shared" si="32"/>
        <v>Review</v>
      </c>
      <c r="Z298" s="81">
        <v>46051.0</v>
      </c>
      <c r="AA298" s="81" t="s">
        <v>3995</v>
      </c>
      <c r="AB298" s="81" t="s">
        <v>3991</v>
      </c>
      <c r="AC298" s="81">
        <f t="shared" si="5"/>
        <v>46048</v>
      </c>
      <c r="AD298" s="82">
        <f t="shared" si="6"/>
        <v>4</v>
      </c>
    </row>
    <row r="299">
      <c r="A299" s="104">
        <v>46051.0</v>
      </c>
      <c r="B299" s="89" t="s">
        <v>789</v>
      </c>
      <c r="C299" s="89" t="s">
        <v>787</v>
      </c>
      <c r="D299" s="89" t="s">
        <v>987</v>
      </c>
      <c r="E299" s="89" t="s">
        <v>971</v>
      </c>
      <c r="F299" s="81">
        <f>IFERROR(__xludf.DUMMYFUNCTION("""COMPUTED_VALUE"""),46051.0)</f>
        <v>46051</v>
      </c>
      <c r="G299" s="89" t="s">
        <v>3989</v>
      </c>
      <c r="H299" s="89">
        <v>5.0</v>
      </c>
      <c r="I299" s="89" t="s">
        <v>3972</v>
      </c>
      <c r="J299" s="89" t="str">
        <f t="shared" si="18"/>
        <v>No</v>
      </c>
      <c r="K299" s="89" t="str">
        <f t="shared" si="23"/>
        <v>No</v>
      </c>
      <c r="L299" s="89" t="str">
        <f>IFERROR(__xludf.DUMMYFUNCTION("""COMPUTED_VALUE"""),"https://jobright.ai/jobs/info/68cce286d11b445e0bee3cbc?utm_source=1100&amp;utm_campaign=Software Engineering")</f>
        <v>https://jobright.ai/jobs/info/68cce286d11b445e0bee3cbc?utm_source=1100&amp;utm_campaign=Software Engineering</v>
      </c>
      <c r="M299" s="89" t="str">
        <f>IFERROR(__xludf.DUMMYFUNCTION("""COMPUTED_VALUE"""),"")</f>
        <v/>
      </c>
      <c r="N299" s="89">
        <f>IFERROR(__xludf.DUMMYFUNCTION("""COMPUTED_VALUE"""),68.0)</f>
        <v>68</v>
      </c>
      <c r="P299" s="52" t="str">
        <f t="shared" si="22"/>
        <v>0</v>
      </c>
      <c r="R299" s="52" t="str">
        <f t="shared" si="32"/>
        <v>Review</v>
      </c>
      <c r="Z299" s="81">
        <v>46051.0</v>
      </c>
      <c r="AA299" s="81" t="s">
        <v>3995</v>
      </c>
      <c r="AB299" s="81" t="s">
        <v>3991</v>
      </c>
      <c r="AC299" s="81">
        <f t="shared" si="5"/>
        <v>46048</v>
      </c>
      <c r="AD299" s="82">
        <f t="shared" si="6"/>
        <v>4</v>
      </c>
    </row>
    <row r="300">
      <c r="A300" s="104">
        <v>46051.0</v>
      </c>
      <c r="B300" s="89" t="s">
        <v>988</v>
      </c>
      <c r="C300" s="89" t="s">
        <v>989</v>
      </c>
      <c r="D300" s="89" t="s">
        <v>990</v>
      </c>
      <c r="E300" s="89"/>
      <c r="F300" s="81">
        <f>IFERROR(__xludf.DUMMYFUNCTION("""COMPUTED_VALUE"""),46051.0)</f>
        <v>46051</v>
      </c>
      <c r="G300" s="89" t="s">
        <v>3989</v>
      </c>
      <c r="H300" s="89">
        <v>5.0</v>
      </c>
      <c r="I300" s="89" t="s">
        <v>3972</v>
      </c>
      <c r="J300" s="89" t="str">
        <f t="shared" si="18"/>
        <v>No</v>
      </c>
      <c r="K300" s="89" t="str">
        <f t="shared" si="23"/>
        <v>No</v>
      </c>
      <c r="L300" s="89" t="str">
        <f>IFERROR(__xludf.DUMMYFUNCTION("""COMPUTED_VALUE"""),"https://jobright.ai/jobs/info/697c23310b88cc7d64232804?utm_source=1100&amp;utm_campaign=Software Engineering")</f>
        <v>https://jobright.ai/jobs/info/697c23310b88cc7d64232804?utm_source=1100&amp;utm_campaign=Software Engineering</v>
      </c>
      <c r="M300" s="89" t="str">
        <f>IFERROR(__xludf.DUMMYFUNCTION("""COMPUTED_VALUE"""),"")</f>
        <v/>
      </c>
      <c r="N300" s="89">
        <f>IFERROR(__xludf.DUMMYFUNCTION("""COMPUTED_VALUE"""),697.0)</f>
        <v>697</v>
      </c>
      <c r="P300" s="52" t="str">
        <f t="shared" si="22"/>
        <v>0</v>
      </c>
      <c r="R300" s="52" t="str">
        <f t="shared" si="32"/>
        <v>Review</v>
      </c>
      <c r="Z300" s="81">
        <v>46051.0</v>
      </c>
      <c r="AA300" s="81" t="s">
        <v>3995</v>
      </c>
      <c r="AB300" s="81" t="s">
        <v>3991</v>
      </c>
      <c r="AC300" s="81">
        <f t="shared" si="5"/>
        <v>46048</v>
      </c>
      <c r="AD300" s="82">
        <f t="shared" si="6"/>
        <v>4</v>
      </c>
    </row>
    <row r="301">
      <c r="A301" s="104">
        <v>46051.0</v>
      </c>
      <c r="B301" s="89" t="s">
        <v>778</v>
      </c>
      <c r="C301" s="89" t="s">
        <v>779</v>
      </c>
      <c r="D301" s="89" t="s">
        <v>991</v>
      </c>
      <c r="E301" s="89"/>
      <c r="F301" s="81">
        <f>IFERROR(__xludf.DUMMYFUNCTION("""COMPUTED_VALUE"""),46051.0)</f>
        <v>46051</v>
      </c>
      <c r="G301" s="89" t="s">
        <v>3989</v>
      </c>
      <c r="H301" s="89">
        <v>5.0</v>
      </c>
      <c r="I301" s="89" t="s">
        <v>3972</v>
      </c>
      <c r="J301" s="89" t="str">
        <f t="shared" si="18"/>
        <v>No</v>
      </c>
      <c r="K301" s="89" t="str">
        <f t="shared" si="23"/>
        <v>No</v>
      </c>
      <c r="L301" s="89" t="str">
        <f>IFERROR(__xludf.DUMMYFUNCTION("""COMPUTED_VALUE"""),"https://jobright.ai/jobs/info/697bd8bb1136d179eeef6919?utm_source=1100&amp;utm_campaign=Software Engineering")</f>
        <v>https://jobright.ai/jobs/info/697bd8bb1136d179eeef6919?utm_source=1100&amp;utm_campaign=Software Engineering</v>
      </c>
      <c r="M301" s="89" t="str">
        <f>IFERROR(__xludf.DUMMYFUNCTION("""COMPUTED_VALUE"""),"")</f>
        <v/>
      </c>
      <c r="N301" s="89">
        <f>IFERROR(__xludf.DUMMYFUNCTION("""COMPUTED_VALUE"""),697.0)</f>
        <v>697</v>
      </c>
      <c r="P301" s="52" t="str">
        <f t="shared" si="22"/>
        <v>0</v>
      </c>
      <c r="R301" s="52" t="str">
        <f t="shared" si="32"/>
        <v>Review</v>
      </c>
      <c r="Z301" s="81">
        <v>46051.0</v>
      </c>
      <c r="AA301" s="81" t="s">
        <v>3995</v>
      </c>
      <c r="AB301" s="81" t="s">
        <v>3991</v>
      </c>
      <c r="AC301" s="81">
        <f t="shared" si="5"/>
        <v>46048</v>
      </c>
      <c r="AD301" s="82">
        <f t="shared" si="6"/>
        <v>4</v>
      </c>
    </row>
    <row r="302">
      <c r="A302" s="104">
        <v>46052.0</v>
      </c>
      <c r="B302" s="89" t="s">
        <v>992</v>
      </c>
      <c r="C302" s="89" t="s">
        <v>993</v>
      </c>
      <c r="D302" s="89" t="s">
        <v>994</v>
      </c>
      <c r="E302" s="89"/>
      <c r="F302" s="81">
        <f>IFERROR(__xludf.DUMMYFUNCTION("""COMPUTED_VALUE"""),46052.0)</f>
        <v>46052</v>
      </c>
      <c r="G302" s="89" t="s">
        <v>3989</v>
      </c>
      <c r="H302" s="89">
        <v>5.0</v>
      </c>
      <c r="I302" s="89" t="s">
        <v>3954</v>
      </c>
      <c r="J302" s="89" t="str">
        <f t="shared" si="18"/>
        <v>No</v>
      </c>
      <c r="K302" s="89" t="str">
        <f t="shared" si="23"/>
        <v>No</v>
      </c>
      <c r="L302" s="89" t="str">
        <f>IFERROR(__xludf.DUMMYFUNCTION("""COMPUTED_VALUE"""),"https://jobright.ai/jobs/info/697c7c6b727747250d572d7c?utm_source=1100&amp;utm_campaign=Software Engineering")</f>
        <v>https://jobright.ai/jobs/info/697c7c6b727747250d572d7c?utm_source=1100&amp;utm_campaign=Software Engineering</v>
      </c>
      <c r="M302" s="89" t="str">
        <f>IFERROR(__xludf.DUMMYFUNCTION("""COMPUTED_VALUE"""),"")</f>
        <v/>
      </c>
      <c r="N302" s="89">
        <f>IFERROR(__xludf.DUMMYFUNCTION("""COMPUTED_VALUE"""),697.0)</f>
        <v>697</v>
      </c>
      <c r="P302" s="52" t="str">
        <f t="shared" si="22"/>
        <v>0</v>
      </c>
      <c r="R302" s="52" t="str">
        <f t="shared" si="32"/>
        <v>Review</v>
      </c>
      <c r="Z302" s="81">
        <v>46052.0</v>
      </c>
      <c r="AA302" s="81" t="s">
        <v>3995</v>
      </c>
      <c r="AB302" s="81" t="s">
        <v>3991</v>
      </c>
      <c r="AC302" s="81">
        <f t="shared" si="5"/>
        <v>46048</v>
      </c>
      <c r="AD302" s="82">
        <f t="shared" si="6"/>
        <v>5</v>
      </c>
    </row>
    <row r="303">
      <c r="A303" s="96">
        <v>46052.48121527778</v>
      </c>
      <c r="B303" s="89" t="s">
        <v>995</v>
      </c>
      <c r="C303" s="89" t="s">
        <v>775</v>
      </c>
      <c r="D303" s="89" t="s">
        <v>996</v>
      </c>
      <c r="E303" s="90" t="s">
        <v>997</v>
      </c>
      <c r="F303" s="81">
        <f>IFERROR(__xludf.DUMMYFUNCTION("""COMPUTED_VALUE"""),46052.48121527778)</f>
        <v>46052.48122</v>
      </c>
      <c r="G303" s="89" t="s">
        <v>3989</v>
      </c>
      <c r="H303" s="89">
        <v>5.0</v>
      </c>
      <c r="I303" s="89" t="s">
        <v>3954</v>
      </c>
      <c r="J303" s="89" t="str">
        <f t="shared" si="18"/>
        <v>No</v>
      </c>
      <c r="K303" s="89" t="str">
        <f t="shared" si="23"/>
        <v>No</v>
      </c>
      <c r="L303" s="89" t="str">
        <f>IFERROR(__xludf.DUMMYFUNCTION("""COMPUTED_VALUE"""),"Dallas, TX")</f>
        <v>Dallas, TX</v>
      </c>
      <c r="M303" s="89" t="str">
        <f>IFERROR(__xludf.DUMMYFUNCTION("""COMPUTED_VALUE"""),"")</f>
        <v/>
      </c>
      <c r="N303" s="89" t="str">
        <f>IFERROR(__xludf.DUMMYFUNCTION("""COMPUTED_VALUE"""),"")</f>
        <v/>
      </c>
      <c r="P303" s="52" t="str">
        <f t="shared" si="22"/>
        <v>0</v>
      </c>
      <c r="R303" s="52" t="str">
        <f t="shared" si="32"/>
        <v>Review</v>
      </c>
      <c r="Z303" s="81">
        <v>46052.0</v>
      </c>
      <c r="AA303" s="81" t="s">
        <v>3995</v>
      </c>
      <c r="AB303" s="81" t="s">
        <v>3991</v>
      </c>
      <c r="AC303" s="81">
        <f t="shared" si="5"/>
        <v>46048</v>
      </c>
      <c r="AD303" s="82">
        <f t="shared" si="6"/>
        <v>5</v>
      </c>
    </row>
    <row r="304">
      <c r="A304" s="104">
        <v>46052.0</v>
      </c>
      <c r="B304" s="89" t="s">
        <v>998</v>
      </c>
      <c r="C304" s="89" t="s">
        <v>220</v>
      </c>
      <c r="D304" s="89" t="s">
        <v>999</v>
      </c>
      <c r="E304" s="89"/>
      <c r="F304" s="81">
        <f>IFERROR(__xludf.DUMMYFUNCTION("""COMPUTED_VALUE"""),46052.0)</f>
        <v>46052</v>
      </c>
      <c r="G304" s="89" t="s">
        <v>3989</v>
      </c>
      <c r="H304" s="89">
        <v>5.0</v>
      </c>
      <c r="I304" s="89" t="s">
        <v>3954</v>
      </c>
      <c r="J304" s="89" t="str">
        <f t="shared" si="18"/>
        <v>No</v>
      </c>
      <c r="K304" s="89" t="str">
        <f t="shared" si="23"/>
        <v>No</v>
      </c>
      <c r="L304" s="89" t="str">
        <f>IFERROR(__xludf.DUMMYFUNCTION("""COMPUTED_VALUE"""),"https://jobright.ai/jobs/info/697c8ac0727747250d574c88?utm_source=1100&amp;utm_campaign=Software Engineering")</f>
        <v>https://jobright.ai/jobs/info/697c8ac0727747250d574c88?utm_source=1100&amp;utm_campaign=Software Engineering</v>
      </c>
      <c r="M304" s="89" t="str">
        <f>IFERROR(__xludf.DUMMYFUNCTION("""COMPUTED_VALUE"""),"")</f>
        <v/>
      </c>
      <c r="N304" s="89">
        <f>IFERROR(__xludf.DUMMYFUNCTION("""COMPUTED_VALUE"""),697.0)</f>
        <v>697</v>
      </c>
      <c r="P304" s="52" t="str">
        <f t="shared" si="22"/>
        <v>0</v>
      </c>
      <c r="R304" s="52" t="str">
        <f t="shared" si="32"/>
        <v>Review</v>
      </c>
      <c r="Z304" s="81">
        <v>46052.0</v>
      </c>
      <c r="AA304" s="81" t="s">
        <v>3995</v>
      </c>
      <c r="AB304" s="81" t="s">
        <v>3991</v>
      </c>
      <c r="AC304" s="81">
        <f t="shared" si="5"/>
        <v>46048</v>
      </c>
      <c r="AD304" s="82">
        <f t="shared" si="6"/>
        <v>5</v>
      </c>
    </row>
    <row r="305">
      <c r="A305" s="104">
        <v>46052.0</v>
      </c>
      <c r="B305" s="89" t="s">
        <v>1000</v>
      </c>
      <c r="C305" s="89" t="s">
        <v>842</v>
      </c>
      <c r="D305" s="89" t="s">
        <v>1001</v>
      </c>
      <c r="E305" s="89"/>
      <c r="F305" s="81">
        <f>IFERROR(__xludf.DUMMYFUNCTION("""COMPUTED_VALUE"""),46052.0)</f>
        <v>46052</v>
      </c>
      <c r="G305" s="89" t="s">
        <v>3989</v>
      </c>
      <c r="H305" s="89">
        <v>5.0</v>
      </c>
      <c r="I305" s="89" t="s">
        <v>3954</v>
      </c>
      <c r="J305" s="89" t="str">
        <f t="shared" si="18"/>
        <v>No</v>
      </c>
      <c r="K305" s="89" t="str">
        <f t="shared" si="23"/>
        <v>No</v>
      </c>
      <c r="L305" s="89" t="str">
        <f>IFERROR(__xludf.DUMMYFUNCTION("""COMPUTED_VALUE"""),"https://jobright.ai/jobs/info/6944adcf50bbaf765056c56d?utm_source=1100&amp;utm_campaign=Software Engineering")</f>
        <v>https://jobright.ai/jobs/info/6944adcf50bbaf765056c56d?utm_source=1100&amp;utm_campaign=Software Engineering</v>
      </c>
      <c r="M305" s="89" t="str">
        <f>IFERROR(__xludf.DUMMYFUNCTION("""COMPUTED_VALUE"""),"")</f>
        <v/>
      </c>
      <c r="N305" s="89">
        <f>IFERROR(__xludf.DUMMYFUNCTION("""COMPUTED_VALUE"""),6944.0)</f>
        <v>6944</v>
      </c>
      <c r="P305" s="52" t="str">
        <f t="shared" si="22"/>
        <v>0</v>
      </c>
      <c r="R305" s="52" t="str">
        <f t="shared" si="32"/>
        <v>Review</v>
      </c>
      <c r="Z305" s="81">
        <v>46052.0</v>
      </c>
      <c r="AA305" s="81" t="s">
        <v>3995</v>
      </c>
      <c r="AB305" s="81" t="s">
        <v>3991</v>
      </c>
      <c r="AC305" s="81">
        <f t="shared" si="5"/>
        <v>46048</v>
      </c>
      <c r="AD305" s="82">
        <f t="shared" si="6"/>
        <v>5</v>
      </c>
    </row>
    <row r="306">
      <c r="A306" s="104">
        <v>46052.0</v>
      </c>
      <c r="B306" s="89" t="s">
        <v>1000</v>
      </c>
      <c r="C306" s="89" t="s">
        <v>842</v>
      </c>
      <c r="D306" s="89" t="s">
        <v>1002</v>
      </c>
      <c r="E306" s="89"/>
      <c r="F306" s="81">
        <f>IFERROR(__xludf.DUMMYFUNCTION("""COMPUTED_VALUE"""),46052.0)</f>
        <v>46052</v>
      </c>
      <c r="G306" s="89" t="s">
        <v>3989</v>
      </c>
      <c r="H306" s="89">
        <v>5.0</v>
      </c>
      <c r="I306" s="89" t="s">
        <v>3954</v>
      </c>
      <c r="J306" s="89" t="str">
        <f t="shared" si="18"/>
        <v>No</v>
      </c>
      <c r="K306" s="89" t="str">
        <f t="shared" si="23"/>
        <v>No</v>
      </c>
      <c r="L306" s="89" t="str">
        <f>IFERROR(__xludf.DUMMYFUNCTION("""COMPUTED_VALUE"""),"https://jobright.ai/jobs/info/6944b4c9a7227b3ece666036?utm_source=1100&amp;utm_campaign=Software Engineering")</f>
        <v>https://jobright.ai/jobs/info/6944b4c9a7227b3ece666036?utm_source=1100&amp;utm_campaign=Software Engineering</v>
      </c>
      <c r="M306" s="89" t="str">
        <f>IFERROR(__xludf.DUMMYFUNCTION("""COMPUTED_VALUE"""),"")</f>
        <v/>
      </c>
      <c r="N306" s="89">
        <f>IFERROR(__xludf.DUMMYFUNCTION("""COMPUTED_VALUE"""),6944.0)</f>
        <v>6944</v>
      </c>
      <c r="P306" s="52" t="str">
        <f t="shared" si="22"/>
        <v>0</v>
      </c>
      <c r="R306" s="52" t="str">
        <f t="shared" si="32"/>
        <v>Review</v>
      </c>
      <c r="Z306" s="81">
        <v>46052.0</v>
      </c>
      <c r="AA306" s="81" t="s">
        <v>3995</v>
      </c>
      <c r="AB306" s="81" t="s">
        <v>3991</v>
      </c>
      <c r="AC306" s="81">
        <f t="shared" si="5"/>
        <v>46048</v>
      </c>
      <c r="AD306" s="82">
        <f t="shared" si="6"/>
        <v>5</v>
      </c>
    </row>
    <row r="307">
      <c r="A307" s="104">
        <v>46052.0</v>
      </c>
      <c r="B307" s="89" t="s">
        <v>841</v>
      </c>
      <c r="C307" s="89" t="s">
        <v>842</v>
      </c>
      <c r="D307" s="89" t="s">
        <v>1003</v>
      </c>
      <c r="E307" s="89"/>
      <c r="F307" s="81">
        <f>IFERROR(__xludf.DUMMYFUNCTION("""COMPUTED_VALUE"""),46052.0)</f>
        <v>46052</v>
      </c>
      <c r="G307" s="89" t="s">
        <v>3989</v>
      </c>
      <c r="H307" s="89">
        <v>5.0</v>
      </c>
      <c r="I307" s="89" t="s">
        <v>3954</v>
      </c>
      <c r="J307" s="89" t="str">
        <f t="shared" si="18"/>
        <v>No</v>
      </c>
      <c r="K307" s="89" t="str">
        <f t="shared" si="23"/>
        <v>No</v>
      </c>
      <c r="L307" s="89" t="str">
        <f>IFERROR(__xludf.DUMMYFUNCTION("""COMPUTED_VALUE"""),"https://jobright.ai/jobs/info/6940950caa598a08c3f0408c?utm_source=1100&amp;utm_campaign=Software Engineering")</f>
        <v>https://jobright.ai/jobs/info/6940950caa598a08c3f0408c?utm_source=1100&amp;utm_campaign=Software Engineering</v>
      </c>
      <c r="M307" s="89" t="str">
        <f>IFERROR(__xludf.DUMMYFUNCTION("""COMPUTED_VALUE"""),"")</f>
        <v/>
      </c>
      <c r="N307" s="89">
        <f>IFERROR(__xludf.DUMMYFUNCTION("""COMPUTED_VALUE"""),6940950.0)</f>
        <v>6940950</v>
      </c>
      <c r="P307" s="52" t="str">
        <f t="shared" si="22"/>
        <v>0</v>
      </c>
      <c r="R307" s="52" t="str">
        <f t="shared" si="32"/>
        <v>Review</v>
      </c>
      <c r="Z307" s="81">
        <v>46052.0</v>
      </c>
      <c r="AA307" s="81" t="s">
        <v>3995</v>
      </c>
      <c r="AB307" s="81" t="s">
        <v>3991</v>
      </c>
      <c r="AC307" s="81">
        <f t="shared" si="5"/>
        <v>46048</v>
      </c>
      <c r="AD307" s="82">
        <f t="shared" si="6"/>
        <v>5</v>
      </c>
    </row>
    <row r="308">
      <c r="A308" s="96">
        <v>46052.497511574074</v>
      </c>
      <c r="B308" s="89" t="s">
        <v>1004</v>
      </c>
      <c r="C308" s="89" t="s">
        <v>1005</v>
      </c>
      <c r="D308" s="89" t="s">
        <v>1006</v>
      </c>
      <c r="E308" s="90" t="s">
        <v>1007</v>
      </c>
      <c r="F308" s="81">
        <f>IFERROR(__xludf.DUMMYFUNCTION("""COMPUTED_VALUE"""),46052.497511574074)</f>
        <v>46052.49751</v>
      </c>
      <c r="G308" s="89" t="s">
        <v>3989</v>
      </c>
      <c r="H308" s="89">
        <v>5.0</v>
      </c>
      <c r="I308" s="89" t="s">
        <v>3954</v>
      </c>
      <c r="J308" s="89" t="str">
        <f t="shared" si="18"/>
        <v>No</v>
      </c>
      <c r="K308" s="89" t="str">
        <f t="shared" si="23"/>
        <v>No</v>
      </c>
      <c r="L308" s="89" t="str">
        <f>IFERROR(__xludf.DUMMYFUNCTION("""COMPUTED_VALUE"""),"Draper, UT")</f>
        <v>Draper, UT</v>
      </c>
      <c r="M308" s="89" t="str">
        <f>IFERROR(__xludf.DUMMYFUNCTION("""COMPUTED_VALUE"""),"Reposted 5 hours ago")</f>
        <v>Reposted 5 hours ago</v>
      </c>
      <c r="N308" s="89">
        <f>IFERROR(__xludf.DUMMYFUNCTION("""COMPUTED_VALUE"""),5.0)</f>
        <v>5</v>
      </c>
      <c r="P308" s="52" t="str">
        <f t="shared" si="22"/>
        <v>0</v>
      </c>
      <c r="R308" s="52" t="str">
        <f t="shared" si="32"/>
        <v>Review</v>
      </c>
      <c r="Z308" s="81">
        <v>46052.0</v>
      </c>
      <c r="AA308" s="81" t="s">
        <v>3995</v>
      </c>
      <c r="AB308" s="81" t="s">
        <v>3991</v>
      </c>
      <c r="AC308" s="81">
        <f t="shared" si="5"/>
        <v>46048</v>
      </c>
      <c r="AD308" s="82">
        <f t="shared" si="6"/>
        <v>5</v>
      </c>
    </row>
    <row r="309">
      <c r="A309" s="104">
        <v>46051.0</v>
      </c>
      <c r="B309" s="89" t="s">
        <v>1008</v>
      </c>
      <c r="C309" s="89" t="s">
        <v>1009</v>
      </c>
      <c r="D309" s="89" t="s">
        <v>1010</v>
      </c>
      <c r="E309" s="89"/>
      <c r="F309" s="81">
        <f>IFERROR(__xludf.DUMMYFUNCTION("""COMPUTED_VALUE"""),46051.0)</f>
        <v>46051</v>
      </c>
      <c r="G309" s="89" t="s">
        <v>3989</v>
      </c>
      <c r="H309" s="89">
        <v>5.0</v>
      </c>
      <c r="I309" s="89" t="s">
        <v>3972</v>
      </c>
      <c r="J309" s="89" t="str">
        <f t="shared" si="18"/>
        <v>No</v>
      </c>
      <c r="K309" s="89" t="str">
        <f t="shared" si="23"/>
        <v>No</v>
      </c>
      <c r="L309" s="89" t="str">
        <f>IFERROR(__xludf.DUMMYFUNCTION("""COMPUTED_VALUE"""),"https://jobright.ai/jobs/info/697bb89d0b88cc7d642283ca?utm_source=1100&amp;utm_campaign=Software Engineering")</f>
        <v>https://jobright.ai/jobs/info/697bb89d0b88cc7d642283ca?utm_source=1100&amp;utm_campaign=Software Engineering</v>
      </c>
      <c r="M309" s="89" t="str">
        <f>IFERROR(__xludf.DUMMYFUNCTION("""COMPUTED_VALUE"""),"")</f>
        <v/>
      </c>
      <c r="N309" s="89">
        <f>IFERROR(__xludf.DUMMYFUNCTION("""COMPUTED_VALUE"""),697.0)</f>
        <v>697</v>
      </c>
      <c r="P309" s="52" t="str">
        <f t="shared" si="22"/>
        <v>0</v>
      </c>
      <c r="R309" s="52" t="str">
        <f t="shared" si="32"/>
        <v>Review</v>
      </c>
      <c r="Z309" s="81">
        <v>46051.0</v>
      </c>
      <c r="AA309" s="81" t="s">
        <v>3995</v>
      </c>
      <c r="AB309" s="81" t="s">
        <v>3991</v>
      </c>
      <c r="AC309" s="81">
        <f t="shared" si="5"/>
        <v>46048</v>
      </c>
      <c r="AD309" s="82">
        <f t="shared" si="6"/>
        <v>4</v>
      </c>
    </row>
    <row r="310">
      <c r="A310" s="104">
        <v>46051.0</v>
      </c>
      <c r="B310" s="89" t="s">
        <v>1011</v>
      </c>
      <c r="C310" s="89" t="s">
        <v>1012</v>
      </c>
      <c r="D310" s="89" t="s">
        <v>1013</v>
      </c>
      <c r="E310" s="89"/>
      <c r="F310" s="81">
        <f>IFERROR(__xludf.DUMMYFUNCTION("""COMPUTED_VALUE"""),46051.0)</f>
        <v>46051</v>
      </c>
      <c r="G310" s="89" t="s">
        <v>3989</v>
      </c>
      <c r="H310" s="89">
        <v>5.0</v>
      </c>
      <c r="I310" s="89" t="s">
        <v>3972</v>
      </c>
      <c r="J310" s="89" t="str">
        <f t="shared" si="18"/>
        <v>No</v>
      </c>
      <c r="K310" s="89" t="str">
        <f t="shared" si="23"/>
        <v>No</v>
      </c>
      <c r="L310" s="89" t="str">
        <f>IFERROR(__xludf.DUMMYFUNCTION("""COMPUTED_VALUE"""),"https://jobright.ai/jobs/info/697c8112137a0510256584f5?utm_source=1100&amp;utm_campaign=Software Engineering")</f>
        <v>https://jobright.ai/jobs/info/697c8112137a0510256584f5?utm_source=1100&amp;utm_campaign=Software Engineering</v>
      </c>
      <c r="M310" s="89" t="str">
        <f>IFERROR(__xludf.DUMMYFUNCTION("""COMPUTED_VALUE"""),"")</f>
        <v/>
      </c>
      <c r="N310" s="89">
        <f>IFERROR(__xludf.DUMMYFUNCTION("""COMPUTED_VALUE"""),697.0)</f>
        <v>697</v>
      </c>
      <c r="P310" s="52" t="str">
        <f t="shared" si="22"/>
        <v>0</v>
      </c>
      <c r="R310" s="52" t="str">
        <f t="shared" si="32"/>
        <v>Review</v>
      </c>
      <c r="Z310" s="81">
        <v>46051.0</v>
      </c>
      <c r="AA310" s="81" t="s">
        <v>3995</v>
      </c>
      <c r="AB310" s="81" t="s">
        <v>3991</v>
      </c>
      <c r="AC310" s="81">
        <f t="shared" si="5"/>
        <v>46048</v>
      </c>
      <c r="AD310" s="82">
        <f t="shared" si="6"/>
        <v>4</v>
      </c>
    </row>
    <row r="311">
      <c r="A311" s="104">
        <v>46051.0</v>
      </c>
      <c r="B311" s="89" t="s">
        <v>1011</v>
      </c>
      <c r="C311" s="89" t="s">
        <v>998</v>
      </c>
      <c r="D311" s="89" t="s">
        <v>1014</v>
      </c>
      <c r="E311" s="89"/>
      <c r="F311" s="81">
        <f>IFERROR(__xludf.DUMMYFUNCTION("""COMPUTED_VALUE"""),46051.0)</f>
        <v>46051</v>
      </c>
      <c r="G311" s="89" t="s">
        <v>3989</v>
      </c>
      <c r="H311" s="89">
        <v>5.0</v>
      </c>
      <c r="I311" s="89" t="s">
        <v>3972</v>
      </c>
      <c r="J311" s="89" t="str">
        <f t="shared" si="18"/>
        <v>No</v>
      </c>
      <c r="K311" s="89" t="str">
        <f t="shared" si="23"/>
        <v>No</v>
      </c>
      <c r="L311" s="89" t="str">
        <f>IFERROR(__xludf.DUMMYFUNCTION("""COMPUTED_VALUE"""),"https://jobright.ai/jobs/info/697c8103137a0510256584cf?utm_source=1100&amp;utm_campaign=Software Engineering")</f>
        <v>https://jobright.ai/jobs/info/697c8103137a0510256584cf?utm_source=1100&amp;utm_campaign=Software Engineering</v>
      </c>
      <c r="M311" s="89" t="str">
        <f>IFERROR(__xludf.DUMMYFUNCTION("""COMPUTED_VALUE"""),"")</f>
        <v/>
      </c>
      <c r="N311" s="89">
        <f>IFERROR(__xludf.DUMMYFUNCTION("""COMPUTED_VALUE"""),697.0)</f>
        <v>697</v>
      </c>
      <c r="P311" s="52" t="str">
        <f t="shared" si="22"/>
        <v>0</v>
      </c>
      <c r="R311" s="52" t="str">
        <f t="shared" si="32"/>
        <v>Review</v>
      </c>
      <c r="Z311" s="81">
        <v>46051.0</v>
      </c>
      <c r="AA311" s="81" t="s">
        <v>3995</v>
      </c>
      <c r="AB311" s="81" t="s">
        <v>3991</v>
      </c>
      <c r="AC311" s="81">
        <f t="shared" si="5"/>
        <v>46048</v>
      </c>
      <c r="AD311" s="82">
        <f t="shared" si="6"/>
        <v>4</v>
      </c>
    </row>
    <row r="312">
      <c r="A312" s="104">
        <v>46051.0</v>
      </c>
      <c r="B312" s="89" t="s">
        <v>1011</v>
      </c>
      <c r="C312" s="89" t="s">
        <v>1015</v>
      </c>
      <c r="D312" s="89" t="s">
        <v>1016</v>
      </c>
      <c r="E312" s="89"/>
      <c r="F312" s="81">
        <f>IFERROR(__xludf.DUMMYFUNCTION("""COMPUTED_VALUE"""),46051.0)</f>
        <v>46051</v>
      </c>
      <c r="G312" s="89" t="s">
        <v>3989</v>
      </c>
      <c r="H312" s="89">
        <v>5.0</v>
      </c>
      <c r="I312" s="89" t="s">
        <v>3972</v>
      </c>
      <c r="J312" s="89" t="str">
        <f t="shared" si="18"/>
        <v>No</v>
      </c>
      <c r="K312" s="89" t="str">
        <f t="shared" si="23"/>
        <v>No</v>
      </c>
      <c r="L312" s="89" t="str">
        <f>IFERROR(__xludf.DUMMYFUNCTION("""COMPUTED_VALUE"""),"https://jobright.ai/jobs/info/697c7af6727747250d572a0e?utm_source=1100&amp;utm_campaign=Software Engineering")</f>
        <v>https://jobright.ai/jobs/info/697c7af6727747250d572a0e?utm_source=1100&amp;utm_campaign=Software Engineering</v>
      </c>
      <c r="M312" s="89" t="str">
        <f>IFERROR(__xludf.DUMMYFUNCTION("""COMPUTED_VALUE"""),"")</f>
        <v/>
      </c>
      <c r="N312" s="89">
        <f>IFERROR(__xludf.DUMMYFUNCTION("""COMPUTED_VALUE"""),697.0)</f>
        <v>697</v>
      </c>
      <c r="P312" s="52" t="str">
        <f t="shared" si="22"/>
        <v>0</v>
      </c>
      <c r="R312" s="52" t="str">
        <f t="shared" si="32"/>
        <v>Review</v>
      </c>
      <c r="Z312" s="81">
        <v>46051.0</v>
      </c>
      <c r="AA312" s="81" t="s">
        <v>3995</v>
      </c>
      <c r="AB312" s="81" t="s">
        <v>3991</v>
      </c>
      <c r="AC312" s="81">
        <f t="shared" si="5"/>
        <v>46048</v>
      </c>
      <c r="AD312" s="82">
        <f t="shared" si="6"/>
        <v>4</v>
      </c>
    </row>
    <row r="313">
      <c r="A313" s="104">
        <v>46051.0</v>
      </c>
      <c r="B313" s="89" t="s">
        <v>1011</v>
      </c>
      <c r="C313" s="89" t="s">
        <v>1015</v>
      </c>
      <c r="D313" s="89" t="s">
        <v>1017</v>
      </c>
      <c r="E313" s="89"/>
      <c r="F313" s="81">
        <f>IFERROR(__xludf.DUMMYFUNCTION("""COMPUTED_VALUE"""),46051.0)</f>
        <v>46051</v>
      </c>
      <c r="G313" s="89" t="s">
        <v>3989</v>
      </c>
      <c r="H313" s="89">
        <v>5.0</v>
      </c>
      <c r="I313" s="89" t="s">
        <v>3972</v>
      </c>
      <c r="J313" s="89" t="str">
        <f t="shared" si="18"/>
        <v>No</v>
      </c>
      <c r="K313" s="89" t="str">
        <f t="shared" si="23"/>
        <v>No</v>
      </c>
      <c r="L313" s="89" t="str">
        <f>IFERROR(__xludf.DUMMYFUNCTION("""COMPUTED_VALUE"""),"https://jobright.ai/jobs/info/697c7b48727747250d572c75?utm_source=1100&amp;utm_campaign=Software Engineering")</f>
        <v>https://jobright.ai/jobs/info/697c7b48727747250d572c75?utm_source=1100&amp;utm_campaign=Software Engineering</v>
      </c>
      <c r="M313" s="89" t="str">
        <f>IFERROR(__xludf.DUMMYFUNCTION("""COMPUTED_VALUE"""),"")</f>
        <v/>
      </c>
      <c r="N313" s="89">
        <f>IFERROR(__xludf.DUMMYFUNCTION("""COMPUTED_VALUE"""),697.0)</f>
        <v>697</v>
      </c>
      <c r="P313" s="52" t="str">
        <f t="shared" si="22"/>
        <v>0</v>
      </c>
      <c r="R313" s="52" t="str">
        <f t="shared" si="32"/>
        <v>Review</v>
      </c>
      <c r="Z313" s="81">
        <v>46051.0</v>
      </c>
      <c r="AA313" s="81" t="s">
        <v>3995</v>
      </c>
      <c r="AB313" s="81" t="s">
        <v>3991</v>
      </c>
      <c r="AC313" s="81">
        <f t="shared" si="5"/>
        <v>46048</v>
      </c>
      <c r="AD313" s="82">
        <f t="shared" si="6"/>
        <v>4</v>
      </c>
    </row>
    <row r="314">
      <c r="A314" s="104">
        <v>46051.0</v>
      </c>
      <c r="B314" s="89" t="s">
        <v>1011</v>
      </c>
      <c r="C314" s="89" t="s">
        <v>1018</v>
      </c>
      <c r="D314" s="89" t="s">
        <v>1019</v>
      </c>
      <c r="E314" s="89"/>
      <c r="F314" s="81">
        <f>IFERROR(__xludf.DUMMYFUNCTION("""COMPUTED_VALUE"""),46051.0)</f>
        <v>46051</v>
      </c>
      <c r="G314" s="89" t="s">
        <v>3989</v>
      </c>
      <c r="H314" s="89">
        <v>5.0</v>
      </c>
      <c r="I314" s="89" t="s">
        <v>3972</v>
      </c>
      <c r="J314" s="89" t="str">
        <f t="shared" si="18"/>
        <v>No</v>
      </c>
      <c r="K314" s="89" t="str">
        <f t="shared" si="23"/>
        <v>No</v>
      </c>
      <c r="L314" s="89" t="str">
        <f>IFERROR(__xludf.DUMMYFUNCTION("""COMPUTED_VALUE"""),"https://jobright.ai/jobs/info/697c811e137a0510256584ff?utm_source=1100&amp;utm_campaign=Software Engineering")</f>
        <v>https://jobright.ai/jobs/info/697c811e137a0510256584ff?utm_source=1100&amp;utm_campaign=Software Engineering</v>
      </c>
      <c r="M314" s="89" t="str">
        <f>IFERROR(__xludf.DUMMYFUNCTION("""COMPUTED_VALUE"""),"")</f>
        <v/>
      </c>
      <c r="N314" s="89">
        <f>IFERROR(__xludf.DUMMYFUNCTION("""COMPUTED_VALUE"""),697.0)</f>
        <v>697</v>
      </c>
      <c r="P314" s="52" t="str">
        <f t="shared" si="22"/>
        <v>0</v>
      </c>
      <c r="R314" s="52" t="str">
        <f t="shared" si="32"/>
        <v>Review</v>
      </c>
      <c r="Z314" s="81">
        <v>46051.0</v>
      </c>
      <c r="AA314" s="81" t="s">
        <v>3995</v>
      </c>
      <c r="AB314" s="81" t="s">
        <v>3991</v>
      </c>
      <c r="AC314" s="81">
        <f t="shared" si="5"/>
        <v>46048</v>
      </c>
      <c r="AD314" s="82">
        <f t="shared" si="6"/>
        <v>4</v>
      </c>
    </row>
    <row r="315">
      <c r="A315" s="104">
        <v>46051.0</v>
      </c>
      <c r="B315" s="89" t="s">
        <v>1011</v>
      </c>
      <c r="C315" s="89" t="s">
        <v>998</v>
      </c>
      <c r="D315" s="89" t="s">
        <v>1020</v>
      </c>
      <c r="E315" s="89"/>
      <c r="F315" s="81">
        <f>IFERROR(__xludf.DUMMYFUNCTION("""COMPUTED_VALUE"""),46051.0)</f>
        <v>46051</v>
      </c>
      <c r="G315" s="89" t="s">
        <v>3989</v>
      </c>
      <c r="H315" s="89">
        <v>5.0</v>
      </c>
      <c r="I315" s="89" t="s">
        <v>3972</v>
      </c>
      <c r="J315" s="89" t="str">
        <f t="shared" si="18"/>
        <v>No</v>
      </c>
      <c r="K315" s="89" t="str">
        <f t="shared" si="23"/>
        <v>No</v>
      </c>
      <c r="L315" s="89" t="str">
        <f>IFERROR(__xludf.DUMMYFUNCTION("""COMPUTED_VALUE"""),"https://jobright.ai/jobs/info/697c8112137a0510256584f4?utm_source=1100&amp;utm_campaign=Software Engineering")</f>
        <v>https://jobright.ai/jobs/info/697c8112137a0510256584f4?utm_source=1100&amp;utm_campaign=Software Engineering</v>
      </c>
      <c r="M315" s="89" t="str">
        <f>IFERROR(__xludf.DUMMYFUNCTION("""COMPUTED_VALUE"""),"")</f>
        <v/>
      </c>
      <c r="N315" s="89">
        <f>IFERROR(__xludf.DUMMYFUNCTION("""COMPUTED_VALUE"""),697.0)</f>
        <v>697</v>
      </c>
      <c r="P315" s="52" t="str">
        <f t="shared" si="22"/>
        <v>0</v>
      </c>
      <c r="R315" s="52" t="str">
        <f t="shared" si="32"/>
        <v>Review</v>
      </c>
      <c r="Z315" s="81">
        <v>46051.0</v>
      </c>
      <c r="AA315" s="81" t="s">
        <v>3995</v>
      </c>
      <c r="AB315" s="81" t="s">
        <v>3991</v>
      </c>
      <c r="AC315" s="81">
        <f t="shared" si="5"/>
        <v>46048</v>
      </c>
      <c r="AD315" s="82">
        <f t="shared" si="6"/>
        <v>4</v>
      </c>
    </row>
    <row r="316">
      <c r="A316" s="104">
        <v>46058.0</v>
      </c>
      <c r="B316" s="89" t="s">
        <v>1021</v>
      </c>
      <c r="C316" s="89" t="s">
        <v>1022</v>
      </c>
      <c r="D316" s="89" t="s">
        <v>971</v>
      </c>
      <c r="E316" s="89" t="s">
        <v>1023</v>
      </c>
      <c r="F316" s="81">
        <f>IFERROR(__xludf.DUMMYFUNCTION("""COMPUTED_VALUE"""),46058.0)</f>
        <v>46058</v>
      </c>
      <c r="G316" s="89" t="s">
        <v>3996</v>
      </c>
      <c r="H316" s="89">
        <v>6.0</v>
      </c>
      <c r="I316" s="89" t="s">
        <v>3972</v>
      </c>
      <c r="J316" s="89" t="str">
        <f t="shared" si="18"/>
        <v>No</v>
      </c>
      <c r="K316" s="89" t="str">
        <f t="shared" si="23"/>
        <v>No</v>
      </c>
      <c r="L316" s="89" t="str">
        <f>IFERROR(__xludf.DUMMYFUNCTION("""COMPUTED_VALUE"""),"On Site")</f>
        <v>On Site</v>
      </c>
      <c r="M316" s="89" t="str">
        <f>IFERROR(__xludf.DUMMYFUNCTION("""COMPUTED_VALUE"""),"")</f>
        <v/>
      </c>
      <c r="N316" s="89" t="str">
        <f>IFERROR(__xludf.DUMMYFUNCTION("""COMPUTED_VALUE"""),"")</f>
        <v/>
      </c>
      <c r="P316" s="52" t="str">
        <f t="shared" si="22"/>
        <v>0</v>
      </c>
      <c r="R316" s="52" t="str">
        <f t="shared" si="32"/>
        <v>Review</v>
      </c>
      <c r="Z316" s="81">
        <v>46058.0</v>
      </c>
      <c r="AA316" s="81" t="s">
        <v>3997</v>
      </c>
      <c r="AB316" s="81" t="s">
        <v>3998</v>
      </c>
      <c r="AC316" s="81">
        <f t="shared" si="5"/>
        <v>46055</v>
      </c>
      <c r="AD316" s="82">
        <f t="shared" si="6"/>
        <v>4</v>
      </c>
    </row>
    <row r="317">
      <c r="A317" s="104">
        <v>46056.0</v>
      </c>
      <c r="B317" s="89" t="s">
        <v>1029</v>
      </c>
      <c r="C317" s="89" t="s">
        <v>1030</v>
      </c>
      <c r="D317" s="89" t="s">
        <v>971</v>
      </c>
      <c r="E317" s="89" t="s">
        <v>1031</v>
      </c>
      <c r="F317" s="81">
        <f>IFERROR(__xludf.DUMMYFUNCTION("""COMPUTED_VALUE"""),46056.0)</f>
        <v>46056</v>
      </c>
      <c r="G317" s="89" t="s">
        <v>3996</v>
      </c>
      <c r="H317" s="89">
        <v>6.0</v>
      </c>
      <c r="I317" s="89" t="s">
        <v>3966</v>
      </c>
      <c r="J317" s="89" t="str">
        <f t="shared" si="18"/>
        <v>No</v>
      </c>
      <c r="K317" s="89" t="str">
        <f t="shared" si="23"/>
        <v>No</v>
      </c>
      <c r="L317" s="89" t="str">
        <f>IFERROR(__xludf.DUMMYFUNCTION("""COMPUTED_VALUE"""),"On Site")</f>
        <v>On Site</v>
      </c>
      <c r="M317" s="89" t="str">
        <f>IFERROR(__xludf.DUMMYFUNCTION("""COMPUTED_VALUE"""),"")</f>
        <v/>
      </c>
      <c r="N317" s="89" t="str">
        <f>IFERROR(__xludf.DUMMYFUNCTION("""COMPUTED_VALUE"""),"")</f>
        <v/>
      </c>
      <c r="P317" s="52" t="str">
        <f t="shared" si="22"/>
        <v>0</v>
      </c>
      <c r="R317" s="52" t="str">
        <f t="shared" si="32"/>
        <v>Review</v>
      </c>
      <c r="Z317" s="81">
        <v>46056.0</v>
      </c>
      <c r="AA317" s="81" t="s">
        <v>3997</v>
      </c>
      <c r="AB317" s="81" t="s">
        <v>3998</v>
      </c>
      <c r="AC317" s="81">
        <f t="shared" si="5"/>
        <v>46055</v>
      </c>
      <c r="AD317" s="82">
        <f t="shared" si="6"/>
        <v>2</v>
      </c>
    </row>
    <row r="318">
      <c r="A318" s="104">
        <v>46056.0</v>
      </c>
      <c r="B318" s="89" t="s">
        <v>1029</v>
      </c>
      <c r="C318" s="89" t="s">
        <v>1034</v>
      </c>
      <c r="D318" s="89" t="s">
        <v>971</v>
      </c>
      <c r="E318" s="89" t="s">
        <v>1035</v>
      </c>
      <c r="F318" s="81">
        <f>IFERROR(__xludf.DUMMYFUNCTION("""COMPUTED_VALUE"""),46056.0)</f>
        <v>46056</v>
      </c>
      <c r="G318" s="89" t="s">
        <v>3996</v>
      </c>
      <c r="H318" s="89">
        <v>6.0</v>
      </c>
      <c r="I318" s="89" t="s">
        <v>3966</v>
      </c>
      <c r="J318" s="89" t="str">
        <f t="shared" si="18"/>
        <v>No</v>
      </c>
      <c r="K318" s="89" t="str">
        <f t="shared" si="23"/>
        <v>No</v>
      </c>
      <c r="L318" s="89" t="str">
        <f>IFERROR(__xludf.DUMMYFUNCTION("""COMPUTED_VALUE"""),"On Site")</f>
        <v>On Site</v>
      </c>
      <c r="M318" s="89" t="str">
        <f>IFERROR(__xludf.DUMMYFUNCTION("""COMPUTED_VALUE"""),"")</f>
        <v/>
      </c>
      <c r="N318" s="89" t="str">
        <f>IFERROR(__xludf.DUMMYFUNCTION("""COMPUTED_VALUE"""),"")</f>
        <v/>
      </c>
      <c r="P318" s="52" t="str">
        <f t="shared" si="22"/>
        <v>0</v>
      </c>
      <c r="R318" s="52" t="str">
        <f t="shared" si="32"/>
        <v>Review</v>
      </c>
      <c r="Z318" s="81">
        <v>46056.0</v>
      </c>
      <c r="AA318" s="81" t="s">
        <v>3997</v>
      </c>
      <c r="AB318" s="81" t="s">
        <v>3998</v>
      </c>
      <c r="AC318" s="81">
        <f t="shared" si="5"/>
        <v>46055</v>
      </c>
      <c r="AD318" s="82">
        <f t="shared" si="6"/>
        <v>2</v>
      </c>
    </row>
    <row r="319">
      <c r="A319" s="104">
        <v>46054.0</v>
      </c>
      <c r="B319" s="89" t="s">
        <v>1037</v>
      </c>
      <c r="C319" s="89" t="s">
        <v>1038</v>
      </c>
      <c r="D319" s="89" t="s">
        <v>971</v>
      </c>
      <c r="E319" s="89" t="s">
        <v>1031</v>
      </c>
      <c r="F319" s="81">
        <f>IFERROR(__xludf.DUMMYFUNCTION("""COMPUTED_VALUE"""),46054.0)</f>
        <v>46054</v>
      </c>
      <c r="G319" s="89" t="s">
        <v>3996</v>
      </c>
      <c r="H319" s="89">
        <v>6.0</v>
      </c>
      <c r="I319" s="89" t="s">
        <v>3962</v>
      </c>
      <c r="J319" s="89" t="str">
        <f t="shared" si="18"/>
        <v>No</v>
      </c>
      <c r="K319" s="89" t="str">
        <f t="shared" si="23"/>
        <v>No</v>
      </c>
      <c r="L319" s="89" t="str">
        <f>IFERROR(__xludf.DUMMYFUNCTION("""COMPUTED_VALUE"""),"On Site")</f>
        <v>On Site</v>
      </c>
      <c r="M319" s="89" t="str">
        <f>IFERROR(__xludf.DUMMYFUNCTION("""COMPUTED_VALUE"""),"")</f>
        <v/>
      </c>
      <c r="N319" s="89" t="str">
        <f>IFERROR(__xludf.DUMMYFUNCTION("""COMPUTED_VALUE"""),"")</f>
        <v/>
      </c>
      <c r="P319" s="52" t="str">
        <f t="shared" si="22"/>
        <v>0</v>
      </c>
      <c r="R319" s="52" t="str">
        <f t="shared" si="32"/>
        <v>Review</v>
      </c>
      <c r="Z319" s="81">
        <v>46054.0</v>
      </c>
      <c r="AA319" s="81" t="s">
        <v>3995</v>
      </c>
      <c r="AB319" s="81" t="s">
        <v>3998</v>
      </c>
      <c r="AC319" s="81">
        <f t="shared" si="5"/>
        <v>46048</v>
      </c>
      <c r="AD319" s="82">
        <f t="shared" si="6"/>
        <v>7</v>
      </c>
    </row>
    <row r="320">
      <c r="A320" s="104">
        <v>46052.0</v>
      </c>
      <c r="B320" s="89" t="s">
        <v>1041</v>
      </c>
      <c r="C320" s="89" t="s">
        <v>1042</v>
      </c>
      <c r="D320" s="89" t="s">
        <v>971</v>
      </c>
      <c r="E320" s="89" t="s">
        <v>1043</v>
      </c>
      <c r="F320" s="81">
        <f>IFERROR(__xludf.DUMMYFUNCTION("""COMPUTED_VALUE"""),46052.0)</f>
        <v>46052</v>
      </c>
      <c r="G320" s="89" t="s">
        <v>3989</v>
      </c>
      <c r="H320" s="89">
        <v>5.0</v>
      </c>
      <c r="I320" s="89" t="s">
        <v>3954</v>
      </c>
      <c r="J320" s="89" t="str">
        <f t="shared" si="18"/>
        <v>No</v>
      </c>
      <c r="K320" s="89" t="str">
        <f t="shared" si="23"/>
        <v>No</v>
      </c>
      <c r="L320" s="89" t="str">
        <f>IFERROR(__xludf.DUMMYFUNCTION("""COMPUTED_VALUE"""),"On Site")</f>
        <v>On Site</v>
      </c>
      <c r="M320" s="89" t="str">
        <f>IFERROR(__xludf.DUMMYFUNCTION("""COMPUTED_VALUE"""),"")</f>
        <v/>
      </c>
      <c r="N320" s="89" t="str">
        <f>IFERROR(__xludf.DUMMYFUNCTION("""COMPUTED_VALUE"""),"")</f>
        <v/>
      </c>
      <c r="P320" s="52" t="str">
        <f t="shared" si="22"/>
        <v>0</v>
      </c>
      <c r="R320" s="52" t="str">
        <f t="shared" si="32"/>
        <v>Review</v>
      </c>
      <c r="Z320" s="81">
        <v>46052.0</v>
      </c>
      <c r="AA320" s="81" t="s">
        <v>3995</v>
      </c>
      <c r="AB320" s="81" t="s">
        <v>3991</v>
      </c>
      <c r="AC320" s="81">
        <f t="shared" si="5"/>
        <v>46048</v>
      </c>
      <c r="AD320" s="82">
        <f t="shared" si="6"/>
        <v>5</v>
      </c>
    </row>
    <row r="321">
      <c r="A321" s="104">
        <v>46058.0</v>
      </c>
      <c r="B321" s="89" t="s">
        <v>381</v>
      </c>
      <c r="C321" s="89" t="s">
        <v>1046</v>
      </c>
      <c r="D321" s="89" t="s">
        <v>969</v>
      </c>
      <c r="E321" s="89" t="s">
        <v>1047</v>
      </c>
      <c r="F321" s="81">
        <f>IFERROR(__xludf.DUMMYFUNCTION("""COMPUTED_VALUE"""),46058.0)</f>
        <v>46058</v>
      </c>
      <c r="G321" s="89" t="s">
        <v>3996</v>
      </c>
      <c r="H321" s="89">
        <v>6.0</v>
      </c>
      <c r="I321" s="89" t="s">
        <v>3972</v>
      </c>
      <c r="J321" s="89" t="str">
        <f t="shared" si="18"/>
        <v>No</v>
      </c>
      <c r="K321" s="89" t="str">
        <f t="shared" si="23"/>
        <v>No</v>
      </c>
      <c r="L321" s="89" t="str">
        <f>IFERROR(__xludf.DUMMYFUNCTION("""COMPUTED_VALUE"""),"Hybrid")</f>
        <v>Hybrid</v>
      </c>
      <c r="M321" s="89" t="str">
        <f>IFERROR(__xludf.DUMMYFUNCTION("""COMPUTED_VALUE"""),"")</f>
        <v/>
      </c>
      <c r="N321" s="89" t="str">
        <f>IFERROR(__xludf.DUMMYFUNCTION("""COMPUTED_VALUE"""),"")</f>
        <v/>
      </c>
      <c r="P321" s="52" t="str">
        <f t="shared" si="22"/>
        <v>0</v>
      </c>
      <c r="R321" s="52" t="str">
        <f t="shared" si="32"/>
        <v>Review</v>
      </c>
      <c r="Z321" s="81">
        <v>46058.0</v>
      </c>
      <c r="AA321" s="81" t="s">
        <v>3997</v>
      </c>
      <c r="AB321" s="81" t="s">
        <v>3998</v>
      </c>
      <c r="AC321" s="81">
        <f t="shared" si="5"/>
        <v>46055</v>
      </c>
      <c r="AD321" s="82">
        <f t="shared" si="6"/>
        <v>4</v>
      </c>
    </row>
    <row r="322">
      <c r="A322" s="104">
        <v>46058.0</v>
      </c>
      <c r="B322" s="89" t="s">
        <v>381</v>
      </c>
      <c r="C322" s="89" t="s">
        <v>1051</v>
      </c>
      <c r="D322" s="89" t="s">
        <v>969</v>
      </c>
      <c r="E322" s="89" t="s">
        <v>1052</v>
      </c>
      <c r="F322" s="81">
        <f>IFERROR(__xludf.DUMMYFUNCTION("""COMPUTED_VALUE"""),46058.0)</f>
        <v>46058</v>
      </c>
      <c r="G322" s="89" t="s">
        <v>3996</v>
      </c>
      <c r="H322" s="89">
        <v>6.0</v>
      </c>
      <c r="I322" s="89" t="s">
        <v>3972</v>
      </c>
      <c r="J322" s="89" t="str">
        <f t="shared" si="18"/>
        <v>No</v>
      </c>
      <c r="K322" s="89" t="str">
        <f t="shared" si="23"/>
        <v>No</v>
      </c>
      <c r="L322" s="89" t="str">
        <f>IFERROR(__xludf.DUMMYFUNCTION("""COMPUTED_VALUE"""),"Hybrid")</f>
        <v>Hybrid</v>
      </c>
      <c r="M322" s="89" t="str">
        <f>IFERROR(__xludf.DUMMYFUNCTION("""COMPUTED_VALUE"""),"")</f>
        <v/>
      </c>
      <c r="N322" s="89" t="str">
        <f>IFERROR(__xludf.DUMMYFUNCTION("""COMPUTED_VALUE"""),"")</f>
        <v/>
      </c>
      <c r="P322" s="52" t="str">
        <f t="shared" si="22"/>
        <v>0</v>
      </c>
      <c r="R322" s="52" t="str">
        <f t="shared" si="32"/>
        <v>Review</v>
      </c>
      <c r="Z322" s="81">
        <v>46058.0</v>
      </c>
      <c r="AA322" s="81" t="s">
        <v>3997</v>
      </c>
      <c r="AB322" s="81" t="s">
        <v>3998</v>
      </c>
      <c r="AC322" s="81">
        <f t="shared" si="5"/>
        <v>46055</v>
      </c>
      <c r="AD322" s="82">
        <f t="shared" si="6"/>
        <v>4</v>
      </c>
    </row>
    <row r="323">
      <c r="A323" s="104">
        <v>46058.0</v>
      </c>
      <c r="B323" s="89" t="s">
        <v>1054</v>
      </c>
      <c r="C323" s="89" t="s">
        <v>1055</v>
      </c>
      <c r="D323" s="89"/>
      <c r="E323" s="89" t="s">
        <v>909</v>
      </c>
      <c r="F323" s="81">
        <f>IFERROR(__xludf.DUMMYFUNCTION("""COMPUTED_VALUE"""),46058.0)</f>
        <v>46058</v>
      </c>
      <c r="G323" s="89" t="s">
        <v>3996</v>
      </c>
      <c r="H323" s="89">
        <v>6.0</v>
      </c>
      <c r="I323" s="89" t="s">
        <v>3972</v>
      </c>
      <c r="J323" s="89" t="str">
        <f t="shared" si="18"/>
        <v>No</v>
      </c>
      <c r="K323" s="89" t="str">
        <f t="shared" si="23"/>
        <v>No</v>
      </c>
      <c r="L323" s="89" t="str">
        <f>IFERROR(__xludf.DUMMYFUNCTION("""COMPUTED_VALUE"""),"")</f>
        <v/>
      </c>
      <c r="M323" s="89" t="str">
        <f>IFERROR(__xludf.DUMMYFUNCTION("""COMPUTED_VALUE"""),"")</f>
        <v/>
      </c>
      <c r="N323" s="89" t="str">
        <f>IFERROR(__xludf.DUMMYFUNCTION("""COMPUTED_VALUE"""),"")</f>
        <v/>
      </c>
      <c r="P323" s="52" t="str">
        <f t="shared" si="22"/>
        <v>0</v>
      </c>
      <c r="R323" s="52" t="str">
        <f t="shared" si="32"/>
        <v>Review</v>
      </c>
      <c r="Z323" s="81">
        <v>46058.0</v>
      </c>
      <c r="AA323" s="81" t="s">
        <v>3997</v>
      </c>
      <c r="AB323" s="81" t="s">
        <v>3998</v>
      </c>
      <c r="AC323" s="81">
        <f t="shared" si="5"/>
        <v>46055</v>
      </c>
      <c r="AD323" s="82">
        <f t="shared" si="6"/>
        <v>4</v>
      </c>
    </row>
    <row r="324">
      <c r="A324" s="104">
        <v>46058.0</v>
      </c>
      <c r="B324" s="89" t="s">
        <v>1060</v>
      </c>
      <c r="C324" s="89" t="s">
        <v>1061</v>
      </c>
      <c r="D324" s="89"/>
      <c r="E324" s="89" t="s">
        <v>874</v>
      </c>
      <c r="F324" s="81">
        <f>IFERROR(__xludf.DUMMYFUNCTION("""COMPUTED_VALUE"""),46058.0)</f>
        <v>46058</v>
      </c>
      <c r="G324" s="89" t="s">
        <v>3996</v>
      </c>
      <c r="H324" s="89">
        <v>6.0</v>
      </c>
      <c r="I324" s="89" t="s">
        <v>3972</v>
      </c>
      <c r="J324" s="89" t="str">
        <f t="shared" si="18"/>
        <v>No</v>
      </c>
      <c r="K324" s="89" t="str">
        <f t="shared" si="23"/>
        <v>No</v>
      </c>
      <c r="L324" s="89" t="str">
        <f>IFERROR(__xludf.DUMMYFUNCTION("""COMPUTED_VALUE"""),"")</f>
        <v/>
      </c>
      <c r="M324" s="89" t="str">
        <f>IFERROR(__xludf.DUMMYFUNCTION("""COMPUTED_VALUE"""),"")</f>
        <v/>
      </c>
      <c r="N324" s="89" t="str">
        <f>IFERROR(__xludf.DUMMYFUNCTION("""COMPUTED_VALUE"""),"")</f>
        <v/>
      </c>
      <c r="P324" s="52" t="str">
        <f t="shared" si="22"/>
        <v>0</v>
      </c>
      <c r="R324" s="52" t="str">
        <f t="shared" si="32"/>
        <v>Review</v>
      </c>
      <c r="Z324" s="81">
        <v>46058.0</v>
      </c>
      <c r="AA324" s="81" t="s">
        <v>3997</v>
      </c>
      <c r="AB324" s="81" t="s">
        <v>3998</v>
      </c>
      <c r="AC324" s="81">
        <f t="shared" si="5"/>
        <v>46055</v>
      </c>
      <c r="AD324" s="82">
        <f t="shared" si="6"/>
        <v>4</v>
      </c>
    </row>
    <row r="325">
      <c r="A325" s="104">
        <v>46052.0</v>
      </c>
      <c r="B325" s="89" t="s">
        <v>1011</v>
      </c>
      <c r="C325" s="89" t="s">
        <v>1041</v>
      </c>
      <c r="D325" s="89" t="s">
        <v>1042</v>
      </c>
      <c r="E325" s="89" t="s">
        <v>971</v>
      </c>
      <c r="F325" s="81">
        <f>IFERROR(__xludf.DUMMYFUNCTION("""COMPUTED_VALUE"""),46052.0)</f>
        <v>46052</v>
      </c>
      <c r="G325" s="89" t="s">
        <v>3989</v>
      </c>
      <c r="H325" s="89">
        <v>5.0</v>
      </c>
      <c r="I325" s="89" t="s">
        <v>3954</v>
      </c>
      <c r="J325" s="89" t="str">
        <f t="shared" si="18"/>
        <v>No</v>
      </c>
      <c r="K325" s="89" t="str">
        <f t="shared" si="23"/>
        <v>No</v>
      </c>
      <c r="L325" s="89" t="str">
        <f>IFERROR(__xludf.DUMMYFUNCTION("""COMPUTED_VALUE"""),"https://jobright.ai/jobs/info/697d789b3f57a335696762a1?utm_source=1100&amp;utm_campaign=Software Engineering")</f>
        <v>https://jobright.ai/jobs/info/697d789b3f57a335696762a1?utm_source=1100&amp;utm_campaign=Software Engineering</v>
      </c>
      <c r="M325" s="89" t="str">
        <f>IFERROR(__xludf.DUMMYFUNCTION("""COMPUTED_VALUE"""),"")</f>
        <v/>
      </c>
      <c r="N325" s="89">
        <f>IFERROR(__xludf.DUMMYFUNCTION("""COMPUTED_VALUE"""),697.0)</f>
        <v>697</v>
      </c>
      <c r="P325" s="52" t="str">
        <f t="shared" si="22"/>
        <v>0</v>
      </c>
      <c r="R325" s="52" t="str">
        <f t="shared" si="32"/>
        <v>Review</v>
      </c>
      <c r="Z325" s="81">
        <v>46052.0</v>
      </c>
      <c r="AA325" s="81" t="s">
        <v>3995</v>
      </c>
      <c r="AB325" s="81" t="s">
        <v>3991</v>
      </c>
      <c r="AC325" s="81">
        <f t="shared" si="5"/>
        <v>46048</v>
      </c>
      <c r="AD325" s="82">
        <f t="shared" si="6"/>
        <v>5</v>
      </c>
    </row>
    <row r="326">
      <c r="A326" s="96">
        <v>46059.409375</v>
      </c>
      <c r="B326" s="89" t="s">
        <v>1066</v>
      </c>
      <c r="C326" s="89" t="s">
        <v>416</v>
      </c>
      <c r="D326" s="89" t="s">
        <v>1067</v>
      </c>
      <c r="E326" s="90" t="s">
        <v>1068</v>
      </c>
      <c r="F326" s="81">
        <f>IFERROR(__xludf.DUMMYFUNCTION("""COMPUTED_VALUE"""),46059.409375)</f>
        <v>46059.40938</v>
      </c>
      <c r="G326" s="89" t="s">
        <v>3996</v>
      </c>
      <c r="H326" s="89">
        <v>6.0</v>
      </c>
      <c r="I326" s="89" t="s">
        <v>3954</v>
      </c>
      <c r="J326" s="89" t="str">
        <f t="shared" si="18"/>
        <v>No</v>
      </c>
      <c r="K326" s="89" t="str">
        <f t="shared" si="23"/>
        <v>No</v>
      </c>
      <c r="L326" s="89" t="str">
        <f>IFERROR(__xludf.DUMMYFUNCTION("""COMPUTED_VALUE"""),"Los Angeles, California, United States")</f>
        <v>Los Angeles, California, United States</v>
      </c>
      <c r="M326" s="89" t="str">
        <f>IFERROR(__xludf.DUMMYFUNCTION("""COMPUTED_VALUE"""),"3 days ago")</f>
        <v>3 days ago</v>
      </c>
      <c r="N326" s="89">
        <f>IFERROR(__xludf.DUMMYFUNCTION("""COMPUTED_VALUE"""),3.0)</f>
        <v>3</v>
      </c>
      <c r="P326" s="52" t="str">
        <f t="shared" si="22"/>
        <v>0</v>
      </c>
      <c r="R326" s="52" t="str">
        <f t="shared" si="32"/>
        <v>Review</v>
      </c>
      <c r="Z326" s="81">
        <v>46059.0</v>
      </c>
      <c r="AA326" s="81" t="s">
        <v>3997</v>
      </c>
      <c r="AB326" s="81" t="s">
        <v>3998</v>
      </c>
      <c r="AC326" s="81">
        <f t="shared" si="5"/>
        <v>46055</v>
      </c>
      <c r="AD326" s="82">
        <f t="shared" si="6"/>
        <v>5</v>
      </c>
    </row>
    <row r="327">
      <c r="A327" s="96">
        <v>46059.44704861111</v>
      </c>
      <c r="B327" s="89" t="s">
        <v>1069</v>
      </c>
      <c r="C327" s="89" t="s">
        <v>1070</v>
      </c>
      <c r="D327" s="89" t="s">
        <v>1071</v>
      </c>
      <c r="E327" s="90" t="s">
        <v>1072</v>
      </c>
      <c r="F327" s="81">
        <f>IFERROR(__xludf.DUMMYFUNCTION("""COMPUTED_VALUE"""),46059.44704861111)</f>
        <v>46059.44705</v>
      </c>
      <c r="G327" s="89" t="s">
        <v>3996</v>
      </c>
      <c r="H327" s="89">
        <v>6.0</v>
      </c>
      <c r="I327" s="89" t="s">
        <v>3954</v>
      </c>
      <c r="J327" s="89" t="str">
        <f t="shared" si="18"/>
        <v>No</v>
      </c>
      <c r="K327" s="89" t="str">
        <f t="shared" si="23"/>
        <v>No</v>
      </c>
      <c r="L327" s="89" t="str">
        <f>IFERROR(__xludf.DUMMYFUNCTION("""COMPUTED_VALUE"""),"Austin, CO")</f>
        <v>Austin, CO</v>
      </c>
      <c r="M327" s="89" t="str">
        <f>IFERROR(__xludf.DUMMYFUNCTION("""COMPUTED_VALUE"""),"")</f>
        <v/>
      </c>
      <c r="N327" s="89" t="str">
        <f>IFERROR(__xludf.DUMMYFUNCTION("""COMPUTED_VALUE"""),"")</f>
        <v/>
      </c>
      <c r="P327" s="52" t="str">
        <f t="shared" si="22"/>
        <v>0</v>
      </c>
      <c r="R327" s="52" t="str">
        <f t="shared" si="32"/>
        <v>Review</v>
      </c>
      <c r="Z327" s="81">
        <v>46059.0</v>
      </c>
      <c r="AA327" s="81" t="s">
        <v>3997</v>
      </c>
      <c r="AB327" s="81" t="s">
        <v>3998</v>
      </c>
      <c r="AC327" s="81">
        <f t="shared" si="5"/>
        <v>46055</v>
      </c>
      <c r="AD327" s="82">
        <f t="shared" si="6"/>
        <v>5</v>
      </c>
    </row>
    <row r="328">
      <c r="A328" s="104">
        <v>46052.0</v>
      </c>
      <c r="B328" s="89" t="s">
        <v>1073</v>
      </c>
      <c r="C328" s="89" t="s">
        <v>1074</v>
      </c>
      <c r="D328" s="89" t="s">
        <v>1075</v>
      </c>
      <c r="E328" s="89" t="s">
        <v>1076</v>
      </c>
      <c r="F328" s="81">
        <f>IFERROR(__xludf.DUMMYFUNCTION("""COMPUTED_VALUE"""),46052.0)</f>
        <v>46052</v>
      </c>
      <c r="G328" s="89" t="s">
        <v>3989</v>
      </c>
      <c r="H328" s="89">
        <v>5.0</v>
      </c>
      <c r="I328" s="89" t="s">
        <v>3954</v>
      </c>
      <c r="J328" s="89" t="str">
        <f t="shared" si="18"/>
        <v>No</v>
      </c>
      <c r="K328" s="89" t="str">
        <f t="shared" si="23"/>
        <v>No</v>
      </c>
      <c r="L328" s="89" t="str">
        <f>IFERROR(__xludf.DUMMYFUNCTION("""COMPUTED_VALUE"""),"Applied")</f>
        <v>Applied</v>
      </c>
      <c r="M328" s="89" t="str">
        <f>IFERROR(__xludf.DUMMYFUNCTION("""COMPUTED_VALUE"""),"")</f>
        <v/>
      </c>
      <c r="N328" s="89" t="str">
        <f>IFERROR(__xludf.DUMMYFUNCTION("""COMPUTED_VALUE"""),"")</f>
        <v/>
      </c>
      <c r="P328" s="52" t="str">
        <f t="shared" si="22"/>
        <v>0</v>
      </c>
      <c r="R328" s="52" t="str">
        <f t="shared" si="32"/>
        <v>Review</v>
      </c>
      <c r="Z328" s="81">
        <v>46052.0</v>
      </c>
      <c r="AA328" s="81" t="s">
        <v>3995</v>
      </c>
      <c r="AB328" s="81" t="s">
        <v>3991</v>
      </c>
      <c r="AC328" s="81">
        <f t="shared" si="5"/>
        <v>46048</v>
      </c>
      <c r="AD328" s="82">
        <f t="shared" si="6"/>
        <v>5</v>
      </c>
    </row>
    <row r="329">
      <c r="A329" s="104">
        <v>46057.0</v>
      </c>
      <c r="B329" s="89" t="s">
        <v>1080</v>
      </c>
      <c r="C329" s="89" t="s">
        <v>1081</v>
      </c>
      <c r="D329" s="89" t="s">
        <v>1075</v>
      </c>
      <c r="E329" s="89" t="s">
        <v>1082</v>
      </c>
      <c r="F329" s="81">
        <f>IFERROR(__xludf.DUMMYFUNCTION("""COMPUTED_VALUE"""),46057.0)</f>
        <v>46057</v>
      </c>
      <c r="G329" s="89" t="s">
        <v>3996</v>
      </c>
      <c r="H329" s="89">
        <v>6.0</v>
      </c>
      <c r="I329" s="89" t="s">
        <v>3971</v>
      </c>
      <c r="J329" s="89" t="str">
        <f t="shared" si="18"/>
        <v>No</v>
      </c>
      <c r="K329" s="89" t="str">
        <f t="shared" si="23"/>
        <v>No</v>
      </c>
      <c r="L329" s="89" t="str">
        <f>IFERROR(__xludf.DUMMYFUNCTION("""COMPUTED_VALUE"""),"Applied")</f>
        <v>Applied</v>
      </c>
      <c r="M329" s="89" t="str">
        <f>IFERROR(__xludf.DUMMYFUNCTION("""COMPUTED_VALUE"""),"")</f>
        <v/>
      </c>
      <c r="N329" s="89" t="str">
        <f>IFERROR(__xludf.DUMMYFUNCTION("""COMPUTED_VALUE"""),"")</f>
        <v/>
      </c>
      <c r="P329" s="52" t="str">
        <f t="shared" si="22"/>
        <v>0</v>
      </c>
      <c r="R329" s="52" t="str">
        <f t="shared" si="32"/>
        <v>Review</v>
      </c>
      <c r="Z329" s="81">
        <v>46057.0</v>
      </c>
      <c r="AA329" s="81" t="s">
        <v>3997</v>
      </c>
      <c r="AB329" s="81" t="s">
        <v>3998</v>
      </c>
      <c r="AC329" s="81">
        <f t="shared" si="5"/>
        <v>46055</v>
      </c>
      <c r="AD329" s="82">
        <f t="shared" si="6"/>
        <v>3</v>
      </c>
    </row>
    <row r="330">
      <c r="A330" s="104">
        <v>46057.0</v>
      </c>
      <c r="B330" s="89" t="s">
        <v>1085</v>
      </c>
      <c r="C330" s="89" t="s">
        <v>381</v>
      </c>
      <c r="D330" s="89" t="s">
        <v>1075</v>
      </c>
      <c r="E330" s="89" t="s">
        <v>1086</v>
      </c>
      <c r="F330" s="81">
        <f>IFERROR(__xludf.DUMMYFUNCTION("""COMPUTED_VALUE"""),46057.0)</f>
        <v>46057</v>
      </c>
      <c r="G330" s="89" t="s">
        <v>3996</v>
      </c>
      <c r="H330" s="89">
        <v>6.0</v>
      </c>
      <c r="I330" s="89" t="s">
        <v>3971</v>
      </c>
      <c r="J330" s="89" t="str">
        <f t="shared" si="18"/>
        <v>No</v>
      </c>
      <c r="K330" s="89" t="str">
        <f t="shared" si="23"/>
        <v>No</v>
      </c>
      <c r="L330" s="89" t="str">
        <f>IFERROR(__xludf.DUMMYFUNCTION("""COMPUTED_VALUE"""),"Applied")</f>
        <v>Applied</v>
      </c>
      <c r="M330" s="89" t="str">
        <f>IFERROR(__xludf.DUMMYFUNCTION("""COMPUTED_VALUE"""),"")</f>
        <v/>
      </c>
      <c r="N330" s="89" t="str">
        <f>IFERROR(__xludf.DUMMYFUNCTION("""COMPUTED_VALUE"""),"")</f>
        <v/>
      </c>
      <c r="P330" s="52" t="str">
        <f t="shared" si="22"/>
        <v>0</v>
      </c>
      <c r="R330" s="52" t="str">
        <f t="shared" si="32"/>
        <v>Review</v>
      </c>
      <c r="Z330" s="81">
        <v>46057.0</v>
      </c>
      <c r="AA330" s="81" t="s">
        <v>3997</v>
      </c>
      <c r="AB330" s="81" t="s">
        <v>3998</v>
      </c>
      <c r="AC330" s="81">
        <f t="shared" si="5"/>
        <v>46055</v>
      </c>
      <c r="AD330" s="82">
        <f t="shared" si="6"/>
        <v>3</v>
      </c>
    </row>
    <row r="331">
      <c r="A331" s="104">
        <v>46055.0</v>
      </c>
      <c r="B331" s="89" t="s">
        <v>416</v>
      </c>
      <c r="C331" s="89" t="s">
        <v>1091</v>
      </c>
      <c r="D331" s="89" t="s">
        <v>1075</v>
      </c>
      <c r="E331" s="89" t="s">
        <v>1092</v>
      </c>
      <c r="F331" s="81">
        <f>IFERROR(__xludf.DUMMYFUNCTION("""COMPUTED_VALUE"""),46055.0)</f>
        <v>46055</v>
      </c>
      <c r="G331" s="89" t="s">
        <v>3996</v>
      </c>
      <c r="H331" s="89">
        <v>6.0</v>
      </c>
      <c r="I331" s="89" t="s">
        <v>3964</v>
      </c>
      <c r="J331" s="89" t="str">
        <f t="shared" si="18"/>
        <v>No</v>
      </c>
      <c r="K331" s="89" t="str">
        <f t="shared" si="23"/>
        <v>No</v>
      </c>
      <c r="L331" s="89" t="str">
        <f>IFERROR(__xludf.DUMMYFUNCTION("""COMPUTED_VALUE"""),"Applied")</f>
        <v>Applied</v>
      </c>
      <c r="M331" s="89" t="str">
        <f>IFERROR(__xludf.DUMMYFUNCTION("""COMPUTED_VALUE"""),"")</f>
        <v/>
      </c>
      <c r="N331" s="89" t="str">
        <f>IFERROR(__xludf.DUMMYFUNCTION("""COMPUTED_VALUE"""),"")</f>
        <v/>
      </c>
      <c r="P331" s="52" t="str">
        <f t="shared" si="22"/>
        <v>0</v>
      </c>
      <c r="R331" s="52" t="str">
        <f t="shared" si="32"/>
        <v>Review</v>
      </c>
      <c r="Z331" s="81">
        <v>46055.0</v>
      </c>
      <c r="AA331" s="81" t="s">
        <v>3997</v>
      </c>
      <c r="AB331" s="81" t="s">
        <v>3998</v>
      </c>
      <c r="AC331" s="81">
        <f t="shared" si="5"/>
        <v>46055</v>
      </c>
      <c r="AD331" s="82">
        <f t="shared" si="6"/>
        <v>1</v>
      </c>
    </row>
    <row r="332">
      <c r="A332" s="104">
        <v>46057.0</v>
      </c>
      <c r="B332" s="89" t="s">
        <v>220</v>
      </c>
      <c r="C332" s="89" t="s">
        <v>1096</v>
      </c>
      <c r="D332" s="89" t="s">
        <v>1075</v>
      </c>
      <c r="E332" s="89" t="s">
        <v>1097</v>
      </c>
      <c r="F332" s="81">
        <f>IFERROR(__xludf.DUMMYFUNCTION("""COMPUTED_VALUE"""),46057.0)</f>
        <v>46057</v>
      </c>
      <c r="G332" s="89" t="s">
        <v>3996</v>
      </c>
      <c r="H332" s="89">
        <v>6.0</v>
      </c>
      <c r="I332" s="89" t="s">
        <v>3971</v>
      </c>
      <c r="J332" s="89" t="str">
        <f t="shared" si="18"/>
        <v>No</v>
      </c>
      <c r="K332" s="89" t="str">
        <f t="shared" si="23"/>
        <v>No</v>
      </c>
      <c r="L332" s="89" t="str">
        <f>IFERROR(__xludf.DUMMYFUNCTION("""COMPUTED_VALUE"""),"Applied")</f>
        <v>Applied</v>
      </c>
      <c r="M332" s="89" t="str">
        <f>IFERROR(__xludf.DUMMYFUNCTION("""COMPUTED_VALUE"""),"")</f>
        <v/>
      </c>
      <c r="N332" s="89" t="str">
        <f>IFERROR(__xludf.DUMMYFUNCTION("""COMPUTED_VALUE"""),"")</f>
        <v/>
      </c>
      <c r="P332" s="52" t="str">
        <f t="shared" si="22"/>
        <v>0</v>
      </c>
      <c r="R332" s="52" t="str">
        <f t="shared" si="32"/>
        <v>Review</v>
      </c>
      <c r="Z332" s="81">
        <v>46057.0</v>
      </c>
      <c r="AA332" s="81" t="s">
        <v>3997</v>
      </c>
      <c r="AB332" s="81" t="s">
        <v>3998</v>
      </c>
      <c r="AC332" s="81">
        <f t="shared" si="5"/>
        <v>46055</v>
      </c>
      <c r="AD332" s="82">
        <f t="shared" si="6"/>
        <v>3</v>
      </c>
    </row>
    <row r="333">
      <c r="A333" s="104">
        <v>46053.0</v>
      </c>
      <c r="B333" s="89" t="s">
        <v>220</v>
      </c>
      <c r="C333" s="89" t="s">
        <v>1100</v>
      </c>
      <c r="D333" s="89" t="s">
        <v>1075</v>
      </c>
      <c r="E333" s="89" t="s">
        <v>1101</v>
      </c>
      <c r="F333" s="81">
        <f>IFERROR(__xludf.DUMMYFUNCTION("""COMPUTED_VALUE"""),46053.0)</f>
        <v>46053</v>
      </c>
      <c r="G333" s="89" t="s">
        <v>3989</v>
      </c>
      <c r="H333" s="89">
        <v>5.0</v>
      </c>
      <c r="I333" s="89" t="s">
        <v>3960</v>
      </c>
      <c r="J333" s="89" t="str">
        <f t="shared" si="18"/>
        <v>No</v>
      </c>
      <c r="K333" s="89" t="str">
        <f t="shared" si="23"/>
        <v>No</v>
      </c>
      <c r="L333" s="89" t="str">
        <f>IFERROR(__xludf.DUMMYFUNCTION("""COMPUTED_VALUE"""),"Applied")</f>
        <v>Applied</v>
      </c>
      <c r="M333" s="89" t="str">
        <f>IFERROR(__xludf.DUMMYFUNCTION("""COMPUTED_VALUE"""),"")</f>
        <v/>
      </c>
      <c r="N333" s="89" t="str">
        <f>IFERROR(__xludf.DUMMYFUNCTION("""COMPUTED_VALUE"""),"")</f>
        <v/>
      </c>
      <c r="P333" s="52" t="str">
        <f t="shared" si="22"/>
        <v>0</v>
      </c>
      <c r="R333" s="52" t="str">
        <f t="shared" si="32"/>
        <v>Review</v>
      </c>
      <c r="Z333" s="81">
        <v>46053.0</v>
      </c>
      <c r="AA333" s="81" t="s">
        <v>3995</v>
      </c>
      <c r="AB333" s="81" t="s">
        <v>3991</v>
      </c>
      <c r="AC333" s="81">
        <f t="shared" si="5"/>
        <v>46048</v>
      </c>
      <c r="AD333" s="82">
        <f t="shared" si="6"/>
        <v>6</v>
      </c>
    </row>
    <row r="334">
      <c r="A334" s="104">
        <v>46052.0</v>
      </c>
      <c r="B334" s="89" t="s">
        <v>1103</v>
      </c>
      <c r="C334" s="89" t="s">
        <v>1104</v>
      </c>
      <c r="D334" s="89" t="s">
        <v>1075</v>
      </c>
      <c r="E334" s="89" t="s">
        <v>1105</v>
      </c>
      <c r="F334" s="81">
        <f>IFERROR(__xludf.DUMMYFUNCTION("""COMPUTED_VALUE"""),46052.0)</f>
        <v>46052</v>
      </c>
      <c r="G334" s="89" t="s">
        <v>3989</v>
      </c>
      <c r="H334" s="89">
        <v>5.0</v>
      </c>
      <c r="I334" s="89" t="s">
        <v>3954</v>
      </c>
      <c r="J334" s="89" t="str">
        <f t="shared" si="18"/>
        <v>No</v>
      </c>
      <c r="K334" s="89" t="str">
        <f t="shared" si="23"/>
        <v>No</v>
      </c>
      <c r="L334" s="89" t="str">
        <f>IFERROR(__xludf.DUMMYFUNCTION("""COMPUTED_VALUE"""),"Applied")</f>
        <v>Applied</v>
      </c>
      <c r="M334" s="89" t="str">
        <f>IFERROR(__xludf.DUMMYFUNCTION("""COMPUTED_VALUE"""),"")</f>
        <v/>
      </c>
      <c r="N334" s="89" t="str">
        <f>IFERROR(__xludf.DUMMYFUNCTION("""COMPUTED_VALUE"""),"")</f>
        <v/>
      </c>
      <c r="P334" s="52" t="str">
        <f t="shared" si="22"/>
        <v>0</v>
      </c>
      <c r="R334" s="52" t="str">
        <f t="shared" si="32"/>
        <v>Review</v>
      </c>
      <c r="Z334" s="81">
        <v>46052.0</v>
      </c>
      <c r="AA334" s="81" t="s">
        <v>3995</v>
      </c>
      <c r="AB334" s="81" t="s">
        <v>3991</v>
      </c>
      <c r="AC334" s="81">
        <f t="shared" si="5"/>
        <v>46048</v>
      </c>
      <c r="AD334" s="82">
        <f t="shared" si="6"/>
        <v>5</v>
      </c>
    </row>
    <row r="335">
      <c r="A335" s="104">
        <v>46057.0</v>
      </c>
      <c r="B335" s="89" t="s">
        <v>1109</v>
      </c>
      <c r="C335" s="89" t="s">
        <v>1110</v>
      </c>
      <c r="D335" s="89" t="s">
        <v>1075</v>
      </c>
      <c r="E335" s="89" t="s">
        <v>1111</v>
      </c>
      <c r="F335" s="81">
        <f>IFERROR(__xludf.DUMMYFUNCTION("""COMPUTED_VALUE"""),46057.0)</f>
        <v>46057</v>
      </c>
      <c r="G335" s="89" t="s">
        <v>3996</v>
      </c>
      <c r="H335" s="89">
        <v>6.0</v>
      </c>
      <c r="I335" s="89" t="s">
        <v>3971</v>
      </c>
      <c r="J335" s="89" t="str">
        <f t="shared" si="18"/>
        <v>No</v>
      </c>
      <c r="K335" s="89" t="str">
        <f t="shared" si="23"/>
        <v>No</v>
      </c>
      <c r="L335" s="89" t="str">
        <f>IFERROR(__xludf.DUMMYFUNCTION("""COMPUTED_VALUE"""),"Applied")</f>
        <v>Applied</v>
      </c>
      <c r="M335" s="89" t="str">
        <f>IFERROR(__xludf.DUMMYFUNCTION("""COMPUTED_VALUE"""),"")</f>
        <v/>
      </c>
      <c r="N335" s="89" t="str">
        <f>IFERROR(__xludf.DUMMYFUNCTION("""COMPUTED_VALUE"""),"")</f>
        <v/>
      </c>
      <c r="P335" s="52" t="str">
        <f t="shared" si="22"/>
        <v>0</v>
      </c>
      <c r="R335" s="52" t="str">
        <f t="shared" si="32"/>
        <v>Review</v>
      </c>
      <c r="Z335" s="81">
        <v>46057.0</v>
      </c>
      <c r="AA335" s="81" t="s">
        <v>3997</v>
      </c>
      <c r="AB335" s="81" t="s">
        <v>3998</v>
      </c>
      <c r="AC335" s="81">
        <f t="shared" si="5"/>
        <v>46055</v>
      </c>
      <c r="AD335" s="82">
        <f t="shared" si="6"/>
        <v>3</v>
      </c>
    </row>
    <row r="336">
      <c r="A336" s="104">
        <v>46057.0</v>
      </c>
      <c r="B336" s="89" t="s">
        <v>137</v>
      </c>
      <c r="C336" s="89" t="s">
        <v>1115</v>
      </c>
      <c r="D336" s="89" t="s">
        <v>1075</v>
      </c>
      <c r="E336" s="89" t="s">
        <v>1116</v>
      </c>
      <c r="F336" s="81">
        <f>IFERROR(__xludf.DUMMYFUNCTION("""COMPUTED_VALUE"""),46057.0)</f>
        <v>46057</v>
      </c>
      <c r="G336" s="89" t="s">
        <v>3996</v>
      </c>
      <c r="H336" s="89">
        <v>6.0</v>
      </c>
      <c r="I336" s="89" t="s">
        <v>3971</v>
      </c>
      <c r="J336" s="89" t="str">
        <f t="shared" si="18"/>
        <v>No</v>
      </c>
      <c r="K336" s="89" t="str">
        <f t="shared" si="23"/>
        <v>No</v>
      </c>
      <c r="L336" s="89" t="str">
        <f>IFERROR(__xludf.DUMMYFUNCTION("""COMPUTED_VALUE"""),"Applied")</f>
        <v>Applied</v>
      </c>
      <c r="M336" s="89" t="str">
        <f>IFERROR(__xludf.DUMMYFUNCTION("""COMPUTED_VALUE"""),"")</f>
        <v/>
      </c>
      <c r="N336" s="89" t="str">
        <f>IFERROR(__xludf.DUMMYFUNCTION("""COMPUTED_VALUE"""),"")</f>
        <v/>
      </c>
      <c r="P336" s="52" t="str">
        <f t="shared" si="22"/>
        <v>0</v>
      </c>
      <c r="R336" s="52" t="str">
        <f t="shared" si="32"/>
        <v>Review</v>
      </c>
      <c r="Z336" s="81">
        <v>46057.0</v>
      </c>
      <c r="AA336" s="81" t="s">
        <v>3997</v>
      </c>
      <c r="AB336" s="81" t="s">
        <v>3998</v>
      </c>
      <c r="AC336" s="81">
        <f t="shared" si="5"/>
        <v>46055</v>
      </c>
      <c r="AD336" s="82">
        <f t="shared" si="6"/>
        <v>3</v>
      </c>
    </row>
    <row r="337">
      <c r="A337" s="104">
        <v>46056.0</v>
      </c>
      <c r="B337" s="89" t="s">
        <v>1120</v>
      </c>
      <c r="C337" s="89" t="s">
        <v>1121</v>
      </c>
      <c r="D337" s="89" t="s">
        <v>1075</v>
      </c>
      <c r="E337" s="89" t="s">
        <v>1122</v>
      </c>
      <c r="F337" s="81">
        <f>IFERROR(__xludf.DUMMYFUNCTION("""COMPUTED_VALUE"""),46056.0)</f>
        <v>46056</v>
      </c>
      <c r="G337" s="89" t="s">
        <v>3996</v>
      </c>
      <c r="H337" s="89">
        <v>6.0</v>
      </c>
      <c r="I337" s="89" t="s">
        <v>3966</v>
      </c>
      <c r="J337" s="89" t="str">
        <f t="shared" si="18"/>
        <v>No</v>
      </c>
      <c r="K337" s="89" t="str">
        <f t="shared" si="23"/>
        <v>No</v>
      </c>
      <c r="L337" s="89" t="str">
        <f>IFERROR(__xludf.DUMMYFUNCTION("""COMPUTED_VALUE"""),"Applied")</f>
        <v>Applied</v>
      </c>
      <c r="M337" s="89" t="str">
        <f>IFERROR(__xludf.DUMMYFUNCTION("""COMPUTED_VALUE"""),"")</f>
        <v/>
      </c>
      <c r="N337" s="89" t="str">
        <f>IFERROR(__xludf.DUMMYFUNCTION("""COMPUTED_VALUE"""),"")</f>
        <v/>
      </c>
      <c r="P337" s="52" t="str">
        <f t="shared" si="22"/>
        <v>0</v>
      </c>
      <c r="R337" s="52" t="str">
        <f t="shared" si="32"/>
        <v>Review</v>
      </c>
      <c r="Z337" s="81">
        <v>46056.0</v>
      </c>
      <c r="AA337" s="81" t="s">
        <v>3997</v>
      </c>
      <c r="AB337" s="81" t="s">
        <v>3998</v>
      </c>
      <c r="AC337" s="81">
        <f t="shared" si="5"/>
        <v>46055</v>
      </c>
      <c r="AD337" s="82">
        <f t="shared" si="6"/>
        <v>2</v>
      </c>
    </row>
    <row r="338">
      <c r="A338" s="104">
        <v>46056.0</v>
      </c>
      <c r="B338" s="89" t="s">
        <v>1125</v>
      </c>
      <c r="C338" s="89" t="s">
        <v>1126</v>
      </c>
      <c r="D338" s="89" t="s">
        <v>1075</v>
      </c>
      <c r="E338" s="89" t="s">
        <v>1127</v>
      </c>
      <c r="F338" s="81">
        <f>IFERROR(__xludf.DUMMYFUNCTION("""COMPUTED_VALUE"""),46056.0)</f>
        <v>46056</v>
      </c>
      <c r="G338" s="89" t="s">
        <v>3996</v>
      </c>
      <c r="H338" s="89">
        <v>6.0</v>
      </c>
      <c r="I338" s="89" t="s">
        <v>3966</v>
      </c>
      <c r="J338" s="89" t="str">
        <f t="shared" si="18"/>
        <v>No</v>
      </c>
      <c r="K338" s="89" t="str">
        <f t="shared" si="23"/>
        <v>No</v>
      </c>
      <c r="L338" s="89" t="str">
        <f>IFERROR(__xludf.DUMMYFUNCTION("""COMPUTED_VALUE"""),"Applied")</f>
        <v>Applied</v>
      </c>
      <c r="M338" s="89" t="str">
        <f>IFERROR(__xludf.DUMMYFUNCTION("""COMPUTED_VALUE"""),"")</f>
        <v/>
      </c>
      <c r="N338" s="89" t="str">
        <f>IFERROR(__xludf.DUMMYFUNCTION("""COMPUTED_VALUE"""),"")</f>
        <v/>
      </c>
      <c r="P338" s="52" t="str">
        <f t="shared" si="22"/>
        <v>0</v>
      </c>
      <c r="R338" s="52" t="str">
        <f t="shared" si="32"/>
        <v>Review</v>
      </c>
      <c r="Z338" s="81">
        <v>46056.0</v>
      </c>
      <c r="AA338" s="81" t="s">
        <v>3997</v>
      </c>
      <c r="AB338" s="81" t="s">
        <v>3998</v>
      </c>
      <c r="AC338" s="81">
        <f t="shared" si="5"/>
        <v>46055</v>
      </c>
      <c r="AD338" s="82">
        <f t="shared" si="6"/>
        <v>2</v>
      </c>
    </row>
    <row r="339">
      <c r="A339" s="104">
        <v>46059.0</v>
      </c>
      <c r="B339" s="89" t="s">
        <v>914</v>
      </c>
      <c r="C339" s="89" t="s">
        <v>1132</v>
      </c>
      <c r="D339" s="89" t="s">
        <v>1075</v>
      </c>
      <c r="E339" s="89" t="s">
        <v>1133</v>
      </c>
      <c r="F339" s="81">
        <f>IFERROR(__xludf.DUMMYFUNCTION("""COMPUTED_VALUE"""),46059.0)</f>
        <v>46059</v>
      </c>
      <c r="G339" s="89" t="s">
        <v>3996</v>
      </c>
      <c r="H339" s="89">
        <v>6.0</v>
      </c>
      <c r="I339" s="89" t="s">
        <v>3954</v>
      </c>
      <c r="J339" s="89" t="str">
        <f t="shared" si="18"/>
        <v>No</v>
      </c>
      <c r="K339" s="89" t="str">
        <f t="shared" si="23"/>
        <v>No</v>
      </c>
      <c r="L339" s="89" t="str">
        <f>IFERROR(__xludf.DUMMYFUNCTION("""COMPUTED_VALUE"""),"Applied")</f>
        <v>Applied</v>
      </c>
      <c r="M339" s="89" t="str">
        <f>IFERROR(__xludf.DUMMYFUNCTION("""COMPUTED_VALUE"""),"")</f>
        <v/>
      </c>
      <c r="N339" s="89" t="str">
        <f>IFERROR(__xludf.DUMMYFUNCTION("""COMPUTED_VALUE"""),"")</f>
        <v/>
      </c>
      <c r="P339" s="52" t="str">
        <f t="shared" si="22"/>
        <v>0</v>
      </c>
      <c r="R339" s="52" t="str">
        <f t="shared" si="32"/>
        <v>Review</v>
      </c>
      <c r="Z339" s="81">
        <v>46059.0</v>
      </c>
      <c r="AA339" s="81" t="s">
        <v>3997</v>
      </c>
      <c r="AB339" s="81" t="s">
        <v>3998</v>
      </c>
      <c r="AC339" s="81">
        <f t="shared" si="5"/>
        <v>46055</v>
      </c>
      <c r="AD339" s="82">
        <f t="shared" si="6"/>
        <v>5</v>
      </c>
    </row>
    <row r="340">
      <c r="A340" s="104">
        <v>46058.0</v>
      </c>
      <c r="B340" s="89" t="s">
        <v>914</v>
      </c>
      <c r="C340" s="89" t="s">
        <v>1137</v>
      </c>
      <c r="D340" s="89" t="s">
        <v>1075</v>
      </c>
      <c r="E340" s="89" t="s">
        <v>1138</v>
      </c>
      <c r="F340" s="81">
        <f>IFERROR(__xludf.DUMMYFUNCTION("""COMPUTED_VALUE"""),46058.0)</f>
        <v>46058</v>
      </c>
      <c r="G340" s="89" t="s">
        <v>3996</v>
      </c>
      <c r="H340" s="89">
        <v>6.0</v>
      </c>
      <c r="I340" s="89" t="s">
        <v>3972</v>
      </c>
      <c r="J340" s="89" t="str">
        <f t="shared" si="18"/>
        <v>No</v>
      </c>
      <c r="K340" s="89" t="str">
        <f t="shared" si="23"/>
        <v>No</v>
      </c>
      <c r="L340" s="89" t="str">
        <f>IFERROR(__xludf.DUMMYFUNCTION("""COMPUTED_VALUE"""),"Applied")</f>
        <v>Applied</v>
      </c>
      <c r="M340" s="89" t="str">
        <f>IFERROR(__xludf.DUMMYFUNCTION("""COMPUTED_VALUE"""),"")</f>
        <v/>
      </c>
      <c r="N340" s="89" t="str">
        <f>IFERROR(__xludf.DUMMYFUNCTION("""COMPUTED_VALUE"""),"")</f>
        <v/>
      </c>
      <c r="P340" s="52" t="str">
        <f t="shared" si="22"/>
        <v>0</v>
      </c>
      <c r="R340" s="52" t="str">
        <f t="shared" si="32"/>
        <v>Review</v>
      </c>
      <c r="Z340" s="81">
        <v>46058.0</v>
      </c>
      <c r="AA340" s="81" t="s">
        <v>3997</v>
      </c>
      <c r="AB340" s="81" t="s">
        <v>3998</v>
      </c>
      <c r="AC340" s="81">
        <f t="shared" si="5"/>
        <v>46055</v>
      </c>
      <c r="AD340" s="82">
        <f t="shared" si="6"/>
        <v>4</v>
      </c>
    </row>
    <row r="341">
      <c r="A341" s="104">
        <v>46057.0</v>
      </c>
      <c r="B341" s="89" t="s">
        <v>1141</v>
      </c>
      <c r="C341" s="89" t="s">
        <v>1142</v>
      </c>
      <c r="D341" s="89" t="s">
        <v>1075</v>
      </c>
      <c r="E341" s="89" t="s">
        <v>1143</v>
      </c>
      <c r="F341" s="81">
        <f>IFERROR(__xludf.DUMMYFUNCTION("""COMPUTED_VALUE"""),46057.0)</f>
        <v>46057</v>
      </c>
      <c r="G341" s="89" t="s">
        <v>3996</v>
      </c>
      <c r="H341" s="89">
        <v>6.0</v>
      </c>
      <c r="I341" s="89" t="s">
        <v>3971</v>
      </c>
      <c r="J341" s="89" t="str">
        <f t="shared" si="18"/>
        <v>No</v>
      </c>
      <c r="K341" s="89" t="str">
        <f t="shared" si="23"/>
        <v>No</v>
      </c>
      <c r="L341" s="89" t="str">
        <f>IFERROR(__xludf.DUMMYFUNCTION("""COMPUTED_VALUE"""),"Applied")</f>
        <v>Applied</v>
      </c>
      <c r="M341" s="89" t="str">
        <f>IFERROR(__xludf.DUMMYFUNCTION("""COMPUTED_VALUE"""),"")</f>
        <v/>
      </c>
      <c r="N341" s="89" t="str">
        <f>IFERROR(__xludf.DUMMYFUNCTION("""COMPUTED_VALUE"""),"")</f>
        <v/>
      </c>
      <c r="P341" s="52" t="str">
        <f t="shared" si="22"/>
        <v>0</v>
      </c>
      <c r="R341" s="52" t="str">
        <f t="shared" si="32"/>
        <v>Review</v>
      </c>
      <c r="Z341" s="81">
        <v>46057.0</v>
      </c>
      <c r="AA341" s="81" t="s">
        <v>3997</v>
      </c>
      <c r="AB341" s="81" t="s">
        <v>3998</v>
      </c>
      <c r="AC341" s="81">
        <f t="shared" si="5"/>
        <v>46055</v>
      </c>
      <c r="AD341" s="82">
        <f t="shared" si="6"/>
        <v>3</v>
      </c>
    </row>
    <row r="342">
      <c r="A342" s="104">
        <v>46057.0</v>
      </c>
      <c r="B342" s="89" t="s">
        <v>1147</v>
      </c>
      <c r="C342" s="89" t="s">
        <v>1148</v>
      </c>
      <c r="D342" s="89" t="s">
        <v>1075</v>
      </c>
      <c r="E342" s="89" t="s">
        <v>1149</v>
      </c>
      <c r="F342" s="81">
        <f>IFERROR(__xludf.DUMMYFUNCTION("""COMPUTED_VALUE"""),46057.0)</f>
        <v>46057</v>
      </c>
      <c r="G342" s="89" t="s">
        <v>3996</v>
      </c>
      <c r="H342" s="89">
        <v>6.0</v>
      </c>
      <c r="I342" s="89" t="s">
        <v>3971</v>
      </c>
      <c r="J342" s="89" t="str">
        <f t="shared" si="18"/>
        <v>No</v>
      </c>
      <c r="K342" s="89" t="str">
        <f t="shared" si="23"/>
        <v>No</v>
      </c>
      <c r="L342" s="89" t="str">
        <f>IFERROR(__xludf.DUMMYFUNCTION("""COMPUTED_VALUE"""),"Applied")</f>
        <v>Applied</v>
      </c>
      <c r="M342" s="89" t="str">
        <f>IFERROR(__xludf.DUMMYFUNCTION("""COMPUTED_VALUE"""),"")</f>
        <v/>
      </c>
      <c r="N342" s="89" t="str">
        <f>IFERROR(__xludf.DUMMYFUNCTION("""COMPUTED_VALUE"""),"")</f>
        <v/>
      </c>
      <c r="P342" s="52" t="str">
        <f t="shared" si="22"/>
        <v>0</v>
      </c>
      <c r="R342" s="52" t="str">
        <f t="shared" si="32"/>
        <v>Review</v>
      </c>
      <c r="Z342" s="81">
        <v>46057.0</v>
      </c>
      <c r="AA342" s="81" t="s">
        <v>3997</v>
      </c>
      <c r="AB342" s="81" t="s">
        <v>3998</v>
      </c>
      <c r="AC342" s="81">
        <f t="shared" si="5"/>
        <v>46055</v>
      </c>
      <c r="AD342" s="82">
        <f t="shared" si="6"/>
        <v>3</v>
      </c>
    </row>
    <row r="343">
      <c r="A343" s="104">
        <v>46057.0</v>
      </c>
      <c r="B343" s="89" t="s">
        <v>1147</v>
      </c>
      <c r="C343" s="89" t="s">
        <v>1152</v>
      </c>
      <c r="D343" s="89" t="s">
        <v>1075</v>
      </c>
      <c r="E343" s="89" t="s">
        <v>1153</v>
      </c>
      <c r="F343" s="81">
        <f>IFERROR(__xludf.DUMMYFUNCTION("""COMPUTED_VALUE"""),46057.0)</f>
        <v>46057</v>
      </c>
      <c r="G343" s="89" t="s">
        <v>3996</v>
      </c>
      <c r="H343" s="89">
        <v>6.0</v>
      </c>
      <c r="I343" s="89" t="s">
        <v>3971</v>
      </c>
      <c r="J343" s="89" t="str">
        <f t="shared" si="18"/>
        <v>No</v>
      </c>
      <c r="K343" s="89" t="str">
        <f t="shared" si="23"/>
        <v>No</v>
      </c>
      <c r="L343" s="89" t="str">
        <f>IFERROR(__xludf.DUMMYFUNCTION("""COMPUTED_VALUE"""),"Applied")</f>
        <v>Applied</v>
      </c>
      <c r="M343" s="89" t="str">
        <f>IFERROR(__xludf.DUMMYFUNCTION("""COMPUTED_VALUE"""),"")</f>
        <v/>
      </c>
      <c r="N343" s="89" t="str">
        <f>IFERROR(__xludf.DUMMYFUNCTION("""COMPUTED_VALUE"""),"")</f>
        <v/>
      </c>
      <c r="P343" s="52" t="str">
        <f t="shared" si="22"/>
        <v>0</v>
      </c>
      <c r="R343" s="52" t="str">
        <f t="shared" si="32"/>
        <v>Review</v>
      </c>
      <c r="Z343" s="81">
        <v>46057.0</v>
      </c>
      <c r="AA343" s="81" t="s">
        <v>3997</v>
      </c>
      <c r="AB343" s="81" t="s">
        <v>3998</v>
      </c>
      <c r="AC343" s="81">
        <f t="shared" si="5"/>
        <v>46055</v>
      </c>
      <c r="AD343" s="82">
        <f t="shared" si="6"/>
        <v>3</v>
      </c>
    </row>
    <row r="344">
      <c r="A344" s="104">
        <v>46057.0</v>
      </c>
      <c r="B344" s="89" t="s">
        <v>1147</v>
      </c>
      <c r="C344" s="89" t="s">
        <v>1152</v>
      </c>
      <c r="D344" s="89" t="s">
        <v>1075</v>
      </c>
      <c r="E344" s="89" t="s">
        <v>1155</v>
      </c>
      <c r="F344" s="81">
        <f>IFERROR(__xludf.DUMMYFUNCTION("""COMPUTED_VALUE"""),46057.0)</f>
        <v>46057</v>
      </c>
      <c r="G344" s="89" t="s">
        <v>3996</v>
      </c>
      <c r="H344" s="89">
        <v>6.0</v>
      </c>
      <c r="I344" s="89" t="s">
        <v>3971</v>
      </c>
      <c r="J344" s="89" t="str">
        <f t="shared" si="18"/>
        <v>No</v>
      </c>
      <c r="K344" s="89" t="str">
        <f t="shared" si="23"/>
        <v>No</v>
      </c>
      <c r="L344" s="89" t="str">
        <f>IFERROR(__xludf.DUMMYFUNCTION("""COMPUTED_VALUE"""),"Applied")</f>
        <v>Applied</v>
      </c>
      <c r="M344" s="89" t="str">
        <f>IFERROR(__xludf.DUMMYFUNCTION("""COMPUTED_VALUE"""),"")</f>
        <v/>
      </c>
      <c r="N344" s="89" t="str">
        <f>IFERROR(__xludf.DUMMYFUNCTION("""COMPUTED_VALUE"""),"")</f>
        <v/>
      </c>
      <c r="P344" s="52" t="str">
        <f t="shared" si="22"/>
        <v>0</v>
      </c>
      <c r="R344" s="52" t="str">
        <f t="shared" si="32"/>
        <v>Review</v>
      </c>
      <c r="Z344" s="81">
        <v>46057.0</v>
      </c>
      <c r="AA344" s="81" t="s">
        <v>3997</v>
      </c>
      <c r="AB344" s="81" t="s">
        <v>3998</v>
      </c>
      <c r="AC344" s="81">
        <f t="shared" si="5"/>
        <v>46055</v>
      </c>
      <c r="AD344" s="82">
        <f t="shared" si="6"/>
        <v>3</v>
      </c>
    </row>
    <row r="345">
      <c r="A345" s="104">
        <v>46055.0</v>
      </c>
      <c r="B345" s="89" t="s">
        <v>1157</v>
      </c>
      <c r="C345" s="89" t="s">
        <v>1158</v>
      </c>
      <c r="D345" s="89" t="s">
        <v>1075</v>
      </c>
      <c r="E345" s="89" t="s">
        <v>1159</v>
      </c>
      <c r="F345" s="81">
        <f>IFERROR(__xludf.DUMMYFUNCTION("""COMPUTED_VALUE"""),46055.0)</f>
        <v>46055</v>
      </c>
      <c r="G345" s="89" t="s">
        <v>3996</v>
      </c>
      <c r="H345" s="89">
        <v>6.0</v>
      </c>
      <c r="I345" s="89" t="s">
        <v>3964</v>
      </c>
      <c r="J345" s="89" t="str">
        <f t="shared" si="18"/>
        <v>No</v>
      </c>
      <c r="K345" s="89" t="str">
        <f t="shared" si="23"/>
        <v>No</v>
      </c>
      <c r="L345" s="89" t="str">
        <f>IFERROR(__xludf.DUMMYFUNCTION("""COMPUTED_VALUE"""),"Applied")</f>
        <v>Applied</v>
      </c>
      <c r="M345" s="89" t="str">
        <f>IFERROR(__xludf.DUMMYFUNCTION("""COMPUTED_VALUE"""),"")</f>
        <v/>
      </c>
      <c r="N345" s="89" t="str">
        <f>IFERROR(__xludf.DUMMYFUNCTION("""COMPUTED_VALUE"""),"")</f>
        <v/>
      </c>
      <c r="P345" s="52" t="str">
        <f t="shared" si="22"/>
        <v>0</v>
      </c>
      <c r="R345" s="52" t="str">
        <f t="shared" si="32"/>
        <v>Review</v>
      </c>
      <c r="Z345" s="81">
        <v>46055.0</v>
      </c>
      <c r="AA345" s="81" t="s">
        <v>3997</v>
      </c>
      <c r="AB345" s="81" t="s">
        <v>3998</v>
      </c>
      <c r="AC345" s="81">
        <f t="shared" si="5"/>
        <v>46055</v>
      </c>
      <c r="AD345" s="82">
        <f t="shared" si="6"/>
        <v>1</v>
      </c>
    </row>
    <row r="346">
      <c r="A346" s="104">
        <v>46064.0</v>
      </c>
      <c r="B346" s="89" t="s">
        <v>929</v>
      </c>
      <c r="C346" s="89" t="s">
        <v>1163</v>
      </c>
      <c r="D346" s="89" t="s">
        <v>1075</v>
      </c>
      <c r="E346" s="89"/>
      <c r="F346" s="81">
        <f>IFERROR(__xludf.DUMMYFUNCTION("""COMPUTED_VALUE"""),46064.0)</f>
        <v>46064</v>
      </c>
      <c r="G346" s="89" t="s">
        <v>3996</v>
      </c>
      <c r="H346" s="89">
        <v>7.0</v>
      </c>
      <c r="I346" s="89" t="s">
        <v>3971</v>
      </c>
      <c r="J346" s="89" t="str">
        <f t="shared" si="18"/>
        <v>No</v>
      </c>
      <c r="K346" s="89" t="str">
        <f t="shared" si="23"/>
        <v>No</v>
      </c>
      <c r="L346" s="89" t="str">
        <f>IFERROR(__xludf.DUMMYFUNCTION("""COMPUTED_VALUE"""),"Applied")</f>
        <v>Applied</v>
      </c>
      <c r="M346" s="89" t="str">
        <f>IFERROR(__xludf.DUMMYFUNCTION("""COMPUTED_VALUE"""),"")</f>
        <v/>
      </c>
      <c r="N346" s="89" t="str">
        <f>IFERROR(__xludf.DUMMYFUNCTION("""COMPUTED_VALUE"""),"")</f>
        <v/>
      </c>
      <c r="P346" s="52" t="str">
        <f t="shared" si="22"/>
        <v>0</v>
      </c>
      <c r="R346" s="52" t="str">
        <f t="shared" si="32"/>
        <v>Review</v>
      </c>
      <c r="Z346" s="81">
        <v>46064.0</v>
      </c>
      <c r="AA346" s="81" t="s">
        <v>3999</v>
      </c>
      <c r="AB346" s="81" t="s">
        <v>3998</v>
      </c>
      <c r="AC346" s="81">
        <f t="shared" si="5"/>
        <v>46062</v>
      </c>
      <c r="AD346" s="82">
        <f t="shared" si="6"/>
        <v>3</v>
      </c>
    </row>
    <row r="347">
      <c r="A347" s="104">
        <v>46063.0</v>
      </c>
      <c r="B347" s="89" t="s">
        <v>397</v>
      </c>
      <c r="C347" s="89" t="s">
        <v>1164</v>
      </c>
      <c r="D347" s="89" t="s">
        <v>1165</v>
      </c>
      <c r="E347" s="89" t="s">
        <v>1166</v>
      </c>
      <c r="F347" s="81">
        <f>IFERROR(__xludf.DUMMYFUNCTION("""COMPUTED_VALUE"""),46063.0)</f>
        <v>46063</v>
      </c>
      <c r="G347" s="89" t="s">
        <v>3996</v>
      </c>
      <c r="H347" s="89">
        <v>7.0</v>
      </c>
      <c r="I347" s="89" t="s">
        <v>3966</v>
      </c>
      <c r="J347" s="89" t="str">
        <f t="shared" si="18"/>
        <v>No</v>
      </c>
      <c r="K347" s="89" t="str">
        <f t="shared" si="23"/>
        <v>No</v>
      </c>
      <c r="L347" s="89" t="str">
        <f>IFERROR(__xludf.DUMMYFUNCTION("""COMPUTED_VALUE"""),"$71K-$102K /yr")</f>
        <v>$71K-$102K /yr</v>
      </c>
      <c r="M347" s="89" t="str">
        <f>IFERROR(__xludf.DUMMYFUNCTION("""COMPUTED_VALUE"""),"")</f>
        <v/>
      </c>
      <c r="N347" s="89">
        <f>IFERROR(__xludf.DUMMYFUNCTION("""COMPUTED_VALUE"""),71.0)</f>
        <v>71</v>
      </c>
      <c r="P347" s="52" t="str">
        <f t="shared" si="22"/>
        <v>0</v>
      </c>
      <c r="R347" s="52" t="str">
        <f t="shared" si="32"/>
        <v>Review</v>
      </c>
      <c r="Z347" s="81">
        <v>46063.0</v>
      </c>
      <c r="AA347" s="81" t="s">
        <v>3999</v>
      </c>
      <c r="AB347" s="81" t="s">
        <v>3998</v>
      </c>
      <c r="AC347" s="81">
        <f t="shared" si="5"/>
        <v>46062</v>
      </c>
      <c r="AD347" s="82">
        <f t="shared" si="6"/>
        <v>2</v>
      </c>
    </row>
    <row r="348">
      <c r="A348" s="104">
        <v>46063.0</v>
      </c>
      <c r="B348" s="89" t="s">
        <v>1168</v>
      </c>
      <c r="C348" s="89" t="s">
        <v>1169</v>
      </c>
      <c r="D348" s="89" t="s">
        <v>1170</v>
      </c>
      <c r="E348" s="89" t="s">
        <v>1171</v>
      </c>
      <c r="F348" s="81">
        <f>IFERROR(__xludf.DUMMYFUNCTION("""COMPUTED_VALUE"""),46063.0)</f>
        <v>46063</v>
      </c>
      <c r="G348" s="89" t="s">
        <v>3996</v>
      </c>
      <c r="H348" s="89">
        <v>7.0</v>
      </c>
      <c r="I348" s="89" t="s">
        <v>3966</v>
      </c>
      <c r="J348" s="89" t="str">
        <f t="shared" si="18"/>
        <v>No</v>
      </c>
      <c r="K348" s="89" t="str">
        <f t="shared" si="23"/>
        <v>No</v>
      </c>
      <c r="L348" s="89" t="str">
        <f>IFERROR(__xludf.DUMMYFUNCTION("""COMPUTED_VALUE"""),"$60K-$85K /yr")</f>
        <v>$60K-$85K /yr</v>
      </c>
      <c r="M348" s="89" t="str">
        <f>IFERROR(__xludf.DUMMYFUNCTION("""COMPUTED_VALUE"""),"")</f>
        <v/>
      </c>
      <c r="N348" s="89">
        <f>IFERROR(__xludf.DUMMYFUNCTION("""COMPUTED_VALUE"""),60.0)</f>
        <v>60</v>
      </c>
      <c r="P348" s="52" t="str">
        <f t="shared" si="22"/>
        <v>0</v>
      </c>
      <c r="R348" s="52" t="str">
        <f t="shared" si="32"/>
        <v>Review</v>
      </c>
      <c r="Z348" s="81">
        <v>46063.0</v>
      </c>
      <c r="AA348" s="81" t="s">
        <v>3999</v>
      </c>
      <c r="AB348" s="81" t="s">
        <v>3998</v>
      </c>
      <c r="AC348" s="81">
        <f t="shared" si="5"/>
        <v>46062</v>
      </c>
      <c r="AD348" s="82">
        <f t="shared" si="6"/>
        <v>2</v>
      </c>
    </row>
    <row r="349">
      <c r="A349" s="104">
        <v>46064.0</v>
      </c>
      <c r="B349" s="89" t="s">
        <v>1174</v>
      </c>
      <c r="C349" s="89" t="s">
        <v>1175</v>
      </c>
      <c r="D349" s="89" t="s">
        <v>1176</v>
      </c>
      <c r="E349" s="89" t="s">
        <v>1177</v>
      </c>
      <c r="F349" s="81">
        <f>IFERROR(__xludf.DUMMYFUNCTION("""COMPUTED_VALUE"""),46064.0)</f>
        <v>46064</v>
      </c>
      <c r="G349" s="89" t="s">
        <v>3996</v>
      </c>
      <c r="H349" s="89">
        <v>7.0</v>
      </c>
      <c r="I349" s="89" t="s">
        <v>3971</v>
      </c>
      <c r="J349" s="89" t="str">
        <f t="shared" si="18"/>
        <v>No</v>
      </c>
      <c r="K349" s="89" t="str">
        <f t="shared" si="23"/>
        <v>No</v>
      </c>
      <c r="L349" s="89" t="str">
        <f>IFERROR(__xludf.DUMMYFUNCTION("""COMPUTED_VALUE"""),"$100000-$120000 /yr")</f>
        <v>$100000-$120000 /yr</v>
      </c>
      <c r="M349" s="89" t="str">
        <f>IFERROR(__xludf.DUMMYFUNCTION("""COMPUTED_VALUE"""),"")</f>
        <v/>
      </c>
      <c r="N349" s="89">
        <f>IFERROR(__xludf.DUMMYFUNCTION("""COMPUTED_VALUE"""),100000.0)</f>
        <v>100000</v>
      </c>
      <c r="P349" s="52" t="str">
        <f t="shared" si="22"/>
        <v>0</v>
      </c>
      <c r="R349" s="52" t="str">
        <f t="shared" si="32"/>
        <v>Review</v>
      </c>
      <c r="Z349" s="81">
        <v>46064.0</v>
      </c>
      <c r="AA349" s="81" t="s">
        <v>3999</v>
      </c>
      <c r="AB349" s="81" t="s">
        <v>3998</v>
      </c>
      <c r="AC349" s="81">
        <f t="shared" si="5"/>
        <v>46062</v>
      </c>
      <c r="AD349" s="82">
        <f t="shared" si="6"/>
        <v>3</v>
      </c>
    </row>
    <row r="350">
      <c r="A350" s="104">
        <v>46064.0</v>
      </c>
      <c r="B350" s="89" t="s">
        <v>1180</v>
      </c>
      <c r="C350" s="89" t="s">
        <v>1181</v>
      </c>
      <c r="D350" s="89" t="s">
        <v>1182</v>
      </c>
      <c r="E350" s="89" t="s">
        <v>1183</v>
      </c>
      <c r="F350" s="81">
        <f>IFERROR(__xludf.DUMMYFUNCTION("""COMPUTED_VALUE"""),46064.0)</f>
        <v>46064</v>
      </c>
      <c r="G350" s="89" t="s">
        <v>3996</v>
      </c>
      <c r="H350" s="89">
        <v>7.0</v>
      </c>
      <c r="I350" s="89" t="s">
        <v>3971</v>
      </c>
      <c r="J350" s="89" t="str">
        <f t="shared" si="18"/>
        <v>No</v>
      </c>
      <c r="K350" s="89" t="str">
        <f t="shared" si="23"/>
        <v>No</v>
      </c>
      <c r="L350" s="89" t="str">
        <f>IFERROR(__xludf.DUMMYFUNCTION("""COMPUTED_VALUE"""),"$76K-$159K /yr")</f>
        <v>$76K-$159K /yr</v>
      </c>
      <c r="M350" s="89" t="str">
        <f>IFERROR(__xludf.DUMMYFUNCTION("""COMPUTED_VALUE"""),"")</f>
        <v/>
      </c>
      <c r="N350" s="89">
        <f>IFERROR(__xludf.DUMMYFUNCTION("""COMPUTED_VALUE"""),76.0)</f>
        <v>76</v>
      </c>
      <c r="P350" s="52" t="str">
        <f t="shared" si="22"/>
        <v>0</v>
      </c>
      <c r="R350" s="52" t="str">
        <f t="shared" si="32"/>
        <v>Review</v>
      </c>
      <c r="Z350" s="81">
        <v>46064.0</v>
      </c>
      <c r="AA350" s="81" t="s">
        <v>3999</v>
      </c>
      <c r="AB350" s="81" t="s">
        <v>3998</v>
      </c>
      <c r="AC350" s="81">
        <f t="shared" si="5"/>
        <v>46062</v>
      </c>
      <c r="AD350" s="82">
        <f t="shared" si="6"/>
        <v>3</v>
      </c>
    </row>
    <row r="351">
      <c r="A351" s="104">
        <v>46062.0</v>
      </c>
      <c r="B351" s="89" t="s">
        <v>1186</v>
      </c>
      <c r="C351" s="89" t="s">
        <v>1181</v>
      </c>
      <c r="D351" s="89" t="s">
        <v>1187</v>
      </c>
      <c r="E351" s="89" t="s">
        <v>1188</v>
      </c>
      <c r="F351" s="81">
        <f>IFERROR(__xludf.DUMMYFUNCTION("""COMPUTED_VALUE"""),46062.0)</f>
        <v>46062</v>
      </c>
      <c r="G351" s="89" t="s">
        <v>3996</v>
      </c>
      <c r="H351" s="89">
        <v>7.0</v>
      </c>
      <c r="I351" s="89" t="s">
        <v>3964</v>
      </c>
      <c r="J351" s="89" t="str">
        <f t="shared" si="18"/>
        <v>No</v>
      </c>
      <c r="K351" s="89" t="str">
        <f t="shared" si="23"/>
        <v>No</v>
      </c>
      <c r="L351" s="89" t="str">
        <f>IFERROR(__xludf.DUMMYFUNCTION("""COMPUTED_VALUE"""),"$88K-$184K /yr")</f>
        <v>$88K-$184K /yr</v>
      </c>
      <c r="M351" s="89" t="str">
        <f>IFERROR(__xludf.DUMMYFUNCTION("""COMPUTED_VALUE"""),"")</f>
        <v/>
      </c>
      <c r="N351" s="89">
        <f>IFERROR(__xludf.DUMMYFUNCTION("""COMPUTED_VALUE"""),88.0)</f>
        <v>88</v>
      </c>
      <c r="P351" s="52" t="str">
        <f t="shared" si="22"/>
        <v>0</v>
      </c>
      <c r="R351" s="52" t="str">
        <f t="shared" si="32"/>
        <v>Review</v>
      </c>
      <c r="Z351" s="81">
        <v>46062.0</v>
      </c>
      <c r="AA351" s="81" t="s">
        <v>3999</v>
      </c>
      <c r="AB351" s="81" t="s">
        <v>3998</v>
      </c>
      <c r="AC351" s="81">
        <f t="shared" si="5"/>
        <v>46062</v>
      </c>
      <c r="AD351" s="82">
        <f t="shared" si="6"/>
        <v>1</v>
      </c>
    </row>
    <row r="352">
      <c r="A352" s="104">
        <v>46063.0</v>
      </c>
      <c r="B352" s="89" t="s">
        <v>1190</v>
      </c>
      <c r="C352" s="89" t="s">
        <v>1073</v>
      </c>
      <c r="D352" s="89" t="s">
        <v>1191</v>
      </c>
      <c r="E352" s="89" t="s">
        <v>1192</v>
      </c>
      <c r="F352" s="81">
        <f>IFERROR(__xludf.DUMMYFUNCTION("""COMPUTED_VALUE"""),46063.0)</f>
        <v>46063</v>
      </c>
      <c r="G352" s="89" t="s">
        <v>3996</v>
      </c>
      <c r="H352" s="89">
        <v>7.0</v>
      </c>
      <c r="I352" s="89" t="s">
        <v>3966</v>
      </c>
      <c r="J352" s="89" t="str">
        <f t="shared" si="18"/>
        <v>No</v>
      </c>
      <c r="K352" s="89" t="str">
        <f t="shared" si="23"/>
        <v>No</v>
      </c>
      <c r="L352" s="89" t="str">
        <f>IFERROR(__xludf.DUMMYFUNCTION("""COMPUTED_VALUE"""),"$150K-$180K /yr")</f>
        <v>$150K-$180K /yr</v>
      </c>
      <c r="M352" s="89" t="str">
        <f>IFERROR(__xludf.DUMMYFUNCTION("""COMPUTED_VALUE"""),"")</f>
        <v/>
      </c>
      <c r="N352" s="89">
        <f>IFERROR(__xludf.DUMMYFUNCTION("""COMPUTED_VALUE"""),150.0)</f>
        <v>150</v>
      </c>
      <c r="P352" s="52" t="str">
        <f t="shared" si="22"/>
        <v>0</v>
      </c>
      <c r="R352" s="52" t="str">
        <f t="shared" si="32"/>
        <v>Review</v>
      </c>
      <c r="Z352" s="81">
        <v>46063.0</v>
      </c>
      <c r="AA352" s="81" t="s">
        <v>3999</v>
      </c>
      <c r="AB352" s="81" t="s">
        <v>3998</v>
      </c>
      <c r="AC352" s="81">
        <f t="shared" si="5"/>
        <v>46062</v>
      </c>
      <c r="AD352" s="82">
        <f t="shared" si="6"/>
        <v>2</v>
      </c>
    </row>
    <row r="353">
      <c r="A353" s="104">
        <v>46063.0</v>
      </c>
      <c r="B353" s="89" t="s">
        <v>1194</v>
      </c>
      <c r="C353" s="89" t="s">
        <v>1195</v>
      </c>
      <c r="D353" s="89" t="s">
        <v>1196</v>
      </c>
      <c r="E353" s="89" t="s">
        <v>1197</v>
      </c>
      <c r="F353" s="81">
        <f>IFERROR(__xludf.DUMMYFUNCTION("""COMPUTED_VALUE"""),46063.0)</f>
        <v>46063</v>
      </c>
      <c r="G353" s="89" t="s">
        <v>3996</v>
      </c>
      <c r="H353" s="89">
        <v>7.0</v>
      </c>
      <c r="I353" s="89" t="s">
        <v>3966</v>
      </c>
      <c r="J353" s="89" t="str">
        <f t="shared" si="18"/>
        <v>No</v>
      </c>
      <c r="K353" s="89" t="str">
        <f t="shared" si="23"/>
        <v>No</v>
      </c>
      <c r="L353" s="89" t="str">
        <f>IFERROR(__xludf.DUMMYFUNCTION("""COMPUTED_VALUE"""),"$65K-$96K /yr")</f>
        <v>$65K-$96K /yr</v>
      </c>
      <c r="M353" s="89" t="str">
        <f>IFERROR(__xludf.DUMMYFUNCTION("""COMPUTED_VALUE"""),"")</f>
        <v/>
      </c>
      <c r="N353" s="89">
        <f>IFERROR(__xludf.DUMMYFUNCTION("""COMPUTED_VALUE"""),65.0)</f>
        <v>65</v>
      </c>
      <c r="P353" s="52" t="str">
        <f t="shared" si="22"/>
        <v>0</v>
      </c>
      <c r="R353" s="52" t="str">
        <f t="shared" si="32"/>
        <v>Review</v>
      </c>
      <c r="Z353" s="81">
        <v>46063.0</v>
      </c>
      <c r="AA353" s="81" t="s">
        <v>3999</v>
      </c>
      <c r="AB353" s="81" t="s">
        <v>3998</v>
      </c>
      <c r="AC353" s="81">
        <f t="shared" si="5"/>
        <v>46062</v>
      </c>
      <c r="AD353" s="82">
        <f t="shared" si="6"/>
        <v>2</v>
      </c>
    </row>
    <row r="354">
      <c r="A354" s="104">
        <v>46063.0</v>
      </c>
      <c r="B354" s="89" t="s">
        <v>1199</v>
      </c>
      <c r="C354" s="89" t="s">
        <v>1195</v>
      </c>
      <c r="D354" s="89" t="s">
        <v>1200</v>
      </c>
      <c r="E354" s="89" t="s">
        <v>1201</v>
      </c>
      <c r="F354" s="81">
        <f>IFERROR(__xludf.DUMMYFUNCTION("""COMPUTED_VALUE"""),46063.0)</f>
        <v>46063</v>
      </c>
      <c r="G354" s="89" t="s">
        <v>3996</v>
      </c>
      <c r="H354" s="89">
        <v>7.0</v>
      </c>
      <c r="I354" s="89" t="s">
        <v>3966</v>
      </c>
      <c r="J354" s="89" t="str">
        <f t="shared" si="18"/>
        <v>No</v>
      </c>
      <c r="K354" s="89" t="str">
        <f t="shared" si="23"/>
        <v>No</v>
      </c>
      <c r="L354" s="89" t="str">
        <f>IFERROR(__xludf.DUMMYFUNCTION("""COMPUTED_VALUE"""),"$83K-$120K /yr")</f>
        <v>$83K-$120K /yr</v>
      </c>
      <c r="M354" s="89" t="str">
        <f>IFERROR(__xludf.DUMMYFUNCTION("""COMPUTED_VALUE"""),"")</f>
        <v/>
      </c>
      <c r="N354" s="89">
        <f>IFERROR(__xludf.DUMMYFUNCTION("""COMPUTED_VALUE"""),83.0)</f>
        <v>83</v>
      </c>
      <c r="P354" s="52" t="str">
        <f t="shared" si="22"/>
        <v>0</v>
      </c>
      <c r="R354" s="52" t="str">
        <f t="shared" si="32"/>
        <v>Review</v>
      </c>
      <c r="Z354" s="81">
        <v>46063.0</v>
      </c>
      <c r="AA354" s="81" t="s">
        <v>3999</v>
      </c>
      <c r="AB354" s="81" t="s">
        <v>3998</v>
      </c>
      <c r="AC354" s="81">
        <f t="shared" si="5"/>
        <v>46062</v>
      </c>
      <c r="AD354" s="82">
        <f t="shared" si="6"/>
        <v>2</v>
      </c>
    </row>
    <row r="355">
      <c r="A355" s="104">
        <v>46063.0</v>
      </c>
      <c r="B355" s="89" t="s">
        <v>1203</v>
      </c>
      <c r="C355" s="89" t="s">
        <v>1204</v>
      </c>
      <c r="D355" s="89" t="s">
        <v>1205</v>
      </c>
      <c r="E355" s="89" t="s">
        <v>1206</v>
      </c>
      <c r="F355" s="81">
        <f>IFERROR(__xludf.DUMMYFUNCTION("""COMPUTED_VALUE"""),46063.0)</f>
        <v>46063</v>
      </c>
      <c r="G355" s="89" t="s">
        <v>3996</v>
      </c>
      <c r="H355" s="89">
        <v>7.0</v>
      </c>
      <c r="I355" s="89" t="s">
        <v>3966</v>
      </c>
      <c r="J355" s="89" t="str">
        <f t="shared" si="18"/>
        <v>No</v>
      </c>
      <c r="K355" s="89" t="str">
        <f t="shared" si="23"/>
        <v>No</v>
      </c>
      <c r="L355" s="89" t="str">
        <f>IFERROR(__xludf.DUMMYFUNCTION("""COMPUTED_VALUE"""),"$120K-$200K /yr")</f>
        <v>$120K-$200K /yr</v>
      </c>
      <c r="M355" s="89" t="str">
        <f>IFERROR(__xludf.DUMMYFUNCTION("""COMPUTED_VALUE"""),"")</f>
        <v/>
      </c>
      <c r="N355" s="89">
        <f>IFERROR(__xludf.DUMMYFUNCTION("""COMPUTED_VALUE"""),120.0)</f>
        <v>120</v>
      </c>
      <c r="P355" s="52" t="str">
        <f t="shared" si="22"/>
        <v>0</v>
      </c>
      <c r="R355" s="52" t="str">
        <f t="shared" si="32"/>
        <v>Review</v>
      </c>
      <c r="Z355" s="81">
        <v>46063.0</v>
      </c>
      <c r="AA355" s="81" t="s">
        <v>3999</v>
      </c>
      <c r="AB355" s="81" t="s">
        <v>3998</v>
      </c>
      <c r="AC355" s="81">
        <f t="shared" si="5"/>
        <v>46062</v>
      </c>
      <c r="AD355" s="82">
        <f t="shared" si="6"/>
        <v>2</v>
      </c>
    </row>
    <row r="356">
      <c r="A356" s="104">
        <v>46062.0</v>
      </c>
      <c r="B356" s="89" t="s">
        <v>1210</v>
      </c>
      <c r="C356" s="89" t="s">
        <v>1211</v>
      </c>
      <c r="D356" s="89" t="s">
        <v>1212</v>
      </c>
      <c r="E356" s="89" t="s">
        <v>1213</v>
      </c>
      <c r="F356" s="81">
        <f>IFERROR(__xludf.DUMMYFUNCTION("""COMPUTED_VALUE"""),46062.0)</f>
        <v>46062</v>
      </c>
      <c r="G356" s="89" t="s">
        <v>3996</v>
      </c>
      <c r="H356" s="89">
        <v>7.0</v>
      </c>
      <c r="I356" s="89" t="s">
        <v>3964</v>
      </c>
      <c r="J356" s="89" t="str">
        <f t="shared" si="18"/>
        <v>No</v>
      </c>
      <c r="K356" s="89" t="str">
        <f t="shared" si="23"/>
        <v>No</v>
      </c>
      <c r="L356" s="89" t="str">
        <f>IFERROR(__xludf.DUMMYFUNCTION("""COMPUTED_VALUE"""),"$58K-$73K /yr")</f>
        <v>$58K-$73K /yr</v>
      </c>
      <c r="M356" s="89" t="str">
        <f>IFERROR(__xludf.DUMMYFUNCTION("""COMPUTED_VALUE"""),"")</f>
        <v/>
      </c>
      <c r="N356" s="89">
        <f>IFERROR(__xludf.DUMMYFUNCTION("""COMPUTED_VALUE"""),58.0)</f>
        <v>58</v>
      </c>
      <c r="P356" s="52" t="str">
        <f t="shared" si="22"/>
        <v>0</v>
      </c>
      <c r="R356" s="52" t="str">
        <f t="shared" si="32"/>
        <v>Review</v>
      </c>
      <c r="Z356" s="81">
        <v>46062.0</v>
      </c>
      <c r="AA356" s="81" t="s">
        <v>3999</v>
      </c>
      <c r="AB356" s="81" t="s">
        <v>3998</v>
      </c>
      <c r="AC356" s="81">
        <f t="shared" si="5"/>
        <v>46062</v>
      </c>
      <c r="AD356" s="82">
        <f t="shared" si="6"/>
        <v>1</v>
      </c>
    </row>
    <row r="357">
      <c r="A357" s="104">
        <v>46059.0</v>
      </c>
      <c r="B357" s="89" t="s">
        <v>1216</v>
      </c>
      <c r="C357" s="89" t="s">
        <v>1217</v>
      </c>
      <c r="D357" s="89" t="s">
        <v>1218</v>
      </c>
      <c r="E357" s="89" t="s">
        <v>1219</v>
      </c>
      <c r="F357" s="81">
        <f>IFERROR(__xludf.DUMMYFUNCTION("""COMPUTED_VALUE"""),46059.0)</f>
        <v>46059</v>
      </c>
      <c r="G357" s="89" t="s">
        <v>3996</v>
      </c>
      <c r="H357" s="89">
        <v>6.0</v>
      </c>
      <c r="I357" s="89" t="s">
        <v>3954</v>
      </c>
      <c r="J357" s="89" t="str">
        <f t="shared" si="18"/>
        <v>No</v>
      </c>
      <c r="K357" s="89" t="str">
        <f t="shared" si="23"/>
        <v>No</v>
      </c>
      <c r="L357" s="89" t="str">
        <f>IFERROR(__xludf.DUMMYFUNCTION("""COMPUTED_VALUE"""),"$140K-$150K /yr")</f>
        <v>$140K-$150K /yr</v>
      </c>
      <c r="M357" s="89" t="str">
        <f>IFERROR(__xludf.DUMMYFUNCTION("""COMPUTED_VALUE"""),"")</f>
        <v/>
      </c>
      <c r="N357" s="89">
        <f>IFERROR(__xludf.DUMMYFUNCTION("""COMPUTED_VALUE"""),140.0)</f>
        <v>140</v>
      </c>
      <c r="P357" s="52" t="str">
        <f t="shared" si="22"/>
        <v>0</v>
      </c>
      <c r="R357" s="52" t="str">
        <f t="shared" si="32"/>
        <v>Review</v>
      </c>
      <c r="Z357" s="81">
        <v>46059.0</v>
      </c>
      <c r="AA357" s="81" t="s">
        <v>3997</v>
      </c>
      <c r="AB357" s="81" t="s">
        <v>3998</v>
      </c>
      <c r="AC357" s="81">
        <f t="shared" si="5"/>
        <v>46055</v>
      </c>
      <c r="AD357" s="82">
        <f t="shared" si="6"/>
        <v>5</v>
      </c>
    </row>
    <row r="358">
      <c r="A358" s="104">
        <v>46058.0</v>
      </c>
      <c r="B358" s="89" t="s">
        <v>1222</v>
      </c>
      <c r="C358" s="89" t="s">
        <v>1223</v>
      </c>
      <c r="D358" s="89" t="s">
        <v>1224</v>
      </c>
      <c r="E358" s="89" t="s">
        <v>1225</v>
      </c>
      <c r="F358" s="81">
        <f>IFERROR(__xludf.DUMMYFUNCTION("""COMPUTED_VALUE"""),46058.0)</f>
        <v>46058</v>
      </c>
      <c r="G358" s="89" t="s">
        <v>3996</v>
      </c>
      <c r="H358" s="89">
        <v>6.0</v>
      </c>
      <c r="I358" s="89" t="s">
        <v>3972</v>
      </c>
      <c r="J358" s="89" t="str">
        <f t="shared" si="18"/>
        <v>No</v>
      </c>
      <c r="K358" s="89" t="str">
        <f t="shared" si="23"/>
        <v>No</v>
      </c>
      <c r="L358" s="89" t="str">
        <f>IFERROR(__xludf.DUMMYFUNCTION("""COMPUTED_VALUE"""),"$80000-$85000 /yr")</f>
        <v>$80000-$85000 /yr</v>
      </c>
      <c r="M358" s="89" t="str">
        <f>IFERROR(__xludf.DUMMYFUNCTION("""COMPUTED_VALUE"""),"")</f>
        <v/>
      </c>
      <c r="N358" s="89">
        <f>IFERROR(__xludf.DUMMYFUNCTION("""COMPUTED_VALUE"""),80000.0)</f>
        <v>80000</v>
      </c>
      <c r="P358" s="52" t="str">
        <f t="shared" si="22"/>
        <v>0</v>
      </c>
      <c r="R358" s="52" t="str">
        <f t="shared" si="32"/>
        <v>Review</v>
      </c>
      <c r="Z358" s="81">
        <v>46058.0</v>
      </c>
      <c r="AA358" s="81" t="s">
        <v>3997</v>
      </c>
      <c r="AB358" s="81" t="s">
        <v>3998</v>
      </c>
      <c r="AC358" s="81">
        <f t="shared" si="5"/>
        <v>46055</v>
      </c>
      <c r="AD358" s="82">
        <f t="shared" si="6"/>
        <v>4</v>
      </c>
    </row>
    <row r="359">
      <c r="A359" s="104">
        <v>46064.0</v>
      </c>
      <c r="B359" s="89" t="s">
        <v>1228</v>
      </c>
      <c r="C359" s="89" t="s">
        <v>1229</v>
      </c>
      <c r="D359" s="89" t="s">
        <v>1230</v>
      </c>
      <c r="E359" s="89" t="s">
        <v>1231</v>
      </c>
      <c r="F359" s="81">
        <f>IFERROR(__xludf.DUMMYFUNCTION("""COMPUTED_VALUE"""),46064.0)</f>
        <v>46064</v>
      </c>
      <c r="G359" s="89" t="s">
        <v>3996</v>
      </c>
      <c r="H359" s="89">
        <v>7.0</v>
      </c>
      <c r="I359" s="89" t="s">
        <v>3971</v>
      </c>
      <c r="J359" s="89" t="str">
        <f t="shared" si="18"/>
        <v>No</v>
      </c>
      <c r="K359" s="89" t="str">
        <f t="shared" si="23"/>
        <v>No</v>
      </c>
      <c r="L359" s="89" t="str">
        <f>IFERROR(__xludf.DUMMYFUNCTION("""COMPUTED_VALUE"""),"$120K-$220K /yr")</f>
        <v>$120K-$220K /yr</v>
      </c>
      <c r="M359" s="89" t="str">
        <f>IFERROR(__xludf.DUMMYFUNCTION("""COMPUTED_VALUE"""),"")</f>
        <v/>
      </c>
      <c r="N359" s="89">
        <f>IFERROR(__xludf.DUMMYFUNCTION("""COMPUTED_VALUE"""),120.0)</f>
        <v>120</v>
      </c>
      <c r="P359" s="52" t="str">
        <f t="shared" si="22"/>
        <v>0</v>
      </c>
      <c r="R359" s="52" t="str">
        <f t="shared" si="32"/>
        <v>Review</v>
      </c>
      <c r="Z359" s="81">
        <v>46064.0</v>
      </c>
      <c r="AA359" s="81" t="s">
        <v>3999</v>
      </c>
      <c r="AB359" s="81" t="s">
        <v>3998</v>
      </c>
      <c r="AC359" s="81">
        <f t="shared" si="5"/>
        <v>46062</v>
      </c>
      <c r="AD359" s="82">
        <f t="shared" si="6"/>
        <v>3</v>
      </c>
    </row>
    <row r="360">
      <c r="A360" s="104">
        <v>46059.0</v>
      </c>
      <c r="B360" s="89" t="s">
        <v>1234</v>
      </c>
      <c r="C360" s="89" t="s">
        <v>1235</v>
      </c>
      <c r="D360" s="89" t="s">
        <v>1236</v>
      </c>
      <c r="E360" s="89" t="s">
        <v>1237</v>
      </c>
      <c r="F360" s="81">
        <f>IFERROR(__xludf.DUMMYFUNCTION("""COMPUTED_VALUE"""),46059.0)</f>
        <v>46059</v>
      </c>
      <c r="G360" s="89" t="s">
        <v>3996</v>
      </c>
      <c r="H360" s="89">
        <v>6.0</v>
      </c>
      <c r="I360" s="89" t="s">
        <v>3954</v>
      </c>
      <c r="J360" s="89" t="str">
        <f t="shared" si="18"/>
        <v>No</v>
      </c>
      <c r="K360" s="89" t="str">
        <f t="shared" si="23"/>
        <v>No</v>
      </c>
      <c r="L360" s="89" t="str">
        <f>IFERROR(__xludf.DUMMYFUNCTION("""COMPUTED_VALUE"""),"$88K-$137K /yr")</f>
        <v>$88K-$137K /yr</v>
      </c>
      <c r="M360" s="89" t="str">
        <f>IFERROR(__xludf.DUMMYFUNCTION("""COMPUTED_VALUE"""),"")</f>
        <v/>
      </c>
      <c r="N360" s="89">
        <f>IFERROR(__xludf.DUMMYFUNCTION("""COMPUTED_VALUE"""),88.0)</f>
        <v>88</v>
      </c>
      <c r="P360" s="52" t="str">
        <f t="shared" si="22"/>
        <v>0</v>
      </c>
      <c r="R360" s="52" t="str">
        <f t="shared" si="32"/>
        <v>Review</v>
      </c>
      <c r="Z360" s="81">
        <v>46059.0</v>
      </c>
      <c r="AA360" s="81" t="s">
        <v>3997</v>
      </c>
      <c r="AB360" s="81" t="s">
        <v>3998</v>
      </c>
      <c r="AC360" s="81">
        <f t="shared" si="5"/>
        <v>46055</v>
      </c>
      <c r="AD360" s="82">
        <f t="shared" si="6"/>
        <v>5</v>
      </c>
    </row>
    <row r="361">
      <c r="A361" s="104">
        <v>46059.0</v>
      </c>
      <c r="B361" s="89" t="s">
        <v>1240</v>
      </c>
      <c r="C361" s="89" t="s">
        <v>1241</v>
      </c>
      <c r="D361" s="89" t="s">
        <v>1242</v>
      </c>
      <c r="E361" s="89" t="s">
        <v>1243</v>
      </c>
      <c r="F361" s="81">
        <f>IFERROR(__xludf.DUMMYFUNCTION("""COMPUTED_VALUE"""),46059.0)</f>
        <v>46059</v>
      </c>
      <c r="G361" s="89" t="s">
        <v>3996</v>
      </c>
      <c r="H361" s="89">
        <v>6.0</v>
      </c>
      <c r="I361" s="89" t="s">
        <v>3954</v>
      </c>
      <c r="J361" s="89" t="str">
        <f t="shared" si="18"/>
        <v>No</v>
      </c>
      <c r="K361" s="89" t="str">
        <f t="shared" si="23"/>
        <v>No</v>
      </c>
      <c r="L361" s="89" t="str">
        <f>IFERROR(__xludf.DUMMYFUNCTION("""COMPUTED_VALUE"""),"$1000000-$114000 /yr")</f>
        <v>$1000000-$114000 /yr</v>
      </c>
      <c r="M361" s="89" t="str">
        <f>IFERROR(__xludf.DUMMYFUNCTION("""COMPUTED_VALUE"""),"")</f>
        <v/>
      </c>
      <c r="N361" s="89">
        <f>IFERROR(__xludf.DUMMYFUNCTION("""COMPUTED_VALUE"""),1000000.0)</f>
        <v>1000000</v>
      </c>
      <c r="P361" s="52" t="str">
        <f t="shared" si="22"/>
        <v>0</v>
      </c>
      <c r="R361" s="52" t="str">
        <f t="shared" si="32"/>
        <v>Review</v>
      </c>
      <c r="Z361" s="81">
        <v>46059.0</v>
      </c>
      <c r="AA361" s="81" t="s">
        <v>3997</v>
      </c>
      <c r="AB361" s="81" t="s">
        <v>3998</v>
      </c>
      <c r="AC361" s="81">
        <f t="shared" si="5"/>
        <v>46055</v>
      </c>
      <c r="AD361" s="82">
        <f t="shared" si="6"/>
        <v>5</v>
      </c>
    </row>
    <row r="362">
      <c r="A362" s="104">
        <v>46064.0</v>
      </c>
      <c r="B362" s="89" t="s">
        <v>1246</v>
      </c>
      <c r="C362" s="89" t="s">
        <v>1247</v>
      </c>
      <c r="D362" s="89" t="s">
        <v>1176</v>
      </c>
      <c r="E362" s="89" t="s">
        <v>1248</v>
      </c>
      <c r="F362" s="81">
        <f>IFERROR(__xludf.DUMMYFUNCTION("""COMPUTED_VALUE"""),46064.0)</f>
        <v>46064</v>
      </c>
      <c r="G362" s="89" t="s">
        <v>3996</v>
      </c>
      <c r="H362" s="89">
        <v>7.0</v>
      </c>
      <c r="I362" s="89" t="s">
        <v>3971</v>
      </c>
      <c r="J362" s="89" t="str">
        <f t="shared" si="18"/>
        <v>No</v>
      </c>
      <c r="K362" s="89" t="str">
        <f t="shared" si="23"/>
        <v>No</v>
      </c>
      <c r="L362" s="89" t="str">
        <f>IFERROR(__xludf.DUMMYFUNCTION("""COMPUTED_VALUE"""),"$100000-$120000 /yr")</f>
        <v>$100000-$120000 /yr</v>
      </c>
      <c r="M362" s="89" t="str">
        <f>IFERROR(__xludf.DUMMYFUNCTION("""COMPUTED_VALUE"""),"")</f>
        <v/>
      </c>
      <c r="N362" s="89">
        <f>IFERROR(__xludf.DUMMYFUNCTION("""COMPUTED_VALUE"""),100000.0)</f>
        <v>100000</v>
      </c>
      <c r="P362" s="52" t="str">
        <f t="shared" si="22"/>
        <v>0</v>
      </c>
      <c r="R362" s="52" t="str">
        <f t="shared" si="32"/>
        <v>Review</v>
      </c>
      <c r="Z362" s="81">
        <v>46064.0</v>
      </c>
      <c r="AA362" s="81" t="s">
        <v>3999</v>
      </c>
      <c r="AB362" s="81" t="s">
        <v>3998</v>
      </c>
      <c r="AC362" s="81">
        <f t="shared" si="5"/>
        <v>46062</v>
      </c>
      <c r="AD362" s="82">
        <f t="shared" si="6"/>
        <v>3</v>
      </c>
    </row>
    <row r="363">
      <c r="A363" s="104">
        <v>46059.0</v>
      </c>
      <c r="B363" s="89" t="s">
        <v>1252</v>
      </c>
      <c r="C363" s="89" t="s">
        <v>1253</v>
      </c>
      <c r="D363" s="89" t="s">
        <v>1254</v>
      </c>
      <c r="E363" s="89" t="s">
        <v>1255</v>
      </c>
      <c r="F363" s="81">
        <f>IFERROR(__xludf.DUMMYFUNCTION("""COMPUTED_VALUE"""),46059.0)</f>
        <v>46059</v>
      </c>
      <c r="G363" s="89" t="s">
        <v>3996</v>
      </c>
      <c r="H363" s="89">
        <v>6.0</v>
      </c>
      <c r="I363" s="89" t="s">
        <v>3954</v>
      </c>
      <c r="J363" s="89" t="str">
        <f t="shared" si="18"/>
        <v>No</v>
      </c>
      <c r="K363" s="89" t="str">
        <f t="shared" si="23"/>
        <v>No</v>
      </c>
      <c r="L363" s="89" t="str">
        <f>IFERROR(__xludf.DUMMYFUNCTION("""COMPUTED_VALUE"""),"$169K-$232K /yr")</f>
        <v>$169K-$232K /yr</v>
      </c>
      <c r="M363" s="89" t="str">
        <f>IFERROR(__xludf.DUMMYFUNCTION("""COMPUTED_VALUE"""),"")</f>
        <v/>
      </c>
      <c r="N363" s="89">
        <f>IFERROR(__xludf.DUMMYFUNCTION("""COMPUTED_VALUE"""),169.0)</f>
        <v>169</v>
      </c>
      <c r="P363" s="52" t="str">
        <f t="shared" si="22"/>
        <v>0</v>
      </c>
      <c r="R363" s="52" t="str">
        <f t="shared" si="32"/>
        <v>Review</v>
      </c>
      <c r="Z363" s="81">
        <v>46059.0</v>
      </c>
      <c r="AA363" s="81" t="s">
        <v>3997</v>
      </c>
      <c r="AB363" s="81" t="s">
        <v>3998</v>
      </c>
      <c r="AC363" s="81">
        <f t="shared" si="5"/>
        <v>46055</v>
      </c>
      <c r="AD363" s="82">
        <f t="shared" si="6"/>
        <v>5</v>
      </c>
    </row>
    <row r="364">
      <c r="A364" s="104">
        <v>46064.0</v>
      </c>
      <c r="B364" s="89" t="s">
        <v>1259</v>
      </c>
      <c r="C364" s="89" t="s">
        <v>822</v>
      </c>
      <c r="D364" s="89" t="s">
        <v>1260</v>
      </c>
      <c r="E364" s="89" t="s">
        <v>1261</v>
      </c>
      <c r="F364" s="81">
        <f>IFERROR(__xludf.DUMMYFUNCTION("""COMPUTED_VALUE"""),46064.0)</f>
        <v>46064</v>
      </c>
      <c r="G364" s="89" t="s">
        <v>3996</v>
      </c>
      <c r="H364" s="89">
        <v>7.0</v>
      </c>
      <c r="I364" s="89" t="s">
        <v>3971</v>
      </c>
      <c r="J364" s="89" t="str">
        <f t="shared" si="18"/>
        <v>No</v>
      </c>
      <c r="K364" s="89" t="str">
        <f t="shared" si="23"/>
        <v>No</v>
      </c>
      <c r="L364" s="89" t="str">
        <f>IFERROR(__xludf.DUMMYFUNCTION("""COMPUTED_VALUE"""),"$110000-$138000 /yr")</f>
        <v>$110000-$138000 /yr</v>
      </c>
      <c r="M364" s="89" t="str">
        <f>IFERROR(__xludf.DUMMYFUNCTION("""COMPUTED_VALUE"""),"")</f>
        <v/>
      </c>
      <c r="N364" s="89">
        <f>IFERROR(__xludf.DUMMYFUNCTION("""COMPUTED_VALUE"""),110000.0)</f>
        <v>110000</v>
      </c>
      <c r="P364" s="52" t="str">
        <f t="shared" si="22"/>
        <v>0</v>
      </c>
      <c r="R364" s="52" t="str">
        <f t="shared" si="32"/>
        <v>Review</v>
      </c>
      <c r="Z364" s="81">
        <v>46064.0</v>
      </c>
      <c r="AA364" s="81" t="s">
        <v>3999</v>
      </c>
      <c r="AB364" s="81" t="s">
        <v>3998</v>
      </c>
      <c r="AC364" s="81">
        <f t="shared" si="5"/>
        <v>46062</v>
      </c>
      <c r="AD364" s="82">
        <f t="shared" si="6"/>
        <v>3</v>
      </c>
    </row>
    <row r="365">
      <c r="A365" s="104">
        <v>46063.0</v>
      </c>
      <c r="B365" s="89" t="s">
        <v>1265</v>
      </c>
      <c r="C365" s="89" t="s">
        <v>822</v>
      </c>
      <c r="D365" s="89" t="s">
        <v>1260</v>
      </c>
      <c r="E365" s="89"/>
      <c r="F365" s="81">
        <f>IFERROR(__xludf.DUMMYFUNCTION("""COMPUTED_VALUE"""),46063.0)</f>
        <v>46063</v>
      </c>
      <c r="G365" s="89" t="s">
        <v>3996</v>
      </c>
      <c r="H365" s="89">
        <v>7.0</v>
      </c>
      <c r="I365" s="89" t="s">
        <v>3966</v>
      </c>
      <c r="J365" s="89" t="str">
        <f t="shared" si="18"/>
        <v>No</v>
      </c>
      <c r="K365" s="89" t="str">
        <f t="shared" si="23"/>
        <v>No</v>
      </c>
      <c r="L365" s="89" t="str">
        <f>IFERROR(__xludf.DUMMYFUNCTION("""COMPUTED_VALUE"""),"$110000-$138000 /yr")</f>
        <v>$110000-$138000 /yr</v>
      </c>
      <c r="M365" s="89" t="str">
        <f>IFERROR(__xludf.DUMMYFUNCTION("""COMPUTED_VALUE"""),"")</f>
        <v/>
      </c>
      <c r="N365" s="89">
        <f>IFERROR(__xludf.DUMMYFUNCTION("""COMPUTED_VALUE"""),110000.0)</f>
        <v>110000</v>
      </c>
      <c r="P365" s="52" t="str">
        <f t="shared" si="22"/>
        <v>0</v>
      </c>
      <c r="R365" s="52" t="str">
        <f t="shared" si="32"/>
        <v>Review</v>
      </c>
      <c r="Z365" s="81">
        <v>46063.0</v>
      </c>
      <c r="AA365" s="81" t="s">
        <v>3999</v>
      </c>
      <c r="AB365" s="81" t="s">
        <v>3998</v>
      </c>
      <c r="AC365" s="81">
        <f t="shared" si="5"/>
        <v>46062</v>
      </c>
      <c r="AD365" s="82">
        <f t="shared" si="6"/>
        <v>2</v>
      </c>
    </row>
    <row r="366">
      <c r="A366" s="104">
        <v>46059.0</v>
      </c>
      <c r="B366" s="89" t="s">
        <v>32</v>
      </c>
      <c r="C366" s="89" t="s">
        <v>1266</v>
      </c>
      <c r="D366" s="89" t="s">
        <v>1267</v>
      </c>
      <c r="E366" s="89" t="s">
        <v>1268</v>
      </c>
      <c r="F366" s="81">
        <f>IFERROR(__xludf.DUMMYFUNCTION("""COMPUTED_VALUE"""),46059.0)</f>
        <v>46059</v>
      </c>
      <c r="G366" s="89" t="s">
        <v>3996</v>
      </c>
      <c r="H366" s="89">
        <v>6.0</v>
      </c>
      <c r="I366" s="89" t="s">
        <v>3954</v>
      </c>
      <c r="J366" s="89" t="str">
        <f t="shared" si="18"/>
        <v>No</v>
      </c>
      <c r="K366" s="89" t="str">
        <f t="shared" si="23"/>
        <v>No</v>
      </c>
      <c r="L366" s="89" t="str">
        <f>IFERROR(__xludf.DUMMYFUNCTION("""COMPUTED_VALUE"""),"$130K-$150K /yr")</f>
        <v>$130K-$150K /yr</v>
      </c>
      <c r="M366" s="89" t="str">
        <f>IFERROR(__xludf.DUMMYFUNCTION("""COMPUTED_VALUE"""),"")</f>
        <v/>
      </c>
      <c r="N366" s="89">
        <f>IFERROR(__xludf.DUMMYFUNCTION("""COMPUTED_VALUE"""),130.0)</f>
        <v>130</v>
      </c>
      <c r="P366" s="52" t="str">
        <f t="shared" si="22"/>
        <v>0</v>
      </c>
      <c r="R366" s="52" t="str">
        <f t="shared" si="32"/>
        <v>Review</v>
      </c>
      <c r="Z366" s="81">
        <v>46059.0</v>
      </c>
      <c r="AA366" s="81" t="s">
        <v>3997</v>
      </c>
      <c r="AB366" s="81" t="s">
        <v>3998</v>
      </c>
      <c r="AC366" s="81">
        <f t="shared" si="5"/>
        <v>46055</v>
      </c>
      <c r="AD366" s="82">
        <f t="shared" si="6"/>
        <v>5</v>
      </c>
    </row>
    <row r="367">
      <c r="A367" s="104">
        <v>46059.0</v>
      </c>
      <c r="B367" s="89" t="s">
        <v>1240</v>
      </c>
      <c r="C367" s="89" t="s">
        <v>1223</v>
      </c>
      <c r="D367" s="89" t="s">
        <v>1271</v>
      </c>
      <c r="E367" s="89" t="s">
        <v>1272</v>
      </c>
      <c r="F367" s="81">
        <f>IFERROR(__xludf.DUMMYFUNCTION("""COMPUTED_VALUE"""),46059.0)</f>
        <v>46059</v>
      </c>
      <c r="G367" s="89" t="s">
        <v>3996</v>
      </c>
      <c r="H367" s="89">
        <v>6.0</v>
      </c>
      <c r="I367" s="89" t="s">
        <v>3954</v>
      </c>
      <c r="J367" s="89" t="str">
        <f t="shared" si="18"/>
        <v>No</v>
      </c>
      <c r="K367" s="89" t="str">
        <f t="shared" si="23"/>
        <v>No</v>
      </c>
      <c r="L367" s="89" t="str">
        <f>IFERROR(__xludf.DUMMYFUNCTION("""COMPUTED_VALUE"""),"$67,500-$100,000 /yr")</f>
        <v>$67,500-$100,000 /yr</v>
      </c>
      <c r="M367" s="89" t="str">
        <f>IFERROR(__xludf.DUMMYFUNCTION("""COMPUTED_VALUE"""),"")</f>
        <v/>
      </c>
      <c r="N367" s="89">
        <f>IFERROR(__xludf.DUMMYFUNCTION("""COMPUTED_VALUE"""),67.0)</f>
        <v>67</v>
      </c>
      <c r="P367" s="52" t="str">
        <f t="shared" si="22"/>
        <v>0</v>
      </c>
      <c r="R367" s="52" t="str">
        <f t="shared" si="32"/>
        <v>Review</v>
      </c>
      <c r="Z367" s="81">
        <v>46059.0</v>
      </c>
      <c r="AA367" s="81" t="s">
        <v>3997</v>
      </c>
      <c r="AB367" s="81" t="s">
        <v>3998</v>
      </c>
      <c r="AC367" s="81">
        <f t="shared" si="5"/>
        <v>46055</v>
      </c>
      <c r="AD367" s="82">
        <f t="shared" si="6"/>
        <v>5</v>
      </c>
    </row>
    <row r="368">
      <c r="A368" s="104">
        <v>46062.0</v>
      </c>
      <c r="B368" s="89" t="s">
        <v>1275</v>
      </c>
      <c r="C368" s="89" t="s">
        <v>1276</v>
      </c>
      <c r="D368" s="89" t="s">
        <v>1277</v>
      </c>
      <c r="E368" s="89" t="s">
        <v>1278</v>
      </c>
      <c r="F368" s="81">
        <f>IFERROR(__xludf.DUMMYFUNCTION("""COMPUTED_VALUE"""),46062.0)</f>
        <v>46062</v>
      </c>
      <c r="G368" s="89" t="s">
        <v>3996</v>
      </c>
      <c r="H368" s="89">
        <v>7.0</v>
      </c>
      <c r="I368" s="89" t="s">
        <v>3964</v>
      </c>
      <c r="J368" s="89" t="str">
        <f t="shared" si="18"/>
        <v>No</v>
      </c>
      <c r="K368" s="89" t="str">
        <f t="shared" si="23"/>
        <v>No</v>
      </c>
      <c r="L368" s="89" t="str">
        <f>IFERROR(__xludf.DUMMYFUNCTION("""COMPUTED_VALUE"""),"$83K-$103K /yr")</f>
        <v>$83K-$103K /yr</v>
      </c>
      <c r="M368" s="89" t="str">
        <f>IFERROR(__xludf.DUMMYFUNCTION("""COMPUTED_VALUE"""),"")</f>
        <v/>
      </c>
      <c r="N368" s="89">
        <f>IFERROR(__xludf.DUMMYFUNCTION("""COMPUTED_VALUE"""),83.0)</f>
        <v>83</v>
      </c>
      <c r="P368" s="52" t="str">
        <f t="shared" si="22"/>
        <v>0</v>
      </c>
      <c r="R368" s="52" t="str">
        <f t="shared" si="32"/>
        <v>Review</v>
      </c>
      <c r="Z368" s="81">
        <v>46062.0</v>
      </c>
      <c r="AA368" s="81" t="s">
        <v>3999</v>
      </c>
      <c r="AB368" s="81" t="s">
        <v>3998</v>
      </c>
      <c r="AC368" s="81">
        <f t="shared" si="5"/>
        <v>46062</v>
      </c>
      <c r="AD368" s="82">
        <f t="shared" si="6"/>
        <v>1</v>
      </c>
    </row>
    <row r="369">
      <c r="A369" s="104">
        <v>46059.0</v>
      </c>
      <c r="B369" s="89" t="s">
        <v>1281</v>
      </c>
      <c r="C369" s="89" t="s">
        <v>1282</v>
      </c>
      <c r="D369" s="89" t="s">
        <v>1283</v>
      </c>
      <c r="E369" s="89" t="s">
        <v>1284</v>
      </c>
      <c r="F369" s="81">
        <f>IFERROR(__xludf.DUMMYFUNCTION("""COMPUTED_VALUE"""),46059.0)</f>
        <v>46059</v>
      </c>
      <c r="G369" s="89" t="s">
        <v>3996</v>
      </c>
      <c r="H369" s="89">
        <v>6.0</v>
      </c>
      <c r="I369" s="89" t="s">
        <v>3954</v>
      </c>
      <c r="J369" s="89" t="str">
        <f t="shared" si="18"/>
        <v>No</v>
      </c>
      <c r="K369" s="89" t="str">
        <f t="shared" si="23"/>
        <v>No</v>
      </c>
      <c r="L369" s="89" t="str">
        <f>IFERROR(__xludf.DUMMYFUNCTION("""COMPUTED_VALUE"""),"$40-$45 /hr")</f>
        <v>$40-$45 /hr</v>
      </c>
      <c r="M369" s="89" t="str">
        <f>IFERROR(__xludf.DUMMYFUNCTION("""COMPUTED_VALUE"""),"")</f>
        <v/>
      </c>
      <c r="N369" s="89">
        <f>IFERROR(__xludf.DUMMYFUNCTION("""COMPUTED_VALUE"""),40.0)</f>
        <v>40</v>
      </c>
      <c r="P369" s="52" t="str">
        <f t="shared" si="22"/>
        <v>0</v>
      </c>
      <c r="R369" s="52" t="str">
        <f t="shared" si="32"/>
        <v>Review</v>
      </c>
      <c r="Z369" s="81">
        <v>46059.0</v>
      </c>
      <c r="AA369" s="81" t="s">
        <v>3997</v>
      </c>
      <c r="AB369" s="81" t="s">
        <v>3998</v>
      </c>
      <c r="AC369" s="81">
        <f t="shared" si="5"/>
        <v>46055</v>
      </c>
      <c r="AD369" s="82">
        <f t="shared" si="6"/>
        <v>5</v>
      </c>
    </row>
    <row r="370">
      <c r="A370" s="104">
        <v>46063.0</v>
      </c>
      <c r="B370" s="89" t="s">
        <v>1287</v>
      </c>
      <c r="C370" s="90" t="s">
        <v>1288</v>
      </c>
      <c r="D370" s="89" t="s">
        <v>1289</v>
      </c>
      <c r="E370" s="89" t="s">
        <v>1290</v>
      </c>
      <c r="F370" s="81">
        <f>IFERROR(__xludf.DUMMYFUNCTION("""COMPUTED_VALUE"""),46063.0)</f>
        <v>46063</v>
      </c>
      <c r="G370" s="89" t="s">
        <v>3996</v>
      </c>
      <c r="H370" s="89">
        <v>7.0</v>
      </c>
      <c r="I370" s="89" t="s">
        <v>3966</v>
      </c>
      <c r="J370" s="89" t="str">
        <f t="shared" si="18"/>
        <v>No</v>
      </c>
      <c r="K370" s="89" t="str">
        <f t="shared" si="23"/>
        <v>No</v>
      </c>
      <c r="L370" s="89" t="str">
        <f>IFERROR(__xludf.DUMMYFUNCTION("""COMPUTED_VALUE"""),"$120K-$180K /yr")</f>
        <v>$120K-$180K /yr</v>
      </c>
      <c r="M370" s="89" t="str">
        <f>IFERROR(__xludf.DUMMYFUNCTION("""COMPUTED_VALUE"""),"")</f>
        <v/>
      </c>
      <c r="N370" s="89">
        <f>IFERROR(__xludf.DUMMYFUNCTION("""COMPUTED_VALUE"""),120.0)</f>
        <v>120</v>
      </c>
      <c r="P370" s="52" t="str">
        <f t="shared" si="22"/>
        <v>0</v>
      </c>
      <c r="R370" s="52" t="str">
        <f t="shared" si="32"/>
        <v>Review</v>
      </c>
      <c r="Z370" s="81">
        <v>46063.0</v>
      </c>
      <c r="AA370" s="81" t="s">
        <v>3999</v>
      </c>
      <c r="AB370" s="81" t="s">
        <v>3998</v>
      </c>
      <c r="AC370" s="81">
        <f t="shared" si="5"/>
        <v>46062</v>
      </c>
      <c r="AD370" s="82">
        <f t="shared" si="6"/>
        <v>2</v>
      </c>
    </row>
    <row r="371">
      <c r="A371" s="104">
        <v>46063.0</v>
      </c>
      <c r="B371" s="89" t="s">
        <v>1293</v>
      </c>
      <c r="C371" s="90" t="s">
        <v>1288</v>
      </c>
      <c r="D371" s="89" t="s">
        <v>1294</v>
      </c>
      <c r="E371" s="89" t="s">
        <v>1295</v>
      </c>
      <c r="F371" s="81">
        <f>IFERROR(__xludf.DUMMYFUNCTION("""COMPUTED_VALUE"""),46063.0)</f>
        <v>46063</v>
      </c>
      <c r="G371" s="89" t="s">
        <v>3996</v>
      </c>
      <c r="H371" s="89">
        <v>7.0</v>
      </c>
      <c r="I371" s="89" t="s">
        <v>3966</v>
      </c>
      <c r="J371" s="89" t="str">
        <f t="shared" si="18"/>
        <v>No</v>
      </c>
      <c r="K371" s="89" t="str">
        <f t="shared" si="23"/>
        <v>No</v>
      </c>
      <c r="L371" s="89" t="str">
        <f>IFERROR(__xludf.DUMMYFUNCTION("""COMPUTED_VALUE"""),"$160K-$320K /yr")</f>
        <v>$160K-$320K /yr</v>
      </c>
      <c r="M371" s="89" t="str">
        <f>IFERROR(__xludf.DUMMYFUNCTION("""COMPUTED_VALUE"""),"")</f>
        <v/>
      </c>
      <c r="N371" s="89">
        <f>IFERROR(__xludf.DUMMYFUNCTION("""COMPUTED_VALUE"""),160.0)</f>
        <v>160</v>
      </c>
      <c r="P371" s="52" t="str">
        <f t="shared" si="22"/>
        <v>0</v>
      </c>
      <c r="R371" s="52" t="str">
        <f t="shared" si="32"/>
        <v>Review</v>
      </c>
      <c r="Z371" s="81">
        <v>46063.0</v>
      </c>
      <c r="AA371" s="81" t="s">
        <v>3999</v>
      </c>
      <c r="AB371" s="81" t="s">
        <v>3998</v>
      </c>
      <c r="AC371" s="81">
        <f t="shared" si="5"/>
        <v>46062</v>
      </c>
      <c r="AD371" s="82">
        <f t="shared" si="6"/>
        <v>2</v>
      </c>
    </row>
    <row r="372">
      <c r="A372" s="104">
        <v>46061.0</v>
      </c>
      <c r="B372" s="89" t="s">
        <v>1297</v>
      </c>
      <c r="C372" s="89" t="s">
        <v>877</v>
      </c>
      <c r="D372" s="89" t="s">
        <v>1298</v>
      </c>
      <c r="E372" s="89" t="s">
        <v>1299</v>
      </c>
      <c r="F372" s="81">
        <f>IFERROR(__xludf.DUMMYFUNCTION("""COMPUTED_VALUE"""),46061.0)</f>
        <v>46061</v>
      </c>
      <c r="G372" s="89" t="s">
        <v>3996</v>
      </c>
      <c r="H372" s="89">
        <v>7.0</v>
      </c>
      <c r="I372" s="89" t="s">
        <v>3962</v>
      </c>
      <c r="J372" s="89" t="str">
        <f t="shared" si="18"/>
        <v>No</v>
      </c>
      <c r="K372" s="89" t="str">
        <f t="shared" si="23"/>
        <v>No</v>
      </c>
      <c r="L372" s="89" t="str">
        <f>IFERROR(__xludf.DUMMYFUNCTION("""COMPUTED_VALUE"""),"$100K-$200K /yr")</f>
        <v>$100K-$200K /yr</v>
      </c>
      <c r="M372" s="89" t="str">
        <f>IFERROR(__xludf.DUMMYFUNCTION("""COMPUTED_VALUE"""),"")</f>
        <v/>
      </c>
      <c r="N372" s="89">
        <f>IFERROR(__xludf.DUMMYFUNCTION("""COMPUTED_VALUE"""),100.0)</f>
        <v>100</v>
      </c>
      <c r="P372" s="52" t="str">
        <f t="shared" si="22"/>
        <v>0</v>
      </c>
      <c r="R372" s="52" t="str">
        <f t="shared" si="32"/>
        <v>Review</v>
      </c>
      <c r="Z372" s="81">
        <v>46061.0</v>
      </c>
      <c r="AA372" s="81" t="s">
        <v>3997</v>
      </c>
      <c r="AB372" s="81" t="s">
        <v>3998</v>
      </c>
      <c r="AC372" s="81">
        <f t="shared" si="5"/>
        <v>46055</v>
      </c>
      <c r="AD372" s="82">
        <f t="shared" si="6"/>
        <v>7</v>
      </c>
    </row>
    <row r="373">
      <c r="A373" s="104">
        <v>46058.0</v>
      </c>
      <c r="B373" s="89" t="s">
        <v>1303</v>
      </c>
      <c r="C373" s="89" t="s">
        <v>877</v>
      </c>
      <c r="D373" s="89" t="s">
        <v>1304</v>
      </c>
      <c r="E373" s="89" t="s">
        <v>1305</v>
      </c>
      <c r="F373" s="81">
        <f>IFERROR(__xludf.DUMMYFUNCTION("""COMPUTED_VALUE"""),46058.0)</f>
        <v>46058</v>
      </c>
      <c r="G373" s="89" t="s">
        <v>3996</v>
      </c>
      <c r="H373" s="89">
        <v>6.0</v>
      </c>
      <c r="I373" s="89" t="s">
        <v>3972</v>
      </c>
      <c r="J373" s="89" t="str">
        <f t="shared" si="18"/>
        <v>No</v>
      </c>
      <c r="K373" s="89" t="str">
        <f t="shared" si="23"/>
        <v>No</v>
      </c>
      <c r="L373" s="89" t="str">
        <f>IFERROR(__xludf.DUMMYFUNCTION("""COMPUTED_VALUE"""),"$127,100-$185,000 /yr")</f>
        <v>$127,100-$185,000 /yr</v>
      </c>
      <c r="M373" s="89" t="str">
        <f>IFERROR(__xludf.DUMMYFUNCTION("""COMPUTED_VALUE"""),"")</f>
        <v/>
      </c>
      <c r="N373" s="89">
        <f>IFERROR(__xludf.DUMMYFUNCTION("""COMPUTED_VALUE"""),127.0)</f>
        <v>127</v>
      </c>
      <c r="P373" s="52" t="str">
        <f t="shared" si="22"/>
        <v>0</v>
      </c>
      <c r="R373" s="52" t="str">
        <f t="shared" si="32"/>
        <v>Review</v>
      </c>
      <c r="Z373" s="81">
        <v>46058.0</v>
      </c>
      <c r="AA373" s="81" t="s">
        <v>3997</v>
      </c>
      <c r="AB373" s="81" t="s">
        <v>3998</v>
      </c>
      <c r="AC373" s="81">
        <f t="shared" si="5"/>
        <v>46055</v>
      </c>
      <c r="AD373" s="82">
        <f t="shared" si="6"/>
        <v>4</v>
      </c>
    </row>
    <row r="374">
      <c r="A374" s="104">
        <v>46064.0</v>
      </c>
      <c r="B374" s="89" t="s">
        <v>1307</v>
      </c>
      <c r="C374" s="89" t="s">
        <v>877</v>
      </c>
      <c r="D374" s="89" t="s">
        <v>1308</v>
      </c>
      <c r="E374" s="89" t="s">
        <v>1309</v>
      </c>
      <c r="F374" s="81">
        <f>IFERROR(__xludf.DUMMYFUNCTION("""COMPUTED_VALUE"""),46064.0)</f>
        <v>46064</v>
      </c>
      <c r="G374" s="89" t="s">
        <v>3996</v>
      </c>
      <c r="H374" s="89">
        <v>7.0</v>
      </c>
      <c r="I374" s="89" t="s">
        <v>3971</v>
      </c>
      <c r="J374" s="89" t="str">
        <f t="shared" si="18"/>
        <v>No</v>
      </c>
      <c r="K374" s="89" t="str">
        <f t="shared" si="23"/>
        <v>No</v>
      </c>
      <c r="L374" s="89" t="str">
        <f>IFERROR(__xludf.DUMMYFUNCTION("""COMPUTED_VALUE"""),"$127100-$185000 /yr")</f>
        <v>$127100-$185000 /yr</v>
      </c>
      <c r="M374" s="89" t="str">
        <f>IFERROR(__xludf.DUMMYFUNCTION("""COMPUTED_VALUE"""),"")</f>
        <v/>
      </c>
      <c r="N374" s="89">
        <f>IFERROR(__xludf.DUMMYFUNCTION("""COMPUTED_VALUE"""),127100.0)</f>
        <v>127100</v>
      </c>
      <c r="P374" s="52" t="str">
        <f t="shared" si="22"/>
        <v>0</v>
      </c>
      <c r="R374" s="52" t="str">
        <f t="shared" si="32"/>
        <v>Review</v>
      </c>
      <c r="Z374" s="81">
        <v>46064.0</v>
      </c>
      <c r="AA374" s="81" t="s">
        <v>3999</v>
      </c>
      <c r="AB374" s="81" t="s">
        <v>3998</v>
      </c>
      <c r="AC374" s="81">
        <f t="shared" si="5"/>
        <v>46062</v>
      </c>
      <c r="AD374" s="82">
        <f t="shared" si="6"/>
        <v>3</v>
      </c>
    </row>
    <row r="375">
      <c r="A375" s="104">
        <v>46059.0</v>
      </c>
      <c r="B375" s="89" t="s">
        <v>88</v>
      </c>
      <c r="C375" s="89" t="s">
        <v>1311</v>
      </c>
      <c r="D375" s="89" t="s">
        <v>1312</v>
      </c>
      <c r="E375" s="89" t="s">
        <v>1313</v>
      </c>
      <c r="F375" s="81">
        <f>IFERROR(__xludf.DUMMYFUNCTION("""COMPUTED_VALUE"""),46059.0)</f>
        <v>46059</v>
      </c>
      <c r="G375" s="89" t="s">
        <v>3996</v>
      </c>
      <c r="H375" s="89">
        <v>6.0</v>
      </c>
      <c r="I375" s="89" t="s">
        <v>3954</v>
      </c>
      <c r="J375" s="89" t="str">
        <f t="shared" si="18"/>
        <v>No</v>
      </c>
      <c r="K375" s="89" t="str">
        <f t="shared" si="23"/>
        <v>No</v>
      </c>
      <c r="L375" s="89" t="str">
        <f>IFERROR(__xludf.DUMMYFUNCTION("""COMPUTED_VALUE"""),"$150K-$275K /yr")</f>
        <v>$150K-$275K /yr</v>
      </c>
      <c r="M375" s="89" t="str">
        <f>IFERROR(__xludf.DUMMYFUNCTION("""COMPUTED_VALUE"""),"")</f>
        <v/>
      </c>
      <c r="N375" s="89">
        <f>IFERROR(__xludf.DUMMYFUNCTION("""COMPUTED_VALUE"""),150.0)</f>
        <v>150</v>
      </c>
      <c r="P375" s="52" t="str">
        <f t="shared" si="22"/>
        <v>0</v>
      </c>
      <c r="R375" s="52" t="str">
        <f t="shared" si="32"/>
        <v>Review</v>
      </c>
      <c r="Z375" s="81">
        <v>46059.0</v>
      </c>
      <c r="AA375" s="81" t="s">
        <v>3997</v>
      </c>
      <c r="AB375" s="81" t="s">
        <v>3998</v>
      </c>
      <c r="AC375" s="81">
        <f t="shared" si="5"/>
        <v>46055</v>
      </c>
      <c r="AD375" s="82">
        <f t="shared" si="6"/>
        <v>5</v>
      </c>
    </row>
    <row r="376">
      <c r="A376" s="104">
        <v>46061.0</v>
      </c>
      <c r="B376" s="89" t="s">
        <v>1316</v>
      </c>
      <c r="C376" s="89" t="s">
        <v>977</v>
      </c>
      <c r="D376" s="89" t="s">
        <v>1317</v>
      </c>
      <c r="E376" s="89" t="s">
        <v>1318</v>
      </c>
      <c r="F376" s="81">
        <f>IFERROR(__xludf.DUMMYFUNCTION("""COMPUTED_VALUE"""),46061.0)</f>
        <v>46061</v>
      </c>
      <c r="G376" s="89" t="s">
        <v>3996</v>
      </c>
      <c r="H376" s="89">
        <v>7.0</v>
      </c>
      <c r="I376" s="89" t="s">
        <v>3962</v>
      </c>
      <c r="J376" s="89" t="str">
        <f t="shared" si="18"/>
        <v>No</v>
      </c>
      <c r="K376" s="89" t="str">
        <f t="shared" si="23"/>
        <v>No</v>
      </c>
      <c r="L376" s="89" t="str">
        <f>IFERROR(__xludf.DUMMYFUNCTION("""COMPUTED_VALUE"""),"$165K-$250K /yr")</f>
        <v>$165K-$250K /yr</v>
      </c>
      <c r="M376" s="89" t="str">
        <f>IFERROR(__xludf.DUMMYFUNCTION("""COMPUTED_VALUE"""),"")</f>
        <v/>
      </c>
      <c r="N376" s="89">
        <f>IFERROR(__xludf.DUMMYFUNCTION("""COMPUTED_VALUE"""),165.0)</f>
        <v>165</v>
      </c>
      <c r="P376" s="52" t="str">
        <f t="shared" si="22"/>
        <v>0</v>
      </c>
      <c r="R376" s="52" t="str">
        <f t="shared" si="32"/>
        <v>Review</v>
      </c>
      <c r="Z376" s="81">
        <v>46061.0</v>
      </c>
      <c r="AA376" s="81" t="s">
        <v>3997</v>
      </c>
      <c r="AB376" s="81" t="s">
        <v>3998</v>
      </c>
      <c r="AC376" s="81">
        <f t="shared" si="5"/>
        <v>46055</v>
      </c>
      <c r="AD376" s="82">
        <f t="shared" si="6"/>
        <v>7</v>
      </c>
    </row>
    <row r="377">
      <c r="A377" s="104">
        <v>46061.0</v>
      </c>
      <c r="B377" s="89" t="s">
        <v>1322</v>
      </c>
      <c r="C377" s="89" t="s">
        <v>977</v>
      </c>
      <c r="D377" s="89" t="s">
        <v>1317</v>
      </c>
      <c r="E377" s="89" t="s">
        <v>1323</v>
      </c>
      <c r="F377" s="81">
        <f>IFERROR(__xludf.DUMMYFUNCTION("""COMPUTED_VALUE"""),46061.0)</f>
        <v>46061</v>
      </c>
      <c r="G377" s="89" t="s">
        <v>3996</v>
      </c>
      <c r="H377" s="89">
        <v>7.0</v>
      </c>
      <c r="I377" s="89" t="s">
        <v>3962</v>
      </c>
      <c r="J377" s="89" t="str">
        <f t="shared" si="18"/>
        <v>No</v>
      </c>
      <c r="K377" s="89" t="str">
        <f t="shared" si="23"/>
        <v>No</v>
      </c>
      <c r="L377" s="89" t="str">
        <f>IFERROR(__xludf.DUMMYFUNCTION("""COMPUTED_VALUE"""),"$165K-$250K /yr")</f>
        <v>$165K-$250K /yr</v>
      </c>
      <c r="M377" s="89" t="str">
        <f>IFERROR(__xludf.DUMMYFUNCTION("""COMPUTED_VALUE"""),"")</f>
        <v/>
      </c>
      <c r="N377" s="89">
        <f>IFERROR(__xludf.DUMMYFUNCTION("""COMPUTED_VALUE"""),165.0)</f>
        <v>165</v>
      </c>
      <c r="P377" s="52" t="str">
        <f t="shared" si="22"/>
        <v>0</v>
      </c>
      <c r="R377" s="52" t="str">
        <f t="shared" si="32"/>
        <v>Review</v>
      </c>
      <c r="Z377" s="81">
        <v>46061.0</v>
      </c>
      <c r="AA377" s="81" t="s">
        <v>3997</v>
      </c>
      <c r="AB377" s="81" t="s">
        <v>3998</v>
      </c>
      <c r="AC377" s="81">
        <f t="shared" si="5"/>
        <v>46055</v>
      </c>
      <c r="AD377" s="82">
        <f t="shared" si="6"/>
        <v>7</v>
      </c>
    </row>
    <row r="378">
      <c r="A378" s="104">
        <v>46058.0</v>
      </c>
      <c r="B378" s="89" t="s">
        <v>1325</v>
      </c>
      <c r="C378" s="89" t="s">
        <v>371</v>
      </c>
      <c r="D378" s="89" t="s">
        <v>1326</v>
      </c>
      <c r="E378" s="89" t="s">
        <v>1327</v>
      </c>
      <c r="F378" s="81">
        <f>IFERROR(__xludf.DUMMYFUNCTION("""COMPUTED_VALUE"""),46058.0)</f>
        <v>46058</v>
      </c>
      <c r="G378" s="89" t="s">
        <v>3996</v>
      </c>
      <c r="H378" s="89">
        <v>6.0</v>
      </c>
      <c r="I378" s="89" t="s">
        <v>3972</v>
      </c>
      <c r="J378" s="89" t="str">
        <f t="shared" si="18"/>
        <v>No</v>
      </c>
      <c r="K378" s="89" t="str">
        <f t="shared" si="23"/>
        <v>No</v>
      </c>
      <c r="L378" s="89" t="str">
        <f>IFERROR(__xludf.DUMMYFUNCTION("""COMPUTED_VALUE"""),"$171K-$190K /yr")</f>
        <v>$171K-$190K /yr</v>
      </c>
      <c r="M378" s="89" t="str">
        <f>IFERROR(__xludf.DUMMYFUNCTION("""COMPUTED_VALUE"""),"")</f>
        <v/>
      </c>
      <c r="N378" s="89">
        <f>IFERROR(__xludf.DUMMYFUNCTION("""COMPUTED_VALUE"""),171.0)</f>
        <v>171</v>
      </c>
      <c r="P378" s="52" t="str">
        <f t="shared" si="22"/>
        <v>0</v>
      </c>
      <c r="R378" s="52" t="str">
        <f t="shared" si="32"/>
        <v>Review</v>
      </c>
      <c r="Z378" s="81">
        <v>46058.0</v>
      </c>
      <c r="AA378" s="81" t="s">
        <v>3997</v>
      </c>
      <c r="AB378" s="81" t="s">
        <v>3998</v>
      </c>
      <c r="AC378" s="81">
        <f t="shared" si="5"/>
        <v>46055</v>
      </c>
      <c r="AD378" s="82">
        <f t="shared" si="6"/>
        <v>4</v>
      </c>
    </row>
    <row r="379">
      <c r="A379" s="104">
        <v>46064.0</v>
      </c>
      <c r="B379" s="89" t="s">
        <v>1331</v>
      </c>
      <c r="C379" s="89" t="s">
        <v>1332</v>
      </c>
      <c r="D379" s="89" t="s">
        <v>1333</v>
      </c>
      <c r="E379" s="89" t="s">
        <v>1334</v>
      </c>
      <c r="F379" s="81">
        <f>IFERROR(__xludf.DUMMYFUNCTION("""COMPUTED_VALUE"""),46064.0)</f>
        <v>46064</v>
      </c>
      <c r="G379" s="89" t="s">
        <v>3996</v>
      </c>
      <c r="H379" s="89">
        <v>7.0</v>
      </c>
      <c r="I379" s="89" t="s">
        <v>3971</v>
      </c>
      <c r="J379" s="89" t="str">
        <f t="shared" si="18"/>
        <v>No</v>
      </c>
      <c r="K379" s="89" t="str">
        <f t="shared" si="23"/>
        <v>No</v>
      </c>
      <c r="L379" s="89" t="str">
        <f>IFERROR(__xludf.DUMMYFUNCTION("""COMPUTED_VALUE"""),"$60-$75 /hr")</f>
        <v>$60-$75 /hr</v>
      </c>
      <c r="M379" s="89" t="str">
        <f>IFERROR(__xludf.DUMMYFUNCTION("""COMPUTED_VALUE"""),"")</f>
        <v/>
      </c>
      <c r="N379" s="89">
        <f>IFERROR(__xludf.DUMMYFUNCTION("""COMPUTED_VALUE"""),60.0)</f>
        <v>60</v>
      </c>
      <c r="P379" s="52" t="str">
        <f t="shared" si="22"/>
        <v>0</v>
      </c>
      <c r="R379" s="52" t="str">
        <f t="shared" si="32"/>
        <v>Review</v>
      </c>
      <c r="Z379" s="81">
        <v>46064.0</v>
      </c>
      <c r="AA379" s="81" t="s">
        <v>3999</v>
      </c>
      <c r="AB379" s="81" t="s">
        <v>3998</v>
      </c>
      <c r="AC379" s="81">
        <f t="shared" si="5"/>
        <v>46062</v>
      </c>
      <c r="AD379" s="82">
        <f t="shared" si="6"/>
        <v>3</v>
      </c>
    </row>
    <row r="380">
      <c r="A380" s="104">
        <v>46063.0</v>
      </c>
      <c r="B380" s="89" t="s">
        <v>1337</v>
      </c>
      <c r="C380" s="89" t="s">
        <v>1338</v>
      </c>
      <c r="D380" s="89" t="s">
        <v>1283</v>
      </c>
      <c r="E380" s="89" t="s">
        <v>1339</v>
      </c>
      <c r="F380" s="81">
        <f>IFERROR(__xludf.DUMMYFUNCTION("""COMPUTED_VALUE"""),46063.0)</f>
        <v>46063</v>
      </c>
      <c r="G380" s="89" t="s">
        <v>3996</v>
      </c>
      <c r="H380" s="89">
        <v>7.0</v>
      </c>
      <c r="I380" s="89" t="s">
        <v>3966</v>
      </c>
      <c r="J380" s="89" t="str">
        <f t="shared" si="18"/>
        <v>No</v>
      </c>
      <c r="K380" s="89" t="str">
        <f t="shared" si="23"/>
        <v>No</v>
      </c>
      <c r="L380" s="89" t="str">
        <f>IFERROR(__xludf.DUMMYFUNCTION("""COMPUTED_VALUE"""),"$40-$45 /hr")</f>
        <v>$40-$45 /hr</v>
      </c>
      <c r="M380" s="89" t="str">
        <f>IFERROR(__xludf.DUMMYFUNCTION("""COMPUTED_VALUE"""),"")</f>
        <v/>
      </c>
      <c r="N380" s="89">
        <f>IFERROR(__xludf.DUMMYFUNCTION("""COMPUTED_VALUE"""),40.0)</f>
        <v>40</v>
      </c>
      <c r="P380" s="52" t="str">
        <f t="shared" si="22"/>
        <v>0</v>
      </c>
      <c r="R380" s="52" t="str">
        <f t="shared" si="32"/>
        <v>Review</v>
      </c>
      <c r="Z380" s="81">
        <v>46063.0</v>
      </c>
      <c r="AA380" s="81" t="s">
        <v>3999</v>
      </c>
      <c r="AB380" s="81" t="s">
        <v>3998</v>
      </c>
      <c r="AC380" s="81">
        <f t="shared" si="5"/>
        <v>46062</v>
      </c>
      <c r="AD380" s="82">
        <f t="shared" si="6"/>
        <v>2</v>
      </c>
    </row>
    <row r="381">
      <c r="A381" s="104">
        <v>46058.0</v>
      </c>
      <c r="B381" s="89" t="s">
        <v>1342</v>
      </c>
      <c r="C381" s="89" t="s">
        <v>558</v>
      </c>
      <c r="D381" s="89" t="s">
        <v>1343</v>
      </c>
      <c r="E381" s="89" t="s">
        <v>1344</v>
      </c>
      <c r="F381" s="81">
        <f>IFERROR(__xludf.DUMMYFUNCTION("""COMPUTED_VALUE"""),46058.0)</f>
        <v>46058</v>
      </c>
      <c r="G381" s="89" t="s">
        <v>3996</v>
      </c>
      <c r="H381" s="89">
        <v>6.0</v>
      </c>
      <c r="I381" s="89" t="s">
        <v>3972</v>
      </c>
      <c r="J381" s="89" t="str">
        <f t="shared" si="18"/>
        <v>No</v>
      </c>
      <c r="K381" s="89" t="str">
        <f t="shared" si="23"/>
        <v>No</v>
      </c>
      <c r="L381" s="89" t="str">
        <f>IFERROR(__xludf.DUMMYFUNCTION("""COMPUTED_VALUE"""),"$130K-$175K /yr")</f>
        <v>$130K-$175K /yr</v>
      </c>
      <c r="M381" s="89" t="str">
        <f>IFERROR(__xludf.DUMMYFUNCTION("""COMPUTED_VALUE"""),"")</f>
        <v/>
      </c>
      <c r="N381" s="89">
        <f>IFERROR(__xludf.DUMMYFUNCTION("""COMPUTED_VALUE"""),130.0)</f>
        <v>130</v>
      </c>
      <c r="P381" s="52" t="str">
        <f t="shared" si="22"/>
        <v>0</v>
      </c>
      <c r="R381" s="52" t="str">
        <f t="shared" si="32"/>
        <v>Review</v>
      </c>
      <c r="Z381" s="81">
        <v>46058.0</v>
      </c>
      <c r="AA381" s="81" t="s">
        <v>3997</v>
      </c>
      <c r="AB381" s="81" t="s">
        <v>3998</v>
      </c>
      <c r="AC381" s="81">
        <f t="shared" si="5"/>
        <v>46055</v>
      </c>
      <c r="AD381" s="82">
        <f t="shared" si="6"/>
        <v>4</v>
      </c>
    </row>
    <row r="382">
      <c r="A382" s="104">
        <v>46059.0</v>
      </c>
      <c r="B382" s="89" t="s">
        <v>1348</v>
      </c>
      <c r="C382" s="89" t="s">
        <v>1349</v>
      </c>
      <c r="D382" s="89" t="s">
        <v>1267</v>
      </c>
      <c r="E382" s="89" t="s">
        <v>1350</v>
      </c>
      <c r="F382" s="81">
        <f>IFERROR(__xludf.DUMMYFUNCTION("""COMPUTED_VALUE"""),46059.0)</f>
        <v>46059</v>
      </c>
      <c r="G382" s="89" t="s">
        <v>3996</v>
      </c>
      <c r="H382" s="89">
        <v>6.0</v>
      </c>
      <c r="I382" s="89" t="s">
        <v>3954</v>
      </c>
      <c r="J382" s="89" t="str">
        <f t="shared" si="18"/>
        <v>No</v>
      </c>
      <c r="K382" s="89" t="str">
        <f t="shared" si="23"/>
        <v>No</v>
      </c>
      <c r="L382" s="89" t="str">
        <f>IFERROR(__xludf.DUMMYFUNCTION("""COMPUTED_VALUE"""),"$130K-$150K /yr")</f>
        <v>$130K-$150K /yr</v>
      </c>
      <c r="M382" s="89" t="str">
        <f>IFERROR(__xludf.DUMMYFUNCTION("""COMPUTED_VALUE"""),"")</f>
        <v/>
      </c>
      <c r="N382" s="89">
        <f>IFERROR(__xludf.DUMMYFUNCTION("""COMPUTED_VALUE"""),130.0)</f>
        <v>130</v>
      </c>
      <c r="P382" s="52" t="str">
        <f t="shared" si="22"/>
        <v>0</v>
      </c>
      <c r="R382" s="52" t="str">
        <f t="shared" si="32"/>
        <v>Review</v>
      </c>
      <c r="Z382" s="81">
        <v>46059.0</v>
      </c>
      <c r="AA382" s="81" t="s">
        <v>3997</v>
      </c>
      <c r="AB382" s="81" t="s">
        <v>3998</v>
      </c>
      <c r="AC382" s="81">
        <f t="shared" si="5"/>
        <v>46055</v>
      </c>
      <c r="AD382" s="82">
        <f t="shared" si="6"/>
        <v>5</v>
      </c>
    </row>
    <row r="383">
      <c r="A383" s="104">
        <v>46063.0</v>
      </c>
      <c r="B383" s="89" t="s">
        <v>1353</v>
      </c>
      <c r="C383" s="89" t="s">
        <v>914</v>
      </c>
      <c r="D383" s="89" t="s">
        <v>1354</v>
      </c>
      <c r="E383" s="89" t="s">
        <v>1355</v>
      </c>
      <c r="F383" s="81">
        <f>IFERROR(__xludf.DUMMYFUNCTION("""COMPUTED_VALUE"""),46063.0)</f>
        <v>46063</v>
      </c>
      <c r="G383" s="89" t="s">
        <v>3996</v>
      </c>
      <c r="H383" s="89">
        <v>7.0</v>
      </c>
      <c r="I383" s="89" t="s">
        <v>3966</v>
      </c>
      <c r="J383" s="89" t="str">
        <f t="shared" si="18"/>
        <v>No</v>
      </c>
      <c r="K383" s="89" t="str">
        <f t="shared" si="23"/>
        <v>No</v>
      </c>
      <c r="L383" s="89" t="str">
        <f>IFERROR(__xludf.DUMMYFUNCTION("""COMPUTED_VALUE"""),"$110K-$160K /yr")</f>
        <v>$110K-$160K /yr</v>
      </c>
      <c r="M383" s="89" t="str">
        <f>IFERROR(__xludf.DUMMYFUNCTION("""COMPUTED_VALUE"""),"")</f>
        <v/>
      </c>
      <c r="N383" s="89">
        <f>IFERROR(__xludf.DUMMYFUNCTION("""COMPUTED_VALUE"""),110.0)</f>
        <v>110</v>
      </c>
      <c r="P383" s="52" t="str">
        <f t="shared" si="22"/>
        <v>0</v>
      </c>
      <c r="R383" s="52" t="str">
        <f t="shared" si="32"/>
        <v>Review</v>
      </c>
      <c r="Z383" s="81">
        <v>46063.0</v>
      </c>
      <c r="AA383" s="81" t="s">
        <v>3999</v>
      </c>
      <c r="AB383" s="81" t="s">
        <v>3998</v>
      </c>
      <c r="AC383" s="81">
        <f t="shared" si="5"/>
        <v>46062</v>
      </c>
      <c r="AD383" s="82">
        <f t="shared" si="6"/>
        <v>2</v>
      </c>
    </row>
    <row r="384">
      <c r="A384" s="104">
        <v>46064.0</v>
      </c>
      <c r="B384" s="89" t="s">
        <v>1357</v>
      </c>
      <c r="C384" s="89" t="s">
        <v>1358</v>
      </c>
      <c r="D384" s="89" t="s">
        <v>1359</v>
      </c>
      <c r="E384" s="89" t="s">
        <v>1360</v>
      </c>
      <c r="F384" s="81">
        <f>IFERROR(__xludf.DUMMYFUNCTION("""COMPUTED_VALUE"""),46064.0)</f>
        <v>46064</v>
      </c>
      <c r="G384" s="89" t="s">
        <v>3996</v>
      </c>
      <c r="H384" s="89">
        <v>7.0</v>
      </c>
      <c r="I384" s="89" t="s">
        <v>3971</v>
      </c>
      <c r="J384" s="89" t="str">
        <f t="shared" si="18"/>
        <v>No</v>
      </c>
      <c r="K384" s="89" t="str">
        <f t="shared" si="23"/>
        <v>No</v>
      </c>
      <c r="L384" s="89" t="str">
        <f>IFERROR(__xludf.DUMMYFUNCTION("""COMPUTED_VALUE"""),"$100,000-$125,000 /yr")</f>
        <v>$100,000-$125,000 /yr</v>
      </c>
      <c r="M384" s="89" t="str">
        <f>IFERROR(__xludf.DUMMYFUNCTION("""COMPUTED_VALUE"""),"")</f>
        <v/>
      </c>
      <c r="N384" s="89">
        <f>IFERROR(__xludf.DUMMYFUNCTION("""COMPUTED_VALUE"""),100.0)</f>
        <v>100</v>
      </c>
      <c r="P384" s="52" t="str">
        <f t="shared" si="22"/>
        <v>0</v>
      </c>
      <c r="R384" s="52" t="str">
        <f t="shared" si="32"/>
        <v>Review</v>
      </c>
      <c r="Z384" s="81">
        <v>46064.0</v>
      </c>
      <c r="AA384" s="81" t="s">
        <v>3999</v>
      </c>
      <c r="AB384" s="81" t="s">
        <v>3998</v>
      </c>
      <c r="AC384" s="81">
        <f t="shared" si="5"/>
        <v>46062</v>
      </c>
      <c r="AD384" s="82">
        <f t="shared" si="6"/>
        <v>3</v>
      </c>
    </row>
    <row r="385">
      <c r="A385" s="104">
        <v>46064.0</v>
      </c>
      <c r="B385" s="89" t="s">
        <v>1363</v>
      </c>
      <c r="C385" s="89" t="s">
        <v>1364</v>
      </c>
      <c r="D385" s="89" t="s">
        <v>1365</v>
      </c>
      <c r="E385" s="89" t="s">
        <v>1366</v>
      </c>
      <c r="F385" s="81">
        <f>IFERROR(__xludf.DUMMYFUNCTION("""COMPUTED_VALUE"""),46064.0)</f>
        <v>46064</v>
      </c>
      <c r="G385" s="89" t="s">
        <v>3996</v>
      </c>
      <c r="H385" s="89">
        <v>7.0</v>
      </c>
      <c r="I385" s="89" t="s">
        <v>3971</v>
      </c>
      <c r="J385" s="89" t="str">
        <f t="shared" si="18"/>
        <v>No</v>
      </c>
      <c r="K385" s="89" t="str">
        <f t="shared" si="23"/>
        <v>No</v>
      </c>
      <c r="L385" s="89" t="str">
        <f>IFERROR(__xludf.DUMMYFUNCTION("""COMPUTED_VALUE"""),"$100K-$150K /yr")</f>
        <v>$100K-$150K /yr</v>
      </c>
      <c r="M385" s="89" t="str">
        <f>IFERROR(__xludf.DUMMYFUNCTION("""COMPUTED_VALUE"""),"")</f>
        <v/>
      </c>
      <c r="N385" s="89">
        <f>IFERROR(__xludf.DUMMYFUNCTION("""COMPUTED_VALUE"""),100.0)</f>
        <v>100</v>
      </c>
      <c r="P385" s="52" t="str">
        <f t="shared" si="22"/>
        <v>0</v>
      </c>
      <c r="R385" s="52" t="str">
        <f t="shared" si="32"/>
        <v>Review</v>
      </c>
      <c r="Z385" s="81">
        <v>46064.0</v>
      </c>
      <c r="AA385" s="81" t="s">
        <v>3999</v>
      </c>
      <c r="AB385" s="81" t="s">
        <v>3998</v>
      </c>
      <c r="AC385" s="81">
        <f t="shared" si="5"/>
        <v>46062</v>
      </c>
      <c r="AD385" s="82">
        <f t="shared" si="6"/>
        <v>3</v>
      </c>
    </row>
    <row r="386">
      <c r="A386" s="104">
        <v>46062.0</v>
      </c>
      <c r="B386" s="89" t="s">
        <v>1369</v>
      </c>
      <c r="C386" s="89" t="s">
        <v>1370</v>
      </c>
      <c r="D386" s="89" t="s">
        <v>1371</v>
      </c>
      <c r="E386" s="89" t="s">
        <v>1372</v>
      </c>
      <c r="F386" s="81">
        <f>IFERROR(__xludf.DUMMYFUNCTION("""COMPUTED_VALUE"""),46062.0)</f>
        <v>46062</v>
      </c>
      <c r="G386" s="89" t="s">
        <v>3996</v>
      </c>
      <c r="H386" s="89">
        <v>7.0</v>
      </c>
      <c r="I386" s="89" t="s">
        <v>3964</v>
      </c>
      <c r="J386" s="89" t="str">
        <f t="shared" si="18"/>
        <v>No</v>
      </c>
      <c r="K386" s="89" t="str">
        <f t="shared" si="23"/>
        <v>No</v>
      </c>
      <c r="L386" s="89" t="str">
        <f>IFERROR(__xludf.DUMMYFUNCTION("""COMPUTED_VALUE"""),"$110000-$130000 /yr")</f>
        <v>$110000-$130000 /yr</v>
      </c>
      <c r="M386" s="89" t="str">
        <f>IFERROR(__xludf.DUMMYFUNCTION("""COMPUTED_VALUE"""),"")</f>
        <v/>
      </c>
      <c r="N386" s="89">
        <f>IFERROR(__xludf.DUMMYFUNCTION("""COMPUTED_VALUE"""),110000.0)</f>
        <v>110000</v>
      </c>
      <c r="P386" s="52" t="str">
        <f t="shared" si="22"/>
        <v>0</v>
      </c>
      <c r="R386" s="52" t="str">
        <f t="shared" si="32"/>
        <v>Review</v>
      </c>
      <c r="Z386" s="81">
        <v>46062.0</v>
      </c>
      <c r="AA386" s="81" t="s">
        <v>3999</v>
      </c>
      <c r="AB386" s="81" t="s">
        <v>3998</v>
      </c>
      <c r="AC386" s="81">
        <f t="shared" si="5"/>
        <v>46062</v>
      </c>
      <c r="AD386" s="82">
        <f t="shared" si="6"/>
        <v>1</v>
      </c>
    </row>
    <row r="387">
      <c r="A387" s="104">
        <v>46057.0</v>
      </c>
      <c r="B387" s="89" t="s">
        <v>1375</v>
      </c>
      <c r="C387" s="89" t="s">
        <v>1376</v>
      </c>
      <c r="D387" s="89" t="s">
        <v>1377</v>
      </c>
      <c r="E387" s="89" t="s">
        <v>1378</v>
      </c>
      <c r="F387" s="81">
        <f>IFERROR(__xludf.DUMMYFUNCTION("""COMPUTED_VALUE"""),46057.0)</f>
        <v>46057</v>
      </c>
      <c r="G387" s="89" t="s">
        <v>3996</v>
      </c>
      <c r="H387" s="89">
        <v>6.0</v>
      </c>
      <c r="I387" s="89" t="s">
        <v>3971</v>
      </c>
      <c r="J387" s="89" t="str">
        <f t="shared" si="18"/>
        <v>No</v>
      </c>
      <c r="K387" s="89" t="str">
        <f t="shared" si="23"/>
        <v>No</v>
      </c>
      <c r="L387" s="89" t="str">
        <f>IFERROR(__xludf.DUMMYFUNCTION("""COMPUTED_VALUE"""),"$91K-$155K /yr")</f>
        <v>$91K-$155K /yr</v>
      </c>
      <c r="M387" s="89" t="str">
        <f>IFERROR(__xludf.DUMMYFUNCTION("""COMPUTED_VALUE"""),"")</f>
        <v/>
      </c>
      <c r="N387" s="89">
        <f>IFERROR(__xludf.DUMMYFUNCTION("""COMPUTED_VALUE"""),91.0)</f>
        <v>91</v>
      </c>
      <c r="P387" s="52" t="str">
        <f t="shared" si="22"/>
        <v>0</v>
      </c>
      <c r="R387" s="52" t="str">
        <f t="shared" si="32"/>
        <v>Review</v>
      </c>
      <c r="Z387" s="81">
        <v>46057.0</v>
      </c>
      <c r="AA387" s="81" t="s">
        <v>3997</v>
      </c>
      <c r="AB387" s="81" t="s">
        <v>3998</v>
      </c>
      <c r="AC387" s="81">
        <f t="shared" si="5"/>
        <v>46055</v>
      </c>
      <c r="AD387" s="82">
        <f t="shared" si="6"/>
        <v>3</v>
      </c>
    </row>
    <row r="388">
      <c r="A388" s="104">
        <v>46063.0</v>
      </c>
      <c r="B388" s="89" t="s">
        <v>1381</v>
      </c>
      <c r="C388" s="89" t="s">
        <v>1382</v>
      </c>
      <c r="D388" s="89" t="s">
        <v>1383</v>
      </c>
      <c r="E388" s="89" t="s">
        <v>1384</v>
      </c>
      <c r="F388" s="81">
        <f>IFERROR(__xludf.DUMMYFUNCTION("""COMPUTED_VALUE"""),46063.0)</f>
        <v>46063</v>
      </c>
      <c r="G388" s="89" t="s">
        <v>3996</v>
      </c>
      <c r="H388" s="89">
        <v>7.0</v>
      </c>
      <c r="I388" s="89" t="s">
        <v>3966</v>
      </c>
      <c r="J388" s="89" t="str">
        <f t="shared" si="18"/>
        <v>No</v>
      </c>
      <c r="K388" s="89" t="str">
        <f t="shared" si="23"/>
        <v>No</v>
      </c>
      <c r="L388" s="89" t="str">
        <f>IFERROR(__xludf.DUMMYFUNCTION("""COMPUTED_VALUE"""),"$150K-$150K /yr")</f>
        <v>$150K-$150K /yr</v>
      </c>
      <c r="M388" s="89" t="str">
        <f>IFERROR(__xludf.DUMMYFUNCTION("""COMPUTED_VALUE"""),"")</f>
        <v/>
      </c>
      <c r="N388" s="89">
        <f>IFERROR(__xludf.DUMMYFUNCTION("""COMPUTED_VALUE"""),150.0)</f>
        <v>150</v>
      </c>
      <c r="P388" s="52" t="str">
        <f t="shared" si="22"/>
        <v>0</v>
      </c>
      <c r="R388" s="52" t="str">
        <f t="shared" si="32"/>
        <v>Review</v>
      </c>
      <c r="Z388" s="81">
        <v>46063.0</v>
      </c>
      <c r="AA388" s="81" t="s">
        <v>3999</v>
      </c>
      <c r="AB388" s="81" t="s">
        <v>3998</v>
      </c>
      <c r="AC388" s="81">
        <f t="shared" si="5"/>
        <v>46062</v>
      </c>
      <c r="AD388" s="82">
        <f t="shared" si="6"/>
        <v>2</v>
      </c>
    </row>
    <row r="389">
      <c r="A389" s="104">
        <v>46062.0</v>
      </c>
      <c r="B389" s="89" t="s">
        <v>1386</v>
      </c>
      <c r="C389" s="89" t="s">
        <v>1382</v>
      </c>
      <c r="D389" s="89" t="s">
        <v>1383</v>
      </c>
      <c r="E389" s="89" t="s">
        <v>1387</v>
      </c>
      <c r="F389" s="81">
        <f>IFERROR(__xludf.DUMMYFUNCTION("""COMPUTED_VALUE"""),46062.0)</f>
        <v>46062</v>
      </c>
      <c r="G389" s="89" t="s">
        <v>3996</v>
      </c>
      <c r="H389" s="89">
        <v>7.0</v>
      </c>
      <c r="I389" s="89" t="s">
        <v>3964</v>
      </c>
      <c r="J389" s="89" t="str">
        <f t="shared" si="18"/>
        <v>No</v>
      </c>
      <c r="K389" s="89" t="str">
        <f t="shared" si="23"/>
        <v>No</v>
      </c>
      <c r="L389" s="89" t="str">
        <f>IFERROR(__xludf.DUMMYFUNCTION("""COMPUTED_VALUE"""),"$150K-$150K /yr")</f>
        <v>$150K-$150K /yr</v>
      </c>
      <c r="M389" s="89" t="str">
        <f>IFERROR(__xludf.DUMMYFUNCTION("""COMPUTED_VALUE"""),"")</f>
        <v/>
      </c>
      <c r="N389" s="89">
        <f>IFERROR(__xludf.DUMMYFUNCTION("""COMPUTED_VALUE"""),150.0)</f>
        <v>150</v>
      </c>
      <c r="P389" s="52" t="str">
        <f t="shared" si="22"/>
        <v>0</v>
      </c>
      <c r="R389" s="52" t="str">
        <f t="shared" si="32"/>
        <v>Review</v>
      </c>
      <c r="Z389" s="81">
        <v>46062.0</v>
      </c>
      <c r="AA389" s="81" t="s">
        <v>3999</v>
      </c>
      <c r="AB389" s="81" t="s">
        <v>3998</v>
      </c>
      <c r="AC389" s="81">
        <f t="shared" si="5"/>
        <v>46062</v>
      </c>
      <c r="AD389" s="82">
        <f t="shared" si="6"/>
        <v>1</v>
      </c>
    </row>
    <row r="390">
      <c r="A390" s="104">
        <v>46058.0</v>
      </c>
      <c r="B390" s="89" t="s">
        <v>1389</v>
      </c>
      <c r="C390" s="89" t="s">
        <v>839</v>
      </c>
      <c r="D390" s="89" t="s">
        <v>1390</v>
      </c>
      <c r="E390" s="89" t="s">
        <v>1391</v>
      </c>
      <c r="F390" s="81">
        <f>IFERROR(__xludf.DUMMYFUNCTION("""COMPUTED_VALUE"""),46058.0)</f>
        <v>46058</v>
      </c>
      <c r="G390" s="89" t="s">
        <v>3996</v>
      </c>
      <c r="H390" s="89">
        <v>6.0</v>
      </c>
      <c r="I390" s="89" t="s">
        <v>3972</v>
      </c>
      <c r="J390" s="89" t="str">
        <f t="shared" si="18"/>
        <v>No</v>
      </c>
      <c r="K390" s="89" t="str">
        <f t="shared" si="23"/>
        <v>No</v>
      </c>
      <c r="L390" s="89" t="str">
        <f>IFERROR(__xludf.DUMMYFUNCTION("""COMPUTED_VALUE"""),"$125000-$150000 /yr")</f>
        <v>$125000-$150000 /yr</v>
      </c>
      <c r="M390" s="89" t="str">
        <f>IFERROR(__xludf.DUMMYFUNCTION("""COMPUTED_VALUE"""),"")</f>
        <v/>
      </c>
      <c r="N390" s="89">
        <f>IFERROR(__xludf.DUMMYFUNCTION("""COMPUTED_VALUE"""),125000.0)</f>
        <v>125000</v>
      </c>
      <c r="P390" s="52" t="str">
        <f t="shared" si="22"/>
        <v>0</v>
      </c>
      <c r="R390" s="52" t="str">
        <f t="shared" si="32"/>
        <v>Review</v>
      </c>
      <c r="Z390" s="81">
        <v>46058.0</v>
      </c>
      <c r="AA390" s="81" t="s">
        <v>3997</v>
      </c>
      <c r="AB390" s="81" t="s">
        <v>3998</v>
      </c>
      <c r="AC390" s="81">
        <f t="shared" si="5"/>
        <v>46055</v>
      </c>
      <c r="AD390" s="82">
        <f t="shared" si="6"/>
        <v>4</v>
      </c>
    </row>
    <row r="391">
      <c r="A391" s="104">
        <v>46063.0</v>
      </c>
      <c r="B391" s="89" t="s">
        <v>572</v>
      </c>
      <c r="C391" s="89" t="s">
        <v>873</v>
      </c>
      <c r="D391" s="89" t="s">
        <v>1395</v>
      </c>
      <c r="E391" s="89" t="s">
        <v>1396</v>
      </c>
      <c r="F391" s="81">
        <f>IFERROR(__xludf.DUMMYFUNCTION("""COMPUTED_VALUE"""),46063.0)</f>
        <v>46063</v>
      </c>
      <c r="G391" s="89" t="s">
        <v>3996</v>
      </c>
      <c r="H391" s="89">
        <v>7.0</v>
      </c>
      <c r="I391" s="89" t="s">
        <v>3966</v>
      </c>
      <c r="J391" s="89" t="str">
        <f t="shared" si="18"/>
        <v>No</v>
      </c>
      <c r="K391" s="89" t="str">
        <f t="shared" si="23"/>
        <v>No</v>
      </c>
      <c r="L391" s="89" t="str">
        <f>IFERROR(__xludf.DUMMYFUNCTION("""COMPUTED_VALUE"""),"$225000-$225000 /yr")</f>
        <v>$225000-$225000 /yr</v>
      </c>
      <c r="M391" s="89" t="str">
        <f>IFERROR(__xludf.DUMMYFUNCTION("""COMPUTED_VALUE"""),"")</f>
        <v/>
      </c>
      <c r="N391" s="89">
        <f>IFERROR(__xludf.DUMMYFUNCTION("""COMPUTED_VALUE"""),225000.0)</f>
        <v>225000</v>
      </c>
      <c r="P391" s="52" t="str">
        <f t="shared" si="22"/>
        <v>0</v>
      </c>
      <c r="R391" s="52" t="str">
        <f t="shared" si="32"/>
        <v>Review</v>
      </c>
      <c r="Z391" s="81">
        <v>46063.0</v>
      </c>
      <c r="AA391" s="81" t="s">
        <v>3999</v>
      </c>
      <c r="AB391" s="81" t="s">
        <v>3998</v>
      </c>
      <c r="AC391" s="81">
        <f t="shared" si="5"/>
        <v>46062</v>
      </c>
      <c r="AD391" s="82">
        <f t="shared" si="6"/>
        <v>2</v>
      </c>
    </row>
    <row r="392">
      <c r="A392" s="104">
        <v>46063.0</v>
      </c>
      <c r="B392" s="89" t="s">
        <v>1399</v>
      </c>
      <c r="C392" s="89" t="s">
        <v>1400</v>
      </c>
      <c r="D392" s="89" t="s">
        <v>1401</v>
      </c>
      <c r="E392" s="89" t="s">
        <v>1402</v>
      </c>
      <c r="F392" s="81">
        <f>IFERROR(__xludf.DUMMYFUNCTION("""COMPUTED_VALUE"""),46063.0)</f>
        <v>46063</v>
      </c>
      <c r="G392" s="89" t="s">
        <v>3996</v>
      </c>
      <c r="H392" s="89">
        <v>7.0</v>
      </c>
      <c r="I392" s="89" t="s">
        <v>3966</v>
      </c>
      <c r="J392" s="89" t="str">
        <f t="shared" si="18"/>
        <v>No</v>
      </c>
      <c r="K392" s="89" t="str">
        <f t="shared" si="23"/>
        <v>No</v>
      </c>
      <c r="L392" s="89" t="str">
        <f>IFERROR(__xludf.DUMMYFUNCTION("""COMPUTED_VALUE"""),"$170000-$170000 /yr")</f>
        <v>$170000-$170000 /yr</v>
      </c>
      <c r="M392" s="89" t="str">
        <f>IFERROR(__xludf.DUMMYFUNCTION("""COMPUTED_VALUE"""),"")</f>
        <v/>
      </c>
      <c r="N392" s="89">
        <f>IFERROR(__xludf.DUMMYFUNCTION("""COMPUTED_VALUE"""),170000.0)</f>
        <v>170000</v>
      </c>
      <c r="P392" s="52" t="str">
        <f t="shared" si="22"/>
        <v>0</v>
      </c>
      <c r="R392" s="52" t="str">
        <f t="shared" si="32"/>
        <v>Review</v>
      </c>
      <c r="Z392" s="81">
        <v>46063.0</v>
      </c>
      <c r="AA392" s="81" t="s">
        <v>3999</v>
      </c>
      <c r="AB392" s="81" t="s">
        <v>3998</v>
      </c>
      <c r="AC392" s="81">
        <f t="shared" si="5"/>
        <v>46062</v>
      </c>
      <c r="AD392" s="82">
        <f t="shared" si="6"/>
        <v>2</v>
      </c>
    </row>
    <row r="393">
      <c r="A393" s="104">
        <v>46059.0</v>
      </c>
      <c r="B393" s="89" t="s">
        <v>1405</v>
      </c>
      <c r="C393" s="89" t="s">
        <v>1406</v>
      </c>
      <c r="D393" s="89" t="s">
        <v>1407</v>
      </c>
      <c r="E393" s="89" t="s">
        <v>1408</v>
      </c>
      <c r="F393" s="81">
        <f>IFERROR(__xludf.DUMMYFUNCTION("""COMPUTED_VALUE"""),46059.0)</f>
        <v>46059</v>
      </c>
      <c r="G393" s="89" t="s">
        <v>3996</v>
      </c>
      <c r="H393" s="89">
        <v>6.0</v>
      </c>
      <c r="I393" s="89" t="s">
        <v>3954</v>
      </c>
      <c r="J393" s="89" t="str">
        <f t="shared" si="18"/>
        <v>No</v>
      </c>
      <c r="K393" s="89" t="str">
        <f t="shared" si="23"/>
        <v>No</v>
      </c>
      <c r="L393" s="89" t="str">
        <f>IFERROR(__xludf.DUMMYFUNCTION("""COMPUTED_VALUE"""),"$85K-$95K /yr")</f>
        <v>$85K-$95K /yr</v>
      </c>
      <c r="M393" s="89" t="str">
        <f>IFERROR(__xludf.DUMMYFUNCTION("""COMPUTED_VALUE"""),"")</f>
        <v/>
      </c>
      <c r="N393" s="89">
        <f>IFERROR(__xludf.DUMMYFUNCTION("""COMPUTED_VALUE"""),85.0)</f>
        <v>85</v>
      </c>
      <c r="P393" s="52" t="str">
        <f t="shared" si="22"/>
        <v>0</v>
      </c>
      <c r="R393" s="52" t="str">
        <f t="shared" si="32"/>
        <v>Review</v>
      </c>
      <c r="Z393" s="81">
        <v>46059.0</v>
      </c>
      <c r="AA393" s="81" t="s">
        <v>3997</v>
      </c>
      <c r="AB393" s="81" t="s">
        <v>3998</v>
      </c>
      <c r="AC393" s="81">
        <f t="shared" si="5"/>
        <v>46055</v>
      </c>
      <c r="AD393" s="82">
        <f t="shared" si="6"/>
        <v>5</v>
      </c>
    </row>
    <row r="394">
      <c r="A394" s="104">
        <v>46063.0</v>
      </c>
      <c r="B394" s="89" t="s">
        <v>818</v>
      </c>
      <c r="C394" s="89" t="s">
        <v>1411</v>
      </c>
      <c r="D394" s="89" t="s">
        <v>1412</v>
      </c>
      <c r="E394" s="89" t="s">
        <v>1413</v>
      </c>
      <c r="F394" s="81">
        <f>IFERROR(__xludf.DUMMYFUNCTION("""COMPUTED_VALUE"""),46063.0)</f>
        <v>46063</v>
      </c>
      <c r="G394" s="89" t="s">
        <v>3996</v>
      </c>
      <c r="H394" s="89">
        <v>7.0</v>
      </c>
      <c r="I394" s="89" t="s">
        <v>3966</v>
      </c>
      <c r="J394" s="89" t="str">
        <f t="shared" si="18"/>
        <v>No</v>
      </c>
      <c r="K394" s="89" t="str">
        <f t="shared" si="23"/>
        <v>No</v>
      </c>
      <c r="L394" s="89" t="str">
        <f>IFERROR(__xludf.DUMMYFUNCTION("""COMPUTED_VALUE"""),"$110K-$200K /yr")</f>
        <v>$110K-$200K /yr</v>
      </c>
      <c r="M394" s="89" t="str">
        <f>IFERROR(__xludf.DUMMYFUNCTION("""COMPUTED_VALUE"""),"")</f>
        <v/>
      </c>
      <c r="N394" s="89">
        <f>IFERROR(__xludf.DUMMYFUNCTION("""COMPUTED_VALUE"""),110.0)</f>
        <v>110</v>
      </c>
      <c r="P394" s="52" t="str">
        <f t="shared" si="22"/>
        <v>0</v>
      </c>
      <c r="R394" s="52" t="str">
        <f t="shared" si="32"/>
        <v>Review</v>
      </c>
      <c r="Z394" s="81">
        <v>46063.0</v>
      </c>
      <c r="AA394" s="81" t="s">
        <v>3999</v>
      </c>
      <c r="AB394" s="81" t="s">
        <v>3998</v>
      </c>
      <c r="AC394" s="81">
        <f t="shared" si="5"/>
        <v>46062</v>
      </c>
      <c r="AD394" s="82">
        <f t="shared" si="6"/>
        <v>2</v>
      </c>
    </row>
    <row r="395">
      <c r="A395" s="104">
        <v>46062.0</v>
      </c>
      <c r="B395" s="89" t="s">
        <v>1416</v>
      </c>
      <c r="C395" s="89" t="s">
        <v>1417</v>
      </c>
      <c r="D395" s="89" t="s">
        <v>1418</v>
      </c>
      <c r="E395" s="89" t="s">
        <v>1419</v>
      </c>
      <c r="F395" s="81">
        <f>IFERROR(__xludf.DUMMYFUNCTION("""COMPUTED_VALUE"""),46062.0)</f>
        <v>46062</v>
      </c>
      <c r="G395" s="89" t="s">
        <v>3996</v>
      </c>
      <c r="H395" s="89">
        <v>7.0</v>
      </c>
      <c r="I395" s="89" t="s">
        <v>3964</v>
      </c>
      <c r="J395" s="89" t="str">
        <f t="shared" si="18"/>
        <v>No</v>
      </c>
      <c r="K395" s="89" t="str">
        <f t="shared" si="23"/>
        <v>No</v>
      </c>
      <c r="L395" s="89" t="str">
        <f>IFERROR(__xludf.DUMMYFUNCTION("""COMPUTED_VALUE"""),"$70K-$130K /yr")</f>
        <v>$70K-$130K /yr</v>
      </c>
      <c r="M395" s="89" t="str">
        <f>IFERROR(__xludf.DUMMYFUNCTION("""COMPUTED_VALUE"""),"")</f>
        <v/>
      </c>
      <c r="N395" s="89">
        <f>IFERROR(__xludf.DUMMYFUNCTION("""COMPUTED_VALUE"""),70.0)</f>
        <v>70</v>
      </c>
      <c r="P395" s="52" t="str">
        <f t="shared" si="22"/>
        <v>0</v>
      </c>
      <c r="R395" s="52" t="str">
        <f t="shared" si="32"/>
        <v>Review</v>
      </c>
      <c r="Z395" s="81">
        <v>46062.0</v>
      </c>
      <c r="AA395" s="81" t="s">
        <v>3999</v>
      </c>
      <c r="AB395" s="81" t="s">
        <v>3998</v>
      </c>
      <c r="AC395" s="81">
        <f t="shared" si="5"/>
        <v>46062</v>
      </c>
      <c r="AD395" s="82">
        <f t="shared" si="6"/>
        <v>1</v>
      </c>
    </row>
    <row r="396">
      <c r="A396" s="104">
        <v>46062.0</v>
      </c>
      <c r="B396" s="89" t="s">
        <v>1423</v>
      </c>
      <c r="C396" s="89" t="s">
        <v>1424</v>
      </c>
      <c r="D396" s="89" t="s">
        <v>1425</v>
      </c>
      <c r="E396" s="89" t="s">
        <v>1426</v>
      </c>
      <c r="F396" s="81">
        <f>IFERROR(__xludf.DUMMYFUNCTION("""COMPUTED_VALUE"""),46062.0)</f>
        <v>46062</v>
      </c>
      <c r="G396" s="89" t="s">
        <v>3996</v>
      </c>
      <c r="H396" s="89">
        <v>7.0</v>
      </c>
      <c r="I396" s="89" t="s">
        <v>3964</v>
      </c>
      <c r="J396" s="89" t="str">
        <f t="shared" si="18"/>
        <v>No</v>
      </c>
      <c r="K396" s="89" t="str">
        <f t="shared" si="23"/>
        <v>No</v>
      </c>
      <c r="L396" s="89" t="str">
        <f>IFERROR(__xludf.DUMMYFUNCTION("""COMPUTED_VALUE"""),"$100000-$130000 /yr")</f>
        <v>$100000-$130000 /yr</v>
      </c>
      <c r="M396" s="89" t="str">
        <f>IFERROR(__xludf.DUMMYFUNCTION("""COMPUTED_VALUE"""),"")</f>
        <v/>
      </c>
      <c r="N396" s="89">
        <f>IFERROR(__xludf.DUMMYFUNCTION("""COMPUTED_VALUE"""),100000.0)</f>
        <v>100000</v>
      </c>
      <c r="P396" s="52" t="str">
        <f t="shared" si="22"/>
        <v>0</v>
      </c>
      <c r="R396" s="52" t="str">
        <f t="shared" si="32"/>
        <v>Review</v>
      </c>
      <c r="Z396" s="81">
        <v>46062.0</v>
      </c>
      <c r="AA396" s="81" t="s">
        <v>3999</v>
      </c>
      <c r="AB396" s="81" t="s">
        <v>3998</v>
      </c>
      <c r="AC396" s="81">
        <f t="shared" si="5"/>
        <v>46062</v>
      </c>
      <c r="AD396" s="82">
        <f t="shared" si="6"/>
        <v>1</v>
      </c>
    </row>
    <row r="397">
      <c r="A397" s="104">
        <v>46059.0</v>
      </c>
      <c r="B397" s="89" t="s">
        <v>1430</v>
      </c>
      <c r="C397" s="89" t="s">
        <v>1431</v>
      </c>
      <c r="D397" s="89" t="s">
        <v>1432</v>
      </c>
      <c r="E397" s="89" t="s">
        <v>1433</v>
      </c>
      <c r="F397" s="81">
        <f>IFERROR(__xludf.DUMMYFUNCTION("""COMPUTED_VALUE"""),46059.0)</f>
        <v>46059</v>
      </c>
      <c r="G397" s="89" t="s">
        <v>3996</v>
      </c>
      <c r="H397" s="89">
        <v>6.0</v>
      </c>
      <c r="I397" s="89" t="s">
        <v>3954</v>
      </c>
      <c r="J397" s="89" t="str">
        <f t="shared" si="18"/>
        <v>No</v>
      </c>
      <c r="K397" s="89" t="str">
        <f t="shared" si="23"/>
        <v>No</v>
      </c>
      <c r="L397" s="89" t="str">
        <f>IFERROR(__xludf.DUMMYFUNCTION("""COMPUTED_VALUE"""),"$127K-$191K /yr")</f>
        <v>$127K-$191K /yr</v>
      </c>
      <c r="M397" s="89" t="str">
        <f>IFERROR(__xludf.DUMMYFUNCTION("""COMPUTED_VALUE"""),"")</f>
        <v/>
      </c>
      <c r="N397" s="89">
        <f>IFERROR(__xludf.DUMMYFUNCTION("""COMPUTED_VALUE"""),127.0)</f>
        <v>127</v>
      </c>
      <c r="P397" s="52" t="str">
        <f t="shared" si="22"/>
        <v>0</v>
      </c>
      <c r="R397" s="52" t="str">
        <f t="shared" si="32"/>
        <v>Review</v>
      </c>
      <c r="Z397" s="81">
        <v>46059.0</v>
      </c>
      <c r="AA397" s="81" t="s">
        <v>3997</v>
      </c>
      <c r="AB397" s="81" t="s">
        <v>3998</v>
      </c>
      <c r="AC397" s="81">
        <f t="shared" si="5"/>
        <v>46055</v>
      </c>
      <c r="AD397" s="82">
        <f t="shared" si="6"/>
        <v>5</v>
      </c>
    </row>
    <row r="398">
      <c r="A398" s="104">
        <v>46058.0</v>
      </c>
      <c r="B398" s="89" t="s">
        <v>1436</v>
      </c>
      <c r="C398" s="89" t="s">
        <v>1437</v>
      </c>
      <c r="D398" s="89" t="s">
        <v>1438</v>
      </c>
      <c r="E398" s="89" t="s">
        <v>1439</v>
      </c>
      <c r="F398" s="81">
        <f>IFERROR(__xludf.DUMMYFUNCTION("""COMPUTED_VALUE"""),46058.0)</f>
        <v>46058</v>
      </c>
      <c r="G398" s="89" t="s">
        <v>3996</v>
      </c>
      <c r="H398" s="89">
        <v>6.0</v>
      </c>
      <c r="I398" s="89" t="s">
        <v>3972</v>
      </c>
      <c r="J398" s="89" t="str">
        <f t="shared" si="18"/>
        <v>No</v>
      </c>
      <c r="K398" s="89" t="str">
        <f t="shared" si="23"/>
        <v>No</v>
      </c>
      <c r="L398" s="89" t="str">
        <f>IFERROR(__xludf.DUMMYFUNCTION("""COMPUTED_VALUE"""),"$107K-$160K /yr")</f>
        <v>$107K-$160K /yr</v>
      </c>
      <c r="M398" s="89" t="str">
        <f>IFERROR(__xludf.DUMMYFUNCTION("""COMPUTED_VALUE"""),"")</f>
        <v/>
      </c>
      <c r="N398" s="89">
        <f>IFERROR(__xludf.DUMMYFUNCTION("""COMPUTED_VALUE"""),107.0)</f>
        <v>107</v>
      </c>
      <c r="P398" s="52" t="str">
        <f t="shared" si="22"/>
        <v>0</v>
      </c>
      <c r="R398" s="52" t="str">
        <f t="shared" si="32"/>
        <v>Review</v>
      </c>
      <c r="Z398" s="81">
        <v>46058.0</v>
      </c>
      <c r="AA398" s="81" t="s">
        <v>3997</v>
      </c>
      <c r="AB398" s="81" t="s">
        <v>3998</v>
      </c>
      <c r="AC398" s="81">
        <f t="shared" si="5"/>
        <v>46055</v>
      </c>
      <c r="AD398" s="82">
        <f t="shared" si="6"/>
        <v>4</v>
      </c>
    </row>
    <row r="399">
      <c r="A399" s="104">
        <v>46059.0</v>
      </c>
      <c r="B399" s="89" t="s">
        <v>1443</v>
      </c>
      <c r="C399" s="89" t="s">
        <v>1444</v>
      </c>
      <c r="D399" s="89" t="s">
        <v>1445</v>
      </c>
      <c r="E399" s="89" t="s">
        <v>1446</v>
      </c>
      <c r="F399" s="81">
        <f>IFERROR(__xludf.DUMMYFUNCTION("""COMPUTED_VALUE"""),46059.0)</f>
        <v>46059</v>
      </c>
      <c r="G399" s="89" t="s">
        <v>3996</v>
      </c>
      <c r="H399" s="89">
        <v>6.0</v>
      </c>
      <c r="I399" s="89" t="s">
        <v>3954</v>
      </c>
      <c r="J399" s="89" t="str">
        <f t="shared" si="18"/>
        <v>No</v>
      </c>
      <c r="K399" s="89" t="str">
        <f t="shared" si="23"/>
        <v>No</v>
      </c>
      <c r="L399" s="89" t="str">
        <f>IFERROR(__xludf.DUMMYFUNCTION("""COMPUTED_VALUE"""),"$50K-$80K /yr")</f>
        <v>$50K-$80K /yr</v>
      </c>
      <c r="M399" s="89" t="str">
        <f>IFERROR(__xludf.DUMMYFUNCTION("""COMPUTED_VALUE"""),"")</f>
        <v/>
      </c>
      <c r="N399" s="89">
        <f>IFERROR(__xludf.DUMMYFUNCTION("""COMPUTED_VALUE"""),50.0)</f>
        <v>50</v>
      </c>
      <c r="P399" s="52" t="str">
        <f t="shared" si="22"/>
        <v>0</v>
      </c>
      <c r="R399" s="52" t="str">
        <f t="shared" si="32"/>
        <v>Review</v>
      </c>
      <c r="Z399" s="81">
        <v>46059.0</v>
      </c>
      <c r="AA399" s="81" t="s">
        <v>3997</v>
      </c>
      <c r="AB399" s="81" t="s">
        <v>3998</v>
      </c>
      <c r="AC399" s="81">
        <f t="shared" si="5"/>
        <v>46055</v>
      </c>
      <c r="AD399" s="82">
        <f t="shared" si="6"/>
        <v>5</v>
      </c>
    </row>
    <row r="400">
      <c r="A400" s="104">
        <v>46064.0</v>
      </c>
      <c r="B400" s="89" t="s">
        <v>1450</v>
      </c>
      <c r="C400" s="89" t="s">
        <v>1451</v>
      </c>
      <c r="D400" s="89" t="s">
        <v>1452</v>
      </c>
      <c r="E400" s="89" t="s">
        <v>1453</v>
      </c>
      <c r="F400" s="81">
        <f>IFERROR(__xludf.DUMMYFUNCTION("""COMPUTED_VALUE"""),46064.0)</f>
        <v>46064</v>
      </c>
      <c r="G400" s="89" t="s">
        <v>3996</v>
      </c>
      <c r="H400" s="89">
        <v>7.0</v>
      </c>
      <c r="I400" s="89" t="s">
        <v>3971</v>
      </c>
      <c r="J400" s="89" t="str">
        <f t="shared" si="18"/>
        <v>No</v>
      </c>
      <c r="K400" s="89" t="str">
        <f t="shared" si="23"/>
        <v>No</v>
      </c>
      <c r="L400" s="89" t="str">
        <f>IFERROR(__xludf.DUMMYFUNCTION("""COMPUTED_VALUE"""),"$80K-$110K /yr")</f>
        <v>$80K-$110K /yr</v>
      </c>
      <c r="M400" s="89" t="str">
        <f>IFERROR(__xludf.DUMMYFUNCTION("""COMPUTED_VALUE"""),"")</f>
        <v/>
      </c>
      <c r="N400" s="89">
        <f>IFERROR(__xludf.DUMMYFUNCTION("""COMPUTED_VALUE"""),80.0)</f>
        <v>80</v>
      </c>
      <c r="P400" s="52" t="str">
        <f t="shared" si="22"/>
        <v>0</v>
      </c>
      <c r="R400" s="52" t="str">
        <f t="shared" si="32"/>
        <v>Review</v>
      </c>
      <c r="Z400" s="81">
        <v>46064.0</v>
      </c>
      <c r="AA400" s="81" t="s">
        <v>3999</v>
      </c>
      <c r="AB400" s="81" t="s">
        <v>3998</v>
      </c>
      <c r="AC400" s="81">
        <f t="shared" si="5"/>
        <v>46062</v>
      </c>
      <c r="AD400" s="82">
        <f t="shared" si="6"/>
        <v>3</v>
      </c>
    </row>
    <row r="401">
      <c r="A401" s="104">
        <v>46064.0</v>
      </c>
      <c r="B401" s="89" t="s">
        <v>1457</v>
      </c>
      <c r="C401" s="89" t="s">
        <v>1458</v>
      </c>
      <c r="D401" s="89" t="s">
        <v>1459</v>
      </c>
      <c r="E401" s="89" t="s">
        <v>1460</v>
      </c>
      <c r="F401" s="81">
        <f>IFERROR(__xludf.DUMMYFUNCTION("""COMPUTED_VALUE"""),46064.0)</f>
        <v>46064</v>
      </c>
      <c r="G401" s="89" t="s">
        <v>3996</v>
      </c>
      <c r="H401" s="89">
        <v>7.0</v>
      </c>
      <c r="I401" s="89" t="s">
        <v>3971</v>
      </c>
      <c r="J401" s="89" t="str">
        <f t="shared" si="18"/>
        <v>No</v>
      </c>
      <c r="K401" s="89" t="str">
        <f t="shared" si="23"/>
        <v>No</v>
      </c>
      <c r="L401" s="89" t="str">
        <f>IFERROR(__xludf.DUMMYFUNCTION("""COMPUTED_VALUE"""),"$76K-$125K /yr")</f>
        <v>$76K-$125K /yr</v>
      </c>
      <c r="M401" s="89" t="str">
        <f>IFERROR(__xludf.DUMMYFUNCTION("""COMPUTED_VALUE"""),"")</f>
        <v/>
      </c>
      <c r="N401" s="89">
        <f>IFERROR(__xludf.DUMMYFUNCTION("""COMPUTED_VALUE"""),76.0)</f>
        <v>76</v>
      </c>
      <c r="P401" s="52" t="str">
        <f t="shared" si="22"/>
        <v>0</v>
      </c>
      <c r="R401" s="52" t="str">
        <f t="shared" si="32"/>
        <v>Review</v>
      </c>
      <c r="Z401" s="81">
        <v>46064.0</v>
      </c>
      <c r="AA401" s="81" t="s">
        <v>3999</v>
      </c>
      <c r="AB401" s="81" t="s">
        <v>3998</v>
      </c>
      <c r="AC401" s="81">
        <f t="shared" si="5"/>
        <v>46062</v>
      </c>
      <c r="AD401" s="82">
        <f t="shared" si="6"/>
        <v>3</v>
      </c>
    </row>
    <row r="402">
      <c r="A402" s="104">
        <v>46063.0</v>
      </c>
      <c r="B402" s="89" t="s">
        <v>1464</v>
      </c>
      <c r="C402" s="89" t="s">
        <v>1465</v>
      </c>
      <c r="D402" s="89" t="s">
        <v>1466</v>
      </c>
      <c r="E402" s="89" t="s">
        <v>1467</v>
      </c>
      <c r="F402" s="81">
        <f>IFERROR(__xludf.DUMMYFUNCTION("""COMPUTED_VALUE"""),46063.0)</f>
        <v>46063</v>
      </c>
      <c r="G402" s="89" t="s">
        <v>3996</v>
      </c>
      <c r="H402" s="89">
        <v>7.0</v>
      </c>
      <c r="I402" s="89" t="s">
        <v>3966</v>
      </c>
      <c r="J402" s="89" t="str">
        <f t="shared" si="18"/>
        <v>No</v>
      </c>
      <c r="K402" s="89" t="str">
        <f t="shared" si="23"/>
        <v>No</v>
      </c>
      <c r="L402" s="89" t="str">
        <f>IFERROR(__xludf.DUMMYFUNCTION("""COMPUTED_VALUE"""),"$108K-$135K /yr")</f>
        <v>$108K-$135K /yr</v>
      </c>
      <c r="M402" s="89" t="str">
        <f>IFERROR(__xludf.DUMMYFUNCTION("""COMPUTED_VALUE"""),"")</f>
        <v/>
      </c>
      <c r="N402" s="89">
        <f>IFERROR(__xludf.DUMMYFUNCTION("""COMPUTED_VALUE"""),108.0)</f>
        <v>108</v>
      </c>
      <c r="P402" s="52" t="str">
        <f t="shared" si="22"/>
        <v>0</v>
      </c>
      <c r="R402" s="52" t="str">
        <f t="shared" si="32"/>
        <v>Review</v>
      </c>
      <c r="Z402" s="81">
        <v>46063.0</v>
      </c>
      <c r="AA402" s="81" t="s">
        <v>3999</v>
      </c>
      <c r="AB402" s="81" t="s">
        <v>3998</v>
      </c>
      <c r="AC402" s="81">
        <f t="shared" si="5"/>
        <v>46062</v>
      </c>
      <c r="AD402" s="82">
        <f t="shared" si="6"/>
        <v>2</v>
      </c>
    </row>
    <row r="403">
      <c r="A403" s="104">
        <v>46058.0</v>
      </c>
      <c r="B403" s="89" t="s">
        <v>88</v>
      </c>
      <c r="C403" s="89" t="s">
        <v>1471</v>
      </c>
      <c r="D403" s="89" t="s">
        <v>1472</v>
      </c>
      <c r="E403" s="89" t="s">
        <v>1473</v>
      </c>
      <c r="F403" s="81">
        <f>IFERROR(__xludf.DUMMYFUNCTION("""COMPUTED_VALUE"""),46058.0)</f>
        <v>46058</v>
      </c>
      <c r="G403" s="89" t="s">
        <v>3996</v>
      </c>
      <c r="H403" s="89">
        <v>6.0</v>
      </c>
      <c r="I403" s="89" t="s">
        <v>3972</v>
      </c>
      <c r="J403" s="89" t="str">
        <f t="shared" si="18"/>
        <v>No</v>
      </c>
      <c r="K403" s="89" t="str">
        <f t="shared" si="23"/>
        <v>No</v>
      </c>
      <c r="L403" s="89" t="str">
        <f>IFERROR(__xludf.DUMMYFUNCTION("""COMPUTED_VALUE"""),"$106K-$198K /yr")</f>
        <v>$106K-$198K /yr</v>
      </c>
      <c r="M403" s="89" t="str">
        <f>IFERROR(__xludf.DUMMYFUNCTION("""COMPUTED_VALUE"""),"")</f>
        <v/>
      </c>
      <c r="N403" s="89">
        <f>IFERROR(__xludf.DUMMYFUNCTION("""COMPUTED_VALUE"""),106.0)</f>
        <v>106</v>
      </c>
      <c r="P403" s="52" t="str">
        <f t="shared" si="22"/>
        <v>0</v>
      </c>
      <c r="R403" s="52" t="str">
        <f t="shared" si="32"/>
        <v>Review</v>
      </c>
      <c r="Z403" s="81">
        <v>46058.0</v>
      </c>
      <c r="AA403" s="81" t="s">
        <v>3997</v>
      </c>
      <c r="AB403" s="81" t="s">
        <v>3998</v>
      </c>
      <c r="AC403" s="81">
        <f t="shared" si="5"/>
        <v>46055</v>
      </c>
      <c r="AD403" s="82">
        <f t="shared" si="6"/>
        <v>4</v>
      </c>
    </row>
    <row r="404">
      <c r="A404" s="104">
        <v>46060.0</v>
      </c>
      <c r="B404" s="89" t="s">
        <v>1476</v>
      </c>
      <c r="C404" s="89" t="s">
        <v>1477</v>
      </c>
      <c r="D404" s="89" t="s">
        <v>1478</v>
      </c>
      <c r="E404" s="89" t="s">
        <v>1479</v>
      </c>
      <c r="F404" s="81">
        <f>IFERROR(__xludf.DUMMYFUNCTION("""COMPUTED_VALUE"""),46060.0)</f>
        <v>46060</v>
      </c>
      <c r="G404" s="89" t="s">
        <v>3996</v>
      </c>
      <c r="H404" s="89">
        <v>6.0</v>
      </c>
      <c r="I404" s="89" t="s">
        <v>3960</v>
      </c>
      <c r="J404" s="89" t="str">
        <f t="shared" si="18"/>
        <v>No</v>
      </c>
      <c r="K404" s="89" t="str">
        <f t="shared" si="23"/>
        <v>No</v>
      </c>
      <c r="L404" s="89" t="str">
        <f>IFERROR(__xludf.DUMMYFUNCTION("""COMPUTED_VALUE"""),"$160000-$250000 /yr")</f>
        <v>$160000-$250000 /yr</v>
      </c>
      <c r="M404" s="89" t="str">
        <f>IFERROR(__xludf.DUMMYFUNCTION("""COMPUTED_VALUE"""),"")</f>
        <v/>
      </c>
      <c r="N404" s="89">
        <f>IFERROR(__xludf.DUMMYFUNCTION("""COMPUTED_VALUE"""),160000.0)</f>
        <v>160000</v>
      </c>
      <c r="P404" s="52" t="str">
        <f t="shared" si="22"/>
        <v>0</v>
      </c>
      <c r="R404" s="52" t="str">
        <f t="shared" si="32"/>
        <v>Review</v>
      </c>
      <c r="Z404" s="81">
        <v>46060.0</v>
      </c>
      <c r="AA404" s="81" t="s">
        <v>3997</v>
      </c>
      <c r="AB404" s="81" t="s">
        <v>3998</v>
      </c>
      <c r="AC404" s="81">
        <f t="shared" si="5"/>
        <v>46055</v>
      </c>
      <c r="AD404" s="82">
        <f t="shared" si="6"/>
        <v>6</v>
      </c>
    </row>
    <row r="405">
      <c r="A405" s="104">
        <v>46063.0</v>
      </c>
      <c r="B405" s="89" t="s">
        <v>1482</v>
      </c>
      <c r="C405" s="89" t="s">
        <v>1477</v>
      </c>
      <c r="D405" s="89" t="s">
        <v>1483</v>
      </c>
      <c r="E405" s="89" t="s">
        <v>1484</v>
      </c>
      <c r="F405" s="81">
        <f>IFERROR(__xludf.DUMMYFUNCTION("""COMPUTED_VALUE"""),46063.0)</f>
        <v>46063</v>
      </c>
      <c r="G405" s="89" t="s">
        <v>3996</v>
      </c>
      <c r="H405" s="89">
        <v>7.0</v>
      </c>
      <c r="I405" s="89" t="s">
        <v>3966</v>
      </c>
      <c r="J405" s="89" t="str">
        <f t="shared" si="18"/>
        <v>No</v>
      </c>
      <c r="K405" s="89" t="str">
        <f t="shared" si="23"/>
        <v>No</v>
      </c>
      <c r="L405" s="89" t="str">
        <f>IFERROR(__xludf.DUMMYFUNCTION("""COMPUTED_VALUE"""),"$160K-$250K /yr")</f>
        <v>$160K-$250K /yr</v>
      </c>
      <c r="M405" s="89" t="str">
        <f>IFERROR(__xludf.DUMMYFUNCTION("""COMPUTED_VALUE"""),"")</f>
        <v/>
      </c>
      <c r="N405" s="89">
        <f>IFERROR(__xludf.DUMMYFUNCTION("""COMPUTED_VALUE"""),160.0)</f>
        <v>160</v>
      </c>
      <c r="P405" s="52" t="str">
        <f t="shared" si="22"/>
        <v>0</v>
      </c>
      <c r="R405" s="52" t="str">
        <f t="shared" si="32"/>
        <v>Review</v>
      </c>
      <c r="Z405" s="81">
        <v>46063.0</v>
      </c>
      <c r="AA405" s="81" t="s">
        <v>3999</v>
      </c>
      <c r="AB405" s="81" t="s">
        <v>3998</v>
      </c>
      <c r="AC405" s="81">
        <f t="shared" si="5"/>
        <v>46062</v>
      </c>
      <c r="AD405" s="82">
        <f t="shared" si="6"/>
        <v>2</v>
      </c>
    </row>
    <row r="406">
      <c r="A406" s="104">
        <v>46060.0</v>
      </c>
      <c r="B406" s="89" t="s">
        <v>1476</v>
      </c>
      <c r="C406" s="89" t="s">
        <v>1477</v>
      </c>
      <c r="D406" s="89" t="s">
        <v>1483</v>
      </c>
      <c r="E406" s="89" t="s">
        <v>1487</v>
      </c>
      <c r="F406" s="81">
        <f>IFERROR(__xludf.DUMMYFUNCTION("""COMPUTED_VALUE"""),46060.0)</f>
        <v>46060</v>
      </c>
      <c r="G406" s="89" t="s">
        <v>3996</v>
      </c>
      <c r="H406" s="89">
        <v>6.0</v>
      </c>
      <c r="I406" s="89" t="s">
        <v>3960</v>
      </c>
      <c r="J406" s="89" t="str">
        <f t="shared" si="18"/>
        <v>No</v>
      </c>
      <c r="K406" s="89" t="str">
        <f t="shared" si="23"/>
        <v>No</v>
      </c>
      <c r="L406" s="89" t="str">
        <f>IFERROR(__xludf.DUMMYFUNCTION("""COMPUTED_VALUE"""),"$160K-$250K /yr")</f>
        <v>$160K-$250K /yr</v>
      </c>
      <c r="M406" s="89" t="str">
        <f>IFERROR(__xludf.DUMMYFUNCTION("""COMPUTED_VALUE"""),"")</f>
        <v/>
      </c>
      <c r="N406" s="89">
        <f>IFERROR(__xludf.DUMMYFUNCTION("""COMPUTED_VALUE"""),160.0)</f>
        <v>160</v>
      </c>
      <c r="P406" s="52" t="str">
        <f t="shared" si="22"/>
        <v>0</v>
      </c>
      <c r="R406" s="52" t="str">
        <f t="shared" si="32"/>
        <v>Review</v>
      </c>
      <c r="Z406" s="81">
        <v>46060.0</v>
      </c>
      <c r="AA406" s="81" t="s">
        <v>3997</v>
      </c>
      <c r="AB406" s="81" t="s">
        <v>3998</v>
      </c>
      <c r="AC406" s="81">
        <f t="shared" si="5"/>
        <v>46055</v>
      </c>
      <c r="AD406" s="82">
        <f t="shared" si="6"/>
        <v>6</v>
      </c>
    </row>
    <row r="407">
      <c r="A407" s="104">
        <v>46064.0</v>
      </c>
      <c r="B407" s="89" t="s">
        <v>1488</v>
      </c>
      <c r="C407" s="89" t="s">
        <v>1489</v>
      </c>
      <c r="D407" s="89" t="s">
        <v>1490</v>
      </c>
      <c r="E407" s="89" t="s">
        <v>1491</v>
      </c>
      <c r="F407" s="81">
        <f>IFERROR(__xludf.DUMMYFUNCTION("""COMPUTED_VALUE"""),46064.0)</f>
        <v>46064</v>
      </c>
      <c r="G407" s="89" t="s">
        <v>3996</v>
      </c>
      <c r="H407" s="89">
        <v>7.0</v>
      </c>
      <c r="I407" s="89" t="s">
        <v>3971</v>
      </c>
      <c r="J407" s="89" t="str">
        <f t="shared" si="18"/>
        <v>No</v>
      </c>
      <c r="K407" s="89" t="str">
        <f t="shared" si="23"/>
        <v>No</v>
      </c>
      <c r="L407" s="89" t="str">
        <f>IFERROR(__xludf.DUMMYFUNCTION("""COMPUTED_VALUE"""),"$105K-$151K /yr")</f>
        <v>$105K-$151K /yr</v>
      </c>
      <c r="M407" s="89" t="str">
        <f>IFERROR(__xludf.DUMMYFUNCTION("""COMPUTED_VALUE"""),"")</f>
        <v/>
      </c>
      <c r="N407" s="89">
        <f>IFERROR(__xludf.DUMMYFUNCTION("""COMPUTED_VALUE"""),105.0)</f>
        <v>105</v>
      </c>
      <c r="P407" s="52" t="str">
        <f t="shared" si="22"/>
        <v>0</v>
      </c>
      <c r="R407" s="52" t="str">
        <f t="shared" si="32"/>
        <v>Review</v>
      </c>
      <c r="Z407" s="81">
        <v>46064.0</v>
      </c>
      <c r="AA407" s="81" t="s">
        <v>3999</v>
      </c>
      <c r="AB407" s="81" t="s">
        <v>3998</v>
      </c>
      <c r="AC407" s="81">
        <f t="shared" si="5"/>
        <v>46062</v>
      </c>
      <c r="AD407" s="82">
        <f t="shared" si="6"/>
        <v>3</v>
      </c>
    </row>
    <row r="408">
      <c r="A408" s="104">
        <v>46066.0</v>
      </c>
      <c r="B408" s="89" t="s">
        <v>1494</v>
      </c>
      <c r="C408" s="89" t="s">
        <v>1495</v>
      </c>
      <c r="D408" s="89"/>
      <c r="E408" s="89"/>
      <c r="F408" s="81">
        <f>IFERROR(__xludf.DUMMYFUNCTION("""COMPUTED_VALUE"""),46066.0)</f>
        <v>46066</v>
      </c>
      <c r="G408" s="89" t="s">
        <v>3996</v>
      </c>
      <c r="H408" s="89">
        <v>7.0</v>
      </c>
      <c r="I408" s="89" t="s">
        <v>3954</v>
      </c>
      <c r="J408" s="89" t="str">
        <f t="shared" si="18"/>
        <v>No</v>
      </c>
      <c r="K408" s="89" t="str">
        <f t="shared" si="23"/>
        <v>No</v>
      </c>
      <c r="L408" s="89" t="str">
        <f>IFERROR(__xludf.DUMMYFUNCTION("""COMPUTED_VALUE"""),"")</f>
        <v/>
      </c>
      <c r="M408" s="89" t="str">
        <f>IFERROR(__xludf.DUMMYFUNCTION("""COMPUTED_VALUE"""),"")</f>
        <v/>
      </c>
      <c r="N408" s="89" t="str">
        <f>IFERROR(__xludf.DUMMYFUNCTION("""COMPUTED_VALUE"""),"")</f>
        <v/>
      </c>
      <c r="P408" s="52" t="str">
        <f t="shared" si="22"/>
        <v>0</v>
      </c>
      <c r="R408" s="52" t="str">
        <f t="shared" si="32"/>
        <v>Review</v>
      </c>
      <c r="Z408" s="81">
        <v>46066.0</v>
      </c>
      <c r="AA408" s="81" t="s">
        <v>3999</v>
      </c>
      <c r="AB408" s="81" t="s">
        <v>3998</v>
      </c>
      <c r="AC408" s="81">
        <f t="shared" si="5"/>
        <v>46062</v>
      </c>
      <c r="AD408" s="82">
        <f t="shared" si="6"/>
        <v>5</v>
      </c>
    </row>
    <row r="409">
      <c r="A409" s="104">
        <v>46063.0</v>
      </c>
      <c r="B409" s="89" t="s">
        <v>868</v>
      </c>
      <c r="C409" s="89" t="s">
        <v>869</v>
      </c>
      <c r="D409" s="89" t="s">
        <v>1496</v>
      </c>
      <c r="E409" s="89" t="s">
        <v>1497</v>
      </c>
      <c r="F409" s="81">
        <f>IFERROR(__xludf.DUMMYFUNCTION("""COMPUTED_VALUE"""),46063.0)</f>
        <v>46063</v>
      </c>
      <c r="G409" s="89" t="s">
        <v>3996</v>
      </c>
      <c r="H409" s="89">
        <v>7.0</v>
      </c>
      <c r="I409" s="89" t="s">
        <v>3966</v>
      </c>
      <c r="J409" s="89" t="str">
        <f t="shared" si="18"/>
        <v>No</v>
      </c>
      <c r="K409" s="89" t="str">
        <f t="shared" si="23"/>
        <v>No</v>
      </c>
      <c r="L409" s="89" t="str">
        <f>IFERROR(__xludf.DUMMYFUNCTION("""COMPUTED_VALUE"""),"$100000-$125000 /yr")</f>
        <v>$100000-$125000 /yr</v>
      </c>
      <c r="M409" s="89" t="str">
        <f>IFERROR(__xludf.DUMMYFUNCTION("""COMPUTED_VALUE"""),"")</f>
        <v/>
      </c>
      <c r="N409" s="89">
        <f>IFERROR(__xludf.DUMMYFUNCTION("""COMPUTED_VALUE"""),100000.0)</f>
        <v>100000</v>
      </c>
      <c r="P409" s="52" t="str">
        <f t="shared" si="22"/>
        <v>0</v>
      </c>
      <c r="R409" s="52" t="str">
        <f t="shared" si="32"/>
        <v>Review</v>
      </c>
      <c r="Z409" s="81">
        <v>46063.0</v>
      </c>
      <c r="AA409" s="81" t="s">
        <v>3999</v>
      </c>
      <c r="AB409" s="81" t="s">
        <v>3998</v>
      </c>
      <c r="AC409" s="81">
        <f t="shared" si="5"/>
        <v>46062</v>
      </c>
      <c r="AD409" s="82">
        <f t="shared" si="6"/>
        <v>2</v>
      </c>
    </row>
    <row r="410">
      <c r="A410" s="104">
        <v>46064.0</v>
      </c>
      <c r="B410" s="89" t="s">
        <v>1501</v>
      </c>
      <c r="C410" s="89" t="s">
        <v>1502</v>
      </c>
      <c r="D410" s="89" t="s">
        <v>1503</v>
      </c>
      <c r="E410" s="89" t="s">
        <v>1504</v>
      </c>
      <c r="F410" s="81">
        <f>IFERROR(__xludf.DUMMYFUNCTION("""COMPUTED_VALUE"""),46064.0)</f>
        <v>46064</v>
      </c>
      <c r="G410" s="89" t="s">
        <v>3996</v>
      </c>
      <c r="H410" s="89">
        <v>7.0</v>
      </c>
      <c r="I410" s="89" t="s">
        <v>3971</v>
      </c>
      <c r="J410" s="89" t="str">
        <f t="shared" si="18"/>
        <v>No</v>
      </c>
      <c r="K410" s="89" t="str">
        <f t="shared" si="23"/>
        <v>No</v>
      </c>
      <c r="L410" s="89" t="str">
        <f>IFERROR(__xludf.DUMMYFUNCTION("""COMPUTED_VALUE"""),"$100K-$120K /yr")</f>
        <v>$100K-$120K /yr</v>
      </c>
      <c r="M410" s="89" t="str">
        <f>IFERROR(__xludf.DUMMYFUNCTION("""COMPUTED_VALUE"""),"")</f>
        <v/>
      </c>
      <c r="N410" s="89">
        <f>IFERROR(__xludf.DUMMYFUNCTION("""COMPUTED_VALUE"""),100.0)</f>
        <v>100</v>
      </c>
      <c r="P410" s="52" t="str">
        <f t="shared" si="22"/>
        <v>0</v>
      </c>
      <c r="R410" s="52" t="str">
        <f t="shared" si="32"/>
        <v>Review</v>
      </c>
      <c r="Z410" s="81">
        <v>46064.0</v>
      </c>
      <c r="AA410" s="81" t="s">
        <v>3999</v>
      </c>
      <c r="AB410" s="81" t="s">
        <v>3998</v>
      </c>
      <c r="AC410" s="81">
        <f t="shared" si="5"/>
        <v>46062</v>
      </c>
      <c r="AD410" s="82">
        <f t="shared" si="6"/>
        <v>3</v>
      </c>
    </row>
    <row r="411">
      <c r="A411" s="104">
        <v>46064.0</v>
      </c>
      <c r="B411" s="89" t="s">
        <v>1507</v>
      </c>
      <c r="C411" s="89" t="s">
        <v>1502</v>
      </c>
      <c r="D411" s="89" t="s">
        <v>1508</v>
      </c>
      <c r="E411" s="89" t="s">
        <v>1509</v>
      </c>
      <c r="F411" s="81">
        <f>IFERROR(__xludf.DUMMYFUNCTION("""COMPUTED_VALUE"""),46064.0)</f>
        <v>46064</v>
      </c>
      <c r="G411" s="89" t="s">
        <v>3996</v>
      </c>
      <c r="H411" s="89">
        <v>7.0</v>
      </c>
      <c r="I411" s="89" t="s">
        <v>3971</v>
      </c>
      <c r="J411" s="89" t="str">
        <f t="shared" si="18"/>
        <v>No</v>
      </c>
      <c r="K411" s="89" t="str">
        <f t="shared" si="23"/>
        <v>No</v>
      </c>
      <c r="L411" s="89" t="str">
        <f>IFERROR(__xludf.DUMMYFUNCTION("""COMPUTED_VALUE"""),"$150K-$200K /yr")</f>
        <v>$150K-$200K /yr</v>
      </c>
      <c r="M411" s="89" t="str">
        <f>IFERROR(__xludf.DUMMYFUNCTION("""COMPUTED_VALUE"""),"")</f>
        <v/>
      </c>
      <c r="N411" s="89">
        <f>IFERROR(__xludf.DUMMYFUNCTION("""COMPUTED_VALUE"""),150.0)</f>
        <v>150</v>
      </c>
      <c r="P411" s="52" t="str">
        <f t="shared" si="22"/>
        <v>0</v>
      </c>
      <c r="R411" s="52" t="str">
        <f t="shared" si="32"/>
        <v>Review</v>
      </c>
      <c r="Z411" s="81">
        <v>46064.0</v>
      </c>
      <c r="AA411" s="81" t="s">
        <v>3999</v>
      </c>
      <c r="AB411" s="81" t="s">
        <v>3998</v>
      </c>
      <c r="AC411" s="81">
        <f t="shared" si="5"/>
        <v>46062</v>
      </c>
      <c r="AD411" s="82">
        <f t="shared" si="6"/>
        <v>3</v>
      </c>
    </row>
    <row r="412">
      <c r="A412" s="104">
        <v>46063.0</v>
      </c>
      <c r="B412" s="89" t="s">
        <v>1510</v>
      </c>
      <c r="C412" s="89" t="s">
        <v>1511</v>
      </c>
      <c r="D412" s="89" t="s">
        <v>1512</v>
      </c>
      <c r="E412" s="89" t="s">
        <v>1513</v>
      </c>
      <c r="F412" s="81">
        <f>IFERROR(__xludf.DUMMYFUNCTION("""COMPUTED_VALUE"""),46063.0)</f>
        <v>46063</v>
      </c>
      <c r="G412" s="89" t="s">
        <v>3996</v>
      </c>
      <c r="H412" s="89">
        <v>7.0</v>
      </c>
      <c r="I412" s="89" t="s">
        <v>3966</v>
      </c>
      <c r="J412" s="89" t="str">
        <f t="shared" si="18"/>
        <v>No</v>
      </c>
      <c r="K412" s="89" t="str">
        <f t="shared" si="23"/>
        <v>No</v>
      </c>
      <c r="L412" s="89" t="str">
        <f>IFERROR(__xludf.DUMMYFUNCTION("""COMPUTED_VALUE"""),"$136,700-$175,140 /yr")</f>
        <v>$136,700-$175,140 /yr</v>
      </c>
      <c r="M412" s="89" t="str">
        <f>IFERROR(__xludf.DUMMYFUNCTION("""COMPUTED_VALUE"""),"")</f>
        <v/>
      </c>
      <c r="N412" s="89">
        <f>IFERROR(__xludf.DUMMYFUNCTION("""COMPUTED_VALUE"""),136.0)</f>
        <v>136</v>
      </c>
      <c r="P412" s="52" t="str">
        <f t="shared" si="22"/>
        <v>0</v>
      </c>
      <c r="R412" s="52" t="str">
        <f t="shared" si="32"/>
        <v>Review</v>
      </c>
      <c r="Z412" s="81">
        <v>46063.0</v>
      </c>
      <c r="AA412" s="81" t="s">
        <v>3999</v>
      </c>
      <c r="AB412" s="81" t="s">
        <v>3998</v>
      </c>
      <c r="AC412" s="81">
        <f t="shared" si="5"/>
        <v>46062</v>
      </c>
      <c r="AD412" s="82">
        <f t="shared" si="6"/>
        <v>2</v>
      </c>
    </row>
    <row r="413">
      <c r="A413" s="104">
        <v>46058.0</v>
      </c>
      <c r="B413" s="89" t="s">
        <v>1517</v>
      </c>
      <c r="C413" s="90" t="s">
        <v>1518</v>
      </c>
      <c r="D413" s="89" t="s">
        <v>1289</v>
      </c>
      <c r="E413" s="89" t="s">
        <v>1519</v>
      </c>
      <c r="F413" s="81">
        <f>IFERROR(__xludf.DUMMYFUNCTION("""COMPUTED_VALUE"""),46058.0)</f>
        <v>46058</v>
      </c>
      <c r="G413" s="89" t="s">
        <v>3996</v>
      </c>
      <c r="H413" s="89">
        <v>6.0</v>
      </c>
      <c r="I413" s="89" t="s">
        <v>3972</v>
      </c>
      <c r="J413" s="89" t="str">
        <f t="shared" si="18"/>
        <v>No</v>
      </c>
      <c r="K413" s="89" t="str">
        <f t="shared" si="23"/>
        <v>No</v>
      </c>
      <c r="L413" s="89" t="str">
        <f>IFERROR(__xludf.DUMMYFUNCTION("""COMPUTED_VALUE"""),"$120K-$180K /yr")</f>
        <v>$120K-$180K /yr</v>
      </c>
      <c r="M413" s="89" t="str">
        <f>IFERROR(__xludf.DUMMYFUNCTION("""COMPUTED_VALUE"""),"")</f>
        <v/>
      </c>
      <c r="N413" s="89">
        <f>IFERROR(__xludf.DUMMYFUNCTION("""COMPUTED_VALUE"""),120.0)</f>
        <v>120</v>
      </c>
      <c r="P413" s="52" t="str">
        <f t="shared" si="22"/>
        <v>0</v>
      </c>
      <c r="R413" s="52" t="str">
        <f t="shared" si="32"/>
        <v>Review</v>
      </c>
      <c r="Z413" s="81">
        <v>46058.0</v>
      </c>
      <c r="AA413" s="81" t="s">
        <v>3997</v>
      </c>
      <c r="AB413" s="81" t="s">
        <v>3998</v>
      </c>
      <c r="AC413" s="81">
        <f t="shared" si="5"/>
        <v>46055</v>
      </c>
      <c r="AD413" s="82">
        <f t="shared" si="6"/>
        <v>4</v>
      </c>
    </row>
    <row r="414">
      <c r="A414" s="104">
        <v>46058.0</v>
      </c>
      <c r="B414" s="89" t="s">
        <v>1523</v>
      </c>
      <c r="C414" s="90" t="s">
        <v>1518</v>
      </c>
      <c r="D414" s="89" t="s">
        <v>1205</v>
      </c>
      <c r="E414" s="89" t="s">
        <v>1524</v>
      </c>
      <c r="F414" s="81">
        <f>IFERROR(__xludf.DUMMYFUNCTION("""COMPUTED_VALUE"""),46058.0)</f>
        <v>46058</v>
      </c>
      <c r="G414" s="89" t="s">
        <v>3996</v>
      </c>
      <c r="H414" s="89">
        <v>6.0</v>
      </c>
      <c r="I414" s="89" t="s">
        <v>3972</v>
      </c>
      <c r="J414" s="89" t="str">
        <f t="shared" si="18"/>
        <v>No</v>
      </c>
      <c r="K414" s="89" t="str">
        <f t="shared" si="23"/>
        <v>No</v>
      </c>
      <c r="L414" s="89" t="str">
        <f>IFERROR(__xludf.DUMMYFUNCTION("""COMPUTED_VALUE"""),"$120K-$200K /yr")</f>
        <v>$120K-$200K /yr</v>
      </c>
      <c r="M414" s="89" t="str">
        <f>IFERROR(__xludf.DUMMYFUNCTION("""COMPUTED_VALUE"""),"")</f>
        <v/>
      </c>
      <c r="N414" s="89">
        <f>IFERROR(__xludf.DUMMYFUNCTION("""COMPUTED_VALUE"""),120.0)</f>
        <v>120</v>
      </c>
      <c r="P414" s="52" t="str">
        <f t="shared" si="22"/>
        <v>0</v>
      </c>
      <c r="R414" s="52" t="str">
        <f t="shared" si="32"/>
        <v>Review</v>
      </c>
      <c r="Z414" s="81">
        <v>46058.0</v>
      </c>
      <c r="AA414" s="81" t="s">
        <v>3997</v>
      </c>
      <c r="AB414" s="81" t="s">
        <v>3998</v>
      </c>
      <c r="AC414" s="81">
        <f t="shared" si="5"/>
        <v>46055</v>
      </c>
      <c r="AD414" s="82">
        <f t="shared" si="6"/>
        <v>4</v>
      </c>
    </row>
    <row r="415">
      <c r="A415" s="104">
        <v>46062.0</v>
      </c>
      <c r="B415" s="89" t="s">
        <v>1526</v>
      </c>
      <c r="C415" s="89" t="s">
        <v>1527</v>
      </c>
      <c r="D415" s="89" t="s">
        <v>1528</v>
      </c>
      <c r="E415" s="89" t="s">
        <v>1529</v>
      </c>
      <c r="F415" s="81">
        <f>IFERROR(__xludf.DUMMYFUNCTION("""COMPUTED_VALUE"""),46062.0)</f>
        <v>46062</v>
      </c>
      <c r="G415" s="89" t="s">
        <v>3996</v>
      </c>
      <c r="H415" s="89">
        <v>7.0</v>
      </c>
      <c r="I415" s="89" t="s">
        <v>3964</v>
      </c>
      <c r="J415" s="89" t="str">
        <f t="shared" si="18"/>
        <v>No</v>
      </c>
      <c r="K415" s="89" t="str">
        <f t="shared" si="23"/>
        <v>No</v>
      </c>
      <c r="L415" s="89" t="str">
        <f>IFERROR(__xludf.DUMMYFUNCTION("""COMPUTED_VALUE"""),"$81100-$137900 /yr")</f>
        <v>$81100-$137900 /yr</v>
      </c>
      <c r="M415" s="89" t="str">
        <f>IFERROR(__xludf.DUMMYFUNCTION("""COMPUTED_VALUE"""),"")</f>
        <v/>
      </c>
      <c r="N415" s="89">
        <f>IFERROR(__xludf.DUMMYFUNCTION("""COMPUTED_VALUE"""),81100.0)</f>
        <v>81100</v>
      </c>
      <c r="P415" s="52" t="str">
        <f t="shared" si="22"/>
        <v>0</v>
      </c>
      <c r="R415" s="52" t="str">
        <f t="shared" si="32"/>
        <v>Review</v>
      </c>
      <c r="Z415" s="81">
        <v>46062.0</v>
      </c>
      <c r="AA415" s="81" t="s">
        <v>3999</v>
      </c>
      <c r="AB415" s="81" t="s">
        <v>3998</v>
      </c>
      <c r="AC415" s="81">
        <f t="shared" si="5"/>
        <v>46062</v>
      </c>
      <c r="AD415" s="82">
        <f t="shared" si="6"/>
        <v>1</v>
      </c>
    </row>
    <row r="416">
      <c r="A416" s="104">
        <v>46058.0</v>
      </c>
      <c r="B416" s="89" t="s">
        <v>1533</v>
      </c>
      <c r="C416" s="89" t="s">
        <v>1534</v>
      </c>
      <c r="D416" s="89" t="s">
        <v>1535</v>
      </c>
      <c r="E416" s="89" t="s">
        <v>1536</v>
      </c>
      <c r="F416" s="81">
        <f>IFERROR(__xludf.DUMMYFUNCTION("""COMPUTED_VALUE"""),46058.0)</f>
        <v>46058</v>
      </c>
      <c r="G416" s="89" t="s">
        <v>3996</v>
      </c>
      <c r="H416" s="89">
        <v>6.0</v>
      </c>
      <c r="I416" s="89" t="s">
        <v>3972</v>
      </c>
      <c r="J416" s="89" t="str">
        <f t="shared" si="18"/>
        <v>No</v>
      </c>
      <c r="K416" s="89" t="str">
        <f t="shared" si="23"/>
        <v>No</v>
      </c>
      <c r="L416" s="89" t="str">
        <f>IFERROR(__xludf.DUMMYFUNCTION("""COMPUTED_VALUE"""),"$68K-$92K /yr")</f>
        <v>$68K-$92K /yr</v>
      </c>
      <c r="M416" s="89" t="str">
        <f>IFERROR(__xludf.DUMMYFUNCTION("""COMPUTED_VALUE"""),"")</f>
        <v/>
      </c>
      <c r="N416" s="89">
        <f>IFERROR(__xludf.DUMMYFUNCTION("""COMPUTED_VALUE"""),68.0)</f>
        <v>68</v>
      </c>
      <c r="P416" s="52" t="str">
        <f t="shared" si="22"/>
        <v>0</v>
      </c>
      <c r="R416" s="52" t="str">
        <f t="shared" si="32"/>
        <v>Review</v>
      </c>
      <c r="Z416" s="81">
        <v>46058.0</v>
      </c>
      <c r="AA416" s="81" t="s">
        <v>3997</v>
      </c>
      <c r="AB416" s="81" t="s">
        <v>3998</v>
      </c>
      <c r="AC416" s="81">
        <f t="shared" si="5"/>
        <v>46055</v>
      </c>
      <c r="AD416" s="82">
        <f t="shared" si="6"/>
        <v>4</v>
      </c>
    </row>
    <row r="417">
      <c r="A417" s="104">
        <v>46059.0</v>
      </c>
      <c r="B417" s="89" t="s">
        <v>1540</v>
      </c>
      <c r="C417" s="89" t="s">
        <v>1541</v>
      </c>
      <c r="D417" s="89" t="s">
        <v>1542</v>
      </c>
      <c r="E417" s="89" t="s">
        <v>1543</v>
      </c>
      <c r="F417" s="81">
        <f>IFERROR(__xludf.DUMMYFUNCTION("""COMPUTED_VALUE"""),46059.0)</f>
        <v>46059</v>
      </c>
      <c r="G417" s="89" t="s">
        <v>3996</v>
      </c>
      <c r="H417" s="89">
        <v>6.0</v>
      </c>
      <c r="I417" s="89" t="s">
        <v>3954</v>
      </c>
      <c r="J417" s="89" t="str">
        <f t="shared" si="18"/>
        <v>No</v>
      </c>
      <c r="K417" s="89" t="str">
        <f t="shared" si="23"/>
        <v>No</v>
      </c>
      <c r="L417" s="89" t="str">
        <f>IFERROR(__xludf.DUMMYFUNCTION("""COMPUTED_VALUE"""),"$115K-$135K /yr")</f>
        <v>$115K-$135K /yr</v>
      </c>
      <c r="M417" s="89" t="str">
        <f>IFERROR(__xludf.DUMMYFUNCTION("""COMPUTED_VALUE"""),"")</f>
        <v/>
      </c>
      <c r="N417" s="89">
        <f>IFERROR(__xludf.DUMMYFUNCTION("""COMPUTED_VALUE"""),115.0)</f>
        <v>115</v>
      </c>
      <c r="P417" s="52" t="str">
        <f t="shared" si="22"/>
        <v>0</v>
      </c>
      <c r="R417" s="52" t="str">
        <f t="shared" si="32"/>
        <v>Review</v>
      </c>
      <c r="Z417" s="81">
        <v>46059.0</v>
      </c>
      <c r="AA417" s="81" t="s">
        <v>3997</v>
      </c>
      <c r="AB417" s="81" t="s">
        <v>3998</v>
      </c>
      <c r="AC417" s="81">
        <f t="shared" si="5"/>
        <v>46055</v>
      </c>
      <c r="AD417" s="82">
        <f t="shared" si="6"/>
        <v>5</v>
      </c>
    </row>
    <row r="418">
      <c r="A418" s="104">
        <v>46063.0</v>
      </c>
      <c r="B418" s="89" t="s">
        <v>1546</v>
      </c>
      <c r="C418" s="89" t="s">
        <v>1547</v>
      </c>
      <c r="D418" s="89" t="s">
        <v>1548</v>
      </c>
      <c r="E418" s="89" t="s">
        <v>1549</v>
      </c>
      <c r="F418" s="81">
        <f>IFERROR(__xludf.DUMMYFUNCTION("""COMPUTED_VALUE"""),46063.0)</f>
        <v>46063</v>
      </c>
      <c r="G418" s="89" t="s">
        <v>3996</v>
      </c>
      <c r="H418" s="89">
        <v>7.0</v>
      </c>
      <c r="I418" s="89" t="s">
        <v>3966</v>
      </c>
      <c r="J418" s="89" t="str">
        <f t="shared" si="18"/>
        <v>No</v>
      </c>
      <c r="K418" s="89" t="str">
        <f t="shared" si="23"/>
        <v>No</v>
      </c>
      <c r="L418" s="89" t="str">
        <f>IFERROR(__xludf.DUMMYFUNCTION("""COMPUTED_VALUE"""),"$90000-$130000 /yr")</f>
        <v>$90000-$130000 /yr</v>
      </c>
      <c r="M418" s="89" t="str">
        <f>IFERROR(__xludf.DUMMYFUNCTION("""COMPUTED_VALUE"""),"")</f>
        <v/>
      </c>
      <c r="N418" s="89">
        <f>IFERROR(__xludf.DUMMYFUNCTION("""COMPUTED_VALUE"""),90000.0)</f>
        <v>90000</v>
      </c>
      <c r="P418" s="52" t="str">
        <f t="shared" si="22"/>
        <v>0</v>
      </c>
      <c r="R418" s="52" t="str">
        <f t="shared" si="32"/>
        <v>Review</v>
      </c>
      <c r="Z418" s="81">
        <v>46063.0</v>
      </c>
      <c r="AA418" s="81" t="s">
        <v>3999</v>
      </c>
      <c r="AB418" s="81" t="s">
        <v>3998</v>
      </c>
      <c r="AC418" s="81">
        <f t="shared" si="5"/>
        <v>46062</v>
      </c>
      <c r="AD418" s="82">
        <f t="shared" si="6"/>
        <v>2</v>
      </c>
    </row>
    <row r="419">
      <c r="A419" s="104">
        <v>46063.0</v>
      </c>
      <c r="B419" s="89" t="s">
        <v>1546</v>
      </c>
      <c r="C419" s="89" t="s">
        <v>1547</v>
      </c>
      <c r="D419" s="89" t="s">
        <v>1553</v>
      </c>
      <c r="E419" s="89" t="s">
        <v>1554</v>
      </c>
      <c r="F419" s="81">
        <f>IFERROR(__xludf.DUMMYFUNCTION("""COMPUTED_VALUE"""),46063.0)</f>
        <v>46063</v>
      </c>
      <c r="G419" s="89" t="s">
        <v>3996</v>
      </c>
      <c r="H419" s="89">
        <v>7.0</v>
      </c>
      <c r="I419" s="89" t="s">
        <v>3966</v>
      </c>
      <c r="J419" s="89" t="str">
        <f t="shared" si="18"/>
        <v>No</v>
      </c>
      <c r="K419" s="89" t="str">
        <f t="shared" si="23"/>
        <v>No</v>
      </c>
      <c r="L419" s="89" t="str">
        <f>IFERROR(__xludf.DUMMYFUNCTION("""COMPUTED_VALUE"""),"$90K-$130K /yr")</f>
        <v>$90K-$130K /yr</v>
      </c>
      <c r="M419" s="89" t="str">
        <f>IFERROR(__xludf.DUMMYFUNCTION("""COMPUTED_VALUE"""),"")</f>
        <v/>
      </c>
      <c r="N419" s="89">
        <f>IFERROR(__xludf.DUMMYFUNCTION("""COMPUTED_VALUE"""),90.0)</f>
        <v>90</v>
      </c>
      <c r="P419" s="52" t="str">
        <f t="shared" si="22"/>
        <v>0</v>
      </c>
      <c r="R419" s="52" t="str">
        <f t="shared" si="32"/>
        <v>Review</v>
      </c>
      <c r="Z419" s="81">
        <v>46063.0</v>
      </c>
      <c r="AA419" s="81" t="s">
        <v>3999</v>
      </c>
      <c r="AB419" s="81" t="s">
        <v>3998</v>
      </c>
      <c r="AC419" s="81">
        <f t="shared" si="5"/>
        <v>46062</v>
      </c>
      <c r="AD419" s="82">
        <f t="shared" si="6"/>
        <v>2</v>
      </c>
    </row>
    <row r="420">
      <c r="A420" s="104">
        <v>46058.0</v>
      </c>
      <c r="B420" s="89" t="s">
        <v>1556</v>
      </c>
      <c r="C420" s="89" t="s">
        <v>1557</v>
      </c>
      <c r="D420" s="89" t="s">
        <v>1558</v>
      </c>
      <c r="E420" s="89" t="s">
        <v>1559</v>
      </c>
      <c r="F420" s="81">
        <f>IFERROR(__xludf.DUMMYFUNCTION("""COMPUTED_VALUE"""),46058.0)</f>
        <v>46058</v>
      </c>
      <c r="G420" s="89" t="s">
        <v>3996</v>
      </c>
      <c r="H420" s="89">
        <v>6.0</v>
      </c>
      <c r="I420" s="89" t="s">
        <v>3972</v>
      </c>
      <c r="J420" s="89" t="str">
        <f t="shared" si="18"/>
        <v>No</v>
      </c>
      <c r="K420" s="89" t="str">
        <f t="shared" si="23"/>
        <v>No</v>
      </c>
      <c r="L420" s="89" t="str">
        <f>IFERROR(__xludf.DUMMYFUNCTION("""COMPUTED_VALUE"""),"$124000-$155000 /yr")</f>
        <v>$124000-$155000 /yr</v>
      </c>
      <c r="M420" s="89" t="str">
        <f>IFERROR(__xludf.DUMMYFUNCTION("""COMPUTED_VALUE"""),"")</f>
        <v/>
      </c>
      <c r="N420" s="89">
        <f>IFERROR(__xludf.DUMMYFUNCTION("""COMPUTED_VALUE"""),124000.0)</f>
        <v>124000</v>
      </c>
      <c r="P420" s="52" t="str">
        <f t="shared" si="22"/>
        <v>0</v>
      </c>
      <c r="R420" s="52" t="str">
        <f t="shared" si="32"/>
        <v>Review</v>
      </c>
      <c r="Z420" s="81">
        <v>46058.0</v>
      </c>
      <c r="AA420" s="81" t="s">
        <v>3997</v>
      </c>
      <c r="AB420" s="81" t="s">
        <v>3998</v>
      </c>
      <c r="AC420" s="81">
        <f t="shared" si="5"/>
        <v>46055</v>
      </c>
      <c r="AD420" s="82">
        <f t="shared" si="6"/>
        <v>4</v>
      </c>
    </row>
    <row r="421">
      <c r="A421" s="104">
        <v>46064.0</v>
      </c>
      <c r="B421" s="89" t="s">
        <v>88</v>
      </c>
      <c r="C421" s="89" t="s">
        <v>1562</v>
      </c>
      <c r="D421" s="89" t="s">
        <v>1563</v>
      </c>
      <c r="E421" s="89" t="s">
        <v>1564</v>
      </c>
      <c r="F421" s="81">
        <f>IFERROR(__xludf.DUMMYFUNCTION("""COMPUTED_VALUE"""),46064.0)</f>
        <v>46064</v>
      </c>
      <c r="G421" s="89" t="s">
        <v>3996</v>
      </c>
      <c r="H421" s="89">
        <v>7.0</v>
      </c>
      <c r="I421" s="89" t="s">
        <v>3971</v>
      </c>
      <c r="J421" s="89" t="str">
        <f t="shared" si="18"/>
        <v>No</v>
      </c>
      <c r="K421" s="89" t="str">
        <f t="shared" si="23"/>
        <v>No</v>
      </c>
      <c r="L421" s="89" t="str">
        <f>IFERROR(__xludf.DUMMYFUNCTION("""COMPUTED_VALUE"""),"$108K-$165K /yr")</f>
        <v>$108K-$165K /yr</v>
      </c>
      <c r="M421" s="89" t="str">
        <f>IFERROR(__xludf.DUMMYFUNCTION("""COMPUTED_VALUE"""),"")</f>
        <v/>
      </c>
      <c r="N421" s="89">
        <f>IFERROR(__xludf.DUMMYFUNCTION("""COMPUTED_VALUE"""),108.0)</f>
        <v>108</v>
      </c>
      <c r="P421" s="52" t="str">
        <f t="shared" si="22"/>
        <v>0</v>
      </c>
      <c r="R421" s="52" t="str">
        <f t="shared" si="32"/>
        <v>Review</v>
      </c>
      <c r="Z421" s="81">
        <v>46064.0</v>
      </c>
      <c r="AA421" s="81" t="s">
        <v>3999</v>
      </c>
      <c r="AB421" s="81" t="s">
        <v>3998</v>
      </c>
      <c r="AC421" s="81">
        <f t="shared" si="5"/>
        <v>46062</v>
      </c>
      <c r="AD421" s="82">
        <f t="shared" si="6"/>
        <v>3</v>
      </c>
    </row>
    <row r="422">
      <c r="A422" s="104">
        <v>46064.0</v>
      </c>
      <c r="B422" s="89" t="s">
        <v>1567</v>
      </c>
      <c r="C422" s="89" t="s">
        <v>865</v>
      </c>
      <c r="D422" s="89" t="s">
        <v>1568</v>
      </c>
      <c r="E422" s="89" t="s">
        <v>1569</v>
      </c>
      <c r="F422" s="81">
        <f>IFERROR(__xludf.DUMMYFUNCTION("""COMPUTED_VALUE"""),46064.0)</f>
        <v>46064</v>
      </c>
      <c r="G422" s="89" t="s">
        <v>3996</v>
      </c>
      <c r="H422" s="89">
        <v>7.0</v>
      </c>
      <c r="I422" s="89" t="s">
        <v>3971</v>
      </c>
      <c r="J422" s="89" t="str">
        <f t="shared" si="18"/>
        <v>No</v>
      </c>
      <c r="K422" s="89" t="str">
        <f t="shared" si="23"/>
        <v>No</v>
      </c>
      <c r="L422" s="89" t="str">
        <f>IFERROR(__xludf.DUMMYFUNCTION("""COMPUTED_VALUE"""),"$160K-$220K /yr")</f>
        <v>$160K-$220K /yr</v>
      </c>
      <c r="M422" s="89" t="str">
        <f>IFERROR(__xludf.DUMMYFUNCTION("""COMPUTED_VALUE"""),"")</f>
        <v/>
      </c>
      <c r="N422" s="89">
        <f>IFERROR(__xludf.DUMMYFUNCTION("""COMPUTED_VALUE"""),160.0)</f>
        <v>160</v>
      </c>
      <c r="P422" s="52" t="str">
        <f t="shared" si="22"/>
        <v>0</v>
      </c>
      <c r="R422" s="52" t="str">
        <f t="shared" si="32"/>
        <v>Review</v>
      </c>
      <c r="Z422" s="81">
        <v>46064.0</v>
      </c>
      <c r="AA422" s="81" t="s">
        <v>3999</v>
      </c>
      <c r="AB422" s="81" t="s">
        <v>3998</v>
      </c>
      <c r="AC422" s="81">
        <f t="shared" si="5"/>
        <v>46062</v>
      </c>
      <c r="AD422" s="82">
        <f t="shared" si="6"/>
        <v>3</v>
      </c>
    </row>
    <row r="423">
      <c r="A423" s="104">
        <v>46063.0</v>
      </c>
      <c r="B423" s="89" t="s">
        <v>1572</v>
      </c>
      <c r="C423" s="89" t="s">
        <v>1573</v>
      </c>
      <c r="D423" s="89" t="s">
        <v>1574</v>
      </c>
      <c r="E423" s="89" t="s">
        <v>1575</v>
      </c>
      <c r="F423" s="81">
        <f>IFERROR(__xludf.DUMMYFUNCTION("""COMPUTED_VALUE"""),46063.0)</f>
        <v>46063</v>
      </c>
      <c r="G423" s="89" t="s">
        <v>3996</v>
      </c>
      <c r="H423" s="89">
        <v>7.0</v>
      </c>
      <c r="I423" s="89" t="s">
        <v>3966</v>
      </c>
      <c r="J423" s="89" t="str">
        <f t="shared" si="18"/>
        <v>No</v>
      </c>
      <c r="K423" s="89" t="str">
        <f t="shared" si="23"/>
        <v>No</v>
      </c>
      <c r="L423" s="89" t="str">
        <f>IFERROR(__xludf.DUMMYFUNCTION("""COMPUTED_VALUE"""),"$110K-$130K /yr")</f>
        <v>$110K-$130K /yr</v>
      </c>
      <c r="M423" s="89" t="str">
        <f>IFERROR(__xludf.DUMMYFUNCTION("""COMPUTED_VALUE"""),"")</f>
        <v/>
      </c>
      <c r="N423" s="89">
        <f>IFERROR(__xludf.DUMMYFUNCTION("""COMPUTED_VALUE"""),110.0)</f>
        <v>110</v>
      </c>
      <c r="P423" s="52" t="str">
        <f t="shared" si="22"/>
        <v>0</v>
      </c>
      <c r="R423" s="52" t="str">
        <f t="shared" si="32"/>
        <v>Review</v>
      </c>
      <c r="Z423" s="81">
        <v>46063.0</v>
      </c>
      <c r="AA423" s="81" t="s">
        <v>3999</v>
      </c>
      <c r="AB423" s="81" t="s">
        <v>3998</v>
      </c>
      <c r="AC423" s="81">
        <f t="shared" si="5"/>
        <v>46062</v>
      </c>
      <c r="AD423" s="82">
        <f t="shared" si="6"/>
        <v>2</v>
      </c>
    </row>
    <row r="424">
      <c r="A424" s="104">
        <v>46058.0</v>
      </c>
      <c r="B424" s="89" t="s">
        <v>1578</v>
      </c>
      <c r="C424" s="89" t="s">
        <v>812</v>
      </c>
      <c r="D424" s="89" t="s">
        <v>1579</v>
      </c>
      <c r="E424" s="89" t="s">
        <v>1580</v>
      </c>
      <c r="F424" s="81">
        <f>IFERROR(__xludf.DUMMYFUNCTION("""COMPUTED_VALUE"""),46058.0)</f>
        <v>46058</v>
      </c>
      <c r="G424" s="89" t="s">
        <v>3996</v>
      </c>
      <c r="H424" s="89">
        <v>6.0</v>
      </c>
      <c r="I424" s="89" t="s">
        <v>3972</v>
      </c>
      <c r="J424" s="89" t="str">
        <f t="shared" si="18"/>
        <v>No</v>
      </c>
      <c r="K424" s="89" t="str">
        <f t="shared" si="23"/>
        <v>No</v>
      </c>
      <c r="L424" s="89" t="str">
        <f>IFERROR(__xludf.DUMMYFUNCTION("""COMPUTED_VALUE"""),"$160K-$230K /yr")</f>
        <v>$160K-$230K /yr</v>
      </c>
      <c r="M424" s="89" t="str">
        <f>IFERROR(__xludf.DUMMYFUNCTION("""COMPUTED_VALUE"""),"")</f>
        <v/>
      </c>
      <c r="N424" s="89">
        <f>IFERROR(__xludf.DUMMYFUNCTION("""COMPUTED_VALUE"""),160.0)</f>
        <v>160</v>
      </c>
      <c r="P424" s="52" t="str">
        <f t="shared" si="22"/>
        <v>0</v>
      </c>
      <c r="R424" s="52" t="str">
        <f t="shared" si="32"/>
        <v>Review</v>
      </c>
      <c r="Z424" s="81">
        <v>46058.0</v>
      </c>
      <c r="AA424" s="81" t="s">
        <v>3997</v>
      </c>
      <c r="AB424" s="81" t="s">
        <v>3998</v>
      </c>
      <c r="AC424" s="81">
        <f t="shared" si="5"/>
        <v>46055</v>
      </c>
      <c r="AD424" s="82">
        <f t="shared" si="6"/>
        <v>4</v>
      </c>
    </row>
    <row r="425">
      <c r="A425" s="104">
        <v>46058.0</v>
      </c>
      <c r="B425" s="89" t="s">
        <v>1582</v>
      </c>
      <c r="C425" s="89" t="s">
        <v>1583</v>
      </c>
      <c r="D425" s="89" t="s">
        <v>1584</v>
      </c>
      <c r="E425" s="89" t="s">
        <v>1585</v>
      </c>
      <c r="F425" s="81">
        <f>IFERROR(__xludf.DUMMYFUNCTION("""COMPUTED_VALUE"""),46058.0)</f>
        <v>46058</v>
      </c>
      <c r="G425" s="89" t="s">
        <v>3996</v>
      </c>
      <c r="H425" s="89">
        <v>6.0</v>
      </c>
      <c r="I425" s="89" t="s">
        <v>3972</v>
      </c>
      <c r="J425" s="89" t="str">
        <f t="shared" si="18"/>
        <v>No</v>
      </c>
      <c r="K425" s="89" t="str">
        <f t="shared" si="23"/>
        <v>No</v>
      </c>
      <c r="L425" s="89" t="str">
        <f>IFERROR(__xludf.DUMMYFUNCTION("""COMPUTED_VALUE"""),"$110000-$138100 /yr")</f>
        <v>$110000-$138100 /yr</v>
      </c>
      <c r="M425" s="89" t="str">
        <f>IFERROR(__xludf.DUMMYFUNCTION("""COMPUTED_VALUE"""),"")</f>
        <v/>
      </c>
      <c r="N425" s="89">
        <f>IFERROR(__xludf.DUMMYFUNCTION("""COMPUTED_VALUE"""),110000.0)</f>
        <v>110000</v>
      </c>
      <c r="P425" s="52" t="str">
        <f t="shared" si="22"/>
        <v>0</v>
      </c>
      <c r="R425" s="52" t="str">
        <f t="shared" si="32"/>
        <v>Review</v>
      </c>
      <c r="Z425" s="81">
        <v>46058.0</v>
      </c>
      <c r="AA425" s="81" t="s">
        <v>3997</v>
      </c>
      <c r="AB425" s="81" t="s">
        <v>3998</v>
      </c>
      <c r="AC425" s="81">
        <f t="shared" si="5"/>
        <v>46055</v>
      </c>
      <c r="AD425" s="82">
        <f t="shared" si="6"/>
        <v>4</v>
      </c>
    </row>
    <row r="426">
      <c r="A426" s="104">
        <v>46064.0</v>
      </c>
      <c r="B426" s="89" t="s">
        <v>1588</v>
      </c>
      <c r="C426" s="89" t="s">
        <v>1589</v>
      </c>
      <c r="D426" s="89" t="s">
        <v>1590</v>
      </c>
      <c r="E426" s="89" t="s">
        <v>1591</v>
      </c>
      <c r="F426" s="81">
        <f>IFERROR(__xludf.DUMMYFUNCTION("""COMPUTED_VALUE"""),46064.0)</f>
        <v>46064</v>
      </c>
      <c r="G426" s="89" t="s">
        <v>3996</v>
      </c>
      <c r="H426" s="89">
        <v>7.0</v>
      </c>
      <c r="I426" s="89" t="s">
        <v>3971</v>
      </c>
      <c r="J426" s="89" t="str">
        <f t="shared" si="18"/>
        <v>No</v>
      </c>
      <c r="K426" s="89" t="str">
        <f t="shared" si="23"/>
        <v>No</v>
      </c>
      <c r="L426" s="89" t="str">
        <f>IFERROR(__xludf.DUMMYFUNCTION("""COMPUTED_VALUE"""),"$126,000-$204,500 /yr")</f>
        <v>$126,000-$204,500 /yr</v>
      </c>
      <c r="M426" s="89" t="str">
        <f>IFERROR(__xludf.DUMMYFUNCTION("""COMPUTED_VALUE"""),"")</f>
        <v/>
      </c>
      <c r="N426" s="89">
        <f>IFERROR(__xludf.DUMMYFUNCTION("""COMPUTED_VALUE"""),126.0)</f>
        <v>126</v>
      </c>
      <c r="P426" s="52" t="str">
        <f t="shared" si="22"/>
        <v>0</v>
      </c>
      <c r="R426" s="52" t="str">
        <f t="shared" si="32"/>
        <v>Review</v>
      </c>
      <c r="Z426" s="81">
        <v>46064.0</v>
      </c>
      <c r="AA426" s="81" t="s">
        <v>3999</v>
      </c>
      <c r="AB426" s="81" t="s">
        <v>3998</v>
      </c>
      <c r="AC426" s="81">
        <f t="shared" si="5"/>
        <v>46062</v>
      </c>
      <c r="AD426" s="82">
        <f t="shared" si="6"/>
        <v>3</v>
      </c>
    </row>
    <row r="427">
      <c r="A427" s="104">
        <v>46063.0</v>
      </c>
      <c r="B427" s="89" t="s">
        <v>1595</v>
      </c>
      <c r="C427" s="89" t="s">
        <v>1596</v>
      </c>
      <c r="D427" s="89" t="s">
        <v>1597</v>
      </c>
      <c r="E427" s="89" t="s">
        <v>1598</v>
      </c>
      <c r="F427" s="81">
        <f>IFERROR(__xludf.DUMMYFUNCTION("""COMPUTED_VALUE"""),46063.0)</f>
        <v>46063</v>
      </c>
      <c r="G427" s="89" t="s">
        <v>3996</v>
      </c>
      <c r="H427" s="89">
        <v>7.0</v>
      </c>
      <c r="I427" s="89" t="s">
        <v>3966</v>
      </c>
      <c r="J427" s="89" t="str">
        <f t="shared" si="18"/>
        <v>No</v>
      </c>
      <c r="K427" s="89" t="str">
        <f t="shared" si="23"/>
        <v>No</v>
      </c>
      <c r="L427" s="89" t="str">
        <f>IFERROR(__xludf.DUMMYFUNCTION("""COMPUTED_VALUE"""),"$116K-$173K /yr")</f>
        <v>$116K-$173K /yr</v>
      </c>
      <c r="M427" s="89" t="str">
        <f>IFERROR(__xludf.DUMMYFUNCTION("""COMPUTED_VALUE"""),"")</f>
        <v/>
      </c>
      <c r="N427" s="89">
        <f>IFERROR(__xludf.DUMMYFUNCTION("""COMPUTED_VALUE"""),116.0)</f>
        <v>116</v>
      </c>
      <c r="P427" s="52" t="str">
        <f t="shared" si="22"/>
        <v>0</v>
      </c>
      <c r="R427" s="52" t="str">
        <f t="shared" si="32"/>
        <v>Review</v>
      </c>
      <c r="Z427" s="81">
        <v>46063.0</v>
      </c>
      <c r="AA427" s="81" t="s">
        <v>3999</v>
      </c>
      <c r="AB427" s="81" t="s">
        <v>3998</v>
      </c>
      <c r="AC427" s="81">
        <f t="shared" si="5"/>
        <v>46062</v>
      </c>
      <c r="AD427" s="82">
        <f t="shared" si="6"/>
        <v>2</v>
      </c>
    </row>
    <row r="428">
      <c r="A428" s="104">
        <v>46062.0</v>
      </c>
      <c r="B428" s="89" t="s">
        <v>1601</v>
      </c>
      <c r="C428" s="89" t="s">
        <v>1602</v>
      </c>
      <c r="D428" s="89" t="s">
        <v>1603</v>
      </c>
      <c r="E428" s="89" t="s">
        <v>1604</v>
      </c>
      <c r="F428" s="81">
        <f>IFERROR(__xludf.DUMMYFUNCTION("""COMPUTED_VALUE"""),46062.0)</f>
        <v>46062</v>
      </c>
      <c r="G428" s="89" t="s">
        <v>3996</v>
      </c>
      <c r="H428" s="89">
        <v>7.0</v>
      </c>
      <c r="I428" s="89" t="s">
        <v>3964</v>
      </c>
      <c r="J428" s="89" t="str">
        <f t="shared" si="18"/>
        <v>No</v>
      </c>
      <c r="K428" s="89" t="str">
        <f t="shared" si="23"/>
        <v>No</v>
      </c>
      <c r="L428" s="89" t="str">
        <f>IFERROR(__xludf.DUMMYFUNCTION("""COMPUTED_VALUE"""),"$120000-$135000 /yr")</f>
        <v>$120000-$135000 /yr</v>
      </c>
      <c r="M428" s="89" t="str">
        <f>IFERROR(__xludf.DUMMYFUNCTION("""COMPUTED_VALUE"""),"")</f>
        <v/>
      </c>
      <c r="N428" s="89">
        <f>IFERROR(__xludf.DUMMYFUNCTION("""COMPUTED_VALUE"""),120000.0)</f>
        <v>120000</v>
      </c>
      <c r="P428" s="52" t="str">
        <f t="shared" si="22"/>
        <v>0</v>
      </c>
      <c r="R428" s="52" t="str">
        <f t="shared" si="32"/>
        <v>Review</v>
      </c>
      <c r="Z428" s="81">
        <v>46062.0</v>
      </c>
      <c r="AA428" s="81" t="s">
        <v>3999</v>
      </c>
      <c r="AB428" s="81" t="s">
        <v>3998</v>
      </c>
      <c r="AC428" s="81">
        <f t="shared" si="5"/>
        <v>46062</v>
      </c>
      <c r="AD428" s="82">
        <f t="shared" si="6"/>
        <v>1</v>
      </c>
    </row>
    <row r="429">
      <c r="A429" s="104">
        <v>46063.0</v>
      </c>
      <c r="B429" s="89" t="s">
        <v>1601</v>
      </c>
      <c r="C429" s="89" t="s">
        <v>1602</v>
      </c>
      <c r="D429" s="89" t="s">
        <v>1608</v>
      </c>
      <c r="E429" s="89" t="s">
        <v>1609</v>
      </c>
      <c r="F429" s="81">
        <f>IFERROR(__xludf.DUMMYFUNCTION("""COMPUTED_VALUE"""),46063.0)</f>
        <v>46063</v>
      </c>
      <c r="G429" s="89" t="s">
        <v>3996</v>
      </c>
      <c r="H429" s="89">
        <v>7.0</v>
      </c>
      <c r="I429" s="89" t="s">
        <v>3966</v>
      </c>
      <c r="J429" s="89" t="str">
        <f t="shared" si="18"/>
        <v>No</v>
      </c>
      <c r="K429" s="89" t="str">
        <f t="shared" si="23"/>
        <v>No</v>
      </c>
      <c r="L429" s="89" t="str">
        <f>IFERROR(__xludf.DUMMYFUNCTION("""COMPUTED_VALUE"""),"$120K-$135K /yr")</f>
        <v>$120K-$135K /yr</v>
      </c>
      <c r="M429" s="89" t="str">
        <f>IFERROR(__xludf.DUMMYFUNCTION("""COMPUTED_VALUE"""),"")</f>
        <v/>
      </c>
      <c r="N429" s="89">
        <f>IFERROR(__xludf.DUMMYFUNCTION("""COMPUTED_VALUE"""),120.0)</f>
        <v>120</v>
      </c>
      <c r="P429" s="52" t="str">
        <f t="shared" si="22"/>
        <v>0</v>
      </c>
      <c r="R429" s="52" t="str">
        <f t="shared" si="32"/>
        <v>Review</v>
      </c>
      <c r="Z429" s="81">
        <v>46063.0</v>
      </c>
      <c r="AA429" s="81" t="s">
        <v>3999</v>
      </c>
      <c r="AB429" s="81" t="s">
        <v>3998</v>
      </c>
      <c r="AC429" s="81">
        <f t="shared" si="5"/>
        <v>46062</v>
      </c>
      <c r="AD429" s="82">
        <f t="shared" si="6"/>
        <v>2</v>
      </c>
    </row>
    <row r="430">
      <c r="A430" s="104">
        <v>46060.0</v>
      </c>
      <c r="B430" s="89" t="s">
        <v>1611</v>
      </c>
      <c r="C430" s="89" t="s">
        <v>1612</v>
      </c>
      <c r="D430" s="89" t="s">
        <v>1613</v>
      </c>
      <c r="E430" s="89" t="s">
        <v>1614</v>
      </c>
      <c r="F430" s="81">
        <f>IFERROR(__xludf.DUMMYFUNCTION("""COMPUTED_VALUE"""),46060.0)</f>
        <v>46060</v>
      </c>
      <c r="G430" s="89" t="s">
        <v>3996</v>
      </c>
      <c r="H430" s="89">
        <v>6.0</v>
      </c>
      <c r="I430" s="89" t="s">
        <v>3960</v>
      </c>
      <c r="J430" s="89" t="str">
        <f t="shared" si="18"/>
        <v>No</v>
      </c>
      <c r="K430" s="89" t="str">
        <f t="shared" si="23"/>
        <v>No</v>
      </c>
      <c r="L430" s="89" t="str">
        <f>IFERROR(__xludf.DUMMYFUNCTION("""COMPUTED_VALUE"""),"$105K-$157K /yr")</f>
        <v>$105K-$157K /yr</v>
      </c>
      <c r="M430" s="89" t="str">
        <f>IFERROR(__xludf.DUMMYFUNCTION("""COMPUTED_VALUE"""),"")</f>
        <v/>
      </c>
      <c r="N430" s="89">
        <f>IFERROR(__xludf.DUMMYFUNCTION("""COMPUTED_VALUE"""),105.0)</f>
        <v>105</v>
      </c>
      <c r="P430" s="52" t="str">
        <f t="shared" si="22"/>
        <v>0</v>
      </c>
      <c r="R430" s="52" t="str">
        <f t="shared" si="32"/>
        <v>Review</v>
      </c>
      <c r="Z430" s="81">
        <v>46060.0</v>
      </c>
      <c r="AA430" s="81" t="s">
        <v>3997</v>
      </c>
      <c r="AB430" s="81" t="s">
        <v>3998</v>
      </c>
      <c r="AC430" s="81">
        <f t="shared" si="5"/>
        <v>46055</v>
      </c>
      <c r="AD430" s="82">
        <f t="shared" si="6"/>
        <v>6</v>
      </c>
    </row>
    <row r="431">
      <c r="A431" s="104">
        <v>46068.0</v>
      </c>
      <c r="B431" s="89" t="s">
        <v>1617</v>
      </c>
      <c r="C431" s="89" t="s">
        <v>956</v>
      </c>
      <c r="D431" s="89" t="s">
        <v>1618</v>
      </c>
      <c r="E431" s="89" t="s">
        <v>1619</v>
      </c>
      <c r="F431" s="81">
        <f>IFERROR(__xludf.DUMMYFUNCTION("""COMPUTED_VALUE"""),46068.0)</f>
        <v>46068</v>
      </c>
      <c r="G431" s="89" t="s">
        <v>3996</v>
      </c>
      <c r="H431" s="89">
        <v>8.0</v>
      </c>
      <c r="I431" s="89" t="s">
        <v>3962</v>
      </c>
      <c r="J431" s="89" t="str">
        <f t="shared" si="18"/>
        <v>No</v>
      </c>
      <c r="K431" s="89" t="str">
        <f t="shared" si="23"/>
        <v>No</v>
      </c>
      <c r="L431" s="89" t="str">
        <f>IFERROR(__xludf.DUMMYFUNCTION("""COMPUTED_VALUE"""),"$94,200-$141,200 /yr")</f>
        <v>$94,200-$141,200 /yr</v>
      </c>
      <c r="M431" s="89" t="str">
        <f>IFERROR(__xludf.DUMMYFUNCTION("""COMPUTED_VALUE"""),"")</f>
        <v/>
      </c>
      <c r="N431" s="89">
        <f>IFERROR(__xludf.DUMMYFUNCTION("""COMPUTED_VALUE"""),94.0)</f>
        <v>94</v>
      </c>
      <c r="P431" s="52" t="str">
        <f t="shared" si="22"/>
        <v>0</v>
      </c>
      <c r="R431" s="52" t="str">
        <f t="shared" si="32"/>
        <v>Review</v>
      </c>
      <c r="Z431" s="81">
        <v>46068.0</v>
      </c>
      <c r="AA431" s="81" t="s">
        <v>3999</v>
      </c>
      <c r="AB431" s="81" t="s">
        <v>3998</v>
      </c>
      <c r="AC431" s="81">
        <f t="shared" si="5"/>
        <v>46062</v>
      </c>
      <c r="AD431" s="82">
        <f t="shared" si="6"/>
        <v>7</v>
      </c>
    </row>
    <row r="432">
      <c r="A432" s="104">
        <v>46068.0</v>
      </c>
      <c r="B432" s="89" t="s">
        <v>1622</v>
      </c>
      <c r="C432" s="89" t="s">
        <v>1623</v>
      </c>
      <c r="D432" s="89" t="s">
        <v>1624</v>
      </c>
      <c r="E432" s="89" t="s">
        <v>1625</v>
      </c>
      <c r="F432" s="81">
        <f>IFERROR(__xludf.DUMMYFUNCTION("""COMPUTED_VALUE"""),46068.0)</f>
        <v>46068</v>
      </c>
      <c r="G432" s="89" t="s">
        <v>3996</v>
      </c>
      <c r="H432" s="89">
        <v>8.0</v>
      </c>
      <c r="I432" s="89" t="s">
        <v>3962</v>
      </c>
      <c r="J432" s="89" t="str">
        <f t="shared" si="18"/>
        <v>No</v>
      </c>
      <c r="K432" s="89" t="str">
        <f t="shared" si="23"/>
        <v>No</v>
      </c>
      <c r="L432" s="89" t="str">
        <f>IFERROR(__xludf.DUMMYFUNCTION("""COMPUTED_VALUE"""),"$150K-$230K /yr")</f>
        <v>$150K-$230K /yr</v>
      </c>
      <c r="M432" s="89" t="str">
        <f>IFERROR(__xludf.DUMMYFUNCTION("""COMPUTED_VALUE"""),"")</f>
        <v/>
      </c>
      <c r="N432" s="89">
        <f>IFERROR(__xludf.DUMMYFUNCTION("""COMPUTED_VALUE"""),150.0)</f>
        <v>150</v>
      </c>
      <c r="P432" s="52" t="str">
        <f t="shared" si="22"/>
        <v>0</v>
      </c>
      <c r="R432" s="52" t="str">
        <f t="shared" si="32"/>
        <v>Review</v>
      </c>
      <c r="Z432" s="81">
        <v>46068.0</v>
      </c>
      <c r="AA432" s="81" t="s">
        <v>3999</v>
      </c>
      <c r="AB432" s="81" t="s">
        <v>3998</v>
      </c>
      <c r="AC432" s="81">
        <f t="shared" si="5"/>
        <v>46062</v>
      </c>
      <c r="AD432" s="82">
        <f t="shared" si="6"/>
        <v>7</v>
      </c>
    </row>
    <row r="433">
      <c r="A433" s="104">
        <v>46068.0</v>
      </c>
      <c r="B433" s="89" t="s">
        <v>1627</v>
      </c>
      <c r="C433" s="89" t="s">
        <v>1628</v>
      </c>
      <c r="D433" s="89" t="s">
        <v>1629</v>
      </c>
      <c r="E433" s="89" t="s">
        <v>1630</v>
      </c>
      <c r="F433" s="81">
        <f>IFERROR(__xludf.DUMMYFUNCTION("""COMPUTED_VALUE"""),46068.0)</f>
        <v>46068</v>
      </c>
      <c r="G433" s="89" t="s">
        <v>3996</v>
      </c>
      <c r="H433" s="89">
        <v>8.0</v>
      </c>
      <c r="I433" s="89" t="s">
        <v>3962</v>
      </c>
      <c r="J433" s="89" t="str">
        <f t="shared" si="18"/>
        <v>No</v>
      </c>
      <c r="K433" s="89" t="str">
        <f t="shared" si="23"/>
        <v>No</v>
      </c>
      <c r="L433" s="89" t="str">
        <f>IFERROR(__xludf.DUMMYFUNCTION("""COMPUTED_VALUE"""),"$175K-$212K /yr")</f>
        <v>$175K-$212K /yr</v>
      </c>
      <c r="M433" s="89" t="str">
        <f>IFERROR(__xludf.DUMMYFUNCTION("""COMPUTED_VALUE"""),"")</f>
        <v/>
      </c>
      <c r="N433" s="89">
        <f>IFERROR(__xludf.DUMMYFUNCTION("""COMPUTED_VALUE"""),175.0)</f>
        <v>175</v>
      </c>
      <c r="P433" s="52" t="str">
        <f t="shared" si="22"/>
        <v>0</v>
      </c>
      <c r="R433" s="52" t="str">
        <f t="shared" si="32"/>
        <v>Review</v>
      </c>
      <c r="Z433" s="81">
        <v>46068.0</v>
      </c>
      <c r="AA433" s="81" t="s">
        <v>3999</v>
      </c>
      <c r="AB433" s="81" t="s">
        <v>3998</v>
      </c>
      <c r="AC433" s="81">
        <f t="shared" si="5"/>
        <v>46062</v>
      </c>
      <c r="AD433" s="82">
        <f t="shared" si="6"/>
        <v>7</v>
      </c>
    </row>
    <row r="434">
      <c r="A434" s="104">
        <v>46068.0</v>
      </c>
      <c r="B434" s="89" t="s">
        <v>1633</v>
      </c>
      <c r="C434" s="89" t="s">
        <v>956</v>
      </c>
      <c r="D434" s="89" t="s">
        <v>1634</v>
      </c>
      <c r="E434" s="89" t="s">
        <v>1635</v>
      </c>
      <c r="F434" s="81">
        <f>IFERROR(__xludf.DUMMYFUNCTION("""COMPUTED_VALUE"""),46068.0)</f>
        <v>46068</v>
      </c>
      <c r="G434" s="89" t="s">
        <v>3996</v>
      </c>
      <c r="H434" s="89">
        <v>8.0</v>
      </c>
      <c r="I434" s="89" t="s">
        <v>3962</v>
      </c>
      <c r="J434" s="89" t="str">
        <f t="shared" si="18"/>
        <v>No</v>
      </c>
      <c r="K434" s="89" t="str">
        <f t="shared" si="23"/>
        <v>No</v>
      </c>
      <c r="L434" s="89" t="str">
        <f>IFERROR(__xludf.DUMMYFUNCTION("""COMPUTED_VALUE"""),"$94200-$141200 /yr")</f>
        <v>$94200-$141200 /yr</v>
      </c>
      <c r="M434" s="89" t="str">
        <f>IFERROR(__xludf.DUMMYFUNCTION("""COMPUTED_VALUE"""),"")</f>
        <v/>
      </c>
      <c r="N434" s="89">
        <f>IFERROR(__xludf.DUMMYFUNCTION("""COMPUTED_VALUE"""),94200.0)</f>
        <v>94200</v>
      </c>
      <c r="P434" s="52" t="str">
        <f t="shared" si="22"/>
        <v>0</v>
      </c>
      <c r="R434" s="52" t="str">
        <f t="shared" si="32"/>
        <v>Review</v>
      </c>
      <c r="Z434" s="81">
        <v>46068.0</v>
      </c>
      <c r="AA434" s="81" t="s">
        <v>3999</v>
      </c>
      <c r="AB434" s="81" t="s">
        <v>3998</v>
      </c>
      <c r="AC434" s="81">
        <f t="shared" si="5"/>
        <v>46062</v>
      </c>
      <c r="AD434" s="82">
        <f t="shared" si="6"/>
        <v>7</v>
      </c>
    </row>
    <row r="435">
      <c r="A435" s="104">
        <v>46068.0</v>
      </c>
      <c r="B435" s="89" t="s">
        <v>1637</v>
      </c>
      <c r="C435" s="89" t="s">
        <v>1638</v>
      </c>
      <c r="D435" s="89" t="s">
        <v>1371</v>
      </c>
      <c r="E435" s="89" t="s">
        <v>1639</v>
      </c>
      <c r="F435" s="81">
        <f>IFERROR(__xludf.DUMMYFUNCTION("""COMPUTED_VALUE"""),46068.0)</f>
        <v>46068</v>
      </c>
      <c r="G435" s="89" t="s">
        <v>3996</v>
      </c>
      <c r="H435" s="89">
        <v>8.0</v>
      </c>
      <c r="I435" s="89" t="s">
        <v>3962</v>
      </c>
      <c r="J435" s="89" t="str">
        <f t="shared" si="18"/>
        <v>No</v>
      </c>
      <c r="K435" s="89" t="str">
        <f t="shared" si="23"/>
        <v>No</v>
      </c>
      <c r="L435" s="89" t="str">
        <f>IFERROR(__xludf.DUMMYFUNCTION("""COMPUTED_VALUE"""),"$110000-$130000 /yr")</f>
        <v>$110000-$130000 /yr</v>
      </c>
      <c r="M435" s="89" t="str">
        <f>IFERROR(__xludf.DUMMYFUNCTION("""COMPUTED_VALUE"""),"")</f>
        <v/>
      </c>
      <c r="N435" s="89">
        <f>IFERROR(__xludf.DUMMYFUNCTION("""COMPUTED_VALUE"""),110000.0)</f>
        <v>110000</v>
      </c>
      <c r="P435" s="52" t="str">
        <f t="shared" si="22"/>
        <v>0</v>
      </c>
      <c r="R435" s="52" t="str">
        <f t="shared" si="32"/>
        <v>Review</v>
      </c>
      <c r="Z435" s="81">
        <v>46068.0</v>
      </c>
      <c r="AA435" s="81" t="s">
        <v>3999</v>
      </c>
      <c r="AB435" s="81" t="s">
        <v>3998</v>
      </c>
      <c r="AC435" s="81">
        <f t="shared" si="5"/>
        <v>46062</v>
      </c>
      <c r="AD435" s="82">
        <f t="shared" si="6"/>
        <v>7</v>
      </c>
    </row>
    <row r="436">
      <c r="A436" s="104">
        <v>46064.0</v>
      </c>
      <c r="B436" s="89" t="s">
        <v>88</v>
      </c>
      <c r="C436" s="89" t="s">
        <v>1642</v>
      </c>
      <c r="D436" s="89" t="s">
        <v>1643</v>
      </c>
      <c r="E436" s="89" t="s">
        <v>1644</v>
      </c>
      <c r="F436" s="81">
        <f>IFERROR(__xludf.DUMMYFUNCTION("""COMPUTED_VALUE"""),46064.0)</f>
        <v>46064</v>
      </c>
      <c r="G436" s="89" t="s">
        <v>3996</v>
      </c>
      <c r="H436" s="89">
        <v>7.0</v>
      </c>
      <c r="I436" s="89" t="s">
        <v>3971</v>
      </c>
      <c r="J436" s="89" t="str">
        <f t="shared" si="18"/>
        <v>No</v>
      </c>
      <c r="K436" s="89" t="str">
        <f t="shared" si="23"/>
        <v>No</v>
      </c>
      <c r="L436" s="89" t="str">
        <f>IFERROR(__xludf.DUMMYFUNCTION("""COMPUTED_VALUE"""),"$100K-$140K /yr")</f>
        <v>$100K-$140K /yr</v>
      </c>
      <c r="M436" s="89" t="str">
        <f>IFERROR(__xludf.DUMMYFUNCTION("""COMPUTED_VALUE"""),"")</f>
        <v/>
      </c>
      <c r="N436" s="89">
        <f>IFERROR(__xludf.DUMMYFUNCTION("""COMPUTED_VALUE"""),100.0)</f>
        <v>100</v>
      </c>
      <c r="P436" s="52" t="str">
        <f t="shared" si="22"/>
        <v>0</v>
      </c>
      <c r="R436" s="52" t="str">
        <f t="shared" si="32"/>
        <v>Review</v>
      </c>
      <c r="Z436" s="81">
        <v>46064.0</v>
      </c>
      <c r="AA436" s="81" t="s">
        <v>3999</v>
      </c>
      <c r="AB436" s="81" t="s">
        <v>3998</v>
      </c>
      <c r="AC436" s="81">
        <f t="shared" si="5"/>
        <v>46062</v>
      </c>
      <c r="AD436" s="82">
        <f t="shared" si="6"/>
        <v>3</v>
      </c>
    </row>
    <row r="437">
      <c r="A437" s="104">
        <v>46064.0</v>
      </c>
      <c r="B437" s="89" t="s">
        <v>88</v>
      </c>
      <c r="C437" s="89" t="s">
        <v>1642</v>
      </c>
      <c r="D437" s="89" t="s">
        <v>1647</v>
      </c>
      <c r="E437" s="89" t="s">
        <v>1648</v>
      </c>
      <c r="F437" s="81">
        <f>IFERROR(__xludf.DUMMYFUNCTION("""COMPUTED_VALUE"""),46064.0)</f>
        <v>46064</v>
      </c>
      <c r="G437" s="89" t="s">
        <v>3996</v>
      </c>
      <c r="H437" s="89">
        <v>7.0</v>
      </c>
      <c r="I437" s="89" t="s">
        <v>3971</v>
      </c>
      <c r="J437" s="89" t="str">
        <f t="shared" si="18"/>
        <v>No</v>
      </c>
      <c r="K437" s="89" t="str">
        <f t="shared" si="23"/>
        <v>No</v>
      </c>
      <c r="L437" s="89" t="str">
        <f>IFERROR(__xludf.DUMMYFUNCTION("""COMPUTED_VALUE"""),"$110000-$140000 /yr")</f>
        <v>$110000-$140000 /yr</v>
      </c>
      <c r="M437" s="89" t="str">
        <f>IFERROR(__xludf.DUMMYFUNCTION("""COMPUTED_VALUE"""),"")</f>
        <v/>
      </c>
      <c r="N437" s="89">
        <f>IFERROR(__xludf.DUMMYFUNCTION("""COMPUTED_VALUE"""),110000.0)</f>
        <v>110000</v>
      </c>
      <c r="P437" s="52" t="str">
        <f t="shared" si="22"/>
        <v>0</v>
      </c>
      <c r="R437" s="52" t="str">
        <f t="shared" si="32"/>
        <v>Review</v>
      </c>
      <c r="Z437" s="81">
        <v>46064.0</v>
      </c>
      <c r="AA437" s="81" t="s">
        <v>3999</v>
      </c>
      <c r="AB437" s="81" t="s">
        <v>3998</v>
      </c>
      <c r="AC437" s="81">
        <f t="shared" si="5"/>
        <v>46062</v>
      </c>
      <c r="AD437" s="82">
        <f t="shared" si="6"/>
        <v>3</v>
      </c>
    </row>
    <row r="438">
      <c r="A438" s="104">
        <v>46069.0</v>
      </c>
      <c r="B438" s="89" t="s">
        <v>868</v>
      </c>
      <c r="C438" s="89" t="s">
        <v>869</v>
      </c>
      <c r="D438" s="89" t="s">
        <v>1497</v>
      </c>
      <c r="E438" s="89" t="s">
        <v>971</v>
      </c>
      <c r="F438" s="81">
        <f>IFERROR(__xludf.DUMMYFUNCTION("""COMPUTED_VALUE"""),46069.0)</f>
        <v>46069</v>
      </c>
      <c r="G438" s="89" t="s">
        <v>3996</v>
      </c>
      <c r="H438" s="89">
        <v>8.0</v>
      </c>
      <c r="I438" s="89" t="s">
        <v>3964</v>
      </c>
      <c r="J438" s="89" t="str">
        <f t="shared" si="18"/>
        <v>No</v>
      </c>
      <c r="K438" s="89" t="str">
        <f t="shared" si="23"/>
        <v>No</v>
      </c>
      <c r="L438" s="89" t="str">
        <f>IFERROR(__xludf.DUMMYFUNCTION("""COMPUTED_VALUE"""),"https://jobright.ai/jobs/info/68a8f2b2d627244576e3683a?utm_source=1100&amp;utm_campaign=Software Engineering")</f>
        <v>https://jobright.ai/jobs/info/68a8f2b2d627244576e3683a?utm_source=1100&amp;utm_campaign=Software Engineering</v>
      </c>
      <c r="M438" s="89" t="str">
        <f>IFERROR(__xludf.DUMMYFUNCTION("""COMPUTED_VALUE"""),"")</f>
        <v/>
      </c>
      <c r="N438" s="89">
        <f>IFERROR(__xludf.DUMMYFUNCTION("""COMPUTED_VALUE"""),68.0)</f>
        <v>68</v>
      </c>
      <c r="P438" s="52" t="str">
        <f t="shared" si="22"/>
        <v>0</v>
      </c>
      <c r="R438" s="52" t="str">
        <f t="shared" si="32"/>
        <v>Review</v>
      </c>
      <c r="Z438" s="81">
        <v>46069.0</v>
      </c>
      <c r="AA438" s="81" t="s">
        <v>4000</v>
      </c>
      <c r="AB438" s="81" t="s">
        <v>3998</v>
      </c>
      <c r="AC438" s="81">
        <f t="shared" si="5"/>
        <v>46069</v>
      </c>
      <c r="AD438" s="82">
        <f t="shared" si="6"/>
        <v>1</v>
      </c>
    </row>
    <row r="439">
      <c r="A439" s="104">
        <v>46069.0</v>
      </c>
      <c r="B439" s="89" t="s">
        <v>1650</v>
      </c>
      <c r="C439" s="89" t="s">
        <v>1651</v>
      </c>
      <c r="D439" s="89" t="s">
        <v>1652</v>
      </c>
      <c r="E439" s="89" t="s">
        <v>971</v>
      </c>
      <c r="F439" s="81">
        <f>IFERROR(__xludf.DUMMYFUNCTION("""COMPUTED_VALUE"""),46069.0)</f>
        <v>46069</v>
      </c>
      <c r="G439" s="89" t="s">
        <v>3996</v>
      </c>
      <c r="H439" s="89">
        <v>8.0</v>
      </c>
      <c r="I439" s="89" t="s">
        <v>3964</v>
      </c>
      <c r="J439" s="89" t="str">
        <f t="shared" si="18"/>
        <v>No</v>
      </c>
      <c r="K439" s="89" t="str">
        <f t="shared" si="23"/>
        <v>No</v>
      </c>
      <c r="L439" s="89" t="str">
        <f>IFERROR(__xludf.DUMMYFUNCTION("""COMPUTED_VALUE"""),"https://jobright.ai/jobs/info/69933bb7e0bddb6acac18538?utm_source=1100&amp;utm_campaign=Software Engineering")</f>
        <v>https://jobright.ai/jobs/info/69933bb7e0bddb6acac18538?utm_source=1100&amp;utm_campaign=Software Engineering</v>
      </c>
      <c r="M439" s="89" t="str">
        <f>IFERROR(__xludf.DUMMYFUNCTION("""COMPUTED_VALUE"""),"")</f>
        <v/>
      </c>
      <c r="N439" s="89">
        <f>IFERROR(__xludf.DUMMYFUNCTION("""COMPUTED_VALUE"""),69933.0)</f>
        <v>69933</v>
      </c>
      <c r="P439" s="52" t="str">
        <f t="shared" si="22"/>
        <v>0</v>
      </c>
      <c r="R439" s="52" t="str">
        <f t="shared" si="32"/>
        <v>Review</v>
      </c>
      <c r="Z439" s="81">
        <v>46069.0</v>
      </c>
      <c r="AA439" s="81" t="s">
        <v>4000</v>
      </c>
      <c r="AB439" s="81" t="s">
        <v>3998</v>
      </c>
      <c r="AC439" s="81">
        <f t="shared" si="5"/>
        <v>46069</v>
      </c>
      <c r="AD439" s="82">
        <f t="shared" si="6"/>
        <v>1</v>
      </c>
    </row>
    <row r="440">
      <c r="A440" s="104">
        <v>46069.0</v>
      </c>
      <c r="B440" s="89" t="s">
        <v>1656</v>
      </c>
      <c r="C440" s="89" t="s">
        <v>1657</v>
      </c>
      <c r="D440" s="89" t="s">
        <v>1658</v>
      </c>
      <c r="E440" s="89" t="s">
        <v>969</v>
      </c>
      <c r="F440" s="81">
        <f>IFERROR(__xludf.DUMMYFUNCTION("""COMPUTED_VALUE"""),46069.0)</f>
        <v>46069</v>
      </c>
      <c r="G440" s="89" t="s">
        <v>3996</v>
      </c>
      <c r="H440" s="89">
        <v>8.0</v>
      </c>
      <c r="I440" s="89" t="s">
        <v>3964</v>
      </c>
      <c r="J440" s="89" t="str">
        <f t="shared" si="18"/>
        <v>No</v>
      </c>
      <c r="K440" s="89" t="str">
        <f t="shared" si="23"/>
        <v>No</v>
      </c>
      <c r="L440" s="89" t="str">
        <f>IFERROR(__xludf.DUMMYFUNCTION("""COMPUTED_VALUE"""),"https://jobright.ai/jobs/info/69932f94e0bddb6acac17f73?utm_source=1100&amp;utm_campaign=Software Engineering")</f>
        <v>https://jobright.ai/jobs/info/69932f94e0bddb6acac17f73?utm_source=1100&amp;utm_campaign=Software Engineering</v>
      </c>
      <c r="M440" s="89" t="str">
        <f>IFERROR(__xludf.DUMMYFUNCTION("""COMPUTED_VALUE"""),"")</f>
        <v/>
      </c>
      <c r="N440" s="89">
        <f>IFERROR(__xludf.DUMMYFUNCTION("""COMPUTED_VALUE"""),69932.0)</f>
        <v>69932</v>
      </c>
      <c r="P440" s="52" t="str">
        <f t="shared" si="22"/>
        <v>0</v>
      </c>
      <c r="R440" s="52" t="str">
        <f t="shared" si="32"/>
        <v>Review</v>
      </c>
      <c r="Z440" s="81">
        <v>46069.0</v>
      </c>
      <c r="AA440" s="81" t="s">
        <v>4000</v>
      </c>
      <c r="AB440" s="81" t="s">
        <v>3998</v>
      </c>
      <c r="AC440" s="81">
        <f t="shared" si="5"/>
        <v>46069</v>
      </c>
      <c r="AD440" s="82">
        <f t="shared" si="6"/>
        <v>1</v>
      </c>
    </row>
    <row r="441">
      <c r="A441" s="104">
        <v>46066.0</v>
      </c>
      <c r="B441" s="89" t="s">
        <v>1661</v>
      </c>
      <c r="C441" s="89" t="s">
        <v>1662</v>
      </c>
      <c r="D441" s="89" t="s">
        <v>1663</v>
      </c>
      <c r="E441" s="89" t="s">
        <v>971</v>
      </c>
      <c r="F441" s="81">
        <f>IFERROR(__xludf.DUMMYFUNCTION("""COMPUTED_VALUE"""),46066.0)</f>
        <v>46066</v>
      </c>
      <c r="G441" s="89" t="s">
        <v>3996</v>
      </c>
      <c r="H441" s="89">
        <v>7.0</v>
      </c>
      <c r="I441" s="89" t="s">
        <v>3954</v>
      </c>
      <c r="J441" s="89" t="str">
        <f t="shared" si="18"/>
        <v>No</v>
      </c>
      <c r="K441" s="89" t="str">
        <f t="shared" si="23"/>
        <v>No</v>
      </c>
      <c r="L441" s="89" t="str">
        <f>IFERROR(__xludf.DUMMYFUNCTION("""COMPUTED_VALUE"""),"https://jobright.ai/jobs/info/698f57000cc8ea15f1d9d99a?utm_source=1100&amp;utm_campaign=Software Engineering")</f>
        <v>https://jobright.ai/jobs/info/698f57000cc8ea15f1d9d99a?utm_source=1100&amp;utm_campaign=Software Engineering</v>
      </c>
      <c r="M441" s="89" t="str">
        <f>IFERROR(__xludf.DUMMYFUNCTION("""COMPUTED_VALUE"""),"")</f>
        <v/>
      </c>
      <c r="N441" s="89">
        <f>IFERROR(__xludf.DUMMYFUNCTION("""COMPUTED_VALUE"""),698.0)</f>
        <v>698</v>
      </c>
      <c r="P441" s="52" t="str">
        <f t="shared" si="22"/>
        <v>0</v>
      </c>
      <c r="R441" s="52" t="str">
        <f t="shared" si="32"/>
        <v>Review</v>
      </c>
      <c r="Z441" s="81">
        <v>46066.0</v>
      </c>
      <c r="AA441" s="81" t="s">
        <v>3999</v>
      </c>
      <c r="AB441" s="81" t="s">
        <v>3998</v>
      </c>
      <c r="AC441" s="81">
        <f t="shared" si="5"/>
        <v>46062</v>
      </c>
      <c r="AD441" s="82">
        <f t="shared" si="6"/>
        <v>5</v>
      </c>
    </row>
    <row r="442">
      <c r="A442" s="104">
        <v>46066.0</v>
      </c>
      <c r="B442" s="89" t="s">
        <v>1667</v>
      </c>
      <c r="C442" s="89" t="s">
        <v>1073</v>
      </c>
      <c r="D442" s="89" t="s">
        <v>1668</v>
      </c>
      <c r="E442" s="89" t="s">
        <v>969</v>
      </c>
      <c r="F442" s="81">
        <f>IFERROR(__xludf.DUMMYFUNCTION("""COMPUTED_VALUE"""),46066.0)</f>
        <v>46066</v>
      </c>
      <c r="G442" s="89" t="s">
        <v>3996</v>
      </c>
      <c r="H442" s="89">
        <v>7.0</v>
      </c>
      <c r="I442" s="89" t="s">
        <v>3954</v>
      </c>
      <c r="J442" s="89" t="str">
        <f t="shared" si="18"/>
        <v>No</v>
      </c>
      <c r="K442" s="89" t="str">
        <f t="shared" si="23"/>
        <v>No</v>
      </c>
      <c r="L442" s="89" t="str">
        <f>IFERROR(__xludf.DUMMYFUNCTION("""COMPUTED_VALUE"""),"https://jobright.ai/jobs/info/68cda9731ad6b16f0289d5ba?utm_source=1100&amp;utm_campaign=Software Engineering")</f>
        <v>https://jobright.ai/jobs/info/68cda9731ad6b16f0289d5ba?utm_source=1100&amp;utm_campaign=Software Engineering</v>
      </c>
      <c r="M442" s="89" t="str">
        <f>IFERROR(__xludf.DUMMYFUNCTION("""COMPUTED_VALUE"""),"")</f>
        <v/>
      </c>
      <c r="N442" s="89">
        <f>IFERROR(__xludf.DUMMYFUNCTION("""COMPUTED_VALUE"""),68.0)</f>
        <v>68</v>
      </c>
      <c r="P442" s="52" t="str">
        <f t="shared" si="22"/>
        <v>0</v>
      </c>
      <c r="R442" s="52" t="str">
        <f t="shared" si="32"/>
        <v>Review</v>
      </c>
      <c r="Z442" s="81">
        <v>46066.0</v>
      </c>
      <c r="AA442" s="81" t="s">
        <v>3999</v>
      </c>
      <c r="AB442" s="81" t="s">
        <v>3998</v>
      </c>
      <c r="AC442" s="81">
        <f t="shared" si="5"/>
        <v>46062</v>
      </c>
      <c r="AD442" s="82">
        <f t="shared" si="6"/>
        <v>5</v>
      </c>
    </row>
    <row r="443">
      <c r="A443" s="104">
        <v>46066.0</v>
      </c>
      <c r="B443" s="89" t="s">
        <v>1669</v>
      </c>
      <c r="C443" s="89" t="s">
        <v>416</v>
      </c>
      <c r="D443" s="89" t="s">
        <v>1670</v>
      </c>
      <c r="E443" s="89" t="s">
        <v>274</v>
      </c>
      <c r="F443" s="81">
        <f>IFERROR(__xludf.DUMMYFUNCTION("""COMPUTED_VALUE"""),46066.0)</f>
        <v>46066</v>
      </c>
      <c r="G443" s="89" t="s">
        <v>3996</v>
      </c>
      <c r="H443" s="89">
        <v>7.0</v>
      </c>
      <c r="I443" s="89" t="s">
        <v>3954</v>
      </c>
      <c r="J443" s="89" t="str">
        <f t="shared" si="18"/>
        <v>No</v>
      </c>
      <c r="K443" s="89" t="str">
        <f t="shared" si="23"/>
        <v>No</v>
      </c>
      <c r="L443" s="89" t="str">
        <f>IFERROR(__xludf.DUMMYFUNCTION("""COMPUTED_VALUE"""),"https://jobright.ai/jobs/info/698fb87e0f6f7e7a2cec042e?utm_source=1100&amp;utm_campaign=Software Engineering")</f>
        <v>https://jobright.ai/jobs/info/698fb87e0f6f7e7a2cec042e?utm_source=1100&amp;utm_campaign=Software Engineering</v>
      </c>
      <c r="M443" s="89" t="str">
        <f>IFERROR(__xludf.DUMMYFUNCTION("""COMPUTED_VALUE"""),"")</f>
        <v/>
      </c>
      <c r="N443" s="89">
        <f>IFERROR(__xludf.DUMMYFUNCTION("""COMPUTED_VALUE"""),698.0)</f>
        <v>698</v>
      </c>
      <c r="P443" s="52" t="str">
        <f t="shared" si="22"/>
        <v>0</v>
      </c>
      <c r="R443" s="52" t="str">
        <f t="shared" si="32"/>
        <v>Review</v>
      </c>
      <c r="Z443" s="81">
        <v>46066.0</v>
      </c>
      <c r="AA443" s="81" t="s">
        <v>3999</v>
      </c>
      <c r="AB443" s="81" t="s">
        <v>3998</v>
      </c>
      <c r="AC443" s="81">
        <f t="shared" si="5"/>
        <v>46062</v>
      </c>
      <c r="AD443" s="82">
        <f t="shared" si="6"/>
        <v>5</v>
      </c>
    </row>
    <row r="444">
      <c r="A444" s="104">
        <v>46066.0</v>
      </c>
      <c r="B444" s="89" t="s">
        <v>1674</v>
      </c>
      <c r="C444" s="89" t="s">
        <v>1675</v>
      </c>
      <c r="D444" s="89" t="s">
        <v>1676</v>
      </c>
      <c r="E444" s="89" t="s">
        <v>969</v>
      </c>
      <c r="F444" s="81">
        <f>IFERROR(__xludf.DUMMYFUNCTION("""COMPUTED_VALUE"""),46066.0)</f>
        <v>46066</v>
      </c>
      <c r="G444" s="89" t="s">
        <v>3996</v>
      </c>
      <c r="H444" s="89">
        <v>7.0</v>
      </c>
      <c r="I444" s="89" t="s">
        <v>3954</v>
      </c>
      <c r="J444" s="89" t="str">
        <f t="shared" si="18"/>
        <v>No</v>
      </c>
      <c r="K444" s="89" t="str">
        <f t="shared" si="23"/>
        <v>No</v>
      </c>
      <c r="L444" s="89" t="str">
        <f>IFERROR(__xludf.DUMMYFUNCTION("""COMPUTED_VALUE"""),"https://jobright.ai/jobs/info/695ee98ba112b402660da601?utm_source=1100&amp;utm_campaign=Software Engineering")</f>
        <v>https://jobright.ai/jobs/info/695ee98ba112b402660da601?utm_source=1100&amp;utm_campaign=Software Engineering</v>
      </c>
      <c r="M444" s="89" t="str">
        <f>IFERROR(__xludf.DUMMYFUNCTION("""COMPUTED_VALUE"""),"")</f>
        <v/>
      </c>
      <c r="N444" s="89">
        <f>IFERROR(__xludf.DUMMYFUNCTION("""COMPUTED_VALUE"""),695.0)</f>
        <v>695</v>
      </c>
      <c r="P444" s="52" t="str">
        <f t="shared" si="22"/>
        <v>0</v>
      </c>
      <c r="R444" s="52" t="str">
        <f t="shared" si="32"/>
        <v>Review</v>
      </c>
      <c r="Z444" s="81">
        <v>46066.0</v>
      </c>
      <c r="AA444" s="81" t="s">
        <v>3999</v>
      </c>
      <c r="AB444" s="81" t="s">
        <v>3998</v>
      </c>
      <c r="AC444" s="81">
        <f t="shared" si="5"/>
        <v>46062</v>
      </c>
      <c r="AD444" s="82">
        <f t="shared" si="6"/>
        <v>5</v>
      </c>
    </row>
    <row r="445">
      <c r="A445" s="104">
        <v>46069.0</v>
      </c>
      <c r="B445" s="89" t="s">
        <v>1680</v>
      </c>
      <c r="C445" s="89" t="s">
        <v>842</v>
      </c>
      <c r="D445" s="89" t="s">
        <v>1681</v>
      </c>
      <c r="E445" s="89" t="s">
        <v>274</v>
      </c>
      <c r="F445" s="81">
        <f>IFERROR(__xludf.DUMMYFUNCTION("""COMPUTED_VALUE"""),46069.0)</f>
        <v>46069</v>
      </c>
      <c r="G445" s="89" t="s">
        <v>3996</v>
      </c>
      <c r="H445" s="89">
        <v>8.0</v>
      </c>
      <c r="I445" s="89" t="s">
        <v>3964</v>
      </c>
      <c r="J445" s="89" t="str">
        <f t="shared" si="18"/>
        <v>No</v>
      </c>
      <c r="K445" s="89" t="str">
        <f t="shared" si="23"/>
        <v>No</v>
      </c>
      <c r="L445" s="89" t="str">
        <f>IFERROR(__xludf.DUMMYFUNCTION("""COMPUTED_VALUE"""),"https://jobright.ai/jobs/info/69766b97bc8e722e7b1b01c5?utm_source=1100&amp;utm_campaign=Software Engineering")</f>
        <v>https://jobright.ai/jobs/info/69766b97bc8e722e7b1b01c5?utm_source=1100&amp;utm_campaign=Software Engineering</v>
      </c>
      <c r="M445" s="89" t="str">
        <f>IFERROR(__xludf.DUMMYFUNCTION("""COMPUTED_VALUE"""),"")</f>
        <v/>
      </c>
      <c r="N445" s="89">
        <f>IFERROR(__xludf.DUMMYFUNCTION("""COMPUTED_VALUE"""),69766.0)</f>
        <v>69766</v>
      </c>
      <c r="P445" s="52" t="str">
        <f t="shared" si="22"/>
        <v>0</v>
      </c>
      <c r="R445" s="52" t="str">
        <f t="shared" si="32"/>
        <v>Review</v>
      </c>
      <c r="Z445" s="81">
        <v>46069.0</v>
      </c>
      <c r="AA445" s="81" t="s">
        <v>4000</v>
      </c>
      <c r="AB445" s="81" t="s">
        <v>3998</v>
      </c>
      <c r="AC445" s="81">
        <f t="shared" si="5"/>
        <v>46069</v>
      </c>
      <c r="AD445" s="82">
        <f t="shared" si="6"/>
        <v>1</v>
      </c>
    </row>
    <row r="446">
      <c r="A446" s="104">
        <v>46068.0</v>
      </c>
      <c r="B446" s="89" t="s">
        <v>841</v>
      </c>
      <c r="C446" s="89" t="s">
        <v>842</v>
      </c>
      <c r="D446" s="89" t="s">
        <v>1003</v>
      </c>
      <c r="E446" s="89" t="s">
        <v>274</v>
      </c>
      <c r="F446" s="81">
        <f>IFERROR(__xludf.DUMMYFUNCTION("""COMPUTED_VALUE"""),46068.0)</f>
        <v>46068</v>
      </c>
      <c r="G446" s="89" t="s">
        <v>3996</v>
      </c>
      <c r="H446" s="89">
        <v>8.0</v>
      </c>
      <c r="I446" s="89" t="s">
        <v>3962</v>
      </c>
      <c r="J446" s="89" t="str">
        <f t="shared" si="18"/>
        <v>No</v>
      </c>
      <c r="K446" s="89" t="str">
        <f t="shared" si="23"/>
        <v>No</v>
      </c>
      <c r="L446" s="89" t="str">
        <f>IFERROR(__xludf.DUMMYFUNCTION("""COMPUTED_VALUE"""),"https://jobright.ai/jobs/info/6940950caa598a08c3f0408c?utm_source=1100&amp;utm_campaign=Software Engineering")</f>
        <v>https://jobright.ai/jobs/info/6940950caa598a08c3f0408c?utm_source=1100&amp;utm_campaign=Software Engineering</v>
      </c>
      <c r="M446" s="89" t="str">
        <f>IFERROR(__xludf.DUMMYFUNCTION("""COMPUTED_VALUE"""),"")</f>
        <v/>
      </c>
      <c r="N446" s="89">
        <f>IFERROR(__xludf.DUMMYFUNCTION("""COMPUTED_VALUE"""),6940950.0)</f>
        <v>6940950</v>
      </c>
      <c r="P446" s="52" t="str">
        <f t="shared" si="22"/>
        <v>0</v>
      </c>
      <c r="R446" s="52" t="str">
        <f t="shared" si="32"/>
        <v>Review</v>
      </c>
      <c r="Z446" s="81">
        <v>46068.0</v>
      </c>
      <c r="AA446" s="81" t="s">
        <v>3999</v>
      </c>
      <c r="AB446" s="81" t="s">
        <v>3998</v>
      </c>
      <c r="AC446" s="81">
        <f t="shared" si="5"/>
        <v>46062</v>
      </c>
      <c r="AD446" s="82">
        <f t="shared" si="6"/>
        <v>7</v>
      </c>
    </row>
    <row r="447">
      <c r="A447" s="104">
        <v>46066.0</v>
      </c>
      <c r="B447" s="89" t="s">
        <v>1688</v>
      </c>
      <c r="C447" s="89" t="s">
        <v>1011</v>
      </c>
      <c r="D447" s="89" t="s">
        <v>1689</v>
      </c>
      <c r="E447" s="89" t="s">
        <v>971</v>
      </c>
      <c r="F447" s="81">
        <f>IFERROR(__xludf.DUMMYFUNCTION("""COMPUTED_VALUE"""),46066.0)</f>
        <v>46066</v>
      </c>
      <c r="G447" s="89" t="s">
        <v>3996</v>
      </c>
      <c r="H447" s="89">
        <v>7.0</v>
      </c>
      <c r="I447" s="89" t="s">
        <v>3954</v>
      </c>
      <c r="J447" s="89" t="str">
        <f t="shared" si="18"/>
        <v>No</v>
      </c>
      <c r="K447" s="89" t="str">
        <f t="shared" si="23"/>
        <v>No</v>
      </c>
      <c r="L447" s="89" t="str">
        <f>IFERROR(__xludf.DUMMYFUNCTION("""COMPUTED_VALUE"""),"https://jobright.ai/jobs/info/69900ed30f6f7e7a2cec60ca?utm_source=1100&amp;utm_campaign=Software Engineering")</f>
        <v>https://jobright.ai/jobs/info/69900ed30f6f7e7a2cec60ca?utm_source=1100&amp;utm_campaign=Software Engineering</v>
      </c>
      <c r="M447" s="89" t="str">
        <f>IFERROR(__xludf.DUMMYFUNCTION("""COMPUTED_VALUE"""),"")</f>
        <v/>
      </c>
      <c r="N447" s="89">
        <f>IFERROR(__xludf.DUMMYFUNCTION("""COMPUTED_VALUE"""),69900.0)</f>
        <v>69900</v>
      </c>
      <c r="P447" s="52" t="str">
        <f t="shared" si="22"/>
        <v>0</v>
      </c>
      <c r="R447" s="52" t="str">
        <f t="shared" si="32"/>
        <v>Review</v>
      </c>
      <c r="Z447" s="81">
        <v>46066.0</v>
      </c>
      <c r="AA447" s="81" t="s">
        <v>3999</v>
      </c>
      <c r="AB447" s="81" t="s">
        <v>3998</v>
      </c>
      <c r="AC447" s="81">
        <f t="shared" si="5"/>
        <v>46062</v>
      </c>
      <c r="AD447" s="82">
        <f t="shared" si="6"/>
        <v>5</v>
      </c>
    </row>
    <row r="448">
      <c r="A448" s="104">
        <v>46066.0</v>
      </c>
      <c r="B448" s="89" t="s">
        <v>1692</v>
      </c>
      <c r="C448" s="89" t="s">
        <v>1011</v>
      </c>
      <c r="D448" s="89" t="s">
        <v>1693</v>
      </c>
      <c r="E448" s="89" t="s">
        <v>971</v>
      </c>
      <c r="F448" s="81">
        <f>IFERROR(__xludf.DUMMYFUNCTION("""COMPUTED_VALUE"""),46066.0)</f>
        <v>46066</v>
      </c>
      <c r="G448" s="89" t="s">
        <v>3996</v>
      </c>
      <c r="H448" s="89">
        <v>7.0</v>
      </c>
      <c r="I448" s="89" t="s">
        <v>3954</v>
      </c>
      <c r="J448" s="89" t="str">
        <f t="shared" si="18"/>
        <v>No</v>
      </c>
      <c r="K448" s="89" t="str">
        <f t="shared" si="23"/>
        <v>No</v>
      </c>
      <c r="L448" s="89" t="str">
        <f>IFERROR(__xludf.DUMMYFUNCTION("""COMPUTED_VALUE"""),"https://jobright.ai/jobs/info/699007ba0f6f7e7a2cec5a09?utm_source=1100&amp;utm_campaign=Software Engineering")</f>
        <v>https://jobright.ai/jobs/info/699007ba0f6f7e7a2cec5a09?utm_source=1100&amp;utm_campaign=Software Engineering</v>
      </c>
      <c r="M448" s="89" t="str">
        <f>IFERROR(__xludf.DUMMYFUNCTION("""COMPUTED_VALUE"""),"")</f>
        <v/>
      </c>
      <c r="N448" s="89">
        <f>IFERROR(__xludf.DUMMYFUNCTION("""COMPUTED_VALUE"""),699007.0)</f>
        <v>699007</v>
      </c>
      <c r="P448" s="52" t="str">
        <f t="shared" si="22"/>
        <v>0</v>
      </c>
      <c r="R448" s="52" t="str">
        <f t="shared" si="32"/>
        <v>Review</v>
      </c>
      <c r="Z448" s="81">
        <v>46066.0</v>
      </c>
      <c r="AA448" s="81" t="s">
        <v>3999</v>
      </c>
      <c r="AB448" s="81" t="s">
        <v>3998</v>
      </c>
      <c r="AC448" s="81">
        <f t="shared" si="5"/>
        <v>46062</v>
      </c>
      <c r="AD448" s="82">
        <f t="shared" si="6"/>
        <v>5</v>
      </c>
    </row>
    <row r="449">
      <c r="A449" s="104">
        <v>46067.0</v>
      </c>
      <c r="B449" s="89" t="s">
        <v>1696</v>
      </c>
      <c r="C449" s="89" t="s">
        <v>1697</v>
      </c>
      <c r="D449" s="89" t="s">
        <v>1698</v>
      </c>
      <c r="E449" s="89" t="s">
        <v>971</v>
      </c>
      <c r="F449" s="81">
        <f>IFERROR(__xludf.DUMMYFUNCTION("""COMPUTED_VALUE"""),46067.0)</f>
        <v>46067</v>
      </c>
      <c r="G449" s="89" t="s">
        <v>3996</v>
      </c>
      <c r="H449" s="89">
        <v>7.0</v>
      </c>
      <c r="I449" s="89" t="s">
        <v>3960</v>
      </c>
      <c r="J449" s="89" t="str">
        <f t="shared" si="18"/>
        <v>No</v>
      </c>
      <c r="K449" s="89" t="str">
        <f t="shared" si="23"/>
        <v>No</v>
      </c>
      <c r="L449" s="89" t="str">
        <f>IFERROR(__xludf.DUMMYFUNCTION("""COMPUTED_VALUE"""),"https://jobright.ai/jobs/info/6974f2e1bc8e722e7b19e47d?utm_source=1100&amp;utm_campaign=Software Engineering")</f>
        <v>https://jobright.ai/jobs/info/6974f2e1bc8e722e7b19e47d?utm_source=1100&amp;utm_campaign=Software Engineering</v>
      </c>
      <c r="M449" s="89" t="str">
        <f>IFERROR(__xludf.DUMMYFUNCTION("""COMPUTED_VALUE"""),"")</f>
        <v/>
      </c>
      <c r="N449" s="89">
        <f>IFERROR(__xludf.DUMMYFUNCTION("""COMPUTED_VALUE"""),6974.0)</f>
        <v>6974</v>
      </c>
      <c r="P449" s="52" t="str">
        <f t="shared" si="22"/>
        <v>0</v>
      </c>
      <c r="R449" s="52" t="str">
        <f t="shared" si="32"/>
        <v>Review</v>
      </c>
      <c r="Z449" s="81">
        <v>46067.0</v>
      </c>
      <c r="AA449" s="81" t="s">
        <v>3999</v>
      </c>
      <c r="AB449" s="81" t="s">
        <v>3998</v>
      </c>
      <c r="AC449" s="81">
        <f t="shared" si="5"/>
        <v>46062</v>
      </c>
      <c r="AD449" s="82">
        <f t="shared" si="6"/>
        <v>6</v>
      </c>
    </row>
    <row r="450">
      <c r="A450" s="104">
        <v>46066.0</v>
      </c>
      <c r="B450" s="89" t="s">
        <v>876</v>
      </c>
      <c r="C450" s="89" t="s">
        <v>1703</v>
      </c>
      <c r="D450" s="89" t="s">
        <v>1704</v>
      </c>
      <c r="E450" s="89" t="s">
        <v>971</v>
      </c>
      <c r="F450" s="81">
        <f>IFERROR(__xludf.DUMMYFUNCTION("""COMPUTED_VALUE"""),46066.0)</f>
        <v>46066</v>
      </c>
      <c r="G450" s="89" t="s">
        <v>3996</v>
      </c>
      <c r="H450" s="89">
        <v>7.0</v>
      </c>
      <c r="I450" s="89" t="s">
        <v>3954</v>
      </c>
      <c r="J450" s="89" t="str">
        <f t="shared" si="18"/>
        <v>No</v>
      </c>
      <c r="K450" s="89" t="str">
        <f t="shared" si="23"/>
        <v>No</v>
      </c>
      <c r="L450" s="89" t="str">
        <f>IFERROR(__xludf.DUMMYFUNCTION("""COMPUTED_VALUE"""),"https://jobright.ai/jobs/info/698f146c6ea51a7610f139d2?utm_source=1100&amp;utm_campaign=Software Engineering")</f>
        <v>https://jobright.ai/jobs/info/698f146c6ea51a7610f139d2?utm_source=1100&amp;utm_campaign=Software Engineering</v>
      </c>
      <c r="M450" s="89" t="str">
        <f>IFERROR(__xludf.DUMMYFUNCTION("""COMPUTED_VALUE"""),"")</f>
        <v/>
      </c>
      <c r="N450" s="89">
        <f>IFERROR(__xludf.DUMMYFUNCTION("""COMPUTED_VALUE"""),698.0)</f>
        <v>698</v>
      </c>
      <c r="P450" s="52" t="str">
        <f t="shared" si="22"/>
        <v>0</v>
      </c>
      <c r="R450" s="52" t="str">
        <f t="shared" si="32"/>
        <v>Review</v>
      </c>
      <c r="Z450" s="81">
        <v>46066.0</v>
      </c>
      <c r="AA450" s="81" t="s">
        <v>3999</v>
      </c>
      <c r="AB450" s="81" t="s">
        <v>3998</v>
      </c>
      <c r="AC450" s="81">
        <f t="shared" si="5"/>
        <v>46062</v>
      </c>
      <c r="AD450" s="82">
        <f t="shared" si="6"/>
        <v>5</v>
      </c>
    </row>
    <row r="451">
      <c r="A451" s="104">
        <v>46067.0</v>
      </c>
      <c r="B451" s="89" t="s">
        <v>1708</v>
      </c>
      <c r="C451" s="89" t="s">
        <v>1709</v>
      </c>
      <c r="D451" s="89" t="s">
        <v>1710</v>
      </c>
      <c r="E451" s="89" t="s">
        <v>971</v>
      </c>
      <c r="F451" s="81">
        <f>IFERROR(__xludf.DUMMYFUNCTION("""COMPUTED_VALUE"""),46067.0)</f>
        <v>46067</v>
      </c>
      <c r="G451" s="89" t="s">
        <v>3996</v>
      </c>
      <c r="H451" s="89">
        <v>7.0</v>
      </c>
      <c r="I451" s="89" t="s">
        <v>3960</v>
      </c>
      <c r="J451" s="89" t="str">
        <f t="shared" si="18"/>
        <v>No</v>
      </c>
      <c r="K451" s="89" t="str">
        <f t="shared" si="23"/>
        <v>No</v>
      </c>
      <c r="L451" s="89" t="str">
        <f>IFERROR(__xludf.DUMMYFUNCTION("""COMPUTED_VALUE"""),"https://jobright.ai/jobs/info/69908cfe6ea51a7610f31530?utm_source=1100&amp;utm_campaign=Software Engineering")</f>
        <v>https://jobright.ai/jobs/info/69908cfe6ea51a7610f31530?utm_source=1100&amp;utm_campaign=Software Engineering</v>
      </c>
      <c r="M451" s="89" t="str">
        <f>IFERROR(__xludf.DUMMYFUNCTION("""COMPUTED_VALUE"""),"")</f>
        <v/>
      </c>
      <c r="N451" s="89">
        <f>IFERROR(__xludf.DUMMYFUNCTION("""COMPUTED_VALUE"""),69908.0)</f>
        <v>69908</v>
      </c>
      <c r="P451" s="52" t="str">
        <f t="shared" si="22"/>
        <v>0</v>
      </c>
      <c r="R451" s="52" t="str">
        <f t="shared" si="32"/>
        <v>Review</v>
      </c>
      <c r="Z451" s="81">
        <v>46067.0</v>
      </c>
      <c r="AA451" s="81" t="s">
        <v>3999</v>
      </c>
      <c r="AB451" s="81" t="s">
        <v>3998</v>
      </c>
      <c r="AC451" s="81">
        <f t="shared" si="5"/>
        <v>46062</v>
      </c>
      <c r="AD451" s="82">
        <f t="shared" si="6"/>
        <v>6</v>
      </c>
    </row>
    <row r="452">
      <c r="A452" s="104">
        <v>46068.0</v>
      </c>
      <c r="B452" s="89" t="s">
        <v>1622</v>
      </c>
      <c r="C452" s="89" t="s">
        <v>1623</v>
      </c>
      <c r="D452" s="89" t="s">
        <v>1625</v>
      </c>
      <c r="E452" s="89" t="s">
        <v>971</v>
      </c>
      <c r="F452" s="81">
        <f>IFERROR(__xludf.DUMMYFUNCTION("""COMPUTED_VALUE"""),46068.0)</f>
        <v>46068</v>
      </c>
      <c r="G452" s="89" t="s">
        <v>3996</v>
      </c>
      <c r="H452" s="89">
        <v>8.0</v>
      </c>
      <c r="I452" s="89" t="s">
        <v>3962</v>
      </c>
      <c r="J452" s="89" t="str">
        <f t="shared" si="18"/>
        <v>No</v>
      </c>
      <c r="K452" s="89" t="str">
        <f t="shared" si="23"/>
        <v>No</v>
      </c>
      <c r="L452" s="89" t="str">
        <f>IFERROR(__xludf.DUMMYFUNCTION("""COMPUTED_VALUE"""),"https://jobright.ai/jobs/info/6991b50c6ea51a7610f40e53?utm_source=1100&amp;utm_campaign=Software Engineering")</f>
        <v>https://jobright.ai/jobs/info/6991b50c6ea51a7610f40e53?utm_source=1100&amp;utm_campaign=Software Engineering</v>
      </c>
      <c r="M452" s="89" t="str">
        <f>IFERROR(__xludf.DUMMYFUNCTION("""COMPUTED_VALUE"""),"")</f>
        <v/>
      </c>
      <c r="N452" s="89">
        <f>IFERROR(__xludf.DUMMYFUNCTION("""COMPUTED_VALUE"""),6991.0)</f>
        <v>6991</v>
      </c>
      <c r="P452" s="52" t="str">
        <f t="shared" si="22"/>
        <v>0</v>
      </c>
      <c r="R452" s="52" t="str">
        <f t="shared" si="32"/>
        <v>Review</v>
      </c>
      <c r="Z452" s="81">
        <v>46068.0</v>
      </c>
      <c r="AA452" s="81" t="s">
        <v>3999</v>
      </c>
      <c r="AB452" s="81" t="s">
        <v>3998</v>
      </c>
      <c r="AC452" s="81">
        <f t="shared" si="5"/>
        <v>46062</v>
      </c>
      <c r="AD452" s="82">
        <f t="shared" si="6"/>
        <v>7</v>
      </c>
    </row>
    <row r="453">
      <c r="A453" s="104">
        <v>46067.0</v>
      </c>
      <c r="B453" s="89" t="s">
        <v>1715</v>
      </c>
      <c r="C453" s="89" t="s">
        <v>1716</v>
      </c>
      <c r="D453" s="89" t="s">
        <v>1717</v>
      </c>
      <c r="E453" s="89" t="s">
        <v>969</v>
      </c>
      <c r="F453" s="81">
        <f>IFERROR(__xludf.DUMMYFUNCTION("""COMPUTED_VALUE"""),46067.0)</f>
        <v>46067</v>
      </c>
      <c r="G453" s="89" t="s">
        <v>3996</v>
      </c>
      <c r="H453" s="89">
        <v>7.0</v>
      </c>
      <c r="I453" s="89" t="s">
        <v>3960</v>
      </c>
      <c r="J453" s="89" t="str">
        <f t="shared" si="18"/>
        <v>No</v>
      </c>
      <c r="K453" s="89" t="str">
        <f t="shared" si="23"/>
        <v>No</v>
      </c>
      <c r="L453" s="89" t="str">
        <f>IFERROR(__xludf.DUMMYFUNCTION("""COMPUTED_VALUE"""),"https://jobright.ai/jobs/info/68afc807e723db6c9b7b3609?utm_source=1100&amp;utm_campaign=Software Engineering")</f>
        <v>https://jobright.ai/jobs/info/68afc807e723db6c9b7b3609?utm_source=1100&amp;utm_campaign=Software Engineering</v>
      </c>
      <c r="M453" s="89" t="str">
        <f>IFERROR(__xludf.DUMMYFUNCTION("""COMPUTED_VALUE"""),"")</f>
        <v/>
      </c>
      <c r="N453" s="89">
        <f>IFERROR(__xludf.DUMMYFUNCTION("""COMPUTED_VALUE"""),68.0)</f>
        <v>68</v>
      </c>
      <c r="P453" s="52" t="str">
        <f t="shared" si="22"/>
        <v>0</v>
      </c>
      <c r="R453" s="52" t="str">
        <f t="shared" si="32"/>
        <v>Review</v>
      </c>
      <c r="Z453" s="81">
        <v>46067.0</v>
      </c>
      <c r="AA453" s="81" t="s">
        <v>3999</v>
      </c>
      <c r="AB453" s="81" t="s">
        <v>3998</v>
      </c>
      <c r="AC453" s="81">
        <f t="shared" si="5"/>
        <v>46062</v>
      </c>
      <c r="AD453" s="82">
        <f t="shared" si="6"/>
        <v>6</v>
      </c>
    </row>
    <row r="454">
      <c r="A454" s="104">
        <v>46067.0</v>
      </c>
      <c r="B454" s="89" t="s">
        <v>1721</v>
      </c>
      <c r="C454" s="89" t="s">
        <v>1722</v>
      </c>
      <c r="D454" s="89" t="s">
        <v>1723</v>
      </c>
      <c r="E454" s="89" t="s">
        <v>969</v>
      </c>
      <c r="F454" s="81">
        <f>IFERROR(__xludf.DUMMYFUNCTION("""COMPUTED_VALUE"""),46067.0)</f>
        <v>46067</v>
      </c>
      <c r="G454" s="89" t="s">
        <v>3996</v>
      </c>
      <c r="H454" s="89">
        <v>7.0</v>
      </c>
      <c r="I454" s="89" t="s">
        <v>3960</v>
      </c>
      <c r="J454" s="89" t="str">
        <f t="shared" si="18"/>
        <v>No</v>
      </c>
      <c r="K454" s="89" t="str">
        <f t="shared" si="23"/>
        <v>No</v>
      </c>
      <c r="L454" s="89" t="str">
        <f>IFERROR(__xludf.DUMMYFUNCTION("""COMPUTED_VALUE"""),"https://jobright.ai/jobs/info/694783e1d1953b5d11c09306?utm_source=1100&amp;utm_campaign=Software Engineering")</f>
        <v>https://jobright.ai/jobs/info/694783e1d1953b5d11c09306?utm_source=1100&amp;utm_campaign=Software Engineering</v>
      </c>
      <c r="M454" s="89" t="str">
        <f>IFERROR(__xludf.DUMMYFUNCTION("""COMPUTED_VALUE"""),"")</f>
        <v/>
      </c>
      <c r="N454" s="89">
        <f>IFERROR(__xludf.DUMMYFUNCTION("""COMPUTED_VALUE"""),694783.0)</f>
        <v>694783</v>
      </c>
      <c r="P454" s="52" t="str">
        <f t="shared" si="22"/>
        <v>0</v>
      </c>
      <c r="R454" s="52" t="str">
        <f t="shared" si="32"/>
        <v>Review</v>
      </c>
      <c r="Z454" s="81">
        <v>46067.0</v>
      </c>
      <c r="AA454" s="81" t="s">
        <v>3999</v>
      </c>
      <c r="AB454" s="81" t="s">
        <v>3998</v>
      </c>
      <c r="AC454" s="81">
        <f t="shared" si="5"/>
        <v>46062</v>
      </c>
      <c r="AD454" s="82">
        <f t="shared" si="6"/>
        <v>6</v>
      </c>
    </row>
    <row r="455">
      <c r="A455" s="104">
        <v>46068.0</v>
      </c>
      <c r="B455" s="89" t="s">
        <v>1727</v>
      </c>
      <c r="C455" s="89" t="s">
        <v>1728</v>
      </c>
      <c r="D455" s="89" t="s">
        <v>1729</v>
      </c>
      <c r="E455" s="89" t="s">
        <v>971</v>
      </c>
      <c r="F455" s="81">
        <f>IFERROR(__xludf.DUMMYFUNCTION("""COMPUTED_VALUE"""),46068.0)</f>
        <v>46068</v>
      </c>
      <c r="G455" s="89" t="s">
        <v>3996</v>
      </c>
      <c r="H455" s="89">
        <v>8.0</v>
      </c>
      <c r="I455" s="89" t="s">
        <v>3962</v>
      </c>
      <c r="J455" s="89" t="str">
        <f t="shared" si="18"/>
        <v>No</v>
      </c>
      <c r="K455" s="89" t="str">
        <f t="shared" si="23"/>
        <v>No</v>
      </c>
      <c r="L455" s="89" t="str">
        <f>IFERROR(__xludf.DUMMYFUNCTION("""COMPUTED_VALUE"""),"https://jobright.ai/jobs/info/697a5104a8de441ca7357cf1?utm_source=1100&amp;utm_campaign=Software Engineering")</f>
        <v>https://jobright.ai/jobs/info/697a5104a8de441ca7357cf1?utm_source=1100&amp;utm_campaign=Software Engineering</v>
      </c>
      <c r="M455" s="89" t="str">
        <f>IFERROR(__xludf.DUMMYFUNCTION("""COMPUTED_VALUE"""),"")</f>
        <v/>
      </c>
      <c r="N455" s="89">
        <f>IFERROR(__xludf.DUMMYFUNCTION("""COMPUTED_VALUE"""),697.0)</f>
        <v>697</v>
      </c>
      <c r="P455" s="52" t="str">
        <f t="shared" si="22"/>
        <v>0</v>
      </c>
      <c r="R455" s="52" t="str">
        <f t="shared" si="32"/>
        <v>Review</v>
      </c>
      <c r="Z455" s="81">
        <v>46068.0</v>
      </c>
      <c r="AA455" s="81" t="s">
        <v>3999</v>
      </c>
      <c r="AB455" s="81" t="s">
        <v>3998</v>
      </c>
      <c r="AC455" s="81">
        <f t="shared" si="5"/>
        <v>46062</v>
      </c>
      <c r="AD455" s="82">
        <f t="shared" si="6"/>
        <v>7</v>
      </c>
    </row>
    <row r="456">
      <c r="A456" s="104">
        <v>46067.0</v>
      </c>
      <c r="B456" s="89" t="s">
        <v>1732</v>
      </c>
      <c r="C456" s="89" t="s">
        <v>289</v>
      </c>
      <c r="D456" s="89" t="s">
        <v>1733</v>
      </c>
      <c r="E456" s="89" t="s">
        <v>971</v>
      </c>
      <c r="F456" s="81">
        <f>IFERROR(__xludf.DUMMYFUNCTION("""COMPUTED_VALUE"""),46067.0)</f>
        <v>46067</v>
      </c>
      <c r="G456" s="89" t="s">
        <v>3996</v>
      </c>
      <c r="H456" s="89">
        <v>7.0</v>
      </c>
      <c r="I456" s="89" t="s">
        <v>3960</v>
      </c>
      <c r="J456" s="89" t="str">
        <f t="shared" si="18"/>
        <v>No</v>
      </c>
      <c r="K456" s="89" t="str">
        <f t="shared" si="23"/>
        <v>No</v>
      </c>
      <c r="L456" s="89" t="str">
        <f>IFERROR(__xludf.DUMMYFUNCTION("""COMPUTED_VALUE"""),"https://jobright.ai/jobs/info/6986e7260f6f7e7a2ce22175?utm_source=1100&amp;utm_campaign=Software Engineering")</f>
        <v>https://jobright.ai/jobs/info/6986e7260f6f7e7a2ce22175?utm_source=1100&amp;utm_campaign=Software Engineering</v>
      </c>
      <c r="M456" s="89" t="str">
        <f>IFERROR(__xludf.DUMMYFUNCTION("""COMPUTED_VALUE"""),"")</f>
        <v/>
      </c>
      <c r="N456" s="89">
        <f>IFERROR(__xludf.DUMMYFUNCTION("""COMPUTED_VALUE"""),6986.0)</f>
        <v>6986</v>
      </c>
      <c r="P456" s="52" t="str">
        <f t="shared" si="22"/>
        <v>0</v>
      </c>
      <c r="R456" s="52" t="str">
        <f t="shared" si="32"/>
        <v>Review</v>
      </c>
      <c r="Z456" s="81">
        <v>46067.0</v>
      </c>
      <c r="AA456" s="81" t="s">
        <v>3999</v>
      </c>
      <c r="AB456" s="81" t="s">
        <v>3998</v>
      </c>
      <c r="AC456" s="81">
        <f t="shared" si="5"/>
        <v>46062</v>
      </c>
      <c r="AD456" s="82">
        <f t="shared" si="6"/>
        <v>6</v>
      </c>
    </row>
    <row r="457">
      <c r="A457" s="104">
        <v>46066.0</v>
      </c>
      <c r="B457" s="89" t="s">
        <v>1738</v>
      </c>
      <c r="C457" s="89" t="s">
        <v>625</v>
      </c>
      <c r="D457" s="89" t="s">
        <v>1739</v>
      </c>
      <c r="E457" s="89" t="s">
        <v>971</v>
      </c>
      <c r="F457" s="81">
        <f>IFERROR(__xludf.DUMMYFUNCTION("""COMPUTED_VALUE"""),46066.0)</f>
        <v>46066</v>
      </c>
      <c r="G457" s="89" t="s">
        <v>3996</v>
      </c>
      <c r="H457" s="89">
        <v>7.0</v>
      </c>
      <c r="I457" s="89" t="s">
        <v>3954</v>
      </c>
      <c r="J457" s="89" t="str">
        <f t="shared" si="18"/>
        <v>No</v>
      </c>
      <c r="K457" s="89" t="str">
        <f t="shared" si="23"/>
        <v>No</v>
      </c>
      <c r="L457" s="89" t="str">
        <f>IFERROR(__xludf.DUMMYFUNCTION("""COMPUTED_VALUE"""),"https://jobright.ai/jobs/info/698f92486ea51a7610f1f377?utm_source=1100&amp;utm_campaign=Software Engineering")</f>
        <v>https://jobright.ai/jobs/info/698f92486ea51a7610f1f377?utm_source=1100&amp;utm_campaign=Software Engineering</v>
      </c>
      <c r="M457" s="89" t="str">
        <f>IFERROR(__xludf.DUMMYFUNCTION("""COMPUTED_VALUE"""),"")</f>
        <v/>
      </c>
      <c r="N457" s="89">
        <f>IFERROR(__xludf.DUMMYFUNCTION("""COMPUTED_VALUE"""),698.0)</f>
        <v>698</v>
      </c>
      <c r="P457" s="52" t="str">
        <f t="shared" si="22"/>
        <v>0</v>
      </c>
      <c r="R457" s="52" t="str">
        <f t="shared" si="32"/>
        <v>Review</v>
      </c>
      <c r="Z457" s="81">
        <v>46066.0</v>
      </c>
      <c r="AA457" s="81" t="s">
        <v>3999</v>
      </c>
      <c r="AB457" s="81" t="s">
        <v>3998</v>
      </c>
      <c r="AC457" s="81">
        <f t="shared" si="5"/>
        <v>46062</v>
      </c>
      <c r="AD457" s="82">
        <f t="shared" si="6"/>
        <v>5</v>
      </c>
    </row>
    <row r="458">
      <c r="A458" s="104">
        <v>46069.0</v>
      </c>
      <c r="B458" s="89" t="s">
        <v>809</v>
      </c>
      <c r="C458" s="89" t="s">
        <v>810</v>
      </c>
      <c r="D458" s="89" t="s">
        <v>1744</v>
      </c>
      <c r="E458" s="89" t="s">
        <v>971</v>
      </c>
      <c r="F458" s="81">
        <f>IFERROR(__xludf.DUMMYFUNCTION("""COMPUTED_VALUE"""),46069.0)</f>
        <v>46069</v>
      </c>
      <c r="G458" s="89" t="s">
        <v>3996</v>
      </c>
      <c r="H458" s="89">
        <v>8.0</v>
      </c>
      <c r="I458" s="89" t="s">
        <v>3964</v>
      </c>
      <c r="J458" s="89" t="str">
        <f t="shared" si="18"/>
        <v>No</v>
      </c>
      <c r="K458" s="89" t="str">
        <f t="shared" si="23"/>
        <v>No</v>
      </c>
      <c r="L458" s="89" t="str">
        <f>IFERROR(__xludf.DUMMYFUNCTION("""COMPUTED_VALUE"""),"https://jobright.ai/jobs/info/68cddf34e23def7af55bfd8a?utm_source=1100&amp;utm_campaign=Software Engineering")</f>
        <v>https://jobright.ai/jobs/info/68cddf34e23def7af55bfd8a?utm_source=1100&amp;utm_campaign=Software Engineering</v>
      </c>
      <c r="M458" s="89" t="str">
        <f>IFERROR(__xludf.DUMMYFUNCTION("""COMPUTED_VALUE"""),"")</f>
        <v/>
      </c>
      <c r="N458" s="89">
        <f>IFERROR(__xludf.DUMMYFUNCTION("""COMPUTED_VALUE"""),68.0)</f>
        <v>68</v>
      </c>
      <c r="P458" s="52" t="str">
        <f t="shared" si="22"/>
        <v>0</v>
      </c>
      <c r="R458" s="52" t="str">
        <f t="shared" si="32"/>
        <v>Review</v>
      </c>
      <c r="Z458" s="81">
        <v>46069.0</v>
      </c>
      <c r="AA458" s="81" t="s">
        <v>4000</v>
      </c>
      <c r="AB458" s="81" t="s">
        <v>3998</v>
      </c>
      <c r="AC458" s="81">
        <f t="shared" si="5"/>
        <v>46069</v>
      </c>
      <c r="AD458" s="82">
        <f t="shared" si="6"/>
        <v>1</v>
      </c>
    </row>
    <row r="459">
      <c r="A459" s="104">
        <v>46066.0</v>
      </c>
      <c r="B459" s="89" t="s">
        <v>1748</v>
      </c>
      <c r="C459" s="89" t="s">
        <v>1749</v>
      </c>
      <c r="D459" s="89" t="s">
        <v>1750</v>
      </c>
      <c r="E459" s="89" t="s">
        <v>971</v>
      </c>
      <c r="F459" s="81">
        <f>IFERROR(__xludf.DUMMYFUNCTION("""COMPUTED_VALUE"""),46066.0)</f>
        <v>46066</v>
      </c>
      <c r="G459" s="89" t="s">
        <v>3996</v>
      </c>
      <c r="H459" s="89">
        <v>7.0</v>
      </c>
      <c r="I459" s="89" t="s">
        <v>3954</v>
      </c>
      <c r="J459" s="89" t="str">
        <f t="shared" si="18"/>
        <v>No</v>
      </c>
      <c r="K459" s="89" t="str">
        <f t="shared" si="23"/>
        <v>No</v>
      </c>
      <c r="L459" s="89" t="str">
        <f>IFERROR(__xludf.DUMMYFUNCTION("""COMPUTED_VALUE"""),"https://jobright.ai/jobs/info/699143530cc8ea15f1dbd843?utm_source=1100&amp;utm_campaign=Software Engineering")</f>
        <v>https://jobright.ai/jobs/info/699143530cc8ea15f1dbd843?utm_source=1100&amp;utm_campaign=Software Engineering</v>
      </c>
      <c r="M459" s="89" t="str">
        <f>IFERROR(__xludf.DUMMYFUNCTION("""COMPUTED_VALUE"""),"")</f>
        <v/>
      </c>
      <c r="N459" s="89">
        <f>IFERROR(__xludf.DUMMYFUNCTION("""COMPUTED_VALUE"""),6.9914353E8)</f>
        <v>699143530</v>
      </c>
      <c r="P459" s="52" t="str">
        <f t="shared" si="22"/>
        <v>0</v>
      </c>
      <c r="R459" s="52" t="str">
        <f t="shared" si="32"/>
        <v>Review</v>
      </c>
      <c r="Z459" s="81">
        <v>46066.0</v>
      </c>
      <c r="AA459" s="81" t="s">
        <v>3999</v>
      </c>
      <c r="AB459" s="81" t="s">
        <v>3998</v>
      </c>
      <c r="AC459" s="81">
        <f t="shared" si="5"/>
        <v>46062</v>
      </c>
      <c r="AD459" s="82">
        <f t="shared" si="6"/>
        <v>5</v>
      </c>
    </row>
    <row r="460">
      <c r="A460" s="104">
        <v>46069.0</v>
      </c>
      <c r="B460" s="89" t="s">
        <v>1754</v>
      </c>
      <c r="C460" s="89" t="s">
        <v>1755</v>
      </c>
      <c r="D460" s="89" t="s">
        <v>1756</v>
      </c>
      <c r="E460" s="89"/>
      <c r="F460" s="81">
        <f>IFERROR(__xludf.DUMMYFUNCTION("""COMPUTED_VALUE"""),46069.0)</f>
        <v>46069</v>
      </c>
      <c r="G460" s="89" t="s">
        <v>3996</v>
      </c>
      <c r="H460" s="89">
        <v>8.0</v>
      </c>
      <c r="I460" s="89" t="s">
        <v>3964</v>
      </c>
      <c r="J460" s="89" t="str">
        <f t="shared" si="18"/>
        <v>No</v>
      </c>
      <c r="K460" s="89" t="str">
        <f t="shared" si="23"/>
        <v>No</v>
      </c>
      <c r="L460" s="89" t="str">
        <f>IFERROR(__xludf.DUMMYFUNCTION("""COMPUTED_VALUE"""),"https://jobright.ai/jobs/info/6806869622b8e29f156721fb?utm_source=1100&amp;utm_campaign=Software Engineering")</f>
        <v>https://jobright.ai/jobs/info/6806869622b8e29f156721fb?utm_source=1100&amp;utm_campaign=Software Engineering</v>
      </c>
      <c r="M460" s="89" t="str">
        <f>IFERROR(__xludf.DUMMYFUNCTION("""COMPUTED_VALUE"""),"")</f>
        <v/>
      </c>
      <c r="N460" s="89">
        <f>IFERROR(__xludf.DUMMYFUNCTION("""COMPUTED_VALUE"""),6.806869622E9)</f>
        <v>6806869622</v>
      </c>
      <c r="P460" s="52" t="str">
        <f t="shared" si="22"/>
        <v>0</v>
      </c>
      <c r="R460" s="52" t="str">
        <f t="shared" si="32"/>
        <v>Review</v>
      </c>
      <c r="Z460" s="81">
        <v>46069.0</v>
      </c>
      <c r="AA460" s="81" t="s">
        <v>4000</v>
      </c>
      <c r="AB460" s="81" t="s">
        <v>3998</v>
      </c>
      <c r="AC460" s="81">
        <f t="shared" si="5"/>
        <v>46069</v>
      </c>
      <c r="AD460" s="82">
        <f t="shared" si="6"/>
        <v>1</v>
      </c>
    </row>
    <row r="461">
      <c r="A461" s="104">
        <v>46069.0</v>
      </c>
      <c r="B461" s="89" t="s">
        <v>1760</v>
      </c>
      <c r="C461" s="89" t="s">
        <v>1761</v>
      </c>
      <c r="D461" s="89" t="s">
        <v>1762</v>
      </c>
      <c r="E461" s="89"/>
      <c r="F461" s="81">
        <f>IFERROR(__xludf.DUMMYFUNCTION("""COMPUTED_VALUE"""),46069.0)</f>
        <v>46069</v>
      </c>
      <c r="G461" s="89" t="s">
        <v>3996</v>
      </c>
      <c r="H461" s="89">
        <v>8.0</v>
      </c>
      <c r="I461" s="89" t="s">
        <v>3964</v>
      </c>
      <c r="J461" s="89" t="str">
        <f t="shared" si="18"/>
        <v>No</v>
      </c>
      <c r="K461" s="89" t="str">
        <f t="shared" si="23"/>
        <v>No</v>
      </c>
      <c r="L461" s="89" t="str">
        <f>IFERROR(__xludf.DUMMYFUNCTION("""COMPUTED_VALUE"""),"https://jobright.ai/jobs/info/6976ba78206da320f4a072c7?utm_source=1100&amp;utm_campaign=Software Engineering")</f>
        <v>https://jobright.ai/jobs/info/6976ba78206da320f4a072c7?utm_source=1100&amp;utm_campaign=Software Engineering</v>
      </c>
      <c r="M461" s="89" t="str">
        <f>IFERROR(__xludf.DUMMYFUNCTION("""COMPUTED_VALUE"""),"")</f>
        <v/>
      </c>
      <c r="N461" s="89">
        <f>IFERROR(__xludf.DUMMYFUNCTION("""COMPUTED_VALUE"""),6976.0)</f>
        <v>6976</v>
      </c>
      <c r="P461" s="52" t="str">
        <f t="shared" si="22"/>
        <v>0</v>
      </c>
      <c r="R461" s="52" t="str">
        <f t="shared" si="32"/>
        <v>Review</v>
      </c>
      <c r="Z461" s="81">
        <v>46069.0</v>
      </c>
      <c r="AA461" s="81" t="s">
        <v>4000</v>
      </c>
      <c r="AB461" s="81" t="s">
        <v>3998</v>
      </c>
      <c r="AC461" s="81">
        <f t="shared" si="5"/>
        <v>46069</v>
      </c>
      <c r="AD461" s="82">
        <f t="shared" si="6"/>
        <v>1</v>
      </c>
    </row>
    <row r="462">
      <c r="A462" s="104">
        <v>46069.0</v>
      </c>
      <c r="B462" s="89" t="s">
        <v>1766</v>
      </c>
      <c r="C462" s="89" t="s">
        <v>1489</v>
      </c>
      <c r="D462" s="89" t="s">
        <v>1767</v>
      </c>
      <c r="E462" s="89"/>
      <c r="F462" s="81">
        <f>IFERROR(__xludf.DUMMYFUNCTION("""COMPUTED_VALUE"""),46069.0)</f>
        <v>46069</v>
      </c>
      <c r="G462" s="89" t="s">
        <v>3996</v>
      </c>
      <c r="H462" s="89">
        <v>8.0</v>
      </c>
      <c r="I462" s="89" t="s">
        <v>3964</v>
      </c>
      <c r="J462" s="89" t="str">
        <f t="shared" si="18"/>
        <v>No</v>
      </c>
      <c r="K462" s="89" t="str">
        <f t="shared" si="23"/>
        <v>No</v>
      </c>
      <c r="L462" s="89" t="str">
        <f>IFERROR(__xludf.DUMMYFUNCTION("""COMPUTED_VALUE"""),"https://jobright.ai/jobs/info/69931d6ae0bddb6acac170b9?utm_source=1100&amp;utm_campaign=Software Engineering")</f>
        <v>https://jobright.ai/jobs/info/69931d6ae0bddb6acac170b9?utm_source=1100&amp;utm_campaign=Software Engineering</v>
      </c>
      <c r="M462" s="89" t="str">
        <f>IFERROR(__xludf.DUMMYFUNCTION("""COMPUTED_VALUE"""),"")</f>
        <v/>
      </c>
      <c r="N462" s="89">
        <f>IFERROR(__xludf.DUMMYFUNCTION("""COMPUTED_VALUE"""),69931.0)</f>
        <v>69931</v>
      </c>
      <c r="P462" s="52" t="str">
        <f t="shared" si="22"/>
        <v>0</v>
      </c>
      <c r="R462" s="52" t="str">
        <f t="shared" si="32"/>
        <v>Review</v>
      </c>
      <c r="Z462" s="81">
        <v>46069.0</v>
      </c>
      <c r="AA462" s="81" t="s">
        <v>4000</v>
      </c>
      <c r="AB462" s="81" t="s">
        <v>3998</v>
      </c>
      <c r="AC462" s="81">
        <f t="shared" si="5"/>
        <v>46069</v>
      </c>
      <c r="AD462" s="82">
        <f t="shared" si="6"/>
        <v>1</v>
      </c>
    </row>
    <row r="463">
      <c r="A463" s="104">
        <v>46069.0</v>
      </c>
      <c r="B463" s="89" t="s">
        <v>832</v>
      </c>
      <c r="C463" s="89" t="s">
        <v>833</v>
      </c>
      <c r="D463" s="89" t="s">
        <v>1770</v>
      </c>
      <c r="E463" s="89"/>
      <c r="F463" s="81">
        <f>IFERROR(__xludf.DUMMYFUNCTION("""COMPUTED_VALUE"""),46069.0)</f>
        <v>46069</v>
      </c>
      <c r="G463" s="89" t="s">
        <v>3996</v>
      </c>
      <c r="H463" s="89">
        <v>8.0</v>
      </c>
      <c r="I463" s="89" t="s">
        <v>3964</v>
      </c>
      <c r="J463" s="89" t="str">
        <f t="shared" si="18"/>
        <v>No</v>
      </c>
      <c r="K463" s="89" t="str">
        <f t="shared" si="23"/>
        <v>No</v>
      </c>
      <c r="L463" s="89" t="str">
        <f>IFERROR(__xludf.DUMMYFUNCTION("""COMPUTED_VALUE"""),"https://jobright.ai/jobs/info/693e643baa598a08c3eeb026?utm_source=1100&amp;utm_campaign=Software Engineering")</f>
        <v>https://jobright.ai/jobs/info/693e643baa598a08c3eeb026?utm_source=1100&amp;utm_campaign=Software Engineering</v>
      </c>
      <c r="M463" s="89" t="str">
        <f>IFERROR(__xludf.DUMMYFUNCTION("""COMPUTED_VALUE"""),"")</f>
        <v/>
      </c>
      <c r="N463" s="89">
        <f>IFERROR(__xludf.DUMMYFUNCTION("""COMPUTED_VALUE"""),693.0)</f>
        <v>693</v>
      </c>
      <c r="P463" s="52" t="str">
        <f t="shared" si="22"/>
        <v>0</v>
      </c>
      <c r="R463" s="52" t="str">
        <f t="shared" si="32"/>
        <v>Review</v>
      </c>
      <c r="Z463" s="81">
        <v>46069.0</v>
      </c>
      <c r="AA463" s="81" t="s">
        <v>4000</v>
      </c>
      <c r="AB463" s="81" t="s">
        <v>3998</v>
      </c>
      <c r="AC463" s="81">
        <f t="shared" si="5"/>
        <v>46069</v>
      </c>
      <c r="AD463" s="82">
        <f t="shared" si="6"/>
        <v>1</v>
      </c>
    </row>
    <row r="464">
      <c r="A464" s="104">
        <v>46069.0</v>
      </c>
      <c r="B464" s="89" t="s">
        <v>1773</v>
      </c>
      <c r="C464" s="89" t="s">
        <v>1774</v>
      </c>
      <c r="D464" s="89" t="s">
        <v>1775</v>
      </c>
      <c r="E464" s="89"/>
      <c r="F464" s="81">
        <f>IFERROR(__xludf.DUMMYFUNCTION("""COMPUTED_VALUE"""),46069.0)</f>
        <v>46069</v>
      </c>
      <c r="G464" s="89" t="s">
        <v>3996</v>
      </c>
      <c r="H464" s="89">
        <v>8.0</v>
      </c>
      <c r="I464" s="89" t="s">
        <v>3964</v>
      </c>
      <c r="J464" s="89" t="str">
        <f t="shared" si="18"/>
        <v>No</v>
      </c>
      <c r="K464" s="89" t="str">
        <f t="shared" si="23"/>
        <v>No</v>
      </c>
      <c r="L464" s="89" t="str">
        <f>IFERROR(__xludf.DUMMYFUNCTION("""COMPUTED_VALUE"""),"https://jobright.ai/jobs/info/6993231081476f6176aacbce?utm_source=1100&amp;utm_campaign=Software Engineering")</f>
        <v>https://jobright.ai/jobs/info/6993231081476f6176aacbce?utm_source=1100&amp;utm_campaign=Software Engineering</v>
      </c>
      <c r="M464" s="89" t="str">
        <f>IFERROR(__xludf.DUMMYFUNCTION("""COMPUTED_VALUE"""),"")</f>
        <v/>
      </c>
      <c r="N464" s="89">
        <f>IFERROR(__xludf.DUMMYFUNCTION("""COMPUTED_VALUE"""),6.993231081476E12)</f>
        <v>6993231081476</v>
      </c>
      <c r="P464" s="52" t="str">
        <f t="shared" si="22"/>
        <v>0</v>
      </c>
      <c r="R464" s="52" t="str">
        <f t="shared" si="32"/>
        <v>Review</v>
      </c>
      <c r="Z464" s="81">
        <v>46069.0</v>
      </c>
      <c r="AA464" s="81" t="s">
        <v>4000</v>
      </c>
      <c r="AB464" s="81" t="s">
        <v>3998</v>
      </c>
      <c r="AC464" s="81">
        <f t="shared" si="5"/>
        <v>46069</v>
      </c>
      <c r="AD464" s="82">
        <f t="shared" si="6"/>
        <v>1</v>
      </c>
    </row>
    <row r="465">
      <c r="A465" s="104">
        <v>46069.0</v>
      </c>
      <c r="B465" s="89" t="s">
        <v>1779</v>
      </c>
      <c r="C465" s="89" t="s">
        <v>1774</v>
      </c>
      <c r="D465" s="89" t="s">
        <v>1780</v>
      </c>
      <c r="E465" s="89"/>
      <c r="F465" s="81">
        <f>IFERROR(__xludf.DUMMYFUNCTION("""COMPUTED_VALUE"""),46069.0)</f>
        <v>46069</v>
      </c>
      <c r="G465" s="89" t="s">
        <v>3996</v>
      </c>
      <c r="H465" s="89">
        <v>8.0</v>
      </c>
      <c r="I465" s="89" t="s">
        <v>3964</v>
      </c>
      <c r="J465" s="89" t="str">
        <f t="shared" si="18"/>
        <v>No</v>
      </c>
      <c r="K465" s="89" t="str">
        <f t="shared" si="23"/>
        <v>No</v>
      </c>
      <c r="L465" s="89" t="str">
        <f>IFERROR(__xludf.DUMMYFUNCTION("""COMPUTED_VALUE"""),"https://jobright.ai/jobs/info/6993215981476f6176aaca60?utm_source=1100&amp;utm_campaign=Software Engineering")</f>
        <v>https://jobright.ai/jobs/info/6993215981476f6176aaca60?utm_source=1100&amp;utm_campaign=Software Engineering</v>
      </c>
      <c r="M465" s="89" t="str">
        <f>IFERROR(__xludf.DUMMYFUNCTION("""COMPUTED_VALUE"""),"")</f>
        <v/>
      </c>
      <c r="N465" s="89">
        <f>IFERROR(__xludf.DUMMYFUNCTION("""COMPUTED_VALUE"""),6.993215981476E12)</f>
        <v>6993215981476</v>
      </c>
      <c r="P465" s="52" t="str">
        <f t="shared" si="22"/>
        <v>0</v>
      </c>
      <c r="R465" s="52" t="str">
        <f t="shared" si="32"/>
        <v>Review</v>
      </c>
      <c r="Z465" s="81">
        <v>46069.0</v>
      </c>
      <c r="AA465" s="81" t="s">
        <v>4000</v>
      </c>
      <c r="AB465" s="81" t="s">
        <v>3998</v>
      </c>
      <c r="AC465" s="81">
        <f t="shared" si="5"/>
        <v>46069</v>
      </c>
      <c r="AD465" s="82">
        <f t="shared" si="6"/>
        <v>1</v>
      </c>
    </row>
    <row r="466">
      <c r="A466" s="104">
        <v>46069.0</v>
      </c>
      <c r="B466" s="89" t="s">
        <v>1783</v>
      </c>
      <c r="C466" s="89" t="s">
        <v>1784</v>
      </c>
      <c r="D466" s="89" t="s">
        <v>971</v>
      </c>
      <c r="E466" s="89"/>
      <c r="F466" s="81">
        <f>IFERROR(__xludf.DUMMYFUNCTION("""COMPUTED_VALUE"""),46069.0)</f>
        <v>46069</v>
      </c>
      <c r="G466" s="89" t="s">
        <v>3996</v>
      </c>
      <c r="H466" s="89">
        <v>8.0</v>
      </c>
      <c r="I466" s="89" t="s">
        <v>3964</v>
      </c>
      <c r="J466" s="89" t="str">
        <f t="shared" si="18"/>
        <v>No</v>
      </c>
      <c r="K466" s="89" t="str">
        <f t="shared" si="23"/>
        <v>No</v>
      </c>
      <c r="L466" s="89" t="str">
        <f>IFERROR(__xludf.DUMMYFUNCTION("""COMPUTED_VALUE"""),"On Site")</f>
        <v>On Site</v>
      </c>
      <c r="M466" s="89" t="str">
        <f>IFERROR(__xludf.DUMMYFUNCTION("""COMPUTED_VALUE"""),"")</f>
        <v/>
      </c>
      <c r="N466" s="89" t="str">
        <f>IFERROR(__xludf.DUMMYFUNCTION("""COMPUTED_VALUE"""),"")</f>
        <v/>
      </c>
      <c r="P466" s="52" t="str">
        <f t="shared" si="22"/>
        <v>0</v>
      </c>
      <c r="R466" s="52" t="str">
        <f t="shared" si="32"/>
        <v>Review</v>
      </c>
      <c r="Z466" s="81">
        <v>46069.0</v>
      </c>
      <c r="AA466" s="81" t="s">
        <v>4000</v>
      </c>
      <c r="AB466" s="81" t="s">
        <v>3998</v>
      </c>
      <c r="AC466" s="81">
        <f t="shared" si="5"/>
        <v>46069</v>
      </c>
      <c r="AD466" s="82">
        <f t="shared" si="6"/>
        <v>1</v>
      </c>
    </row>
    <row r="467">
      <c r="A467" s="104">
        <v>46069.0</v>
      </c>
      <c r="B467" s="89" t="s">
        <v>1680</v>
      </c>
      <c r="C467" s="89" t="s">
        <v>1788</v>
      </c>
      <c r="D467" s="89" t="s">
        <v>274</v>
      </c>
      <c r="E467" s="89"/>
      <c r="F467" s="81">
        <f>IFERROR(__xludf.DUMMYFUNCTION("""COMPUTED_VALUE"""),46069.0)</f>
        <v>46069</v>
      </c>
      <c r="G467" s="89" t="s">
        <v>3996</v>
      </c>
      <c r="H467" s="89">
        <v>8.0</v>
      </c>
      <c r="I467" s="89" t="s">
        <v>3964</v>
      </c>
      <c r="J467" s="89" t="str">
        <f t="shared" si="18"/>
        <v>No</v>
      </c>
      <c r="K467" s="89" t="str">
        <f t="shared" si="23"/>
        <v>No</v>
      </c>
      <c r="L467" s="89" t="str">
        <f>IFERROR(__xludf.DUMMYFUNCTION("""COMPUTED_VALUE"""),"Remote")</f>
        <v>Remote</v>
      </c>
      <c r="M467" s="89" t="str">
        <f>IFERROR(__xludf.DUMMYFUNCTION("""COMPUTED_VALUE"""),"")</f>
        <v/>
      </c>
      <c r="N467" s="89" t="str">
        <f>IFERROR(__xludf.DUMMYFUNCTION("""COMPUTED_VALUE"""),"")</f>
        <v/>
      </c>
      <c r="P467" s="52" t="str">
        <f t="shared" si="22"/>
        <v>0</v>
      </c>
      <c r="R467" s="52" t="str">
        <f t="shared" si="32"/>
        <v>Review</v>
      </c>
      <c r="Z467" s="81">
        <v>46069.0</v>
      </c>
      <c r="AA467" s="81" t="s">
        <v>4000</v>
      </c>
      <c r="AB467" s="81" t="s">
        <v>3998</v>
      </c>
      <c r="AC467" s="81">
        <f t="shared" si="5"/>
        <v>46069</v>
      </c>
      <c r="AD467" s="82">
        <f t="shared" si="6"/>
        <v>1</v>
      </c>
    </row>
    <row r="468">
      <c r="A468" s="104">
        <v>46069.0</v>
      </c>
      <c r="B468" s="89" t="s">
        <v>1789</v>
      </c>
      <c r="C468" s="89" t="s">
        <v>1790</v>
      </c>
      <c r="D468" s="89" t="s">
        <v>971</v>
      </c>
      <c r="E468" s="89"/>
      <c r="F468" s="81">
        <f>IFERROR(__xludf.DUMMYFUNCTION("""COMPUTED_VALUE"""),46069.0)</f>
        <v>46069</v>
      </c>
      <c r="G468" s="89" t="s">
        <v>3996</v>
      </c>
      <c r="H468" s="89">
        <v>8.0</v>
      </c>
      <c r="I468" s="89" t="s">
        <v>3964</v>
      </c>
      <c r="J468" s="89" t="str">
        <f t="shared" si="18"/>
        <v>No</v>
      </c>
      <c r="K468" s="89" t="str">
        <f t="shared" si="23"/>
        <v>No</v>
      </c>
      <c r="L468" s="89" t="str">
        <f>IFERROR(__xludf.DUMMYFUNCTION("""COMPUTED_VALUE"""),"On Site")</f>
        <v>On Site</v>
      </c>
      <c r="M468" s="89" t="str">
        <f>IFERROR(__xludf.DUMMYFUNCTION("""COMPUTED_VALUE"""),"")</f>
        <v/>
      </c>
      <c r="N468" s="89" t="str">
        <f>IFERROR(__xludf.DUMMYFUNCTION("""COMPUTED_VALUE"""),"")</f>
        <v/>
      </c>
      <c r="P468" s="52" t="str">
        <f t="shared" si="22"/>
        <v>0</v>
      </c>
      <c r="R468" s="52" t="str">
        <f t="shared" si="32"/>
        <v>Review</v>
      </c>
      <c r="Z468" s="81">
        <v>46069.0</v>
      </c>
      <c r="AA468" s="81" t="s">
        <v>4000</v>
      </c>
      <c r="AB468" s="81" t="s">
        <v>3998</v>
      </c>
      <c r="AC468" s="81">
        <f t="shared" si="5"/>
        <v>46069</v>
      </c>
      <c r="AD468" s="82">
        <f t="shared" si="6"/>
        <v>1</v>
      </c>
    </row>
    <row r="469">
      <c r="A469" s="104">
        <v>46069.0</v>
      </c>
      <c r="B469" s="89" t="s">
        <v>381</v>
      </c>
      <c r="C469" s="89" t="s">
        <v>1795</v>
      </c>
      <c r="D469" s="89" t="s">
        <v>274</v>
      </c>
      <c r="E469" s="89"/>
      <c r="F469" s="81">
        <f>IFERROR(__xludf.DUMMYFUNCTION("""COMPUTED_VALUE"""),46069.0)</f>
        <v>46069</v>
      </c>
      <c r="G469" s="89" t="s">
        <v>3996</v>
      </c>
      <c r="H469" s="89">
        <v>8.0</v>
      </c>
      <c r="I469" s="89" t="s">
        <v>3964</v>
      </c>
      <c r="J469" s="89" t="str">
        <f t="shared" si="18"/>
        <v>No</v>
      </c>
      <c r="K469" s="89" t="str">
        <f t="shared" si="23"/>
        <v>No</v>
      </c>
      <c r="L469" s="89" t="str">
        <f>IFERROR(__xludf.DUMMYFUNCTION("""COMPUTED_VALUE"""),"Remote")</f>
        <v>Remote</v>
      </c>
      <c r="M469" s="89" t="str">
        <f>IFERROR(__xludf.DUMMYFUNCTION("""COMPUTED_VALUE"""),"")</f>
        <v/>
      </c>
      <c r="N469" s="89" t="str">
        <f>IFERROR(__xludf.DUMMYFUNCTION("""COMPUTED_VALUE"""),"")</f>
        <v/>
      </c>
      <c r="P469" s="52" t="str">
        <f t="shared" si="22"/>
        <v>0</v>
      </c>
      <c r="R469" s="52" t="str">
        <f t="shared" si="32"/>
        <v>Review</v>
      </c>
      <c r="Z469" s="81">
        <v>46069.0</v>
      </c>
      <c r="AA469" s="81" t="s">
        <v>4000</v>
      </c>
      <c r="AB469" s="81" t="s">
        <v>3998</v>
      </c>
      <c r="AC469" s="81">
        <f t="shared" si="5"/>
        <v>46069</v>
      </c>
      <c r="AD469" s="82">
        <f t="shared" si="6"/>
        <v>1</v>
      </c>
    </row>
    <row r="470">
      <c r="A470" s="104">
        <v>46068.0</v>
      </c>
      <c r="B470" s="89" t="s">
        <v>1800</v>
      </c>
      <c r="C470" s="89" t="s">
        <v>1801</v>
      </c>
      <c r="D470" s="89" t="s">
        <v>1802</v>
      </c>
      <c r="E470" s="89" t="s">
        <v>971</v>
      </c>
      <c r="F470" s="81">
        <f>IFERROR(__xludf.DUMMYFUNCTION("""COMPUTED_VALUE"""),46068.0)</f>
        <v>46068</v>
      </c>
      <c r="G470" s="89" t="s">
        <v>3996</v>
      </c>
      <c r="H470" s="89">
        <v>8.0</v>
      </c>
      <c r="I470" s="89" t="s">
        <v>3962</v>
      </c>
      <c r="J470" s="89" t="str">
        <f t="shared" si="18"/>
        <v>No</v>
      </c>
      <c r="K470" s="89" t="str">
        <f t="shared" si="23"/>
        <v>No</v>
      </c>
      <c r="L470" s="89" t="str">
        <f>IFERROR(__xludf.DUMMYFUNCTION("""COMPUTED_VALUE"""),"https://jobright.ai/jobs/info/6993175381476f6176aac389?utm_source=1100&amp;utm_campaign=Software Engineering")</f>
        <v>https://jobright.ai/jobs/info/6993175381476f6176aac389?utm_source=1100&amp;utm_campaign=Software Engineering</v>
      </c>
      <c r="M470" s="89" t="str">
        <f>IFERROR(__xludf.DUMMYFUNCTION("""COMPUTED_VALUE"""),"")</f>
        <v/>
      </c>
      <c r="N470" s="89">
        <f>IFERROR(__xludf.DUMMYFUNCTION("""COMPUTED_VALUE"""),6.993175381476E12)</f>
        <v>6993175381476</v>
      </c>
      <c r="P470" s="52" t="str">
        <f t="shared" si="22"/>
        <v>0</v>
      </c>
      <c r="R470" s="52" t="str">
        <f t="shared" si="32"/>
        <v>Review</v>
      </c>
      <c r="Z470" s="81">
        <v>46068.0</v>
      </c>
      <c r="AA470" s="81" t="s">
        <v>3999</v>
      </c>
      <c r="AB470" s="81" t="s">
        <v>3998</v>
      </c>
      <c r="AC470" s="81">
        <f t="shared" si="5"/>
        <v>46062</v>
      </c>
      <c r="AD470" s="82">
        <f t="shared" si="6"/>
        <v>7</v>
      </c>
    </row>
    <row r="471">
      <c r="A471" s="104">
        <v>46068.0</v>
      </c>
      <c r="B471" s="89" t="s">
        <v>960</v>
      </c>
      <c r="C471" s="89" t="s">
        <v>1805</v>
      </c>
      <c r="D471" s="89" t="s">
        <v>1806</v>
      </c>
      <c r="E471" s="89" t="s">
        <v>971</v>
      </c>
      <c r="F471" s="81">
        <f>IFERROR(__xludf.DUMMYFUNCTION("""COMPUTED_VALUE"""),46068.0)</f>
        <v>46068</v>
      </c>
      <c r="G471" s="89" t="s">
        <v>3996</v>
      </c>
      <c r="H471" s="89">
        <v>8.0</v>
      </c>
      <c r="I471" s="89" t="s">
        <v>3962</v>
      </c>
      <c r="J471" s="89" t="str">
        <f t="shared" si="18"/>
        <v>No</v>
      </c>
      <c r="K471" s="89" t="str">
        <f t="shared" si="23"/>
        <v>No</v>
      </c>
      <c r="L471" s="89" t="str">
        <f>IFERROR(__xludf.DUMMYFUNCTION("""COMPUTED_VALUE"""),"https://jobright.ai/jobs/info/6992e03a81476f6176aa6ffd?utm_source=1100&amp;utm_campaign=Software Engineering")</f>
        <v>https://jobright.ai/jobs/info/6992e03a81476f6176aa6ffd?utm_source=1100&amp;utm_campaign=Software Engineering</v>
      </c>
      <c r="M471" s="89" t="str">
        <f>IFERROR(__xludf.DUMMYFUNCTION("""COMPUTED_VALUE"""),"")</f>
        <v/>
      </c>
      <c r="N471" s="89">
        <f>IFERROR(__xludf.DUMMYFUNCTION("""COMPUTED_VALUE"""),6992.0)</f>
        <v>6992</v>
      </c>
      <c r="P471" s="52" t="str">
        <f t="shared" si="22"/>
        <v>0</v>
      </c>
      <c r="R471" s="52" t="str">
        <f t="shared" si="32"/>
        <v>Review</v>
      </c>
      <c r="Z471" s="81">
        <v>46068.0</v>
      </c>
      <c r="AA471" s="81" t="s">
        <v>3999</v>
      </c>
      <c r="AB471" s="81" t="s">
        <v>3998</v>
      </c>
      <c r="AC471" s="81">
        <f t="shared" si="5"/>
        <v>46062</v>
      </c>
      <c r="AD471" s="82">
        <f t="shared" si="6"/>
        <v>7</v>
      </c>
    </row>
    <row r="472">
      <c r="A472" s="104">
        <v>46068.0</v>
      </c>
      <c r="B472" s="89" t="s">
        <v>1811</v>
      </c>
      <c r="C472" s="89" t="s">
        <v>1812</v>
      </c>
      <c r="D472" s="89" t="s">
        <v>1813</v>
      </c>
      <c r="E472" s="89" t="s">
        <v>971</v>
      </c>
      <c r="F472" s="81">
        <f>IFERROR(__xludf.DUMMYFUNCTION("""COMPUTED_VALUE"""),46068.0)</f>
        <v>46068</v>
      </c>
      <c r="G472" s="89" t="s">
        <v>3996</v>
      </c>
      <c r="H472" s="89">
        <v>8.0</v>
      </c>
      <c r="I472" s="89" t="s">
        <v>3962</v>
      </c>
      <c r="J472" s="89" t="str">
        <f t="shared" si="18"/>
        <v>No</v>
      </c>
      <c r="K472" s="89" t="str">
        <f t="shared" si="23"/>
        <v>No</v>
      </c>
      <c r="L472" s="89" t="str">
        <f>IFERROR(__xludf.DUMMYFUNCTION("""COMPUTED_VALUE"""),"https://jobright.ai/jobs/info/689542a18c6d6b4426778662?utm_source=1100&amp;utm_campaign=Software Engineering")</f>
        <v>https://jobright.ai/jobs/info/689542a18c6d6b4426778662?utm_source=1100&amp;utm_campaign=Software Engineering</v>
      </c>
      <c r="M472" s="89" t="str">
        <f>IFERROR(__xludf.DUMMYFUNCTION("""COMPUTED_VALUE"""),"")</f>
        <v/>
      </c>
      <c r="N472" s="89">
        <f>IFERROR(__xludf.DUMMYFUNCTION("""COMPUTED_VALUE"""),689542.0)</f>
        <v>689542</v>
      </c>
      <c r="P472" s="52" t="str">
        <f t="shared" si="22"/>
        <v>0</v>
      </c>
      <c r="R472" s="52" t="str">
        <f t="shared" si="32"/>
        <v>Review</v>
      </c>
      <c r="Z472" s="81">
        <v>46068.0</v>
      </c>
      <c r="AA472" s="81" t="s">
        <v>3999</v>
      </c>
      <c r="AB472" s="81" t="s">
        <v>3998</v>
      </c>
      <c r="AC472" s="81">
        <f t="shared" si="5"/>
        <v>46062</v>
      </c>
      <c r="AD472" s="82">
        <f t="shared" si="6"/>
        <v>7</v>
      </c>
    </row>
    <row r="473">
      <c r="A473" s="104">
        <v>46068.0</v>
      </c>
      <c r="B473" s="89" t="s">
        <v>1818</v>
      </c>
      <c r="C473" s="89" t="s">
        <v>1819</v>
      </c>
      <c r="D473" s="89" t="s">
        <v>1820</v>
      </c>
      <c r="E473" s="89" t="s">
        <v>971</v>
      </c>
      <c r="F473" s="81">
        <f>IFERROR(__xludf.DUMMYFUNCTION("""COMPUTED_VALUE"""),46068.0)</f>
        <v>46068</v>
      </c>
      <c r="G473" s="89" t="s">
        <v>3996</v>
      </c>
      <c r="H473" s="89">
        <v>8.0</v>
      </c>
      <c r="I473" s="89" t="s">
        <v>3962</v>
      </c>
      <c r="J473" s="89" t="str">
        <f t="shared" si="18"/>
        <v>No</v>
      </c>
      <c r="K473" s="89" t="str">
        <f t="shared" si="23"/>
        <v>No</v>
      </c>
      <c r="L473" s="89" t="str">
        <f>IFERROR(__xludf.DUMMYFUNCTION("""COMPUTED_VALUE"""),"https://jobright.ai/jobs/info/6992a57e81476f6176aa1e31?utm_source=1100&amp;utm_campaign=Software Engineering")</f>
        <v>https://jobright.ai/jobs/info/6992a57e81476f6176aa1e31?utm_source=1100&amp;utm_campaign=Software Engineering</v>
      </c>
      <c r="M473" s="89" t="str">
        <f>IFERROR(__xludf.DUMMYFUNCTION("""COMPUTED_VALUE"""),"")</f>
        <v/>
      </c>
      <c r="N473" s="89">
        <f>IFERROR(__xludf.DUMMYFUNCTION("""COMPUTED_VALUE"""),6992.0)</f>
        <v>6992</v>
      </c>
      <c r="P473" s="52" t="str">
        <f t="shared" si="22"/>
        <v>0</v>
      </c>
      <c r="R473" s="52" t="str">
        <f t="shared" si="32"/>
        <v>Review</v>
      </c>
      <c r="Z473" s="81">
        <v>46068.0</v>
      </c>
      <c r="AA473" s="81" t="s">
        <v>3999</v>
      </c>
      <c r="AB473" s="81" t="s">
        <v>3998</v>
      </c>
      <c r="AC473" s="81">
        <f t="shared" si="5"/>
        <v>46062</v>
      </c>
      <c r="AD473" s="82">
        <f t="shared" si="6"/>
        <v>7</v>
      </c>
    </row>
    <row r="474">
      <c r="A474" s="104">
        <v>46068.0</v>
      </c>
      <c r="B474" s="89" t="s">
        <v>831</v>
      </c>
      <c r="C474" s="89" t="s">
        <v>802</v>
      </c>
      <c r="D474" s="89" t="s">
        <v>1823</v>
      </c>
      <c r="E474" s="89" t="s">
        <v>971</v>
      </c>
      <c r="F474" s="81">
        <f>IFERROR(__xludf.DUMMYFUNCTION("""COMPUTED_VALUE"""),46068.0)</f>
        <v>46068</v>
      </c>
      <c r="G474" s="89" t="s">
        <v>3996</v>
      </c>
      <c r="H474" s="89">
        <v>8.0</v>
      </c>
      <c r="I474" s="89" t="s">
        <v>3962</v>
      </c>
      <c r="J474" s="89" t="str">
        <f t="shared" si="18"/>
        <v>No</v>
      </c>
      <c r="K474" s="89" t="str">
        <f t="shared" si="23"/>
        <v>No</v>
      </c>
      <c r="L474" s="89" t="str">
        <f>IFERROR(__xludf.DUMMYFUNCTION("""COMPUTED_VALUE"""),"https://jobright.ai/jobs/info/6904027cff462851feff1c71?utm_source=1100&amp;utm_campaign=Software Engineering")</f>
        <v>https://jobright.ai/jobs/info/6904027cff462851feff1c71?utm_source=1100&amp;utm_campaign=Software Engineering</v>
      </c>
      <c r="M474" s="89" t="str">
        <f>IFERROR(__xludf.DUMMYFUNCTION("""COMPUTED_VALUE"""),"")</f>
        <v/>
      </c>
      <c r="N474" s="89">
        <f>IFERROR(__xludf.DUMMYFUNCTION("""COMPUTED_VALUE"""),6904027.0)</f>
        <v>6904027</v>
      </c>
      <c r="P474" s="52" t="str">
        <f t="shared" si="22"/>
        <v>0</v>
      </c>
      <c r="R474" s="52" t="str">
        <f t="shared" si="32"/>
        <v>Review</v>
      </c>
      <c r="Z474" s="81">
        <v>46068.0</v>
      </c>
      <c r="AA474" s="81" t="s">
        <v>3999</v>
      </c>
      <c r="AB474" s="81" t="s">
        <v>3998</v>
      </c>
      <c r="AC474" s="81">
        <f t="shared" si="5"/>
        <v>46062</v>
      </c>
      <c r="AD474" s="82">
        <f t="shared" si="6"/>
        <v>7</v>
      </c>
    </row>
    <row r="475">
      <c r="A475" s="104">
        <v>46068.0</v>
      </c>
      <c r="B475" s="89" t="s">
        <v>1827</v>
      </c>
      <c r="C475" s="89" t="s">
        <v>1828</v>
      </c>
      <c r="D475" s="89" t="s">
        <v>1829</v>
      </c>
      <c r="E475" s="89" t="s">
        <v>971</v>
      </c>
      <c r="F475" s="81">
        <f>IFERROR(__xludf.DUMMYFUNCTION("""COMPUTED_VALUE"""),46068.0)</f>
        <v>46068</v>
      </c>
      <c r="G475" s="89" t="s">
        <v>3996</v>
      </c>
      <c r="H475" s="89">
        <v>8.0</v>
      </c>
      <c r="I475" s="89" t="s">
        <v>3962</v>
      </c>
      <c r="J475" s="89" t="str">
        <f t="shared" si="18"/>
        <v>No</v>
      </c>
      <c r="K475" s="89" t="str">
        <f t="shared" si="23"/>
        <v>No</v>
      </c>
      <c r="L475" s="89" t="str">
        <f>IFERROR(__xludf.DUMMYFUNCTION("""COMPUTED_VALUE"""),"https://jobright.ai/jobs/info/69925d686ea51a7610f47c07?utm_source=1100&amp;utm_campaign=Software Engineering")</f>
        <v>https://jobright.ai/jobs/info/69925d686ea51a7610f47c07?utm_source=1100&amp;utm_campaign=Software Engineering</v>
      </c>
      <c r="M475" s="89" t="str">
        <f>IFERROR(__xludf.DUMMYFUNCTION("""COMPUTED_VALUE"""),"")</f>
        <v/>
      </c>
      <c r="N475" s="89">
        <f>IFERROR(__xludf.DUMMYFUNCTION("""COMPUTED_VALUE"""),69925.0)</f>
        <v>69925</v>
      </c>
      <c r="P475" s="52" t="str">
        <f t="shared" si="22"/>
        <v>0</v>
      </c>
      <c r="R475" s="52" t="str">
        <f t="shared" si="32"/>
        <v>Review</v>
      </c>
      <c r="Z475" s="81">
        <v>46068.0</v>
      </c>
      <c r="AA475" s="81" t="s">
        <v>3999</v>
      </c>
      <c r="AB475" s="81" t="s">
        <v>3998</v>
      </c>
      <c r="AC475" s="81">
        <f t="shared" si="5"/>
        <v>46062</v>
      </c>
      <c r="AD475" s="82">
        <f t="shared" si="6"/>
        <v>7</v>
      </c>
    </row>
    <row r="476">
      <c r="A476" s="104">
        <v>46067.0</v>
      </c>
      <c r="B476" s="89" t="s">
        <v>1834</v>
      </c>
      <c r="C476" s="89" t="s">
        <v>1835</v>
      </c>
      <c r="D476" s="89" t="s">
        <v>1836</v>
      </c>
      <c r="E476" s="89" t="s">
        <v>971</v>
      </c>
      <c r="F476" s="81">
        <f>IFERROR(__xludf.DUMMYFUNCTION("""COMPUTED_VALUE"""),46067.0)</f>
        <v>46067</v>
      </c>
      <c r="G476" s="89" t="s">
        <v>3996</v>
      </c>
      <c r="H476" s="89">
        <v>7.0</v>
      </c>
      <c r="I476" s="89" t="s">
        <v>3960</v>
      </c>
      <c r="J476" s="89" t="str">
        <f t="shared" si="18"/>
        <v>No</v>
      </c>
      <c r="K476" s="89" t="str">
        <f t="shared" si="23"/>
        <v>No</v>
      </c>
      <c r="L476" s="89" t="str">
        <f>IFERROR(__xludf.DUMMYFUNCTION("""COMPUTED_VALUE"""),"https://jobright.ai/jobs/info/697404a2206da320f49e1506?utm_source=1100&amp;utm_campaign=Software Engineering")</f>
        <v>https://jobright.ai/jobs/info/697404a2206da320f49e1506?utm_source=1100&amp;utm_campaign=Software Engineering</v>
      </c>
      <c r="M476" s="89" t="str">
        <f>IFERROR(__xludf.DUMMYFUNCTION("""COMPUTED_VALUE"""),"")</f>
        <v/>
      </c>
      <c r="N476" s="89">
        <f>IFERROR(__xludf.DUMMYFUNCTION("""COMPUTED_VALUE"""),697404.0)</f>
        <v>697404</v>
      </c>
      <c r="P476" s="52" t="str">
        <f t="shared" si="22"/>
        <v>0</v>
      </c>
      <c r="R476" s="52" t="str">
        <f t="shared" si="32"/>
        <v>Review</v>
      </c>
      <c r="Z476" s="81">
        <v>46067.0</v>
      </c>
      <c r="AA476" s="81" t="s">
        <v>3999</v>
      </c>
      <c r="AB476" s="81" t="s">
        <v>3998</v>
      </c>
      <c r="AC476" s="81">
        <f t="shared" si="5"/>
        <v>46062</v>
      </c>
      <c r="AD476" s="82">
        <f t="shared" si="6"/>
        <v>6</v>
      </c>
    </row>
    <row r="477">
      <c r="A477" s="104">
        <v>46067.0</v>
      </c>
      <c r="B477" s="89" t="s">
        <v>1839</v>
      </c>
      <c r="C477" s="89" t="s">
        <v>1840</v>
      </c>
      <c r="D477" s="89" t="s">
        <v>1841</v>
      </c>
      <c r="E477" s="89" t="s">
        <v>971</v>
      </c>
      <c r="F477" s="81">
        <f>IFERROR(__xludf.DUMMYFUNCTION("""COMPUTED_VALUE"""),46067.0)</f>
        <v>46067</v>
      </c>
      <c r="G477" s="89" t="s">
        <v>3996</v>
      </c>
      <c r="H477" s="89">
        <v>7.0</v>
      </c>
      <c r="I477" s="89" t="s">
        <v>3960</v>
      </c>
      <c r="J477" s="89" t="str">
        <f t="shared" si="18"/>
        <v>No</v>
      </c>
      <c r="K477" s="89" t="str">
        <f t="shared" si="23"/>
        <v>No</v>
      </c>
      <c r="L477" s="89" t="str">
        <f>IFERROR(__xludf.DUMMYFUNCTION("""COMPUTED_VALUE"""),"https://jobright.ai/jobs/info/693cb18750bbaf76504ff04a?utm_source=1100&amp;utm_campaign=Software Engineering")</f>
        <v>https://jobright.ai/jobs/info/693cb18750bbaf76504ff04a?utm_source=1100&amp;utm_campaign=Software Engineering</v>
      </c>
      <c r="M477" s="89" t="str">
        <f>IFERROR(__xludf.DUMMYFUNCTION("""COMPUTED_VALUE"""),"")</f>
        <v/>
      </c>
      <c r="N477" s="89">
        <f>IFERROR(__xludf.DUMMYFUNCTION("""COMPUTED_VALUE"""),693.0)</f>
        <v>693</v>
      </c>
      <c r="P477" s="52" t="str">
        <f t="shared" si="22"/>
        <v>0</v>
      </c>
      <c r="R477" s="52" t="str">
        <f t="shared" si="32"/>
        <v>Review</v>
      </c>
      <c r="Z477" s="81">
        <v>46067.0</v>
      </c>
      <c r="AA477" s="81" t="s">
        <v>3999</v>
      </c>
      <c r="AB477" s="81" t="s">
        <v>3998</v>
      </c>
      <c r="AC477" s="81">
        <f t="shared" si="5"/>
        <v>46062</v>
      </c>
      <c r="AD477" s="82">
        <f t="shared" si="6"/>
        <v>6</v>
      </c>
    </row>
    <row r="478">
      <c r="A478" s="104">
        <v>46067.0</v>
      </c>
      <c r="B478" s="89" t="s">
        <v>1846</v>
      </c>
      <c r="C478" s="89" t="s">
        <v>1847</v>
      </c>
      <c r="D478" s="89" t="s">
        <v>1848</v>
      </c>
      <c r="E478" s="89" t="s">
        <v>969</v>
      </c>
      <c r="F478" s="81">
        <f>IFERROR(__xludf.DUMMYFUNCTION("""COMPUTED_VALUE"""),46067.0)</f>
        <v>46067</v>
      </c>
      <c r="G478" s="89" t="s">
        <v>3996</v>
      </c>
      <c r="H478" s="89">
        <v>7.0</v>
      </c>
      <c r="I478" s="89" t="s">
        <v>3960</v>
      </c>
      <c r="J478" s="89" t="str">
        <f t="shared" si="18"/>
        <v>No</v>
      </c>
      <c r="K478" s="89" t="str">
        <f t="shared" si="23"/>
        <v>No</v>
      </c>
      <c r="L478" s="89" t="str">
        <f>IFERROR(__xludf.DUMMYFUNCTION("""COMPUTED_VALUE"""),"https://jobright.ai/jobs/info/6992cedace78e77b4fd69cee?utm_source=1100&amp;utm_campaign=Software Engineering")</f>
        <v>https://jobright.ai/jobs/info/6992cedace78e77b4fd69cee?utm_source=1100&amp;utm_campaign=Software Engineering</v>
      </c>
      <c r="M478" s="89" t="str">
        <f>IFERROR(__xludf.DUMMYFUNCTION("""COMPUTED_VALUE"""),"")</f>
        <v/>
      </c>
      <c r="N478" s="89">
        <f>IFERROR(__xludf.DUMMYFUNCTION("""COMPUTED_VALUE"""),6992.0)</f>
        <v>6992</v>
      </c>
      <c r="P478" s="52" t="str">
        <f t="shared" si="22"/>
        <v>0</v>
      </c>
      <c r="R478" s="52" t="str">
        <f t="shared" si="32"/>
        <v>Review</v>
      </c>
      <c r="Z478" s="81">
        <v>46067.0</v>
      </c>
      <c r="AA478" s="81" t="s">
        <v>3999</v>
      </c>
      <c r="AB478" s="81" t="s">
        <v>3998</v>
      </c>
      <c r="AC478" s="81">
        <f t="shared" si="5"/>
        <v>46062</v>
      </c>
      <c r="AD478" s="82">
        <f t="shared" si="6"/>
        <v>6</v>
      </c>
    </row>
    <row r="479">
      <c r="A479" s="104">
        <v>46067.0</v>
      </c>
      <c r="B479" s="89" t="s">
        <v>1852</v>
      </c>
      <c r="C479" s="89" t="s">
        <v>1853</v>
      </c>
      <c r="D479" s="89" t="s">
        <v>1854</v>
      </c>
      <c r="E479" s="89" t="s">
        <v>969</v>
      </c>
      <c r="F479" s="81">
        <f>IFERROR(__xludf.DUMMYFUNCTION("""COMPUTED_VALUE"""),46067.0)</f>
        <v>46067</v>
      </c>
      <c r="G479" s="89" t="s">
        <v>3996</v>
      </c>
      <c r="H479" s="89">
        <v>7.0</v>
      </c>
      <c r="I479" s="89" t="s">
        <v>3960</v>
      </c>
      <c r="J479" s="89" t="str">
        <f t="shared" si="18"/>
        <v>No</v>
      </c>
      <c r="K479" s="89" t="str">
        <f t="shared" si="23"/>
        <v>No</v>
      </c>
      <c r="L479" s="89" t="str">
        <f>IFERROR(__xludf.DUMMYFUNCTION("""COMPUTED_VALUE"""),"https://jobright.ai/jobs/info/6973effa37785856350dc137?utm_source=1100&amp;utm_campaign=Software Engineering")</f>
        <v>https://jobright.ai/jobs/info/6973effa37785856350dc137?utm_source=1100&amp;utm_campaign=Software Engineering</v>
      </c>
      <c r="M479" s="89" t="str">
        <f>IFERROR(__xludf.DUMMYFUNCTION("""COMPUTED_VALUE"""),"")</f>
        <v/>
      </c>
      <c r="N479" s="89">
        <f>IFERROR(__xludf.DUMMYFUNCTION("""COMPUTED_VALUE"""),6973.0)</f>
        <v>6973</v>
      </c>
      <c r="P479" s="52" t="str">
        <f t="shared" si="22"/>
        <v>0</v>
      </c>
      <c r="R479" s="52" t="str">
        <f t="shared" si="32"/>
        <v>Review</v>
      </c>
      <c r="Z479" s="81">
        <v>46067.0</v>
      </c>
      <c r="AA479" s="81" t="s">
        <v>3999</v>
      </c>
      <c r="AB479" s="81" t="s">
        <v>3998</v>
      </c>
      <c r="AC479" s="81">
        <f t="shared" si="5"/>
        <v>46062</v>
      </c>
      <c r="AD479" s="82">
        <f t="shared" si="6"/>
        <v>6</v>
      </c>
    </row>
    <row r="480">
      <c r="A480" s="104">
        <v>46066.0</v>
      </c>
      <c r="B480" s="89" t="s">
        <v>1858</v>
      </c>
      <c r="C480" s="89" t="s">
        <v>1859</v>
      </c>
      <c r="D480" s="89" t="s">
        <v>1860</v>
      </c>
      <c r="E480" s="89" t="s">
        <v>971</v>
      </c>
      <c r="F480" s="81">
        <f>IFERROR(__xludf.DUMMYFUNCTION("""COMPUTED_VALUE"""),46066.0)</f>
        <v>46066</v>
      </c>
      <c r="G480" s="89" t="s">
        <v>3996</v>
      </c>
      <c r="H480" s="89">
        <v>7.0</v>
      </c>
      <c r="I480" s="89" t="s">
        <v>3954</v>
      </c>
      <c r="J480" s="89" t="str">
        <f t="shared" si="18"/>
        <v>No</v>
      </c>
      <c r="K480" s="89" t="str">
        <f t="shared" si="23"/>
        <v>No</v>
      </c>
      <c r="L480" s="89" t="str">
        <f>IFERROR(__xludf.DUMMYFUNCTION("""COMPUTED_VALUE"""),"https://jobright.ai/jobs/info/698fab850cc8ea15f1da4668?utm_source=1100&amp;utm_campaign=Software Engineering")</f>
        <v>https://jobright.ai/jobs/info/698fab850cc8ea15f1da4668?utm_source=1100&amp;utm_campaign=Software Engineering</v>
      </c>
      <c r="M480" s="89" t="str">
        <f>IFERROR(__xludf.DUMMYFUNCTION("""COMPUTED_VALUE"""),"")</f>
        <v/>
      </c>
      <c r="N480" s="89">
        <f>IFERROR(__xludf.DUMMYFUNCTION("""COMPUTED_VALUE"""),698.0)</f>
        <v>698</v>
      </c>
      <c r="P480" s="52" t="str">
        <f t="shared" si="22"/>
        <v>0</v>
      </c>
      <c r="R480" s="52" t="str">
        <f t="shared" si="32"/>
        <v>Review</v>
      </c>
      <c r="Z480" s="81">
        <v>46066.0</v>
      </c>
      <c r="AA480" s="81" t="s">
        <v>3999</v>
      </c>
      <c r="AB480" s="81" t="s">
        <v>3998</v>
      </c>
      <c r="AC480" s="81">
        <f t="shared" si="5"/>
        <v>46062</v>
      </c>
      <c r="AD480" s="82">
        <f t="shared" si="6"/>
        <v>5</v>
      </c>
    </row>
    <row r="481">
      <c r="A481" s="104">
        <v>46067.0</v>
      </c>
      <c r="B481" s="89" t="s">
        <v>1863</v>
      </c>
      <c r="C481" s="89" t="s">
        <v>1864</v>
      </c>
      <c r="D481" s="89" t="s">
        <v>1865</v>
      </c>
      <c r="E481" s="89" t="s">
        <v>971</v>
      </c>
      <c r="F481" s="81">
        <f>IFERROR(__xludf.DUMMYFUNCTION("""COMPUTED_VALUE"""),46067.0)</f>
        <v>46067</v>
      </c>
      <c r="G481" s="89" t="s">
        <v>3996</v>
      </c>
      <c r="H481" s="89">
        <v>7.0</v>
      </c>
      <c r="I481" s="89" t="s">
        <v>3960</v>
      </c>
      <c r="J481" s="89" t="str">
        <f t="shared" si="18"/>
        <v>No</v>
      </c>
      <c r="K481" s="89" t="str">
        <f t="shared" si="23"/>
        <v>No</v>
      </c>
      <c r="L481" s="89" t="str">
        <f>IFERROR(__xludf.DUMMYFUNCTION("""COMPUTED_VALUE"""),"https://jobright.ai/jobs/info/6990b03b6ea51a7610f33686?utm_source=1100&amp;utm_campaign=Software Engineering")</f>
        <v>https://jobright.ai/jobs/info/6990b03b6ea51a7610f33686?utm_source=1100&amp;utm_campaign=Software Engineering</v>
      </c>
      <c r="M481" s="89" t="str">
        <f>IFERROR(__xludf.DUMMYFUNCTION("""COMPUTED_VALUE"""),"")</f>
        <v/>
      </c>
      <c r="N481" s="89">
        <f>IFERROR(__xludf.DUMMYFUNCTION("""COMPUTED_VALUE"""),6990.0)</f>
        <v>6990</v>
      </c>
      <c r="P481" s="52" t="str">
        <f t="shared" si="22"/>
        <v>0</v>
      </c>
      <c r="R481" s="52" t="str">
        <f t="shared" si="32"/>
        <v>Review</v>
      </c>
      <c r="Z481" s="81">
        <v>46067.0</v>
      </c>
      <c r="AA481" s="81" t="s">
        <v>3999</v>
      </c>
      <c r="AB481" s="81" t="s">
        <v>3998</v>
      </c>
      <c r="AC481" s="81">
        <f t="shared" si="5"/>
        <v>46062</v>
      </c>
      <c r="AD481" s="82">
        <f t="shared" si="6"/>
        <v>6</v>
      </c>
    </row>
    <row r="482">
      <c r="A482" s="104">
        <v>46067.0</v>
      </c>
      <c r="B482" s="89" t="s">
        <v>1869</v>
      </c>
      <c r="C482" s="89" t="s">
        <v>926</v>
      </c>
      <c r="D482" s="89" t="s">
        <v>1870</v>
      </c>
      <c r="E482" s="89" t="s">
        <v>971</v>
      </c>
      <c r="F482" s="81">
        <f>IFERROR(__xludf.DUMMYFUNCTION("""COMPUTED_VALUE"""),46067.0)</f>
        <v>46067</v>
      </c>
      <c r="G482" s="89" t="s">
        <v>3996</v>
      </c>
      <c r="H482" s="89">
        <v>7.0</v>
      </c>
      <c r="I482" s="89" t="s">
        <v>3960</v>
      </c>
      <c r="J482" s="89" t="str">
        <f t="shared" si="18"/>
        <v>No</v>
      </c>
      <c r="K482" s="89" t="str">
        <f t="shared" si="23"/>
        <v>No</v>
      </c>
      <c r="L482" s="89" t="str">
        <f>IFERROR(__xludf.DUMMYFUNCTION("""COMPUTED_VALUE"""),"https://jobright.ai/jobs/info/699131730f6f7e7a2ced770b?utm_source=1100&amp;utm_campaign=Software Engineering")</f>
        <v>https://jobright.ai/jobs/info/699131730f6f7e7a2ced770b?utm_source=1100&amp;utm_campaign=Software Engineering</v>
      </c>
      <c r="M482" s="89" t="str">
        <f>IFERROR(__xludf.DUMMYFUNCTION("""COMPUTED_VALUE"""),"")</f>
        <v/>
      </c>
      <c r="N482" s="89">
        <f>IFERROR(__xludf.DUMMYFUNCTION("""COMPUTED_VALUE"""),6.9913173E8)</f>
        <v>699131730</v>
      </c>
      <c r="P482" s="52" t="str">
        <f t="shared" si="22"/>
        <v>0</v>
      </c>
      <c r="R482" s="52" t="str">
        <f t="shared" si="32"/>
        <v>Review</v>
      </c>
      <c r="Z482" s="81">
        <v>46067.0</v>
      </c>
      <c r="AA482" s="81" t="s">
        <v>3999</v>
      </c>
      <c r="AB482" s="81" t="s">
        <v>3998</v>
      </c>
      <c r="AC482" s="81">
        <f t="shared" si="5"/>
        <v>46062</v>
      </c>
      <c r="AD482" s="82">
        <f t="shared" si="6"/>
        <v>6</v>
      </c>
    </row>
    <row r="483">
      <c r="A483" s="104">
        <v>46067.0</v>
      </c>
      <c r="B483" s="89" t="s">
        <v>1874</v>
      </c>
      <c r="C483" s="89" t="s">
        <v>1875</v>
      </c>
      <c r="D483" s="89" t="s">
        <v>1876</v>
      </c>
      <c r="E483" s="89" t="s">
        <v>971</v>
      </c>
      <c r="F483" s="81">
        <f>IFERROR(__xludf.DUMMYFUNCTION("""COMPUTED_VALUE"""),46067.0)</f>
        <v>46067</v>
      </c>
      <c r="G483" s="89" t="s">
        <v>3996</v>
      </c>
      <c r="H483" s="89">
        <v>7.0</v>
      </c>
      <c r="I483" s="89" t="s">
        <v>3960</v>
      </c>
      <c r="J483" s="89" t="str">
        <f t="shared" si="18"/>
        <v>No</v>
      </c>
      <c r="K483" s="89" t="str">
        <f t="shared" si="23"/>
        <v>No</v>
      </c>
      <c r="L483" s="89" t="str">
        <f>IFERROR(__xludf.DUMMYFUNCTION("""COMPUTED_VALUE"""),"https://jobright.ai/jobs/info/697441eebc8e722e7b193af0?utm_source=1100&amp;utm_campaign=Software Engineering")</f>
        <v>https://jobright.ai/jobs/info/697441eebc8e722e7b193af0?utm_source=1100&amp;utm_campaign=Software Engineering</v>
      </c>
      <c r="M483" s="89" t="str">
        <f>IFERROR(__xludf.DUMMYFUNCTION("""COMPUTED_VALUE"""),"")</f>
        <v/>
      </c>
      <c r="N483" s="89">
        <f>IFERROR(__xludf.DUMMYFUNCTION("""COMPUTED_VALUE"""),697441.0)</f>
        <v>697441</v>
      </c>
      <c r="P483" s="52" t="str">
        <f t="shared" si="22"/>
        <v>0</v>
      </c>
      <c r="R483" s="52" t="str">
        <f t="shared" si="32"/>
        <v>Review</v>
      </c>
      <c r="Z483" s="81">
        <v>46067.0</v>
      </c>
      <c r="AA483" s="81" t="s">
        <v>3999</v>
      </c>
      <c r="AB483" s="81" t="s">
        <v>3998</v>
      </c>
      <c r="AC483" s="81">
        <f t="shared" si="5"/>
        <v>46062</v>
      </c>
      <c r="AD483" s="82">
        <f t="shared" si="6"/>
        <v>6</v>
      </c>
    </row>
    <row r="484">
      <c r="A484" s="104">
        <v>46067.0</v>
      </c>
      <c r="B484" s="89" t="s">
        <v>1880</v>
      </c>
      <c r="C484" s="89" t="s">
        <v>1458</v>
      </c>
      <c r="D484" s="89" t="s">
        <v>1881</v>
      </c>
      <c r="E484" s="89" t="s">
        <v>971</v>
      </c>
      <c r="F484" s="81">
        <f>IFERROR(__xludf.DUMMYFUNCTION("""COMPUTED_VALUE"""),46067.0)</f>
        <v>46067</v>
      </c>
      <c r="G484" s="89" t="s">
        <v>3996</v>
      </c>
      <c r="H484" s="89">
        <v>7.0</v>
      </c>
      <c r="I484" s="89" t="s">
        <v>3960</v>
      </c>
      <c r="J484" s="89" t="str">
        <f t="shared" si="18"/>
        <v>No</v>
      </c>
      <c r="K484" s="89" t="str">
        <f t="shared" si="23"/>
        <v>No</v>
      </c>
      <c r="L484" s="89" t="str">
        <f>IFERROR(__xludf.DUMMYFUNCTION("""COMPUTED_VALUE"""),"https://jobright.ai/jobs/info/69827024348f733a5c3549fd?utm_source=1100&amp;utm_campaign=Software Engineering")</f>
        <v>https://jobright.ai/jobs/info/69827024348f733a5c3549fd?utm_source=1100&amp;utm_campaign=Software Engineering</v>
      </c>
      <c r="M484" s="89" t="str">
        <f>IFERROR(__xludf.DUMMYFUNCTION("""COMPUTED_VALUE"""),"")</f>
        <v/>
      </c>
      <c r="N484" s="89">
        <f>IFERROR(__xludf.DUMMYFUNCTION("""COMPUTED_VALUE"""),6.9827024348E10)</f>
        <v>69827024348</v>
      </c>
      <c r="P484" s="52" t="str">
        <f t="shared" si="22"/>
        <v>0</v>
      </c>
      <c r="R484" s="52" t="str">
        <f t="shared" si="32"/>
        <v>Review</v>
      </c>
      <c r="Z484" s="81">
        <v>46067.0</v>
      </c>
      <c r="AA484" s="81" t="s">
        <v>3999</v>
      </c>
      <c r="AB484" s="81" t="s">
        <v>3998</v>
      </c>
      <c r="AC484" s="81">
        <f t="shared" si="5"/>
        <v>46062</v>
      </c>
      <c r="AD484" s="82">
        <f t="shared" si="6"/>
        <v>6</v>
      </c>
    </row>
    <row r="485">
      <c r="A485" s="104">
        <v>46066.0</v>
      </c>
      <c r="B485" s="89" t="s">
        <v>1885</v>
      </c>
      <c r="C485" s="89" t="s">
        <v>1886</v>
      </c>
      <c r="D485" s="89" t="s">
        <v>1887</v>
      </c>
      <c r="E485" s="89" t="s">
        <v>971</v>
      </c>
      <c r="F485" s="81">
        <f>IFERROR(__xludf.DUMMYFUNCTION("""COMPUTED_VALUE"""),46066.0)</f>
        <v>46066</v>
      </c>
      <c r="G485" s="89" t="s">
        <v>3996</v>
      </c>
      <c r="H485" s="89">
        <v>7.0</v>
      </c>
      <c r="I485" s="89" t="s">
        <v>3954</v>
      </c>
      <c r="J485" s="89" t="str">
        <f t="shared" si="18"/>
        <v>No</v>
      </c>
      <c r="K485" s="89" t="str">
        <f t="shared" si="23"/>
        <v>No</v>
      </c>
      <c r="L485" s="89" t="str">
        <f>IFERROR(__xludf.DUMMYFUNCTION("""COMPUTED_VALUE"""),"https://jobright.ai/jobs/info/698f62810cc8ea15f1d9e653?utm_source=1100&amp;utm_campaign=Software Engineering")</f>
        <v>https://jobright.ai/jobs/info/698f62810cc8ea15f1d9e653?utm_source=1100&amp;utm_campaign=Software Engineering</v>
      </c>
      <c r="M485" s="89" t="str">
        <f>IFERROR(__xludf.DUMMYFUNCTION("""COMPUTED_VALUE"""),"")</f>
        <v/>
      </c>
      <c r="N485" s="89">
        <f>IFERROR(__xludf.DUMMYFUNCTION("""COMPUTED_VALUE"""),698.0)</f>
        <v>698</v>
      </c>
      <c r="P485" s="52" t="str">
        <f t="shared" si="22"/>
        <v>0</v>
      </c>
      <c r="R485" s="52" t="str">
        <f t="shared" si="32"/>
        <v>Review</v>
      </c>
      <c r="Z485" s="81">
        <v>46066.0</v>
      </c>
      <c r="AA485" s="81" t="s">
        <v>3999</v>
      </c>
      <c r="AB485" s="81" t="s">
        <v>3998</v>
      </c>
      <c r="AC485" s="81">
        <f t="shared" si="5"/>
        <v>46062</v>
      </c>
      <c r="AD485" s="82">
        <f t="shared" si="6"/>
        <v>5</v>
      </c>
    </row>
    <row r="486">
      <c r="A486" s="104">
        <v>46066.0</v>
      </c>
      <c r="B486" s="89" t="s">
        <v>381</v>
      </c>
      <c r="C486" s="89" t="s">
        <v>1891</v>
      </c>
      <c r="D486" s="89" t="s">
        <v>1892</v>
      </c>
      <c r="E486" s="89" t="s">
        <v>969</v>
      </c>
      <c r="F486" s="81">
        <f>IFERROR(__xludf.DUMMYFUNCTION("""COMPUTED_VALUE"""),46066.0)</f>
        <v>46066</v>
      </c>
      <c r="G486" s="89" t="s">
        <v>3996</v>
      </c>
      <c r="H486" s="89">
        <v>7.0</v>
      </c>
      <c r="I486" s="89" t="s">
        <v>3954</v>
      </c>
      <c r="J486" s="89" t="str">
        <f t="shared" si="18"/>
        <v>No</v>
      </c>
      <c r="K486" s="89" t="str">
        <f t="shared" si="23"/>
        <v>No</v>
      </c>
      <c r="L486" s="89" t="str">
        <f>IFERROR(__xludf.DUMMYFUNCTION("""COMPUTED_VALUE"""),"https://jobright.ai/jobs/info/695782d4aa05c26e7ab1807f?utm_source=1100&amp;utm_campaign=Software Engineering")</f>
        <v>https://jobright.ai/jobs/info/695782d4aa05c26e7ab1807f?utm_source=1100&amp;utm_campaign=Software Engineering</v>
      </c>
      <c r="M486" s="89" t="str">
        <f>IFERROR(__xludf.DUMMYFUNCTION("""COMPUTED_VALUE"""),"")</f>
        <v/>
      </c>
      <c r="N486" s="89">
        <f>IFERROR(__xludf.DUMMYFUNCTION("""COMPUTED_VALUE"""),695782.0)</f>
        <v>695782</v>
      </c>
      <c r="P486" s="52" t="str">
        <f t="shared" si="22"/>
        <v>0</v>
      </c>
      <c r="R486" s="52" t="str">
        <f t="shared" si="32"/>
        <v>Review</v>
      </c>
      <c r="Z486" s="81">
        <v>46066.0</v>
      </c>
      <c r="AA486" s="81" t="s">
        <v>3999</v>
      </c>
      <c r="AB486" s="81" t="s">
        <v>3998</v>
      </c>
      <c r="AC486" s="81">
        <f t="shared" si="5"/>
        <v>46062</v>
      </c>
      <c r="AD486" s="82">
        <f t="shared" si="6"/>
        <v>5</v>
      </c>
    </row>
    <row r="487">
      <c r="A487" s="104">
        <v>46069.0</v>
      </c>
      <c r="B487" s="89" t="s">
        <v>1896</v>
      </c>
      <c r="C487" s="89" t="s">
        <v>1897</v>
      </c>
      <c r="D487" s="89" t="s">
        <v>1898</v>
      </c>
      <c r="E487" s="89" t="s">
        <v>971</v>
      </c>
      <c r="F487" s="81">
        <f>IFERROR(__xludf.DUMMYFUNCTION("""COMPUTED_VALUE"""),46069.0)</f>
        <v>46069</v>
      </c>
      <c r="G487" s="89" t="s">
        <v>3996</v>
      </c>
      <c r="H487" s="89">
        <v>8.0</v>
      </c>
      <c r="I487" s="89" t="s">
        <v>3964</v>
      </c>
      <c r="J487" s="89" t="str">
        <f t="shared" si="18"/>
        <v>No</v>
      </c>
      <c r="K487" s="89" t="str">
        <f t="shared" si="23"/>
        <v>No</v>
      </c>
      <c r="L487" s="89" t="str">
        <f>IFERROR(__xludf.DUMMYFUNCTION("""COMPUTED_VALUE"""),"https://jobright.ai/jobs/info/6993aae8e0bddb6acac1f227?utm_source=1100&amp;utm_campaign=Software Engineering")</f>
        <v>https://jobright.ai/jobs/info/6993aae8e0bddb6acac1f227?utm_source=1100&amp;utm_campaign=Software Engineering</v>
      </c>
      <c r="M487" s="89" t="str">
        <f>IFERROR(__xludf.DUMMYFUNCTION("""COMPUTED_VALUE"""),"")</f>
        <v/>
      </c>
      <c r="N487" s="89">
        <f>IFERROR(__xludf.DUMMYFUNCTION("""COMPUTED_VALUE"""),6993.0)</f>
        <v>6993</v>
      </c>
      <c r="P487" s="52" t="str">
        <f t="shared" si="22"/>
        <v>0</v>
      </c>
      <c r="R487" s="52" t="str">
        <f t="shared" si="32"/>
        <v>Review</v>
      </c>
      <c r="Z487" s="81">
        <v>46069.0</v>
      </c>
      <c r="AA487" s="81" t="s">
        <v>4000</v>
      </c>
      <c r="AB487" s="81" t="s">
        <v>3998</v>
      </c>
      <c r="AC487" s="81">
        <f t="shared" si="5"/>
        <v>46069</v>
      </c>
      <c r="AD487" s="82">
        <f t="shared" si="6"/>
        <v>1</v>
      </c>
    </row>
    <row r="488">
      <c r="A488" s="104">
        <v>46069.0</v>
      </c>
      <c r="B488" s="89" t="s">
        <v>1903</v>
      </c>
      <c r="C488" s="89" t="s">
        <v>1904</v>
      </c>
      <c r="D488" s="89" t="s">
        <v>1905</v>
      </c>
      <c r="E488" s="89" t="s">
        <v>971</v>
      </c>
      <c r="F488" s="81">
        <f>IFERROR(__xludf.DUMMYFUNCTION("""COMPUTED_VALUE"""),46069.0)</f>
        <v>46069</v>
      </c>
      <c r="G488" s="89" t="s">
        <v>3996</v>
      </c>
      <c r="H488" s="89">
        <v>8.0</v>
      </c>
      <c r="I488" s="89" t="s">
        <v>3964</v>
      </c>
      <c r="J488" s="89" t="str">
        <f t="shared" si="18"/>
        <v>No</v>
      </c>
      <c r="K488" s="89" t="str">
        <f t="shared" si="23"/>
        <v>No</v>
      </c>
      <c r="L488" s="89" t="str">
        <f>IFERROR(__xludf.DUMMYFUNCTION("""COMPUTED_VALUE"""),"https://jobright.ai/jobs/info/698289b20f6f7e7a2cdbcba1?utm_source=1100&amp;utm_campaign=Software Engineering")</f>
        <v>https://jobright.ai/jobs/info/698289b20f6f7e7a2cdbcba1?utm_source=1100&amp;utm_campaign=Software Engineering</v>
      </c>
      <c r="M488" s="89" t="str">
        <f>IFERROR(__xludf.DUMMYFUNCTION("""COMPUTED_VALUE"""),"")</f>
        <v/>
      </c>
      <c r="N488" s="89">
        <f>IFERROR(__xludf.DUMMYFUNCTION("""COMPUTED_VALUE"""),698289.0)</f>
        <v>698289</v>
      </c>
      <c r="P488" s="52" t="str">
        <f t="shared" si="22"/>
        <v>0</v>
      </c>
      <c r="R488" s="52" t="str">
        <f t="shared" si="32"/>
        <v>Review</v>
      </c>
      <c r="Z488" s="81">
        <v>46069.0</v>
      </c>
      <c r="AA488" s="81" t="s">
        <v>4000</v>
      </c>
      <c r="AB488" s="81" t="s">
        <v>3998</v>
      </c>
      <c r="AC488" s="81">
        <f t="shared" si="5"/>
        <v>46069</v>
      </c>
      <c r="AD488" s="82">
        <f t="shared" si="6"/>
        <v>1</v>
      </c>
    </row>
    <row r="489">
      <c r="A489" s="104">
        <v>46069.0</v>
      </c>
      <c r="B489" s="89" t="s">
        <v>1909</v>
      </c>
      <c r="C489" s="89" t="s">
        <v>1910</v>
      </c>
      <c r="D489" s="89" t="s">
        <v>1911</v>
      </c>
      <c r="E489" s="89" t="s">
        <v>971</v>
      </c>
      <c r="F489" s="81">
        <f>IFERROR(__xludf.DUMMYFUNCTION("""COMPUTED_VALUE"""),46069.0)</f>
        <v>46069</v>
      </c>
      <c r="G489" s="89" t="s">
        <v>3996</v>
      </c>
      <c r="H489" s="89">
        <v>8.0</v>
      </c>
      <c r="I489" s="89" t="s">
        <v>3964</v>
      </c>
      <c r="J489" s="89" t="str">
        <f t="shared" si="18"/>
        <v>No</v>
      </c>
      <c r="K489" s="89" t="str">
        <f t="shared" si="23"/>
        <v>No</v>
      </c>
      <c r="L489" s="89" t="str">
        <f>IFERROR(__xludf.DUMMYFUNCTION("""COMPUTED_VALUE"""),"https://jobright.ai/jobs/info/6993f025e0bddb6acac23b53?utm_source=1100&amp;utm_campaign=Software Engineering")</f>
        <v>https://jobright.ai/jobs/info/6993f025e0bddb6acac23b53?utm_source=1100&amp;utm_campaign=Software Engineering</v>
      </c>
      <c r="M489" s="89" t="str">
        <f>IFERROR(__xludf.DUMMYFUNCTION("""COMPUTED_VALUE"""),"")</f>
        <v/>
      </c>
      <c r="N489" s="89">
        <f>IFERROR(__xludf.DUMMYFUNCTION("""COMPUTED_VALUE"""),6993.0)</f>
        <v>6993</v>
      </c>
      <c r="P489" s="52" t="str">
        <f t="shared" si="22"/>
        <v>0</v>
      </c>
      <c r="R489" s="52" t="str">
        <f t="shared" si="32"/>
        <v>Review</v>
      </c>
      <c r="Z489" s="81">
        <v>46069.0</v>
      </c>
      <c r="AA489" s="81" t="s">
        <v>4000</v>
      </c>
      <c r="AB489" s="81" t="s">
        <v>3998</v>
      </c>
      <c r="AC489" s="81">
        <f t="shared" si="5"/>
        <v>46069</v>
      </c>
      <c r="AD489" s="82">
        <f t="shared" si="6"/>
        <v>1</v>
      </c>
    </row>
    <row r="490">
      <c r="A490" s="104">
        <v>46069.0</v>
      </c>
      <c r="B490" s="89" t="s">
        <v>88</v>
      </c>
      <c r="C490" s="89" t="s">
        <v>1914</v>
      </c>
      <c r="D490" s="89" t="s">
        <v>1915</v>
      </c>
      <c r="E490" s="89" t="s">
        <v>969</v>
      </c>
      <c r="F490" s="81">
        <f>IFERROR(__xludf.DUMMYFUNCTION("""COMPUTED_VALUE"""),46069.0)</f>
        <v>46069</v>
      </c>
      <c r="G490" s="89" t="s">
        <v>3996</v>
      </c>
      <c r="H490" s="89">
        <v>8.0</v>
      </c>
      <c r="I490" s="89" t="s">
        <v>3964</v>
      </c>
      <c r="J490" s="89" t="str">
        <f t="shared" si="18"/>
        <v>No</v>
      </c>
      <c r="K490" s="89" t="str">
        <f t="shared" si="23"/>
        <v>No</v>
      </c>
      <c r="L490" s="89" t="str">
        <f>IFERROR(__xludf.DUMMYFUNCTION("""COMPUTED_VALUE"""),"https://jobright.ai/jobs/info/699466e8e0bddb6acac2d06b?utm_source=1100&amp;utm_campaign=Software Engineering")</f>
        <v>https://jobright.ai/jobs/info/699466e8e0bddb6acac2d06b?utm_source=1100&amp;utm_campaign=Software Engineering</v>
      </c>
      <c r="M490" s="89" t="str">
        <f>IFERROR(__xludf.DUMMYFUNCTION("""COMPUTED_VALUE"""),"")</f>
        <v/>
      </c>
      <c r="N490" s="89">
        <f>IFERROR(__xludf.DUMMYFUNCTION("""COMPUTED_VALUE"""),699466.0)</f>
        <v>699466</v>
      </c>
      <c r="P490" s="52" t="str">
        <f t="shared" si="22"/>
        <v>0</v>
      </c>
      <c r="R490" s="52" t="str">
        <f t="shared" si="32"/>
        <v>Review</v>
      </c>
      <c r="Z490" s="81">
        <v>46069.0</v>
      </c>
      <c r="AA490" s="81" t="s">
        <v>4000</v>
      </c>
      <c r="AB490" s="81" t="s">
        <v>3998</v>
      </c>
      <c r="AC490" s="81">
        <f t="shared" si="5"/>
        <v>46069</v>
      </c>
      <c r="AD490" s="82">
        <f t="shared" si="6"/>
        <v>1</v>
      </c>
    </row>
    <row r="491">
      <c r="A491" s="104">
        <v>46070.0</v>
      </c>
      <c r="B491" s="89" t="s">
        <v>1567</v>
      </c>
      <c r="C491" s="89" t="s">
        <v>888</v>
      </c>
      <c r="D491" s="89" t="s">
        <v>1919</v>
      </c>
      <c r="E491" s="89" t="s">
        <v>969</v>
      </c>
      <c r="F491" s="81">
        <f>IFERROR(__xludf.DUMMYFUNCTION("""COMPUTED_VALUE"""),46070.0)</f>
        <v>46070</v>
      </c>
      <c r="G491" s="89" t="s">
        <v>3996</v>
      </c>
      <c r="H491" s="89">
        <v>8.0</v>
      </c>
      <c r="I491" s="89" t="s">
        <v>3966</v>
      </c>
      <c r="J491" s="89" t="str">
        <f t="shared" si="18"/>
        <v>No</v>
      </c>
      <c r="K491" s="89" t="str">
        <f t="shared" si="23"/>
        <v>No</v>
      </c>
      <c r="L491" s="89" t="str">
        <f>IFERROR(__xludf.DUMMYFUNCTION("""COMPUTED_VALUE"""),"https://jobright.ai/jobs/info/6906b43363502c0aded82a7e?utm_source=1100&amp;utm_campaign=Software Engineering")</f>
        <v>https://jobright.ai/jobs/info/6906b43363502c0aded82a7e?utm_source=1100&amp;utm_campaign=Software Engineering</v>
      </c>
      <c r="M491" s="89" t="str">
        <f>IFERROR(__xludf.DUMMYFUNCTION("""COMPUTED_VALUE"""),"")</f>
        <v/>
      </c>
      <c r="N491" s="89">
        <f>IFERROR(__xludf.DUMMYFUNCTION("""COMPUTED_VALUE"""),6906.0)</f>
        <v>6906</v>
      </c>
      <c r="P491" s="52" t="str">
        <f t="shared" si="22"/>
        <v>0</v>
      </c>
      <c r="R491" s="52" t="str">
        <f t="shared" si="32"/>
        <v>Review</v>
      </c>
      <c r="Z491" s="81">
        <v>46070.0</v>
      </c>
      <c r="AA491" s="81" t="s">
        <v>4000</v>
      </c>
      <c r="AB491" s="81" t="s">
        <v>3998</v>
      </c>
      <c r="AC491" s="81">
        <f t="shared" si="5"/>
        <v>46069</v>
      </c>
      <c r="AD491" s="82">
        <f t="shared" si="6"/>
        <v>2</v>
      </c>
    </row>
    <row r="492">
      <c r="A492" s="104">
        <v>46070.0</v>
      </c>
      <c r="B492" s="89" t="s">
        <v>1924</v>
      </c>
      <c r="C492" s="89" t="s">
        <v>865</v>
      </c>
      <c r="D492" s="89" t="s">
        <v>1925</v>
      </c>
      <c r="E492" s="89" t="s">
        <v>971</v>
      </c>
      <c r="F492" s="81">
        <f>IFERROR(__xludf.DUMMYFUNCTION("""COMPUTED_VALUE"""),46070.0)</f>
        <v>46070</v>
      </c>
      <c r="G492" s="89" t="s">
        <v>3996</v>
      </c>
      <c r="H492" s="89">
        <v>8.0</v>
      </c>
      <c r="I492" s="89" t="s">
        <v>3966</v>
      </c>
      <c r="J492" s="89" t="str">
        <f t="shared" si="18"/>
        <v>No</v>
      </c>
      <c r="K492" s="89" t="str">
        <f t="shared" si="23"/>
        <v>No</v>
      </c>
      <c r="L492" s="89" t="str">
        <f>IFERROR(__xludf.DUMMYFUNCTION("""COMPUTED_VALUE"""),"https://jobright.ai/jobs/info/6940a54850bbaf765052aec4?utm_source=1100&amp;utm_campaign=Software Engineering")</f>
        <v>https://jobright.ai/jobs/info/6940a54850bbaf765052aec4?utm_source=1100&amp;utm_campaign=Software Engineering</v>
      </c>
      <c r="M492" s="89" t="str">
        <f>IFERROR(__xludf.DUMMYFUNCTION("""COMPUTED_VALUE"""),"")</f>
        <v/>
      </c>
      <c r="N492" s="89">
        <f>IFERROR(__xludf.DUMMYFUNCTION("""COMPUTED_VALUE"""),6940.0)</f>
        <v>6940</v>
      </c>
      <c r="P492" s="52" t="str">
        <f t="shared" si="22"/>
        <v>0</v>
      </c>
      <c r="R492" s="52" t="str">
        <f t="shared" si="32"/>
        <v>Review</v>
      </c>
      <c r="Z492" s="81">
        <v>46070.0</v>
      </c>
      <c r="AA492" s="81" t="s">
        <v>4000</v>
      </c>
      <c r="AB492" s="81" t="s">
        <v>3998</v>
      </c>
      <c r="AC492" s="81">
        <f t="shared" si="5"/>
        <v>46069</v>
      </c>
      <c r="AD492" s="82">
        <f t="shared" si="6"/>
        <v>2</v>
      </c>
    </row>
    <row r="493">
      <c r="A493" s="104">
        <v>46070.0</v>
      </c>
      <c r="B493" s="89" t="s">
        <v>1928</v>
      </c>
      <c r="C493" s="89" t="s">
        <v>1382</v>
      </c>
      <c r="D493" s="89" t="s">
        <v>1929</v>
      </c>
      <c r="E493" s="89" t="s">
        <v>971</v>
      </c>
      <c r="F493" s="81">
        <f>IFERROR(__xludf.DUMMYFUNCTION("""COMPUTED_VALUE"""),46070.0)</f>
        <v>46070</v>
      </c>
      <c r="G493" s="89" t="s">
        <v>3996</v>
      </c>
      <c r="H493" s="89">
        <v>8.0</v>
      </c>
      <c r="I493" s="89" t="s">
        <v>3966</v>
      </c>
      <c r="J493" s="89" t="str">
        <f t="shared" si="18"/>
        <v>No</v>
      </c>
      <c r="K493" s="89" t="str">
        <f t="shared" si="23"/>
        <v>No</v>
      </c>
      <c r="L493" s="89" t="str">
        <f>IFERROR(__xludf.DUMMYFUNCTION("""COMPUTED_VALUE"""),"https://jobright.ai/jobs/info/6994507681476f6176ac0759?utm_source=1100&amp;utm_campaign=Software Engineering")</f>
        <v>https://jobright.ai/jobs/info/6994507681476f6176ac0759?utm_source=1100&amp;utm_campaign=Software Engineering</v>
      </c>
      <c r="M493" s="89" t="str">
        <f>IFERROR(__xludf.DUMMYFUNCTION("""COMPUTED_VALUE"""),"")</f>
        <v/>
      </c>
      <c r="N493" s="89">
        <f>IFERROR(__xludf.DUMMYFUNCTION("""COMPUTED_VALUE"""),6.994507681476E12)</f>
        <v>6994507681476</v>
      </c>
      <c r="P493" s="52" t="str">
        <f t="shared" si="22"/>
        <v>0</v>
      </c>
      <c r="R493" s="52" t="str">
        <f t="shared" si="32"/>
        <v>Review</v>
      </c>
      <c r="Z493" s="81">
        <v>46070.0</v>
      </c>
      <c r="AA493" s="81" t="s">
        <v>4000</v>
      </c>
      <c r="AB493" s="81" t="s">
        <v>3998</v>
      </c>
      <c r="AC493" s="81">
        <f t="shared" si="5"/>
        <v>46069</v>
      </c>
      <c r="AD493" s="82">
        <f t="shared" si="6"/>
        <v>2</v>
      </c>
    </row>
    <row r="494">
      <c r="A494" s="104">
        <v>46070.0</v>
      </c>
      <c r="B494" s="89" t="s">
        <v>1931</v>
      </c>
      <c r="C494" s="89" t="s">
        <v>1382</v>
      </c>
      <c r="D494" s="89" t="s">
        <v>1932</v>
      </c>
      <c r="E494" s="89" t="s">
        <v>274</v>
      </c>
      <c r="F494" s="81">
        <f>IFERROR(__xludf.DUMMYFUNCTION("""COMPUTED_VALUE"""),46070.0)</f>
        <v>46070</v>
      </c>
      <c r="G494" s="89" t="s">
        <v>3996</v>
      </c>
      <c r="H494" s="89">
        <v>8.0</v>
      </c>
      <c r="I494" s="89" t="s">
        <v>3966</v>
      </c>
      <c r="J494" s="89" t="str">
        <f t="shared" si="18"/>
        <v>No</v>
      </c>
      <c r="K494" s="89" t="str">
        <f t="shared" si="23"/>
        <v>No</v>
      </c>
      <c r="L494" s="89" t="str">
        <f>IFERROR(__xludf.DUMMYFUNCTION("""COMPUTED_VALUE"""),"https://jobright.ai/jobs/info/69944fa981476f6176ac0655?utm_source=1100&amp;utm_campaign=Software Engineering")</f>
        <v>https://jobright.ai/jobs/info/69944fa981476f6176ac0655?utm_source=1100&amp;utm_campaign=Software Engineering</v>
      </c>
      <c r="M494" s="89" t="str">
        <f>IFERROR(__xludf.DUMMYFUNCTION("""COMPUTED_VALUE"""),"")</f>
        <v/>
      </c>
      <c r="N494" s="89">
        <f>IFERROR(__xludf.DUMMYFUNCTION("""COMPUTED_VALUE"""),69944.0)</f>
        <v>69944</v>
      </c>
      <c r="P494" s="52" t="str">
        <f t="shared" si="22"/>
        <v>0</v>
      </c>
      <c r="R494" s="52" t="str">
        <f t="shared" si="32"/>
        <v>Review</v>
      </c>
      <c r="Z494" s="81">
        <v>46070.0</v>
      </c>
      <c r="AA494" s="81" t="s">
        <v>4000</v>
      </c>
      <c r="AB494" s="81" t="s">
        <v>3998</v>
      </c>
      <c r="AC494" s="81">
        <f t="shared" si="5"/>
        <v>46069</v>
      </c>
      <c r="AD494" s="82">
        <f t="shared" si="6"/>
        <v>2</v>
      </c>
    </row>
    <row r="495">
      <c r="A495" s="104">
        <v>46070.0</v>
      </c>
      <c r="B495" s="89" t="s">
        <v>1381</v>
      </c>
      <c r="C495" s="89" t="s">
        <v>1382</v>
      </c>
      <c r="D495" s="89" t="s">
        <v>1933</v>
      </c>
      <c r="E495" s="89" t="s">
        <v>274</v>
      </c>
      <c r="F495" s="81">
        <f>IFERROR(__xludf.DUMMYFUNCTION("""COMPUTED_VALUE"""),46070.0)</f>
        <v>46070</v>
      </c>
      <c r="G495" s="89" t="s">
        <v>3996</v>
      </c>
      <c r="H495" s="89">
        <v>8.0</v>
      </c>
      <c r="I495" s="89" t="s">
        <v>3966</v>
      </c>
      <c r="J495" s="89" t="str">
        <f t="shared" si="18"/>
        <v>No</v>
      </c>
      <c r="K495" s="89" t="str">
        <f t="shared" si="23"/>
        <v>No</v>
      </c>
      <c r="L495" s="89" t="str">
        <f>IFERROR(__xludf.DUMMYFUNCTION("""COMPUTED_VALUE"""),"https://jobright.ai/jobs/info/69944c83ce78e77b4fd83d08?utm_source=1100&amp;utm_campaign=Software Engineering")</f>
        <v>https://jobright.ai/jobs/info/69944c83ce78e77b4fd83d08?utm_source=1100&amp;utm_campaign=Software Engineering</v>
      </c>
      <c r="M495" s="89" t="str">
        <f>IFERROR(__xludf.DUMMYFUNCTION("""COMPUTED_VALUE"""),"")</f>
        <v/>
      </c>
      <c r="N495" s="89">
        <f>IFERROR(__xludf.DUMMYFUNCTION("""COMPUTED_VALUE"""),69944.0)</f>
        <v>69944</v>
      </c>
      <c r="P495" s="52" t="str">
        <f t="shared" si="22"/>
        <v>0</v>
      </c>
      <c r="R495" s="52" t="str">
        <f t="shared" si="32"/>
        <v>Review</v>
      </c>
      <c r="Z495" s="81">
        <v>46070.0</v>
      </c>
      <c r="AA495" s="81" t="s">
        <v>4000</v>
      </c>
      <c r="AB495" s="81" t="s">
        <v>3998</v>
      </c>
      <c r="AC495" s="81">
        <f t="shared" si="5"/>
        <v>46069</v>
      </c>
      <c r="AD495" s="82">
        <f t="shared" si="6"/>
        <v>2</v>
      </c>
    </row>
    <row r="496">
      <c r="A496" s="104">
        <v>46070.0</v>
      </c>
      <c r="B496" s="89" t="s">
        <v>1934</v>
      </c>
      <c r="C496" s="89" t="s">
        <v>1935</v>
      </c>
      <c r="D496" s="89" t="s">
        <v>1936</v>
      </c>
      <c r="E496" s="89" t="s">
        <v>969</v>
      </c>
      <c r="F496" s="81">
        <f>IFERROR(__xludf.DUMMYFUNCTION("""COMPUTED_VALUE"""),46070.0)</f>
        <v>46070</v>
      </c>
      <c r="G496" s="89" t="s">
        <v>3996</v>
      </c>
      <c r="H496" s="89">
        <v>8.0</v>
      </c>
      <c r="I496" s="89" t="s">
        <v>3966</v>
      </c>
      <c r="J496" s="89" t="str">
        <f t="shared" si="18"/>
        <v>No</v>
      </c>
      <c r="K496" s="89" t="str">
        <f t="shared" si="23"/>
        <v>No</v>
      </c>
      <c r="L496" s="89" t="str">
        <f>IFERROR(__xludf.DUMMYFUNCTION("""COMPUTED_VALUE"""),"https://jobright.ai/jobs/info/695c23fff1f8465b79f230d2?utm_source=1100&amp;utm_campaign=Software Engineering")</f>
        <v>https://jobright.ai/jobs/info/695c23fff1f8465b79f230d2?utm_source=1100&amp;utm_campaign=Software Engineering</v>
      </c>
      <c r="M496" s="89" t="str">
        <f>IFERROR(__xludf.DUMMYFUNCTION("""COMPUTED_VALUE"""),"")</f>
        <v/>
      </c>
      <c r="N496" s="89">
        <f>IFERROR(__xludf.DUMMYFUNCTION("""COMPUTED_VALUE"""),695.0)</f>
        <v>695</v>
      </c>
      <c r="P496" s="52" t="str">
        <f t="shared" si="22"/>
        <v>0</v>
      </c>
      <c r="R496" s="52" t="str">
        <f t="shared" si="32"/>
        <v>Review</v>
      </c>
      <c r="Z496" s="81">
        <v>46070.0</v>
      </c>
      <c r="AA496" s="81" t="s">
        <v>4000</v>
      </c>
      <c r="AB496" s="81" t="s">
        <v>3998</v>
      </c>
      <c r="AC496" s="81">
        <f t="shared" si="5"/>
        <v>46069</v>
      </c>
      <c r="AD496" s="82">
        <f t="shared" si="6"/>
        <v>2</v>
      </c>
    </row>
    <row r="497">
      <c r="A497" s="104">
        <v>46070.0</v>
      </c>
      <c r="B497" s="89" t="s">
        <v>1941</v>
      </c>
      <c r="C497" s="89" t="s">
        <v>1942</v>
      </c>
      <c r="D497" s="89" t="s">
        <v>1943</v>
      </c>
      <c r="E497" s="89" t="s">
        <v>971</v>
      </c>
      <c r="F497" s="81">
        <f>IFERROR(__xludf.DUMMYFUNCTION("""COMPUTED_VALUE"""),46070.0)</f>
        <v>46070</v>
      </c>
      <c r="G497" s="89" t="s">
        <v>3996</v>
      </c>
      <c r="H497" s="89">
        <v>8.0</v>
      </c>
      <c r="I497" s="89" t="s">
        <v>3966</v>
      </c>
      <c r="J497" s="89" t="str">
        <f t="shared" si="18"/>
        <v>No</v>
      </c>
      <c r="K497" s="89" t="str">
        <f t="shared" si="23"/>
        <v>No</v>
      </c>
      <c r="L497" s="89" t="str">
        <f>IFERROR(__xludf.DUMMYFUNCTION("""COMPUTED_VALUE"""),"https://jobright.ai/jobs/info/6977f3b588e2b47213bbfdc4?utm_source=1100&amp;utm_campaign=Software Engineering")</f>
        <v>https://jobright.ai/jobs/info/6977f3b588e2b47213bbfdc4?utm_source=1100&amp;utm_campaign=Software Engineering</v>
      </c>
      <c r="M497" s="89" t="str">
        <f>IFERROR(__xludf.DUMMYFUNCTION("""COMPUTED_VALUE"""),"")</f>
        <v/>
      </c>
      <c r="N497" s="89">
        <f>IFERROR(__xludf.DUMMYFUNCTION("""COMPUTED_VALUE"""),6977.0)</f>
        <v>6977</v>
      </c>
      <c r="P497" s="52" t="str">
        <f t="shared" si="22"/>
        <v>0</v>
      </c>
      <c r="R497" s="52" t="str">
        <f t="shared" si="32"/>
        <v>Review</v>
      </c>
      <c r="Z497" s="81">
        <v>46070.0</v>
      </c>
      <c r="AA497" s="81" t="s">
        <v>4000</v>
      </c>
      <c r="AB497" s="81" t="s">
        <v>3998</v>
      </c>
      <c r="AC497" s="81">
        <f t="shared" si="5"/>
        <v>46069</v>
      </c>
      <c r="AD497" s="82">
        <f t="shared" si="6"/>
        <v>2</v>
      </c>
    </row>
    <row r="498">
      <c r="A498" s="104">
        <v>46070.0</v>
      </c>
      <c r="B498" s="89" t="s">
        <v>864</v>
      </c>
      <c r="C498" s="89" t="s">
        <v>865</v>
      </c>
      <c r="D498" s="89" t="s">
        <v>867</v>
      </c>
      <c r="E498" s="89" t="s">
        <v>969</v>
      </c>
      <c r="F498" s="81">
        <f>IFERROR(__xludf.DUMMYFUNCTION("""COMPUTED_VALUE"""),46070.0)</f>
        <v>46070</v>
      </c>
      <c r="G498" s="89" t="s">
        <v>3996</v>
      </c>
      <c r="H498" s="89">
        <v>8.0</v>
      </c>
      <c r="I498" s="89" t="s">
        <v>3966</v>
      </c>
      <c r="J498" s="89" t="str">
        <f t="shared" si="18"/>
        <v>No</v>
      </c>
      <c r="K498" s="89" t="str">
        <f t="shared" si="23"/>
        <v>No</v>
      </c>
      <c r="L498" s="89" t="str">
        <f>IFERROR(__xludf.DUMMYFUNCTION("""COMPUTED_VALUE"""),"https://jobright.ai/jobs/info/6940ada3aa598a08c3f04efd?utm_source=1100&amp;utm_campaign=Software Engineering")</f>
        <v>https://jobright.ai/jobs/info/6940ada3aa598a08c3f04efd?utm_source=1100&amp;utm_campaign=Software Engineering</v>
      </c>
      <c r="M498" s="89" t="str">
        <f>IFERROR(__xludf.DUMMYFUNCTION("""COMPUTED_VALUE"""),"")</f>
        <v/>
      </c>
      <c r="N498" s="89">
        <f>IFERROR(__xludf.DUMMYFUNCTION("""COMPUTED_VALUE"""),6940.0)</f>
        <v>6940</v>
      </c>
      <c r="P498" s="52" t="str">
        <f t="shared" si="22"/>
        <v>0</v>
      </c>
      <c r="R498" s="52" t="str">
        <f t="shared" si="32"/>
        <v>Review</v>
      </c>
      <c r="Z498" s="81">
        <v>46070.0</v>
      </c>
      <c r="AA498" s="81" t="s">
        <v>4000</v>
      </c>
      <c r="AB498" s="81" t="s">
        <v>3998</v>
      </c>
      <c r="AC498" s="81">
        <f t="shared" si="5"/>
        <v>46069</v>
      </c>
      <c r="AD498" s="82">
        <f t="shared" si="6"/>
        <v>2</v>
      </c>
    </row>
    <row r="499">
      <c r="A499" s="104">
        <v>46070.0</v>
      </c>
      <c r="B499" s="89" t="s">
        <v>1950</v>
      </c>
      <c r="C499" s="89" t="s">
        <v>800</v>
      </c>
      <c r="D499" s="89" t="s">
        <v>1951</v>
      </c>
      <c r="E499" s="89" t="s">
        <v>971</v>
      </c>
      <c r="F499" s="81">
        <f>IFERROR(__xludf.DUMMYFUNCTION("""COMPUTED_VALUE"""),46070.0)</f>
        <v>46070</v>
      </c>
      <c r="G499" s="89" t="s">
        <v>3996</v>
      </c>
      <c r="H499" s="89">
        <v>8.0</v>
      </c>
      <c r="I499" s="89" t="s">
        <v>3966</v>
      </c>
      <c r="J499" s="89" t="str">
        <f t="shared" si="18"/>
        <v>No</v>
      </c>
      <c r="K499" s="89" t="str">
        <f t="shared" si="23"/>
        <v>No</v>
      </c>
      <c r="L499" s="89" t="str">
        <f>IFERROR(__xludf.DUMMYFUNCTION("""COMPUTED_VALUE"""),"https://jobright.ai/jobs/info/69532d10f1f8465b79ea7f29?utm_source=1100&amp;utm_campaign=Software Engineering")</f>
        <v>https://jobright.ai/jobs/info/69532d10f1f8465b79ea7f29?utm_source=1100&amp;utm_campaign=Software Engineering</v>
      </c>
      <c r="M499" s="89" t="str">
        <f>IFERROR(__xludf.DUMMYFUNCTION("""COMPUTED_VALUE"""),"")</f>
        <v/>
      </c>
      <c r="N499" s="89">
        <f>IFERROR(__xludf.DUMMYFUNCTION("""COMPUTED_VALUE"""),69532.0)</f>
        <v>69532</v>
      </c>
      <c r="P499" s="52" t="str">
        <f t="shared" si="22"/>
        <v>0</v>
      </c>
      <c r="R499" s="52" t="str">
        <f t="shared" si="32"/>
        <v>Review</v>
      </c>
      <c r="Z499" s="81">
        <v>46070.0</v>
      </c>
      <c r="AA499" s="81" t="s">
        <v>4000</v>
      </c>
      <c r="AB499" s="81" t="s">
        <v>3998</v>
      </c>
      <c r="AC499" s="81">
        <f t="shared" si="5"/>
        <v>46069</v>
      </c>
      <c r="AD499" s="82">
        <f t="shared" si="6"/>
        <v>2</v>
      </c>
    </row>
    <row r="500">
      <c r="A500" s="104">
        <v>46070.0</v>
      </c>
      <c r="B500" s="89" t="s">
        <v>1955</v>
      </c>
      <c r="C500" s="89" t="s">
        <v>1956</v>
      </c>
      <c r="D500" s="89" t="s">
        <v>1957</v>
      </c>
      <c r="E500" s="89" t="s">
        <v>971</v>
      </c>
      <c r="F500" s="81">
        <f>IFERROR(__xludf.DUMMYFUNCTION("""COMPUTED_VALUE"""),46070.0)</f>
        <v>46070</v>
      </c>
      <c r="G500" s="89" t="s">
        <v>3996</v>
      </c>
      <c r="H500" s="89">
        <v>8.0</v>
      </c>
      <c r="I500" s="89" t="s">
        <v>3966</v>
      </c>
      <c r="J500" s="89" t="str">
        <f t="shared" si="18"/>
        <v>No</v>
      </c>
      <c r="K500" s="89" t="str">
        <f t="shared" si="23"/>
        <v>No</v>
      </c>
      <c r="L500" s="89" t="str">
        <f>IFERROR(__xludf.DUMMYFUNCTION("""COMPUTED_VALUE"""),"https://jobright.ai/jobs/info/6977957388e2b47213bb7d7b?utm_source=1100&amp;utm_campaign=Software Engineering")</f>
        <v>https://jobright.ai/jobs/info/6977957388e2b47213bb7d7b?utm_source=1100&amp;utm_campaign=Software Engineering</v>
      </c>
      <c r="M500" s="89" t="str">
        <f>IFERROR(__xludf.DUMMYFUNCTION("""COMPUTED_VALUE"""),"")</f>
        <v/>
      </c>
      <c r="N500" s="89">
        <f>IFERROR(__xludf.DUMMYFUNCTION("""COMPUTED_VALUE"""),6.977957388E9)</f>
        <v>6977957388</v>
      </c>
      <c r="P500" s="52" t="str">
        <f t="shared" si="22"/>
        <v>0</v>
      </c>
      <c r="R500" s="52" t="str">
        <f t="shared" si="32"/>
        <v>Review</v>
      </c>
      <c r="Z500" s="81">
        <v>46070.0</v>
      </c>
      <c r="AA500" s="81" t="s">
        <v>4000</v>
      </c>
      <c r="AB500" s="81" t="s">
        <v>3998</v>
      </c>
      <c r="AC500" s="81">
        <f t="shared" si="5"/>
        <v>46069</v>
      </c>
      <c r="AD500" s="82">
        <f t="shared" si="6"/>
        <v>2</v>
      </c>
    </row>
    <row r="501">
      <c r="A501" s="104">
        <v>46070.0</v>
      </c>
      <c r="B501" s="89" t="s">
        <v>1482</v>
      </c>
      <c r="C501" s="89" t="s">
        <v>1477</v>
      </c>
      <c r="D501" s="89" t="s">
        <v>1961</v>
      </c>
      <c r="E501" s="89" t="s">
        <v>971</v>
      </c>
      <c r="F501" s="81">
        <f>IFERROR(__xludf.DUMMYFUNCTION("""COMPUTED_VALUE"""),46070.0)</f>
        <v>46070</v>
      </c>
      <c r="G501" s="89" t="s">
        <v>3996</v>
      </c>
      <c r="H501" s="89">
        <v>8.0</v>
      </c>
      <c r="I501" s="89" t="s">
        <v>3966</v>
      </c>
      <c r="J501" s="89" t="str">
        <f t="shared" si="18"/>
        <v>No</v>
      </c>
      <c r="K501" s="89" t="str">
        <f t="shared" si="23"/>
        <v>No</v>
      </c>
      <c r="L501" s="89" t="str">
        <f>IFERROR(__xludf.DUMMYFUNCTION("""COMPUTED_VALUE"""),"https://jobright.ai/jobs/info/68f95f5acadb2e5a06a64637?utm_source=1100&amp;utm_campaign=Software Engineering")</f>
        <v>https://jobright.ai/jobs/info/68f95f5acadb2e5a06a64637?utm_source=1100&amp;utm_campaign=Software Engineering</v>
      </c>
      <c r="M501" s="89" t="str">
        <f>IFERROR(__xludf.DUMMYFUNCTION("""COMPUTED_VALUE"""),"")</f>
        <v/>
      </c>
      <c r="N501" s="89">
        <f>IFERROR(__xludf.DUMMYFUNCTION("""COMPUTED_VALUE"""),68.0)</f>
        <v>68</v>
      </c>
      <c r="P501" s="52" t="str">
        <f t="shared" si="22"/>
        <v>0</v>
      </c>
      <c r="R501" s="52" t="str">
        <f t="shared" si="32"/>
        <v>Review</v>
      </c>
      <c r="Z501" s="81">
        <v>46070.0</v>
      </c>
      <c r="AA501" s="81" t="s">
        <v>4000</v>
      </c>
      <c r="AB501" s="81" t="s">
        <v>3998</v>
      </c>
      <c r="AC501" s="81">
        <f t="shared" si="5"/>
        <v>46069</v>
      </c>
      <c r="AD501" s="82">
        <f t="shared" si="6"/>
        <v>2</v>
      </c>
    </row>
    <row r="502">
      <c r="A502" s="104">
        <v>46070.0</v>
      </c>
      <c r="B502" s="89" t="s">
        <v>1964</v>
      </c>
      <c r="C502" s="89" t="s">
        <v>1628</v>
      </c>
      <c r="D502" s="89" t="s">
        <v>1965</v>
      </c>
      <c r="E502" s="89" t="s">
        <v>969</v>
      </c>
      <c r="F502" s="81">
        <f>IFERROR(__xludf.DUMMYFUNCTION("""COMPUTED_VALUE"""),46070.0)</f>
        <v>46070</v>
      </c>
      <c r="G502" s="89" t="s">
        <v>3996</v>
      </c>
      <c r="H502" s="89">
        <v>8.0</v>
      </c>
      <c r="I502" s="89" t="s">
        <v>3966</v>
      </c>
      <c r="J502" s="89" t="str">
        <f t="shared" si="18"/>
        <v>No</v>
      </c>
      <c r="K502" s="89" t="str">
        <f t="shared" si="23"/>
        <v>No</v>
      </c>
      <c r="L502" s="89" t="str">
        <f>IFERROR(__xludf.DUMMYFUNCTION("""COMPUTED_VALUE"""),"https://jobright.ai/jobs/info/69252701d47de4798eccd7d9?utm_source=1100&amp;utm_campaign=Software Engineering")</f>
        <v>https://jobright.ai/jobs/info/69252701d47de4798eccd7d9?utm_source=1100&amp;utm_campaign=Software Engineering</v>
      </c>
      <c r="M502" s="89" t="str">
        <f>IFERROR(__xludf.DUMMYFUNCTION("""COMPUTED_VALUE"""),"")</f>
        <v/>
      </c>
      <c r="N502" s="89">
        <f>IFERROR(__xludf.DUMMYFUNCTION("""COMPUTED_VALUE"""),6.9252701E7)</f>
        <v>69252701</v>
      </c>
      <c r="P502" s="52" t="str">
        <f t="shared" si="22"/>
        <v>0</v>
      </c>
      <c r="R502" s="52" t="str">
        <f t="shared" si="32"/>
        <v>Review</v>
      </c>
      <c r="Z502" s="81">
        <v>46070.0</v>
      </c>
      <c r="AA502" s="81" t="s">
        <v>4000</v>
      </c>
      <c r="AB502" s="81" t="s">
        <v>3998</v>
      </c>
      <c r="AC502" s="81">
        <f t="shared" si="5"/>
        <v>46069</v>
      </c>
      <c r="AD502" s="82">
        <f t="shared" si="6"/>
        <v>2</v>
      </c>
    </row>
    <row r="503">
      <c r="A503" s="104">
        <v>46070.0</v>
      </c>
      <c r="B503" s="89" t="s">
        <v>569</v>
      </c>
      <c r="C503" s="89" t="s">
        <v>1968</v>
      </c>
      <c r="D503" s="89" t="s">
        <v>1969</v>
      </c>
      <c r="E503" s="89" t="s">
        <v>971</v>
      </c>
      <c r="F503" s="81">
        <f>IFERROR(__xludf.DUMMYFUNCTION("""COMPUTED_VALUE"""),46070.0)</f>
        <v>46070</v>
      </c>
      <c r="G503" s="89" t="s">
        <v>3996</v>
      </c>
      <c r="H503" s="89">
        <v>8.0</v>
      </c>
      <c r="I503" s="89" t="s">
        <v>3966</v>
      </c>
      <c r="J503" s="89" t="str">
        <f t="shared" si="18"/>
        <v>No</v>
      </c>
      <c r="K503" s="89" t="str">
        <f t="shared" si="23"/>
        <v>No</v>
      </c>
      <c r="L503" s="89" t="str">
        <f>IFERROR(__xludf.DUMMYFUNCTION("""COMPUTED_VALUE"""),"https://jobright.ai/jobs/info/695e083661d5475ac1a0c7f6?utm_source=1100&amp;utm_campaign=Software Engineering")</f>
        <v>https://jobright.ai/jobs/info/695e083661d5475ac1a0c7f6?utm_source=1100&amp;utm_campaign=Software Engineering</v>
      </c>
      <c r="M503" s="89" t="str">
        <f>IFERROR(__xludf.DUMMYFUNCTION("""COMPUTED_VALUE"""),"")</f>
        <v/>
      </c>
      <c r="N503" s="89">
        <f>IFERROR(__xludf.DUMMYFUNCTION("""COMPUTED_VALUE"""),695.0)</f>
        <v>695</v>
      </c>
      <c r="P503" s="52" t="str">
        <f t="shared" si="22"/>
        <v>0</v>
      </c>
      <c r="R503" s="52" t="str">
        <f t="shared" si="32"/>
        <v>Review</v>
      </c>
      <c r="Z503" s="81">
        <v>46070.0</v>
      </c>
      <c r="AA503" s="81" t="s">
        <v>4000</v>
      </c>
      <c r="AB503" s="81" t="s">
        <v>3998</v>
      </c>
      <c r="AC503" s="81">
        <f t="shared" si="5"/>
        <v>46069</v>
      </c>
      <c r="AD503" s="82">
        <f t="shared" si="6"/>
        <v>2</v>
      </c>
    </row>
    <row r="504">
      <c r="A504" s="104">
        <v>46070.0</v>
      </c>
      <c r="B504" s="89" t="s">
        <v>1973</v>
      </c>
      <c r="C504" s="89" t="s">
        <v>1935</v>
      </c>
      <c r="D504" s="89" t="s">
        <v>1974</v>
      </c>
      <c r="E504" s="89" t="s">
        <v>969</v>
      </c>
      <c r="F504" s="81">
        <f>IFERROR(__xludf.DUMMYFUNCTION("""COMPUTED_VALUE"""),46070.0)</f>
        <v>46070</v>
      </c>
      <c r="G504" s="89" t="s">
        <v>3996</v>
      </c>
      <c r="H504" s="89">
        <v>8.0</v>
      </c>
      <c r="I504" s="89" t="s">
        <v>3966</v>
      </c>
      <c r="J504" s="89" t="str">
        <f t="shared" si="18"/>
        <v>No</v>
      </c>
      <c r="K504" s="89" t="str">
        <f t="shared" si="23"/>
        <v>No</v>
      </c>
      <c r="L504" s="89" t="str">
        <f>IFERROR(__xludf.DUMMYFUNCTION("""COMPUTED_VALUE"""),"https://jobright.ai/jobs/info/695c27a222c9dc0d3d540859?utm_source=1100&amp;utm_campaign=Software Engineering")</f>
        <v>https://jobright.ai/jobs/info/695c27a222c9dc0d3d540859?utm_source=1100&amp;utm_campaign=Software Engineering</v>
      </c>
      <c r="M504" s="89" t="str">
        <f>IFERROR(__xludf.DUMMYFUNCTION("""COMPUTED_VALUE"""),"")</f>
        <v/>
      </c>
      <c r="N504" s="89">
        <f>IFERROR(__xludf.DUMMYFUNCTION("""COMPUTED_VALUE"""),695.0)</f>
        <v>695</v>
      </c>
      <c r="P504" s="52" t="str">
        <f t="shared" si="22"/>
        <v>0</v>
      </c>
      <c r="R504" s="52" t="str">
        <f t="shared" si="32"/>
        <v>Review</v>
      </c>
      <c r="Z504" s="81">
        <v>46070.0</v>
      </c>
      <c r="AA504" s="81" t="s">
        <v>4000</v>
      </c>
      <c r="AB504" s="81" t="s">
        <v>3998</v>
      </c>
      <c r="AC504" s="81">
        <f t="shared" si="5"/>
        <v>46069</v>
      </c>
      <c r="AD504" s="82">
        <f t="shared" si="6"/>
        <v>2</v>
      </c>
    </row>
    <row r="505">
      <c r="A505" s="104">
        <v>46070.0</v>
      </c>
      <c r="B505" s="89" t="s">
        <v>876</v>
      </c>
      <c r="C505" s="89" t="s">
        <v>877</v>
      </c>
      <c r="D505" s="89" t="s">
        <v>1977</v>
      </c>
      <c r="E505" s="89" t="s">
        <v>971</v>
      </c>
      <c r="F505" s="81">
        <f>IFERROR(__xludf.DUMMYFUNCTION("""COMPUTED_VALUE"""),46070.0)</f>
        <v>46070</v>
      </c>
      <c r="G505" s="89" t="s">
        <v>3996</v>
      </c>
      <c r="H505" s="89">
        <v>8.0</v>
      </c>
      <c r="I505" s="89" t="s">
        <v>3966</v>
      </c>
      <c r="J505" s="89" t="str">
        <f t="shared" si="18"/>
        <v>No</v>
      </c>
      <c r="K505" s="89" t="str">
        <f t="shared" si="23"/>
        <v>No</v>
      </c>
      <c r="L505" s="89" t="str">
        <f>IFERROR(__xludf.DUMMYFUNCTION("""COMPUTED_VALUE"""),"https://jobright.ai/jobs/info/695cc1021dfa954d1c46e0c1?utm_source=1100&amp;utm_campaign=Software Engineering")</f>
        <v>https://jobright.ai/jobs/info/695cc1021dfa954d1c46e0c1?utm_source=1100&amp;utm_campaign=Software Engineering</v>
      </c>
      <c r="M505" s="89" t="str">
        <f>IFERROR(__xludf.DUMMYFUNCTION("""COMPUTED_VALUE"""),"")</f>
        <v/>
      </c>
      <c r="N505" s="89">
        <f>IFERROR(__xludf.DUMMYFUNCTION("""COMPUTED_VALUE"""),695.0)</f>
        <v>695</v>
      </c>
      <c r="P505" s="52" t="str">
        <f t="shared" si="22"/>
        <v>0</v>
      </c>
      <c r="R505" s="52" t="str">
        <f t="shared" si="32"/>
        <v>Review</v>
      </c>
      <c r="Z505" s="81">
        <v>46070.0</v>
      </c>
      <c r="AA505" s="81" t="s">
        <v>4000</v>
      </c>
      <c r="AB505" s="81" t="s">
        <v>3998</v>
      </c>
      <c r="AC505" s="81">
        <f t="shared" si="5"/>
        <v>46069</v>
      </c>
      <c r="AD505" s="82">
        <f t="shared" si="6"/>
        <v>2</v>
      </c>
    </row>
    <row r="506">
      <c r="A506" s="104">
        <v>46070.0</v>
      </c>
      <c r="B506" s="89" t="s">
        <v>1981</v>
      </c>
      <c r="C506" s="89" t="s">
        <v>1982</v>
      </c>
      <c r="D506" s="89" t="s">
        <v>1983</v>
      </c>
      <c r="E506" s="89" t="s">
        <v>274</v>
      </c>
      <c r="F506" s="81">
        <f>IFERROR(__xludf.DUMMYFUNCTION("""COMPUTED_VALUE"""),46070.0)</f>
        <v>46070</v>
      </c>
      <c r="G506" s="89" t="s">
        <v>3996</v>
      </c>
      <c r="H506" s="89">
        <v>8.0</v>
      </c>
      <c r="I506" s="89" t="s">
        <v>3966</v>
      </c>
      <c r="J506" s="89" t="str">
        <f t="shared" si="18"/>
        <v>No</v>
      </c>
      <c r="K506" s="89" t="str">
        <f t="shared" si="23"/>
        <v>No</v>
      </c>
      <c r="L506" s="89" t="str">
        <f>IFERROR(__xludf.DUMMYFUNCTION("""COMPUTED_VALUE"""),"https://jobright.ai/jobs/info/695cadc15e4962051b59da05?utm_source=1100&amp;utm_campaign=Software Engineering")</f>
        <v>https://jobright.ai/jobs/info/695cadc15e4962051b59da05?utm_source=1100&amp;utm_campaign=Software Engineering</v>
      </c>
      <c r="M506" s="89" t="str">
        <f>IFERROR(__xludf.DUMMYFUNCTION("""COMPUTED_VALUE"""),"")</f>
        <v/>
      </c>
      <c r="N506" s="89">
        <f>IFERROR(__xludf.DUMMYFUNCTION("""COMPUTED_VALUE"""),695.0)</f>
        <v>695</v>
      </c>
      <c r="P506" s="52" t="str">
        <f t="shared" si="22"/>
        <v>0</v>
      </c>
      <c r="R506" s="52" t="str">
        <f t="shared" si="32"/>
        <v>Review</v>
      </c>
      <c r="Z506" s="81">
        <v>46070.0</v>
      </c>
      <c r="AA506" s="81" t="s">
        <v>4000</v>
      </c>
      <c r="AB506" s="81" t="s">
        <v>3998</v>
      </c>
      <c r="AC506" s="81">
        <f t="shared" si="5"/>
        <v>46069</v>
      </c>
      <c r="AD506" s="82">
        <f t="shared" si="6"/>
        <v>2</v>
      </c>
    </row>
    <row r="507">
      <c r="A507" s="104">
        <v>46065.0</v>
      </c>
      <c r="B507" s="89" t="s">
        <v>88</v>
      </c>
      <c r="C507" s="89" t="s">
        <v>1988</v>
      </c>
      <c r="D507" s="90" t="s">
        <v>1989</v>
      </c>
      <c r="E507" s="89"/>
      <c r="F507" s="81">
        <f>IFERROR(__xludf.DUMMYFUNCTION("""COMPUTED_VALUE"""),46065.0)</f>
        <v>46065</v>
      </c>
      <c r="G507" s="89" t="s">
        <v>3996</v>
      </c>
      <c r="H507" s="89">
        <v>7.0</v>
      </c>
      <c r="I507" s="89" t="s">
        <v>3972</v>
      </c>
      <c r="J507" s="89" t="str">
        <f t="shared" si="18"/>
        <v>No</v>
      </c>
      <c r="K507" s="89" t="str">
        <f t="shared" si="23"/>
        <v>No</v>
      </c>
      <c r="L507" s="90" t="str">
        <f>IFERROR(__xludf.DUMMYFUNCTION("""COMPUTED_VALUE"""),"https://jobs.lever.co/imo-online/28f3bd46-aa6d-40ae-a6eb-54074192e96a/thanks")</f>
        <v>https://jobs.lever.co/imo-online/28f3bd46-aa6d-40ae-a6eb-54074192e96a/thanks</v>
      </c>
      <c r="M507" s="89" t="str">
        <f>IFERROR(__xludf.DUMMYFUNCTION("""COMPUTED_VALUE"""),"")</f>
        <v/>
      </c>
      <c r="N507" s="89">
        <f>IFERROR(__xludf.DUMMYFUNCTION("""COMPUTED_VALUE"""),28.0)</f>
        <v>28</v>
      </c>
      <c r="P507" s="52" t="str">
        <f t="shared" si="22"/>
        <v>0</v>
      </c>
      <c r="R507" s="52" t="str">
        <f t="shared" si="32"/>
        <v>Review</v>
      </c>
      <c r="Z507" s="81">
        <v>46065.0</v>
      </c>
      <c r="AA507" s="81" t="s">
        <v>3999</v>
      </c>
      <c r="AB507" s="81" t="s">
        <v>3998</v>
      </c>
      <c r="AC507" s="81">
        <f t="shared" si="5"/>
        <v>46062</v>
      </c>
      <c r="AD507" s="82">
        <f t="shared" si="6"/>
        <v>4</v>
      </c>
    </row>
    <row r="508">
      <c r="A508" s="104">
        <v>46065.0</v>
      </c>
      <c r="B508" s="89" t="s">
        <v>88</v>
      </c>
      <c r="C508" s="89" t="s">
        <v>1990</v>
      </c>
      <c r="D508" s="89"/>
      <c r="E508" s="89"/>
      <c r="F508" s="81">
        <f>IFERROR(__xludf.DUMMYFUNCTION("""COMPUTED_VALUE"""),46065.0)</f>
        <v>46065</v>
      </c>
      <c r="G508" s="89" t="s">
        <v>3996</v>
      </c>
      <c r="H508" s="89">
        <v>7.0</v>
      </c>
      <c r="I508" s="89" t="s">
        <v>3972</v>
      </c>
      <c r="J508" s="89" t="str">
        <f t="shared" si="18"/>
        <v>No</v>
      </c>
      <c r="K508" s="89" t="str">
        <f t="shared" si="23"/>
        <v>No</v>
      </c>
      <c r="L508" s="89" t="str">
        <f>IFERROR(__xludf.DUMMYFUNCTION("""COMPUTED_VALUE"""),"")</f>
        <v/>
      </c>
      <c r="M508" s="89" t="str">
        <f>IFERROR(__xludf.DUMMYFUNCTION("""COMPUTED_VALUE"""),"")</f>
        <v/>
      </c>
      <c r="N508" s="89" t="str">
        <f>IFERROR(__xludf.DUMMYFUNCTION("""COMPUTED_VALUE"""),"")</f>
        <v/>
      </c>
      <c r="P508" s="52" t="str">
        <f t="shared" si="22"/>
        <v>0</v>
      </c>
      <c r="R508" s="52" t="str">
        <f t="shared" si="32"/>
        <v>Review</v>
      </c>
      <c r="Z508" s="81">
        <v>46065.0</v>
      </c>
      <c r="AA508" s="81" t="s">
        <v>3999</v>
      </c>
      <c r="AB508" s="81" t="s">
        <v>3998</v>
      </c>
      <c r="AC508" s="81">
        <f t="shared" si="5"/>
        <v>46062</v>
      </c>
      <c r="AD508" s="82">
        <f t="shared" si="6"/>
        <v>4</v>
      </c>
    </row>
    <row r="509">
      <c r="A509" s="104">
        <v>46065.0</v>
      </c>
      <c r="B509" s="89" t="s">
        <v>1991</v>
      </c>
      <c r="C509" s="89" t="s">
        <v>289</v>
      </c>
      <c r="D509" s="90" t="s">
        <v>1992</v>
      </c>
      <c r="E509" s="89"/>
      <c r="F509" s="81">
        <f>IFERROR(__xludf.DUMMYFUNCTION("""COMPUTED_VALUE"""),46065.0)</f>
        <v>46065</v>
      </c>
      <c r="G509" s="89" t="s">
        <v>3996</v>
      </c>
      <c r="H509" s="89">
        <v>7.0</v>
      </c>
      <c r="I509" s="89" t="s">
        <v>3972</v>
      </c>
      <c r="J509" s="89" t="str">
        <f t="shared" si="18"/>
        <v>No</v>
      </c>
      <c r="K509" s="89" t="str">
        <f t="shared" si="23"/>
        <v>No</v>
      </c>
      <c r="L509" s="90" t="str">
        <f>IFERROR(__xludf.DUMMYFUNCTION("""COMPUTED_VALUE"""),"https://careers.cisco.com/global/en/applythankyou?status=success&amp;jobSeqNo=CISCISGLOBAL2007003EXTERNALENGLOBAL&amp;jobTitle=Software%20Engineer%20I%20(Full%20Time)%20-%20United%20States&amp;jobId=2007003&amp;jobApplicationId=27d61a0ceb959001220518cf2ac70001")</f>
        <v>https://careers.cisco.com/global/en/applythankyou?status=success&amp;jobSeqNo=CISCISGLOBAL2007003EXTERNALENGLOBAL&amp;jobTitle=Software%20Engineer%20I%20(Full%20Time)%20-%20United%20States&amp;jobId=2007003&amp;jobApplicationId=27d61a0ceb959001220518cf2ac70001</v>
      </c>
      <c r="M509" s="89" t="str">
        <f>IFERROR(__xludf.DUMMYFUNCTION("""COMPUTED_VALUE"""),"")</f>
        <v/>
      </c>
      <c r="N509" s="89">
        <f>IFERROR(__xludf.DUMMYFUNCTION("""COMPUTED_VALUE"""),2007003.0)</f>
        <v>2007003</v>
      </c>
      <c r="P509" s="52" t="str">
        <f t="shared" si="22"/>
        <v>0</v>
      </c>
      <c r="R509" s="52" t="str">
        <f t="shared" si="32"/>
        <v>Review</v>
      </c>
      <c r="Z509" s="81">
        <v>46065.0</v>
      </c>
      <c r="AA509" s="81" t="s">
        <v>3999</v>
      </c>
      <c r="AB509" s="81" t="s">
        <v>3998</v>
      </c>
      <c r="AC509" s="81">
        <f t="shared" si="5"/>
        <v>46062</v>
      </c>
      <c r="AD509" s="82">
        <f t="shared" si="6"/>
        <v>4</v>
      </c>
    </row>
    <row r="510">
      <c r="A510" s="104">
        <v>46070.0</v>
      </c>
      <c r="B510" s="89" t="s">
        <v>1993</v>
      </c>
      <c r="C510" s="89" t="s">
        <v>405</v>
      </c>
      <c r="D510" s="89" t="s">
        <v>1994</v>
      </c>
      <c r="E510" s="89" t="s">
        <v>969</v>
      </c>
      <c r="F510" s="81">
        <f>IFERROR(__xludf.DUMMYFUNCTION("""COMPUTED_VALUE"""),46070.0)</f>
        <v>46070</v>
      </c>
      <c r="G510" s="89" t="s">
        <v>3996</v>
      </c>
      <c r="H510" s="89">
        <v>8.0</v>
      </c>
      <c r="I510" s="89" t="s">
        <v>3966</v>
      </c>
      <c r="J510" s="89" t="str">
        <f t="shared" si="18"/>
        <v>No</v>
      </c>
      <c r="K510" s="89" t="str">
        <f t="shared" si="23"/>
        <v>No</v>
      </c>
      <c r="L510" s="89" t="str">
        <f>IFERROR(__xludf.DUMMYFUNCTION("""COMPUTED_VALUE"""),"https://jobright.ai/jobs/info/6994f43ee0bddb6acac37881?utm_source=1100&amp;utm_campaign=Software Engineering")</f>
        <v>https://jobright.ai/jobs/info/6994f43ee0bddb6acac37881?utm_source=1100&amp;utm_campaign=Software Engineering</v>
      </c>
      <c r="M510" s="89" t="str">
        <f>IFERROR(__xludf.DUMMYFUNCTION("""COMPUTED_VALUE"""),"")</f>
        <v/>
      </c>
      <c r="N510" s="89">
        <f>IFERROR(__xludf.DUMMYFUNCTION("""COMPUTED_VALUE"""),6994.0)</f>
        <v>6994</v>
      </c>
      <c r="P510" s="52" t="str">
        <f t="shared" si="22"/>
        <v>0</v>
      </c>
      <c r="R510" s="52" t="str">
        <f t="shared" si="32"/>
        <v>Review</v>
      </c>
      <c r="Z510" s="81">
        <v>46070.0</v>
      </c>
      <c r="AA510" s="81" t="s">
        <v>4000</v>
      </c>
      <c r="AB510" s="81" t="s">
        <v>3998</v>
      </c>
      <c r="AC510" s="81">
        <f t="shared" si="5"/>
        <v>46069</v>
      </c>
      <c r="AD510" s="82">
        <f t="shared" si="6"/>
        <v>2</v>
      </c>
    </row>
    <row r="511">
      <c r="A511" s="104">
        <v>46065.0</v>
      </c>
      <c r="B511" s="89" t="s">
        <v>1993</v>
      </c>
      <c r="C511" s="89" t="s">
        <v>405</v>
      </c>
      <c r="D511" s="89"/>
      <c r="E511" s="89"/>
      <c r="F511" s="81">
        <f>IFERROR(__xludf.DUMMYFUNCTION("""COMPUTED_VALUE"""),46065.0)</f>
        <v>46065</v>
      </c>
      <c r="G511" s="89" t="s">
        <v>3996</v>
      </c>
      <c r="H511" s="89">
        <v>7.0</v>
      </c>
      <c r="I511" s="89" t="s">
        <v>3972</v>
      </c>
      <c r="J511" s="89" t="str">
        <f t="shared" si="18"/>
        <v>No</v>
      </c>
      <c r="K511" s="89" t="str">
        <f t="shared" si="23"/>
        <v>No</v>
      </c>
      <c r="L511" s="89" t="str">
        <f>IFERROR(__xludf.DUMMYFUNCTION("""COMPUTED_VALUE"""),"")</f>
        <v/>
      </c>
      <c r="M511" s="89" t="str">
        <f>IFERROR(__xludf.DUMMYFUNCTION("""COMPUTED_VALUE"""),"")</f>
        <v/>
      </c>
      <c r="N511" s="89" t="str">
        <f>IFERROR(__xludf.DUMMYFUNCTION("""COMPUTED_VALUE"""),"")</f>
        <v/>
      </c>
      <c r="P511" s="52" t="str">
        <f t="shared" si="22"/>
        <v>0</v>
      </c>
      <c r="R511" s="52" t="str">
        <f t="shared" si="32"/>
        <v>Review</v>
      </c>
      <c r="Z511" s="81">
        <v>46065.0</v>
      </c>
      <c r="AA511" s="81" t="s">
        <v>3999</v>
      </c>
      <c r="AB511" s="81" t="s">
        <v>3998</v>
      </c>
      <c r="AC511" s="81">
        <f t="shared" si="5"/>
        <v>46062</v>
      </c>
      <c r="AD511" s="82">
        <f t="shared" si="6"/>
        <v>4</v>
      </c>
    </row>
    <row r="512">
      <c r="A512" s="104">
        <v>46070.0</v>
      </c>
      <c r="B512" s="89" t="s">
        <v>1999</v>
      </c>
      <c r="C512" s="89" t="s">
        <v>2000</v>
      </c>
      <c r="D512" s="89" t="s">
        <v>2001</v>
      </c>
      <c r="E512" s="89" t="s">
        <v>274</v>
      </c>
      <c r="F512" s="81">
        <f>IFERROR(__xludf.DUMMYFUNCTION("""COMPUTED_VALUE"""),46070.0)</f>
        <v>46070</v>
      </c>
      <c r="G512" s="89" t="s">
        <v>3996</v>
      </c>
      <c r="H512" s="89">
        <v>8.0</v>
      </c>
      <c r="I512" s="89" t="s">
        <v>3966</v>
      </c>
      <c r="J512" s="89" t="str">
        <f t="shared" si="18"/>
        <v>No</v>
      </c>
      <c r="K512" s="89" t="str">
        <f t="shared" si="23"/>
        <v>No</v>
      </c>
      <c r="L512" s="89" t="str">
        <f>IFERROR(__xludf.DUMMYFUNCTION("""COMPUTED_VALUE"""),"https://jobright.ai/jobs/info/6994fdeece78e77b4fd912e0?utm_source=1100&amp;utm_campaign=Software Engineering")</f>
        <v>https://jobright.ai/jobs/info/6994fdeece78e77b4fd912e0?utm_source=1100&amp;utm_campaign=Software Engineering</v>
      </c>
      <c r="M512" s="89" t="str">
        <f>IFERROR(__xludf.DUMMYFUNCTION("""COMPUTED_VALUE"""),"")</f>
        <v/>
      </c>
      <c r="N512" s="89">
        <f>IFERROR(__xludf.DUMMYFUNCTION("""COMPUTED_VALUE"""),6994.0)</f>
        <v>6994</v>
      </c>
      <c r="P512" s="52" t="str">
        <f t="shared" si="22"/>
        <v>0</v>
      </c>
      <c r="R512" s="52" t="str">
        <f t="shared" si="32"/>
        <v>Review</v>
      </c>
      <c r="Z512" s="81">
        <v>46070.0</v>
      </c>
      <c r="AA512" s="81" t="s">
        <v>4000</v>
      </c>
      <c r="AB512" s="81" t="s">
        <v>3998</v>
      </c>
      <c r="AC512" s="81">
        <f t="shared" si="5"/>
        <v>46069</v>
      </c>
      <c r="AD512" s="82">
        <f t="shared" si="6"/>
        <v>2</v>
      </c>
    </row>
    <row r="513">
      <c r="A513" s="104">
        <v>46070.0</v>
      </c>
      <c r="B513" s="89" t="s">
        <v>2006</v>
      </c>
      <c r="C513" s="89" t="s">
        <v>2007</v>
      </c>
      <c r="D513" s="89" t="s">
        <v>2008</v>
      </c>
      <c r="E513" s="89" t="s">
        <v>971</v>
      </c>
      <c r="F513" s="81">
        <f>IFERROR(__xludf.DUMMYFUNCTION("""COMPUTED_VALUE"""),46070.0)</f>
        <v>46070</v>
      </c>
      <c r="G513" s="89" t="s">
        <v>3996</v>
      </c>
      <c r="H513" s="89">
        <v>8.0</v>
      </c>
      <c r="I513" s="89" t="s">
        <v>3966</v>
      </c>
      <c r="J513" s="89" t="str">
        <f t="shared" si="18"/>
        <v>No</v>
      </c>
      <c r="K513" s="89" t="str">
        <f t="shared" si="23"/>
        <v>No</v>
      </c>
      <c r="L513" s="89" t="str">
        <f>IFERROR(__xludf.DUMMYFUNCTION("""COMPUTED_VALUE"""),"https://jobright.ai/jobs/info/6994fb40e0bddb6acac3806c?utm_source=1100&amp;utm_campaign=Software Engineering")</f>
        <v>https://jobright.ai/jobs/info/6994fb40e0bddb6acac3806c?utm_source=1100&amp;utm_campaign=Software Engineering</v>
      </c>
      <c r="M513" s="89" t="str">
        <f>IFERROR(__xludf.DUMMYFUNCTION("""COMPUTED_VALUE"""),"")</f>
        <v/>
      </c>
      <c r="N513" s="89">
        <f>IFERROR(__xludf.DUMMYFUNCTION("""COMPUTED_VALUE"""),6994.0)</f>
        <v>6994</v>
      </c>
      <c r="P513" s="52" t="str">
        <f t="shared" si="22"/>
        <v>0</v>
      </c>
      <c r="R513" s="52" t="str">
        <f t="shared" si="32"/>
        <v>Review</v>
      </c>
      <c r="Z513" s="81">
        <v>46070.0</v>
      </c>
      <c r="AA513" s="81" t="s">
        <v>4000</v>
      </c>
      <c r="AB513" s="81" t="s">
        <v>3998</v>
      </c>
      <c r="AC513" s="81">
        <f t="shared" si="5"/>
        <v>46069</v>
      </c>
      <c r="AD513" s="82">
        <f t="shared" si="6"/>
        <v>2</v>
      </c>
    </row>
    <row r="514">
      <c r="A514" s="104">
        <v>46070.0</v>
      </c>
      <c r="B514" s="89" t="s">
        <v>2012</v>
      </c>
      <c r="C514" s="89" t="s">
        <v>1596</v>
      </c>
      <c r="D514" s="89" t="s">
        <v>2013</v>
      </c>
      <c r="E514" s="89" t="s">
        <v>969</v>
      </c>
      <c r="F514" s="81">
        <f>IFERROR(__xludf.DUMMYFUNCTION("""COMPUTED_VALUE"""),46070.0)</f>
        <v>46070</v>
      </c>
      <c r="G514" s="89" t="s">
        <v>3996</v>
      </c>
      <c r="H514" s="89">
        <v>8.0</v>
      </c>
      <c r="I514" s="89" t="s">
        <v>3966</v>
      </c>
      <c r="J514" s="89" t="str">
        <f t="shared" si="18"/>
        <v>No</v>
      </c>
      <c r="K514" s="89" t="str">
        <f t="shared" si="23"/>
        <v>No</v>
      </c>
      <c r="L514" s="89" t="str">
        <f>IFERROR(__xludf.DUMMYFUNCTION("""COMPUTED_VALUE"""),"https://jobright.ai/jobs/info/6994e497ce78e77b4fd8f5ab?utm_source=1100&amp;utm_campaign=Software Engineering")</f>
        <v>https://jobright.ai/jobs/info/6994e497ce78e77b4fd8f5ab?utm_source=1100&amp;utm_campaign=Software Engineering</v>
      </c>
      <c r="M514" s="89" t="str">
        <f>IFERROR(__xludf.DUMMYFUNCTION("""COMPUTED_VALUE"""),"")</f>
        <v/>
      </c>
      <c r="N514" s="89">
        <f>IFERROR(__xludf.DUMMYFUNCTION("""COMPUTED_VALUE"""),6994.0)</f>
        <v>6994</v>
      </c>
      <c r="P514" s="52" t="str">
        <f t="shared" si="22"/>
        <v>0</v>
      </c>
      <c r="R514" s="52" t="str">
        <f t="shared" si="32"/>
        <v>Review</v>
      </c>
      <c r="Z514" s="81">
        <v>46070.0</v>
      </c>
      <c r="AA514" s="81" t="s">
        <v>4000</v>
      </c>
      <c r="AB514" s="81" t="s">
        <v>3998</v>
      </c>
      <c r="AC514" s="81">
        <f t="shared" si="5"/>
        <v>46069</v>
      </c>
      <c r="AD514" s="82">
        <f t="shared" si="6"/>
        <v>2</v>
      </c>
    </row>
    <row r="515">
      <c r="A515" s="104">
        <v>46070.0</v>
      </c>
      <c r="B515" s="89" t="s">
        <v>2017</v>
      </c>
      <c r="C515" s="89" t="s">
        <v>2018</v>
      </c>
      <c r="D515" s="89" t="s">
        <v>2019</v>
      </c>
      <c r="E515" s="89" t="s">
        <v>971</v>
      </c>
      <c r="F515" s="81">
        <f>IFERROR(__xludf.DUMMYFUNCTION("""COMPUTED_VALUE"""),46070.0)</f>
        <v>46070</v>
      </c>
      <c r="G515" s="89" t="s">
        <v>3996</v>
      </c>
      <c r="H515" s="89">
        <v>8.0</v>
      </c>
      <c r="I515" s="89" t="s">
        <v>3966</v>
      </c>
      <c r="J515" s="89" t="str">
        <f t="shared" si="18"/>
        <v>No</v>
      </c>
      <c r="K515" s="89" t="str">
        <f t="shared" si="23"/>
        <v>No</v>
      </c>
      <c r="L515" s="89" t="str">
        <f>IFERROR(__xludf.DUMMYFUNCTION("""COMPUTED_VALUE"""),"https://jobright.ai/jobs/info/699501d881476f6176acde66?utm_source=1100&amp;utm_campaign=Software Engineering")</f>
        <v>https://jobright.ai/jobs/info/699501d881476f6176acde66?utm_source=1100&amp;utm_campaign=Software Engineering</v>
      </c>
      <c r="M515" s="89" t="str">
        <f>IFERROR(__xludf.DUMMYFUNCTION("""COMPUTED_VALUE"""),"")</f>
        <v/>
      </c>
      <c r="N515" s="89">
        <f>IFERROR(__xludf.DUMMYFUNCTION("""COMPUTED_VALUE"""),699501.0)</f>
        <v>699501</v>
      </c>
      <c r="P515" s="52" t="str">
        <f t="shared" si="22"/>
        <v>0</v>
      </c>
      <c r="R515" s="52" t="str">
        <f t="shared" si="32"/>
        <v>Review</v>
      </c>
      <c r="Z515" s="81">
        <v>46070.0</v>
      </c>
      <c r="AA515" s="81" t="s">
        <v>4000</v>
      </c>
      <c r="AB515" s="81" t="s">
        <v>3998</v>
      </c>
      <c r="AC515" s="81">
        <f t="shared" si="5"/>
        <v>46069</v>
      </c>
      <c r="AD515" s="82">
        <f t="shared" si="6"/>
        <v>2</v>
      </c>
    </row>
    <row r="516">
      <c r="A516" s="104">
        <v>46070.0</v>
      </c>
      <c r="B516" s="89" t="s">
        <v>2024</v>
      </c>
      <c r="C516" s="89" t="s">
        <v>2025</v>
      </c>
      <c r="D516" s="89" t="s">
        <v>2026</v>
      </c>
      <c r="E516" s="89" t="s">
        <v>971</v>
      </c>
      <c r="F516" s="81">
        <f>IFERROR(__xludf.DUMMYFUNCTION("""COMPUTED_VALUE"""),46070.0)</f>
        <v>46070</v>
      </c>
      <c r="G516" s="89" t="s">
        <v>3996</v>
      </c>
      <c r="H516" s="89">
        <v>8.0</v>
      </c>
      <c r="I516" s="89" t="s">
        <v>3966</v>
      </c>
      <c r="J516" s="89" t="str">
        <f t="shared" si="18"/>
        <v>No</v>
      </c>
      <c r="K516" s="89" t="str">
        <f t="shared" si="23"/>
        <v>No</v>
      </c>
      <c r="L516" s="89" t="str">
        <f>IFERROR(__xludf.DUMMYFUNCTION("""COMPUTED_VALUE"""),"https://jobright.ai/jobs/info/6994da8b81476f6176acae1c?utm_source=1100&amp;utm_campaign=Software Engineering")</f>
        <v>https://jobright.ai/jobs/info/6994da8b81476f6176acae1c?utm_source=1100&amp;utm_campaign=Software Engineering</v>
      </c>
      <c r="M516" s="89" t="str">
        <f>IFERROR(__xludf.DUMMYFUNCTION("""COMPUTED_VALUE"""),"")</f>
        <v/>
      </c>
      <c r="N516" s="89">
        <f>IFERROR(__xludf.DUMMYFUNCTION("""COMPUTED_VALUE"""),6994.0)</f>
        <v>6994</v>
      </c>
      <c r="P516" s="52" t="str">
        <f t="shared" si="22"/>
        <v>0</v>
      </c>
      <c r="R516" s="52" t="str">
        <f t="shared" si="32"/>
        <v>Review</v>
      </c>
      <c r="Z516" s="81">
        <v>46070.0</v>
      </c>
      <c r="AA516" s="81" t="s">
        <v>4000</v>
      </c>
      <c r="AB516" s="81" t="s">
        <v>3998</v>
      </c>
      <c r="AC516" s="81">
        <f t="shared" si="5"/>
        <v>46069</v>
      </c>
      <c r="AD516" s="82">
        <f t="shared" si="6"/>
        <v>2</v>
      </c>
    </row>
    <row r="517">
      <c r="A517" s="104">
        <v>46070.0</v>
      </c>
      <c r="B517" s="89" t="s">
        <v>1880</v>
      </c>
      <c r="C517" s="89" t="s">
        <v>1458</v>
      </c>
      <c r="D517" s="89" t="s">
        <v>1881</v>
      </c>
      <c r="E517" s="89" t="s">
        <v>971</v>
      </c>
      <c r="F517" s="81">
        <f>IFERROR(__xludf.DUMMYFUNCTION("""COMPUTED_VALUE"""),46070.0)</f>
        <v>46070</v>
      </c>
      <c r="G517" s="89" t="s">
        <v>3996</v>
      </c>
      <c r="H517" s="89">
        <v>8.0</v>
      </c>
      <c r="I517" s="89" t="s">
        <v>3966</v>
      </c>
      <c r="J517" s="89" t="str">
        <f t="shared" si="18"/>
        <v>No</v>
      </c>
      <c r="K517" s="89" t="str">
        <f t="shared" si="23"/>
        <v>No</v>
      </c>
      <c r="L517" s="89" t="str">
        <f>IFERROR(__xludf.DUMMYFUNCTION("""COMPUTED_VALUE"""),"https://jobright.ai/jobs/info/69827024348f733a5c3549fd?utm_source=1100&amp;utm_campaign=Software Engineering")</f>
        <v>https://jobright.ai/jobs/info/69827024348f733a5c3549fd?utm_source=1100&amp;utm_campaign=Software Engineering</v>
      </c>
      <c r="M517" s="89" t="str">
        <f>IFERROR(__xludf.DUMMYFUNCTION("""COMPUTED_VALUE"""),"")</f>
        <v/>
      </c>
      <c r="N517" s="89">
        <f>IFERROR(__xludf.DUMMYFUNCTION("""COMPUTED_VALUE"""),6.9827024348E10)</f>
        <v>69827024348</v>
      </c>
      <c r="P517" s="52" t="str">
        <f t="shared" si="22"/>
        <v>0</v>
      </c>
      <c r="R517" s="52" t="str">
        <f t="shared" si="32"/>
        <v>Review</v>
      </c>
      <c r="Z517" s="81">
        <v>46070.0</v>
      </c>
      <c r="AA517" s="81" t="s">
        <v>4000</v>
      </c>
      <c r="AB517" s="81" t="s">
        <v>3998</v>
      </c>
      <c r="AC517" s="81">
        <f t="shared" si="5"/>
        <v>46069</v>
      </c>
      <c r="AD517" s="82">
        <f t="shared" si="6"/>
        <v>2</v>
      </c>
    </row>
    <row r="518">
      <c r="A518" s="104">
        <v>46070.0</v>
      </c>
      <c r="B518" s="89" t="s">
        <v>381</v>
      </c>
      <c r="C518" s="89" t="s">
        <v>2030</v>
      </c>
      <c r="D518" s="89" t="s">
        <v>2031</v>
      </c>
      <c r="E518" s="89" t="s">
        <v>274</v>
      </c>
      <c r="F518" s="81">
        <f>IFERROR(__xludf.DUMMYFUNCTION("""COMPUTED_VALUE"""),46070.0)</f>
        <v>46070</v>
      </c>
      <c r="G518" s="89" t="s">
        <v>3996</v>
      </c>
      <c r="H518" s="89">
        <v>8.0</v>
      </c>
      <c r="I518" s="89" t="s">
        <v>3966</v>
      </c>
      <c r="J518" s="89" t="str">
        <f t="shared" si="18"/>
        <v>No</v>
      </c>
      <c r="K518" s="89" t="str">
        <f t="shared" si="23"/>
        <v>No</v>
      </c>
      <c r="L518" s="89" t="str">
        <f>IFERROR(__xludf.DUMMYFUNCTION("""COMPUTED_VALUE"""),"https://jobright.ai/jobs/info/699480c3e0bddb6acac2f06f?utm_source=1100&amp;utm_campaign=Software Engineering")</f>
        <v>https://jobright.ai/jobs/info/699480c3e0bddb6acac2f06f?utm_source=1100&amp;utm_campaign=Software Engineering</v>
      </c>
      <c r="M518" s="89" t="str">
        <f>IFERROR(__xludf.DUMMYFUNCTION("""COMPUTED_VALUE"""),"")</f>
        <v/>
      </c>
      <c r="N518" s="89">
        <f>IFERROR(__xludf.DUMMYFUNCTION("""COMPUTED_VALUE"""),699480.0)</f>
        <v>699480</v>
      </c>
      <c r="P518" s="52" t="str">
        <f t="shared" si="22"/>
        <v>0</v>
      </c>
      <c r="R518" s="52" t="str">
        <f t="shared" si="32"/>
        <v>Review</v>
      </c>
      <c r="Z518" s="81">
        <v>46070.0</v>
      </c>
      <c r="AA518" s="81" t="s">
        <v>4000</v>
      </c>
      <c r="AB518" s="81" t="s">
        <v>3998</v>
      </c>
      <c r="AC518" s="81">
        <f t="shared" si="5"/>
        <v>46069</v>
      </c>
      <c r="AD518" s="82">
        <f t="shared" si="6"/>
        <v>2</v>
      </c>
    </row>
    <row r="519">
      <c r="A519" s="104">
        <v>46070.0</v>
      </c>
      <c r="B519" s="89" t="s">
        <v>2035</v>
      </c>
      <c r="C519" s="89" t="s">
        <v>2036</v>
      </c>
      <c r="D519" s="89" t="s">
        <v>2037</v>
      </c>
      <c r="E519" s="89" t="s">
        <v>274</v>
      </c>
      <c r="F519" s="81">
        <f>IFERROR(__xludf.DUMMYFUNCTION("""COMPUTED_VALUE"""),46070.0)</f>
        <v>46070</v>
      </c>
      <c r="G519" s="89" t="s">
        <v>3996</v>
      </c>
      <c r="H519" s="89">
        <v>8.0</v>
      </c>
      <c r="I519" s="89" t="s">
        <v>3966</v>
      </c>
      <c r="J519" s="89" t="str">
        <f t="shared" si="18"/>
        <v>No</v>
      </c>
      <c r="K519" s="89" t="str">
        <f t="shared" si="23"/>
        <v>No</v>
      </c>
      <c r="L519" s="89" t="str">
        <f>IFERROR(__xludf.DUMMYFUNCTION("""COMPUTED_VALUE"""),"https://jobright.ai/jobs/info/698b93c50f6f7e7a2ce70a99?utm_source=1100&amp;utm_campaign=Software Engineering")</f>
        <v>https://jobright.ai/jobs/info/698b93c50f6f7e7a2ce70a99?utm_source=1100&amp;utm_campaign=Software Engineering</v>
      </c>
      <c r="M519" s="89" t="str">
        <f>IFERROR(__xludf.DUMMYFUNCTION("""COMPUTED_VALUE"""),"")</f>
        <v/>
      </c>
      <c r="N519" s="89">
        <f>IFERROR(__xludf.DUMMYFUNCTION("""COMPUTED_VALUE"""),698.0)</f>
        <v>698</v>
      </c>
      <c r="P519" s="52" t="str">
        <f t="shared" si="22"/>
        <v>0</v>
      </c>
      <c r="R519" s="52" t="str">
        <f t="shared" si="32"/>
        <v>Review</v>
      </c>
      <c r="Z519" s="81">
        <v>46070.0</v>
      </c>
      <c r="AA519" s="81" t="s">
        <v>4000</v>
      </c>
      <c r="AB519" s="81" t="s">
        <v>3998</v>
      </c>
      <c r="AC519" s="81">
        <f t="shared" si="5"/>
        <v>46069</v>
      </c>
      <c r="AD519" s="82">
        <f t="shared" si="6"/>
        <v>2</v>
      </c>
    </row>
    <row r="520">
      <c r="A520" s="104">
        <v>46070.0</v>
      </c>
      <c r="B520" s="89" t="s">
        <v>2040</v>
      </c>
      <c r="C520" s="89" t="s">
        <v>2041</v>
      </c>
      <c r="D520" s="89" t="s">
        <v>2042</v>
      </c>
      <c r="E520" s="89" t="s">
        <v>274</v>
      </c>
      <c r="F520" s="81">
        <f>IFERROR(__xludf.DUMMYFUNCTION("""COMPUTED_VALUE"""),46070.0)</f>
        <v>46070</v>
      </c>
      <c r="G520" s="89" t="s">
        <v>3996</v>
      </c>
      <c r="H520" s="89">
        <v>8.0</v>
      </c>
      <c r="I520" s="89" t="s">
        <v>3966</v>
      </c>
      <c r="J520" s="89" t="str">
        <f t="shared" si="18"/>
        <v>No</v>
      </c>
      <c r="K520" s="89" t="str">
        <f t="shared" si="23"/>
        <v>No</v>
      </c>
      <c r="L520" s="89" t="str">
        <f>IFERROR(__xludf.DUMMYFUNCTION("""COMPUTED_VALUE"""),"https://jobright.ai/jobs/info/6994d5c9e0bddb6acac35277?utm_source=1100&amp;utm_campaign=Software Engineering")</f>
        <v>https://jobright.ai/jobs/info/6994d5c9e0bddb6acac35277?utm_source=1100&amp;utm_campaign=Software Engineering</v>
      </c>
      <c r="M520" s="89" t="str">
        <f>IFERROR(__xludf.DUMMYFUNCTION("""COMPUTED_VALUE"""),"")</f>
        <v/>
      </c>
      <c r="N520" s="89">
        <f>IFERROR(__xludf.DUMMYFUNCTION("""COMPUTED_VALUE"""),6994.0)</f>
        <v>6994</v>
      </c>
      <c r="P520" s="52" t="str">
        <f t="shared" si="22"/>
        <v>0</v>
      </c>
      <c r="R520" s="52" t="str">
        <f t="shared" si="32"/>
        <v>Review</v>
      </c>
      <c r="Z520" s="81">
        <v>46070.0</v>
      </c>
      <c r="AA520" s="81" t="s">
        <v>4000</v>
      </c>
      <c r="AB520" s="81" t="s">
        <v>3998</v>
      </c>
      <c r="AC520" s="81">
        <f t="shared" si="5"/>
        <v>46069</v>
      </c>
      <c r="AD520" s="82">
        <f t="shared" si="6"/>
        <v>2</v>
      </c>
    </row>
    <row r="521">
      <c r="A521" s="104">
        <v>46070.0</v>
      </c>
      <c r="B521" s="89" t="s">
        <v>2046</v>
      </c>
      <c r="C521" s="89" t="s">
        <v>2047</v>
      </c>
      <c r="D521" s="89" t="s">
        <v>2048</v>
      </c>
      <c r="E521" s="89" t="s">
        <v>971</v>
      </c>
      <c r="F521" s="81">
        <f>IFERROR(__xludf.DUMMYFUNCTION("""COMPUTED_VALUE"""),46070.0)</f>
        <v>46070</v>
      </c>
      <c r="G521" s="89" t="s">
        <v>3996</v>
      </c>
      <c r="H521" s="89">
        <v>8.0</v>
      </c>
      <c r="I521" s="89" t="s">
        <v>3966</v>
      </c>
      <c r="J521" s="89" t="str">
        <f t="shared" si="18"/>
        <v>No</v>
      </c>
      <c r="K521" s="89" t="str">
        <f t="shared" si="23"/>
        <v>No</v>
      </c>
      <c r="L521" s="89" t="str">
        <f>IFERROR(__xludf.DUMMYFUNCTION("""COMPUTED_VALUE"""),"https://jobright.ai/jobs/info/6994efec81476f6176acc902?utm_source=1100&amp;utm_campaign=Software Engineering")</f>
        <v>https://jobright.ai/jobs/info/6994efec81476f6176acc902?utm_source=1100&amp;utm_campaign=Software Engineering</v>
      </c>
      <c r="M521" s="89" t="str">
        <f>IFERROR(__xludf.DUMMYFUNCTION("""COMPUTED_VALUE"""),"")</f>
        <v/>
      </c>
      <c r="N521" s="89">
        <f>IFERROR(__xludf.DUMMYFUNCTION("""COMPUTED_VALUE"""),6994.0)</f>
        <v>6994</v>
      </c>
      <c r="P521" s="52" t="str">
        <f t="shared" si="22"/>
        <v>0</v>
      </c>
      <c r="R521" s="52" t="str">
        <f t="shared" si="32"/>
        <v>Review</v>
      </c>
      <c r="Z521" s="81">
        <v>46070.0</v>
      </c>
      <c r="AA521" s="81" t="s">
        <v>4000</v>
      </c>
      <c r="AB521" s="81" t="s">
        <v>3998</v>
      </c>
      <c r="AC521" s="81">
        <f t="shared" si="5"/>
        <v>46069</v>
      </c>
      <c r="AD521" s="82">
        <f t="shared" si="6"/>
        <v>2</v>
      </c>
    </row>
    <row r="522">
      <c r="A522" s="104">
        <v>46070.0</v>
      </c>
      <c r="B522" s="89" t="s">
        <v>2053</v>
      </c>
      <c r="C522" s="89" t="s">
        <v>2054</v>
      </c>
      <c r="D522" s="89" t="s">
        <v>2055</v>
      </c>
      <c r="E522" s="89" t="s">
        <v>971</v>
      </c>
      <c r="F522" s="81">
        <f>IFERROR(__xludf.DUMMYFUNCTION("""COMPUTED_VALUE"""),46070.0)</f>
        <v>46070</v>
      </c>
      <c r="G522" s="89" t="s">
        <v>3996</v>
      </c>
      <c r="H522" s="89">
        <v>8.0</v>
      </c>
      <c r="I522" s="89" t="s">
        <v>3966</v>
      </c>
      <c r="J522" s="89" t="str">
        <f t="shared" si="18"/>
        <v>No</v>
      </c>
      <c r="K522" s="89" t="str">
        <f t="shared" si="23"/>
        <v>No</v>
      </c>
      <c r="L522" s="89" t="str">
        <f>IFERROR(__xludf.DUMMYFUNCTION("""COMPUTED_VALUE"""),"https://jobright.ai/jobs/info/6994f6ed81476f6176accf60?utm_source=1100&amp;utm_campaign=Software Engineering")</f>
        <v>https://jobright.ai/jobs/info/6994f6ed81476f6176accf60?utm_source=1100&amp;utm_campaign=Software Engineering</v>
      </c>
      <c r="M522" s="89" t="str">
        <f>IFERROR(__xludf.DUMMYFUNCTION("""COMPUTED_VALUE"""),"")</f>
        <v/>
      </c>
      <c r="N522" s="89">
        <f>IFERROR(__xludf.DUMMYFUNCTION("""COMPUTED_VALUE"""),6994.0)</f>
        <v>6994</v>
      </c>
      <c r="P522" s="52" t="str">
        <f t="shared" si="22"/>
        <v>0</v>
      </c>
      <c r="R522" s="52" t="str">
        <f t="shared" si="32"/>
        <v>Review</v>
      </c>
      <c r="Z522" s="81">
        <v>46070.0</v>
      </c>
      <c r="AA522" s="81" t="s">
        <v>4000</v>
      </c>
      <c r="AB522" s="81" t="s">
        <v>3998</v>
      </c>
      <c r="AC522" s="81">
        <f t="shared" si="5"/>
        <v>46069</v>
      </c>
      <c r="AD522" s="82">
        <f t="shared" si="6"/>
        <v>2</v>
      </c>
    </row>
    <row r="523">
      <c r="A523" s="104">
        <v>46070.0</v>
      </c>
      <c r="B523" s="89" t="s">
        <v>2059</v>
      </c>
      <c r="C523" s="89" t="s">
        <v>804</v>
      </c>
      <c r="D523" s="89" t="s">
        <v>2060</v>
      </c>
      <c r="E523" s="89" t="s">
        <v>971</v>
      </c>
      <c r="F523" s="81">
        <f>IFERROR(__xludf.DUMMYFUNCTION("""COMPUTED_VALUE"""),46070.0)</f>
        <v>46070</v>
      </c>
      <c r="G523" s="89" t="s">
        <v>3996</v>
      </c>
      <c r="H523" s="89">
        <v>8.0</v>
      </c>
      <c r="I523" s="89" t="s">
        <v>3966</v>
      </c>
      <c r="J523" s="89" t="str">
        <f t="shared" si="18"/>
        <v>No</v>
      </c>
      <c r="K523" s="89" t="str">
        <f t="shared" si="23"/>
        <v>No</v>
      </c>
      <c r="L523" s="89" t="str">
        <f>IFERROR(__xludf.DUMMYFUNCTION("""COMPUTED_VALUE"""),"https://jobright.ai/jobs/info/6940937baa598a08c3f03f56?utm_source=1100&amp;utm_campaign=Software Engineering")</f>
        <v>https://jobright.ai/jobs/info/6940937baa598a08c3f03f56?utm_source=1100&amp;utm_campaign=Software Engineering</v>
      </c>
      <c r="M523" s="89" t="str">
        <f>IFERROR(__xludf.DUMMYFUNCTION("""COMPUTED_VALUE"""),"")</f>
        <v/>
      </c>
      <c r="N523" s="89">
        <f>IFERROR(__xludf.DUMMYFUNCTION("""COMPUTED_VALUE"""),6940937.0)</f>
        <v>6940937</v>
      </c>
      <c r="P523" s="52" t="str">
        <f t="shared" si="22"/>
        <v>0</v>
      </c>
      <c r="R523" s="52" t="str">
        <f t="shared" si="32"/>
        <v>Review</v>
      </c>
      <c r="Z523" s="81">
        <v>46070.0</v>
      </c>
      <c r="AA523" s="81" t="s">
        <v>4000</v>
      </c>
      <c r="AB523" s="81" t="s">
        <v>3998</v>
      </c>
      <c r="AC523" s="81">
        <f t="shared" si="5"/>
        <v>46069</v>
      </c>
      <c r="AD523" s="82">
        <f t="shared" si="6"/>
        <v>2</v>
      </c>
    </row>
    <row r="524">
      <c r="A524" s="104">
        <v>46070.0</v>
      </c>
      <c r="B524" s="89" t="s">
        <v>2065</v>
      </c>
      <c r="C524" s="89" t="s">
        <v>2066</v>
      </c>
      <c r="D524" s="89" t="s">
        <v>2067</v>
      </c>
      <c r="E524" s="89" t="s">
        <v>969</v>
      </c>
      <c r="F524" s="81">
        <f>IFERROR(__xludf.DUMMYFUNCTION("""COMPUTED_VALUE"""),46070.0)</f>
        <v>46070</v>
      </c>
      <c r="G524" s="89" t="s">
        <v>3996</v>
      </c>
      <c r="H524" s="89">
        <v>8.0</v>
      </c>
      <c r="I524" s="89" t="s">
        <v>3966</v>
      </c>
      <c r="J524" s="89" t="str">
        <f t="shared" si="18"/>
        <v>No</v>
      </c>
      <c r="K524" s="89" t="str">
        <f t="shared" si="23"/>
        <v>No</v>
      </c>
      <c r="L524" s="89" t="str">
        <f>IFERROR(__xludf.DUMMYFUNCTION("""COMPUTED_VALUE"""),"https://jobright.ai/jobs/info/6994b129e0bddb6acac32229?utm_source=1100&amp;utm_campaign=Software Engineering")</f>
        <v>https://jobright.ai/jobs/info/6994b129e0bddb6acac32229?utm_source=1100&amp;utm_campaign=Software Engineering</v>
      </c>
      <c r="M524" s="89" t="str">
        <f>IFERROR(__xludf.DUMMYFUNCTION("""COMPUTED_VALUE"""),"")</f>
        <v/>
      </c>
      <c r="N524" s="89">
        <f>IFERROR(__xludf.DUMMYFUNCTION("""COMPUTED_VALUE"""),6994.0)</f>
        <v>6994</v>
      </c>
      <c r="P524" s="52" t="str">
        <f t="shared" si="22"/>
        <v>0</v>
      </c>
      <c r="R524" s="52" t="str">
        <f t="shared" si="32"/>
        <v>Review</v>
      </c>
      <c r="Z524" s="81">
        <v>46070.0</v>
      </c>
      <c r="AA524" s="81" t="s">
        <v>4000</v>
      </c>
      <c r="AB524" s="81" t="s">
        <v>3998</v>
      </c>
      <c r="AC524" s="81">
        <f t="shared" si="5"/>
        <v>46069</v>
      </c>
      <c r="AD524" s="82">
        <f t="shared" si="6"/>
        <v>2</v>
      </c>
    </row>
    <row r="525">
      <c r="A525" s="104">
        <v>46070.0</v>
      </c>
      <c r="B525" s="89" t="s">
        <v>2072</v>
      </c>
      <c r="C525" s="89" t="s">
        <v>2073</v>
      </c>
      <c r="D525" s="89" t="s">
        <v>2074</v>
      </c>
      <c r="E525" s="89" t="s">
        <v>969</v>
      </c>
      <c r="F525" s="81">
        <f>IFERROR(__xludf.DUMMYFUNCTION("""COMPUTED_VALUE"""),46070.0)</f>
        <v>46070</v>
      </c>
      <c r="G525" s="89" t="s">
        <v>3996</v>
      </c>
      <c r="H525" s="89">
        <v>8.0</v>
      </c>
      <c r="I525" s="89" t="s">
        <v>3966</v>
      </c>
      <c r="J525" s="89" t="str">
        <f t="shared" si="18"/>
        <v>No</v>
      </c>
      <c r="K525" s="89" t="str">
        <f t="shared" si="23"/>
        <v>No</v>
      </c>
      <c r="L525" s="89" t="str">
        <f>IFERROR(__xludf.DUMMYFUNCTION("""COMPUTED_VALUE"""),"https://jobright.ai/jobs/info/6977e54a52f3c27ec6440e37?utm_source=1100&amp;utm_campaign=Software Engineering")</f>
        <v>https://jobright.ai/jobs/info/6977e54a52f3c27ec6440e37?utm_source=1100&amp;utm_campaign=Software Engineering</v>
      </c>
      <c r="M525" s="89" t="str">
        <f>IFERROR(__xludf.DUMMYFUNCTION("""COMPUTED_VALUE"""),"")</f>
        <v/>
      </c>
      <c r="N525" s="89">
        <f>IFERROR(__xludf.DUMMYFUNCTION("""COMPUTED_VALUE"""),6977.0)</f>
        <v>6977</v>
      </c>
      <c r="P525" s="52" t="str">
        <f t="shared" si="22"/>
        <v>0</v>
      </c>
      <c r="R525" s="52" t="str">
        <f t="shared" si="32"/>
        <v>Review</v>
      </c>
      <c r="Z525" s="81">
        <v>46070.0</v>
      </c>
      <c r="AA525" s="81" t="s">
        <v>4000</v>
      </c>
      <c r="AB525" s="81" t="s">
        <v>3998</v>
      </c>
      <c r="AC525" s="81">
        <f t="shared" si="5"/>
        <v>46069</v>
      </c>
      <c r="AD525" s="82">
        <f t="shared" si="6"/>
        <v>2</v>
      </c>
    </row>
    <row r="526">
      <c r="A526" s="104">
        <v>46070.0</v>
      </c>
      <c r="B526" s="89" t="s">
        <v>1464</v>
      </c>
      <c r="C526" s="89" t="s">
        <v>1465</v>
      </c>
      <c r="D526" s="89" t="s">
        <v>2078</v>
      </c>
      <c r="E526" s="89" t="s">
        <v>969</v>
      </c>
      <c r="F526" s="81">
        <f>IFERROR(__xludf.DUMMYFUNCTION("""COMPUTED_VALUE"""),46070.0)</f>
        <v>46070</v>
      </c>
      <c r="G526" s="89" t="s">
        <v>3996</v>
      </c>
      <c r="H526" s="89">
        <v>8.0</v>
      </c>
      <c r="I526" s="89" t="s">
        <v>3966</v>
      </c>
      <c r="J526" s="89" t="str">
        <f t="shared" si="18"/>
        <v>No</v>
      </c>
      <c r="K526" s="89" t="str">
        <f t="shared" si="23"/>
        <v>No</v>
      </c>
      <c r="L526" s="89" t="str">
        <f>IFERROR(__xludf.DUMMYFUNCTION("""COMPUTED_VALUE"""),"https://jobright.ai/jobs/info/69781999fdeb8243a27b0d10?utm_source=1100&amp;utm_campaign=Software Engineering")</f>
        <v>https://jobright.ai/jobs/info/69781999fdeb8243a27b0d10?utm_source=1100&amp;utm_campaign=Software Engineering</v>
      </c>
      <c r="M526" s="89" t="str">
        <f>IFERROR(__xludf.DUMMYFUNCTION("""COMPUTED_VALUE"""),"")</f>
        <v/>
      </c>
      <c r="N526" s="89">
        <f>IFERROR(__xludf.DUMMYFUNCTION("""COMPUTED_VALUE"""),6.9781999E7)</f>
        <v>69781999</v>
      </c>
      <c r="P526" s="52" t="str">
        <f t="shared" si="22"/>
        <v>0</v>
      </c>
      <c r="R526" s="52" t="str">
        <f t="shared" si="32"/>
        <v>Review</v>
      </c>
      <c r="Z526" s="81">
        <v>46070.0</v>
      </c>
      <c r="AA526" s="81" t="s">
        <v>4000</v>
      </c>
      <c r="AB526" s="81" t="s">
        <v>3998</v>
      </c>
      <c r="AC526" s="81">
        <f t="shared" si="5"/>
        <v>46069</v>
      </c>
      <c r="AD526" s="82">
        <f t="shared" si="6"/>
        <v>2</v>
      </c>
    </row>
    <row r="527">
      <c r="A527" s="104">
        <v>46070.0</v>
      </c>
      <c r="B527" s="89" t="s">
        <v>2081</v>
      </c>
      <c r="C527" s="89" t="s">
        <v>2082</v>
      </c>
      <c r="D527" s="89" t="s">
        <v>969</v>
      </c>
      <c r="E527" s="89" t="s">
        <v>2083</v>
      </c>
      <c r="F527" s="81">
        <f>IFERROR(__xludf.DUMMYFUNCTION("""COMPUTED_VALUE"""),46070.0)</f>
        <v>46070</v>
      </c>
      <c r="G527" s="89" t="s">
        <v>3996</v>
      </c>
      <c r="H527" s="89">
        <v>8.0</v>
      </c>
      <c r="I527" s="89" t="s">
        <v>3966</v>
      </c>
      <c r="J527" s="89" t="str">
        <f t="shared" si="18"/>
        <v>No</v>
      </c>
      <c r="K527" s="89" t="str">
        <f t="shared" si="23"/>
        <v>No</v>
      </c>
      <c r="L527" s="89" t="str">
        <f>IFERROR(__xludf.DUMMYFUNCTION("""COMPUTED_VALUE"""),"Hybrid")</f>
        <v>Hybrid</v>
      </c>
      <c r="M527" s="89" t="str">
        <f>IFERROR(__xludf.DUMMYFUNCTION("""COMPUTED_VALUE"""),"")</f>
        <v/>
      </c>
      <c r="N527" s="89" t="str">
        <f>IFERROR(__xludf.DUMMYFUNCTION("""COMPUTED_VALUE"""),"")</f>
        <v/>
      </c>
      <c r="P527" s="52" t="str">
        <f t="shared" si="22"/>
        <v>0</v>
      </c>
      <c r="R527" s="52" t="str">
        <f t="shared" si="32"/>
        <v>Review</v>
      </c>
      <c r="Z527" s="81">
        <v>46070.0</v>
      </c>
      <c r="AA527" s="81" t="s">
        <v>4000</v>
      </c>
      <c r="AB527" s="81" t="s">
        <v>3998</v>
      </c>
      <c r="AC527" s="81">
        <f t="shared" si="5"/>
        <v>46069</v>
      </c>
      <c r="AD527" s="82">
        <f t="shared" si="6"/>
        <v>2</v>
      </c>
    </row>
    <row r="528">
      <c r="A528" s="104">
        <v>46070.0</v>
      </c>
      <c r="B528" s="89" t="s">
        <v>2088</v>
      </c>
      <c r="C528" s="89" t="s">
        <v>2089</v>
      </c>
      <c r="D528" s="89" t="s">
        <v>969</v>
      </c>
      <c r="E528" s="89" t="s">
        <v>2090</v>
      </c>
      <c r="F528" s="81">
        <f>IFERROR(__xludf.DUMMYFUNCTION("""COMPUTED_VALUE"""),46070.0)</f>
        <v>46070</v>
      </c>
      <c r="G528" s="89" t="s">
        <v>3996</v>
      </c>
      <c r="H528" s="89">
        <v>8.0</v>
      </c>
      <c r="I528" s="89" t="s">
        <v>3966</v>
      </c>
      <c r="J528" s="89" t="str">
        <f t="shared" si="18"/>
        <v>No</v>
      </c>
      <c r="K528" s="89" t="str">
        <f t="shared" si="23"/>
        <v>No</v>
      </c>
      <c r="L528" s="89" t="str">
        <f>IFERROR(__xludf.DUMMYFUNCTION("""COMPUTED_VALUE"""),"Hybrid")</f>
        <v>Hybrid</v>
      </c>
      <c r="M528" s="89" t="str">
        <f>IFERROR(__xludf.DUMMYFUNCTION("""COMPUTED_VALUE"""),"")</f>
        <v/>
      </c>
      <c r="N528" s="89" t="str">
        <f>IFERROR(__xludf.DUMMYFUNCTION("""COMPUTED_VALUE"""),"")</f>
        <v/>
      </c>
      <c r="P528" s="52" t="str">
        <f t="shared" si="22"/>
        <v>0</v>
      </c>
      <c r="R528" s="52" t="str">
        <f t="shared" si="32"/>
        <v>Review</v>
      </c>
      <c r="Z528" s="81">
        <v>46070.0</v>
      </c>
      <c r="AA528" s="81" t="s">
        <v>4000</v>
      </c>
      <c r="AB528" s="81" t="s">
        <v>3998</v>
      </c>
      <c r="AC528" s="81">
        <f t="shared" si="5"/>
        <v>46069</v>
      </c>
      <c r="AD528" s="82">
        <f t="shared" si="6"/>
        <v>2</v>
      </c>
    </row>
    <row r="529">
      <c r="A529" s="104">
        <v>46070.0</v>
      </c>
      <c r="B529" s="89" t="s">
        <v>2095</v>
      </c>
      <c r="C529" s="89" t="s">
        <v>2096</v>
      </c>
      <c r="D529" s="89" t="s">
        <v>969</v>
      </c>
      <c r="E529" s="89" t="s">
        <v>1077</v>
      </c>
      <c r="F529" s="81">
        <f>IFERROR(__xludf.DUMMYFUNCTION("""COMPUTED_VALUE"""),46070.0)</f>
        <v>46070</v>
      </c>
      <c r="G529" s="89" t="s">
        <v>3996</v>
      </c>
      <c r="H529" s="89">
        <v>8.0</v>
      </c>
      <c r="I529" s="89" t="s">
        <v>3966</v>
      </c>
      <c r="J529" s="89" t="str">
        <f t="shared" si="18"/>
        <v>No</v>
      </c>
      <c r="K529" s="89" t="str">
        <f t="shared" si="23"/>
        <v>No</v>
      </c>
      <c r="L529" s="89" t="str">
        <f>IFERROR(__xludf.DUMMYFUNCTION("""COMPUTED_VALUE"""),"Hybrid")</f>
        <v>Hybrid</v>
      </c>
      <c r="M529" s="89" t="str">
        <f>IFERROR(__xludf.DUMMYFUNCTION("""COMPUTED_VALUE"""),"")</f>
        <v/>
      </c>
      <c r="N529" s="89" t="str">
        <f>IFERROR(__xludf.DUMMYFUNCTION("""COMPUTED_VALUE"""),"")</f>
        <v/>
      </c>
      <c r="P529" s="52" t="str">
        <f t="shared" si="22"/>
        <v>0</v>
      </c>
      <c r="R529" s="52" t="str">
        <f t="shared" si="32"/>
        <v>Review</v>
      </c>
      <c r="Z529" s="81">
        <v>46070.0</v>
      </c>
      <c r="AA529" s="81" t="s">
        <v>4000</v>
      </c>
      <c r="AB529" s="81" t="s">
        <v>3998</v>
      </c>
      <c r="AC529" s="81">
        <f t="shared" si="5"/>
        <v>46069</v>
      </c>
      <c r="AD529" s="82">
        <f t="shared" si="6"/>
        <v>2</v>
      </c>
    </row>
    <row r="530">
      <c r="A530" s="104">
        <v>46070.0</v>
      </c>
      <c r="B530" s="89" t="s">
        <v>2100</v>
      </c>
      <c r="C530" s="89" t="s">
        <v>2101</v>
      </c>
      <c r="D530" s="89" t="s">
        <v>274</v>
      </c>
      <c r="E530" s="89" t="s">
        <v>858</v>
      </c>
      <c r="F530" s="81">
        <f>IFERROR(__xludf.DUMMYFUNCTION("""COMPUTED_VALUE"""),46070.0)</f>
        <v>46070</v>
      </c>
      <c r="G530" s="89" t="s">
        <v>3996</v>
      </c>
      <c r="H530" s="89">
        <v>8.0</v>
      </c>
      <c r="I530" s="89" t="s">
        <v>3966</v>
      </c>
      <c r="J530" s="89" t="str">
        <f t="shared" si="18"/>
        <v>No</v>
      </c>
      <c r="K530" s="89" t="str">
        <f t="shared" si="23"/>
        <v>No</v>
      </c>
      <c r="L530" s="89" t="str">
        <f>IFERROR(__xludf.DUMMYFUNCTION("""COMPUTED_VALUE"""),"Remote")</f>
        <v>Remote</v>
      </c>
      <c r="M530" s="89" t="str">
        <f>IFERROR(__xludf.DUMMYFUNCTION("""COMPUTED_VALUE"""),"")</f>
        <v/>
      </c>
      <c r="N530" s="89" t="str">
        <f>IFERROR(__xludf.DUMMYFUNCTION("""COMPUTED_VALUE"""),"")</f>
        <v/>
      </c>
      <c r="P530" s="52" t="str">
        <f t="shared" si="22"/>
        <v>0</v>
      </c>
      <c r="R530" s="52" t="str">
        <f t="shared" si="32"/>
        <v>Review</v>
      </c>
      <c r="Z530" s="81">
        <v>46070.0</v>
      </c>
      <c r="AA530" s="81" t="s">
        <v>4000</v>
      </c>
      <c r="AB530" s="81" t="s">
        <v>3998</v>
      </c>
      <c r="AC530" s="81">
        <f t="shared" si="5"/>
        <v>46069</v>
      </c>
      <c r="AD530" s="82">
        <f t="shared" si="6"/>
        <v>2</v>
      </c>
    </row>
    <row r="531">
      <c r="A531" s="104">
        <v>46070.0</v>
      </c>
      <c r="B531" s="89" t="s">
        <v>2106</v>
      </c>
      <c r="C531" s="89" t="s">
        <v>2107</v>
      </c>
      <c r="D531" s="89" t="s">
        <v>971</v>
      </c>
      <c r="E531" s="89" t="s">
        <v>2108</v>
      </c>
      <c r="F531" s="81">
        <f>IFERROR(__xludf.DUMMYFUNCTION("""COMPUTED_VALUE"""),46070.0)</f>
        <v>46070</v>
      </c>
      <c r="G531" s="89" t="s">
        <v>3996</v>
      </c>
      <c r="H531" s="89">
        <v>8.0</v>
      </c>
      <c r="I531" s="89" t="s">
        <v>3966</v>
      </c>
      <c r="J531" s="89" t="str">
        <f t="shared" si="18"/>
        <v>No</v>
      </c>
      <c r="K531" s="89" t="str">
        <f t="shared" si="23"/>
        <v>No</v>
      </c>
      <c r="L531" s="89" t="str">
        <f>IFERROR(__xludf.DUMMYFUNCTION("""COMPUTED_VALUE"""),"On Site")</f>
        <v>On Site</v>
      </c>
      <c r="M531" s="89" t="str">
        <f>IFERROR(__xludf.DUMMYFUNCTION("""COMPUTED_VALUE"""),"")</f>
        <v/>
      </c>
      <c r="N531" s="89" t="str">
        <f>IFERROR(__xludf.DUMMYFUNCTION("""COMPUTED_VALUE"""),"")</f>
        <v/>
      </c>
      <c r="P531" s="52" t="str">
        <f t="shared" si="22"/>
        <v>0</v>
      </c>
      <c r="R531" s="52" t="str">
        <f t="shared" si="32"/>
        <v>Review</v>
      </c>
      <c r="Z531" s="81">
        <v>46070.0</v>
      </c>
      <c r="AA531" s="81" t="s">
        <v>4000</v>
      </c>
      <c r="AB531" s="81" t="s">
        <v>3998</v>
      </c>
      <c r="AC531" s="81">
        <f t="shared" si="5"/>
        <v>46069</v>
      </c>
      <c r="AD531" s="82">
        <f t="shared" si="6"/>
        <v>2</v>
      </c>
    </row>
    <row r="532">
      <c r="A532" s="104">
        <v>46070.0</v>
      </c>
      <c r="B532" s="89" t="s">
        <v>2113</v>
      </c>
      <c r="C532" s="89" t="s">
        <v>2114</v>
      </c>
      <c r="D532" s="89" t="s">
        <v>971</v>
      </c>
      <c r="E532" s="89" t="s">
        <v>2115</v>
      </c>
      <c r="F532" s="81">
        <f>IFERROR(__xludf.DUMMYFUNCTION("""COMPUTED_VALUE"""),46070.0)</f>
        <v>46070</v>
      </c>
      <c r="G532" s="89" t="s">
        <v>3996</v>
      </c>
      <c r="H532" s="89">
        <v>8.0</v>
      </c>
      <c r="I532" s="89" t="s">
        <v>3966</v>
      </c>
      <c r="J532" s="89" t="str">
        <f t="shared" si="18"/>
        <v>No</v>
      </c>
      <c r="K532" s="89" t="str">
        <f t="shared" si="23"/>
        <v>No</v>
      </c>
      <c r="L532" s="89" t="str">
        <f>IFERROR(__xludf.DUMMYFUNCTION("""COMPUTED_VALUE"""),"On Site")</f>
        <v>On Site</v>
      </c>
      <c r="M532" s="89" t="str">
        <f>IFERROR(__xludf.DUMMYFUNCTION("""COMPUTED_VALUE"""),"")</f>
        <v/>
      </c>
      <c r="N532" s="89" t="str">
        <f>IFERROR(__xludf.DUMMYFUNCTION("""COMPUTED_VALUE"""),"")</f>
        <v/>
      </c>
      <c r="P532" s="52" t="str">
        <f t="shared" si="22"/>
        <v>0</v>
      </c>
      <c r="R532" s="52" t="str">
        <f t="shared" si="32"/>
        <v>Review</v>
      </c>
      <c r="Z532" s="81">
        <v>46070.0</v>
      </c>
      <c r="AA532" s="81" t="s">
        <v>4000</v>
      </c>
      <c r="AB532" s="81" t="s">
        <v>3998</v>
      </c>
      <c r="AC532" s="81">
        <f t="shared" si="5"/>
        <v>46069</v>
      </c>
      <c r="AD532" s="82">
        <f t="shared" si="6"/>
        <v>2</v>
      </c>
    </row>
    <row r="533">
      <c r="A533" s="104">
        <v>46070.0</v>
      </c>
      <c r="B533" s="89" t="s">
        <v>2117</v>
      </c>
      <c r="C533" s="89" t="s">
        <v>2118</v>
      </c>
      <c r="D533" s="89" t="s">
        <v>971</v>
      </c>
      <c r="E533" s="89" t="s">
        <v>2119</v>
      </c>
      <c r="F533" s="81">
        <f>IFERROR(__xludf.DUMMYFUNCTION("""COMPUTED_VALUE"""),46070.0)</f>
        <v>46070</v>
      </c>
      <c r="G533" s="89" t="s">
        <v>3996</v>
      </c>
      <c r="H533" s="89">
        <v>8.0</v>
      </c>
      <c r="I533" s="89" t="s">
        <v>3966</v>
      </c>
      <c r="J533" s="89" t="str">
        <f t="shared" si="18"/>
        <v>No</v>
      </c>
      <c r="K533" s="89" t="str">
        <f t="shared" si="23"/>
        <v>No</v>
      </c>
      <c r="L533" s="89" t="str">
        <f>IFERROR(__xludf.DUMMYFUNCTION("""COMPUTED_VALUE"""),"On Site")</f>
        <v>On Site</v>
      </c>
      <c r="M533" s="89" t="str">
        <f>IFERROR(__xludf.DUMMYFUNCTION("""COMPUTED_VALUE"""),"")</f>
        <v/>
      </c>
      <c r="N533" s="89" t="str">
        <f>IFERROR(__xludf.DUMMYFUNCTION("""COMPUTED_VALUE"""),"")</f>
        <v/>
      </c>
      <c r="P533" s="52" t="str">
        <f t="shared" si="22"/>
        <v>0</v>
      </c>
      <c r="R533" s="52" t="str">
        <f t="shared" si="32"/>
        <v>Review</v>
      </c>
      <c r="Z533" s="81">
        <v>46070.0</v>
      </c>
      <c r="AA533" s="81" t="s">
        <v>4000</v>
      </c>
      <c r="AB533" s="81" t="s">
        <v>3998</v>
      </c>
      <c r="AC533" s="81">
        <f t="shared" si="5"/>
        <v>46069</v>
      </c>
      <c r="AD533" s="82">
        <f t="shared" si="6"/>
        <v>2</v>
      </c>
    </row>
    <row r="534">
      <c r="A534" s="104">
        <v>46065.0</v>
      </c>
      <c r="B534" s="89" t="s">
        <v>2124</v>
      </c>
      <c r="C534" s="89" t="s">
        <v>2125</v>
      </c>
      <c r="D534" s="89"/>
      <c r="E534" s="89"/>
      <c r="F534" s="81">
        <f>IFERROR(__xludf.DUMMYFUNCTION("""COMPUTED_VALUE"""),46065.0)</f>
        <v>46065</v>
      </c>
      <c r="G534" s="89" t="s">
        <v>3996</v>
      </c>
      <c r="H534" s="89">
        <v>7.0</v>
      </c>
      <c r="I534" s="89" t="s">
        <v>3972</v>
      </c>
      <c r="J534" s="89" t="str">
        <f t="shared" si="18"/>
        <v>No</v>
      </c>
      <c r="K534" s="89" t="str">
        <f t="shared" si="23"/>
        <v>No</v>
      </c>
      <c r="L534" s="89" t="str">
        <f>IFERROR(__xludf.DUMMYFUNCTION("""COMPUTED_VALUE"""),"")</f>
        <v/>
      </c>
      <c r="M534" s="89" t="str">
        <f>IFERROR(__xludf.DUMMYFUNCTION("""COMPUTED_VALUE"""),"")</f>
        <v/>
      </c>
      <c r="N534" s="89" t="str">
        <f>IFERROR(__xludf.DUMMYFUNCTION("""COMPUTED_VALUE"""),"")</f>
        <v/>
      </c>
      <c r="P534" s="52" t="str">
        <f t="shared" si="22"/>
        <v>0</v>
      </c>
      <c r="R534" s="52" t="str">
        <f t="shared" si="32"/>
        <v>Review</v>
      </c>
      <c r="Z534" s="81">
        <v>46065.0</v>
      </c>
      <c r="AA534" s="81" t="s">
        <v>3999</v>
      </c>
      <c r="AB534" s="81" t="s">
        <v>3998</v>
      </c>
      <c r="AC534" s="81">
        <f t="shared" si="5"/>
        <v>46062</v>
      </c>
      <c r="AD534" s="82">
        <f t="shared" si="6"/>
        <v>4</v>
      </c>
    </row>
    <row r="535">
      <c r="A535" s="104">
        <v>46065.0</v>
      </c>
      <c r="B535" s="89" t="s">
        <v>2126</v>
      </c>
      <c r="C535" s="89" t="s">
        <v>914</v>
      </c>
      <c r="D535" s="89"/>
      <c r="E535" s="89"/>
      <c r="F535" s="81">
        <f>IFERROR(__xludf.DUMMYFUNCTION("""COMPUTED_VALUE"""),46065.0)</f>
        <v>46065</v>
      </c>
      <c r="G535" s="89" t="s">
        <v>3996</v>
      </c>
      <c r="H535" s="89">
        <v>7.0</v>
      </c>
      <c r="I535" s="89" t="s">
        <v>3972</v>
      </c>
      <c r="J535" s="89" t="str">
        <f t="shared" si="18"/>
        <v>No</v>
      </c>
      <c r="K535" s="89" t="str">
        <f t="shared" si="23"/>
        <v>No</v>
      </c>
      <c r="L535" s="89" t="str">
        <f>IFERROR(__xludf.DUMMYFUNCTION("""COMPUTED_VALUE"""),"")</f>
        <v/>
      </c>
      <c r="M535" s="89" t="str">
        <f>IFERROR(__xludf.DUMMYFUNCTION("""COMPUTED_VALUE"""),"")</f>
        <v/>
      </c>
      <c r="N535" s="89" t="str">
        <f>IFERROR(__xludf.DUMMYFUNCTION("""COMPUTED_VALUE"""),"")</f>
        <v/>
      </c>
      <c r="P535" s="52" t="str">
        <f t="shared" si="22"/>
        <v>0</v>
      </c>
      <c r="R535" s="52" t="str">
        <f t="shared" si="32"/>
        <v>Review</v>
      </c>
      <c r="Z535" s="81">
        <v>46065.0</v>
      </c>
      <c r="AA535" s="81" t="s">
        <v>3999</v>
      </c>
      <c r="AB535" s="81" t="s">
        <v>3998</v>
      </c>
      <c r="AC535" s="81">
        <f t="shared" si="5"/>
        <v>46062</v>
      </c>
      <c r="AD535" s="82">
        <f t="shared" si="6"/>
        <v>4</v>
      </c>
    </row>
    <row r="536">
      <c r="A536" s="104">
        <v>46072.0</v>
      </c>
      <c r="B536" s="104" t="s">
        <v>2127</v>
      </c>
      <c r="C536" s="89" t="s">
        <v>1562</v>
      </c>
      <c r="D536" s="89" t="s">
        <v>2128</v>
      </c>
      <c r="E536" s="89" t="s">
        <v>971</v>
      </c>
      <c r="F536" s="81">
        <f>IFERROR(__xludf.DUMMYFUNCTION("""COMPUTED_VALUE"""),46072.0)</f>
        <v>46072</v>
      </c>
      <c r="G536" s="89" t="s">
        <v>3996</v>
      </c>
      <c r="H536" s="89">
        <v>8.0</v>
      </c>
      <c r="I536" s="89" t="s">
        <v>3972</v>
      </c>
      <c r="J536" s="89" t="str">
        <f t="shared" si="18"/>
        <v>No</v>
      </c>
      <c r="K536" s="89" t="str">
        <f t="shared" si="23"/>
        <v>No</v>
      </c>
      <c r="L536" s="89" t="str">
        <f>IFERROR(__xludf.DUMMYFUNCTION("""COMPUTED_VALUE"""),"https://jobright.ai/jobs/info/6997e0f0ce78e77b4fdc5883?utm_source=1100&amp;utm_campaign=Software Engineering")</f>
        <v>https://jobright.ai/jobs/info/6997e0f0ce78e77b4fdc5883?utm_source=1100&amp;utm_campaign=Software Engineering</v>
      </c>
      <c r="M536" s="89" t="str">
        <f>IFERROR(__xludf.DUMMYFUNCTION("""COMPUTED_VALUE"""),"")</f>
        <v/>
      </c>
      <c r="N536" s="89">
        <f>IFERROR(__xludf.DUMMYFUNCTION("""COMPUTED_VALUE"""),6997.0)</f>
        <v>6997</v>
      </c>
      <c r="P536" s="52" t="str">
        <f t="shared" si="22"/>
        <v>0</v>
      </c>
      <c r="R536" s="52" t="str">
        <f t="shared" si="32"/>
        <v>Review</v>
      </c>
      <c r="Z536" s="81">
        <v>46072.0</v>
      </c>
      <c r="AA536" s="81" t="s">
        <v>4000</v>
      </c>
      <c r="AB536" s="81" t="s">
        <v>3998</v>
      </c>
      <c r="AC536" s="81">
        <f t="shared" si="5"/>
        <v>46069</v>
      </c>
      <c r="AD536" s="82">
        <f t="shared" si="6"/>
        <v>4</v>
      </c>
    </row>
    <row r="537">
      <c r="A537" s="104">
        <v>46072.0</v>
      </c>
      <c r="B537" s="104" t="s">
        <v>2127</v>
      </c>
      <c r="C537" s="89" t="s">
        <v>1562</v>
      </c>
      <c r="D537" s="89" t="s">
        <v>2132</v>
      </c>
      <c r="E537" s="89" t="s">
        <v>971</v>
      </c>
      <c r="F537" s="81">
        <f>IFERROR(__xludf.DUMMYFUNCTION("""COMPUTED_VALUE"""),46072.0)</f>
        <v>46072</v>
      </c>
      <c r="G537" s="89" t="s">
        <v>3996</v>
      </c>
      <c r="H537" s="89">
        <v>8.0</v>
      </c>
      <c r="I537" s="89" t="s">
        <v>3972</v>
      </c>
      <c r="J537" s="89" t="str">
        <f t="shared" si="18"/>
        <v>No</v>
      </c>
      <c r="K537" s="89" t="str">
        <f t="shared" si="23"/>
        <v>No</v>
      </c>
      <c r="L537" s="89" t="str">
        <f>IFERROR(__xludf.DUMMYFUNCTION("""COMPUTED_VALUE"""),"https://jobright.ai/jobs/info/6997de2ece78e77b4fdc5376?utm_source=1100&amp;utm_campaign=Software Engineering")</f>
        <v>https://jobright.ai/jobs/info/6997de2ece78e77b4fdc5376?utm_source=1100&amp;utm_campaign=Software Engineering</v>
      </c>
      <c r="M537" s="89" t="str">
        <f>IFERROR(__xludf.DUMMYFUNCTION("""COMPUTED_VALUE"""),"")</f>
        <v/>
      </c>
      <c r="N537" s="89">
        <f>IFERROR(__xludf.DUMMYFUNCTION("""COMPUTED_VALUE"""),6997.0)</f>
        <v>6997</v>
      </c>
      <c r="P537" s="52" t="str">
        <f t="shared" si="22"/>
        <v>0</v>
      </c>
      <c r="R537" s="52" t="str">
        <f t="shared" si="32"/>
        <v>Review</v>
      </c>
      <c r="Z537" s="81">
        <v>46072.0</v>
      </c>
      <c r="AA537" s="81" t="s">
        <v>4000</v>
      </c>
      <c r="AB537" s="81" t="s">
        <v>3998</v>
      </c>
      <c r="AC537" s="81">
        <f t="shared" si="5"/>
        <v>46069</v>
      </c>
      <c r="AD537" s="82">
        <f t="shared" si="6"/>
        <v>4</v>
      </c>
    </row>
    <row r="538">
      <c r="A538" s="104">
        <v>46072.0</v>
      </c>
      <c r="B538" s="104" t="s">
        <v>2133</v>
      </c>
      <c r="C538" s="89" t="s">
        <v>2134</v>
      </c>
      <c r="D538" s="89" t="s">
        <v>2135</v>
      </c>
      <c r="E538" s="89" t="s">
        <v>969</v>
      </c>
      <c r="F538" s="81">
        <f>IFERROR(__xludf.DUMMYFUNCTION("""COMPUTED_VALUE"""),46072.0)</f>
        <v>46072</v>
      </c>
      <c r="G538" s="89" t="s">
        <v>3996</v>
      </c>
      <c r="H538" s="89">
        <v>8.0</v>
      </c>
      <c r="I538" s="89" t="s">
        <v>3972</v>
      </c>
      <c r="J538" s="89" t="str">
        <f t="shared" si="18"/>
        <v>No</v>
      </c>
      <c r="K538" s="89" t="str">
        <f t="shared" si="23"/>
        <v>No</v>
      </c>
      <c r="L538" s="89" t="str">
        <f>IFERROR(__xludf.DUMMYFUNCTION("""COMPUTED_VALUE"""),"https://jobright.ai/jobs/info/68e6b5d9ae2b894b1d71ceb4?utm_source=1100&amp;utm_campaign=Software Engineering")</f>
        <v>https://jobright.ai/jobs/info/68e6b5d9ae2b894b1d71ceb4?utm_source=1100&amp;utm_campaign=Software Engineering</v>
      </c>
      <c r="M538" s="89" t="str">
        <f>IFERROR(__xludf.DUMMYFUNCTION("""COMPUTED_VALUE"""),"")</f>
        <v/>
      </c>
      <c r="N538" s="89">
        <f>IFERROR(__xludf.DUMMYFUNCTION("""COMPUTED_VALUE"""),68.0)</f>
        <v>68</v>
      </c>
      <c r="P538" s="52" t="str">
        <f t="shared" si="22"/>
        <v>0</v>
      </c>
      <c r="R538" s="52" t="str">
        <f t="shared" si="32"/>
        <v>Review</v>
      </c>
      <c r="Z538" s="81">
        <v>46072.0</v>
      </c>
      <c r="AA538" s="81" t="s">
        <v>4000</v>
      </c>
      <c r="AB538" s="81" t="s">
        <v>3998</v>
      </c>
      <c r="AC538" s="81">
        <f t="shared" si="5"/>
        <v>46069</v>
      </c>
      <c r="AD538" s="82">
        <f t="shared" si="6"/>
        <v>4</v>
      </c>
    </row>
    <row r="539">
      <c r="A539" s="104">
        <v>46072.0</v>
      </c>
      <c r="B539" s="104" t="s">
        <v>1727</v>
      </c>
      <c r="C539" s="89" t="s">
        <v>1728</v>
      </c>
      <c r="D539" s="89" t="s">
        <v>2139</v>
      </c>
      <c r="E539" s="89" t="s">
        <v>971</v>
      </c>
      <c r="F539" s="81">
        <f>IFERROR(__xludf.DUMMYFUNCTION("""COMPUTED_VALUE"""),46072.0)</f>
        <v>46072</v>
      </c>
      <c r="G539" s="89" t="s">
        <v>3996</v>
      </c>
      <c r="H539" s="89">
        <v>8.0</v>
      </c>
      <c r="I539" s="89" t="s">
        <v>3972</v>
      </c>
      <c r="J539" s="89" t="str">
        <f t="shared" si="18"/>
        <v>No</v>
      </c>
      <c r="K539" s="89" t="str">
        <f t="shared" si="23"/>
        <v>No</v>
      </c>
      <c r="L539" s="89" t="str">
        <f>IFERROR(__xludf.DUMMYFUNCTION("""COMPUTED_VALUE"""),"https://jobright.ai/jobs/info/697a4a3ea5b9804527e0208c?utm_source=1100&amp;utm_campaign=Software Engineering")</f>
        <v>https://jobright.ai/jobs/info/697a4a3ea5b9804527e0208c?utm_source=1100&amp;utm_campaign=Software Engineering</v>
      </c>
      <c r="M539" s="89" t="str">
        <f>IFERROR(__xludf.DUMMYFUNCTION("""COMPUTED_VALUE"""),"")</f>
        <v/>
      </c>
      <c r="N539" s="89">
        <f>IFERROR(__xludf.DUMMYFUNCTION("""COMPUTED_VALUE"""),697.0)</f>
        <v>697</v>
      </c>
      <c r="P539" s="52" t="str">
        <f t="shared" si="22"/>
        <v>0</v>
      </c>
      <c r="R539" s="52" t="str">
        <f t="shared" si="32"/>
        <v>Review</v>
      </c>
      <c r="Z539" s="81">
        <v>46072.0</v>
      </c>
      <c r="AA539" s="81" t="s">
        <v>4000</v>
      </c>
      <c r="AB539" s="81" t="s">
        <v>3998</v>
      </c>
      <c r="AC539" s="81">
        <f t="shared" si="5"/>
        <v>46069</v>
      </c>
      <c r="AD539" s="82">
        <f t="shared" si="6"/>
        <v>4</v>
      </c>
    </row>
    <row r="540">
      <c r="A540" s="104">
        <v>46072.0</v>
      </c>
      <c r="B540" s="104" t="s">
        <v>2142</v>
      </c>
      <c r="C540" s="89" t="s">
        <v>2143</v>
      </c>
      <c r="D540" s="89" t="s">
        <v>2144</v>
      </c>
      <c r="E540" s="89" t="s">
        <v>969</v>
      </c>
      <c r="F540" s="81">
        <f>IFERROR(__xludf.DUMMYFUNCTION("""COMPUTED_VALUE"""),46072.0)</f>
        <v>46072</v>
      </c>
      <c r="G540" s="89" t="s">
        <v>3996</v>
      </c>
      <c r="H540" s="89">
        <v>8.0</v>
      </c>
      <c r="I540" s="89" t="s">
        <v>3972</v>
      </c>
      <c r="J540" s="89" t="str">
        <f t="shared" si="18"/>
        <v>No</v>
      </c>
      <c r="K540" s="89" t="str">
        <f t="shared" si="23"/>
        <v>No</v>
      </c>
      <c r="L540" s="89" t="str">
        <f>IFERROR(__xludf.DUMMYFUNCTION("""COMPUTED_VALUE"""),"https://jobright.ai/jobs/info/6997cd6d81476f6176affcd3?utm_source=1100&amp;utm_campaign=Software Engineering")</f>
        <v>https://jobright.ai/jobs/info/6997cd6d81476f6176affcd3?utm_source=1100&amp;utm_campaign=Software Engineering</v>
      </c>
      <c r="M540" s="89" t="str">
        <f>IFERROR(__xludf.DUMMYFUNCTION("""COMPUTED_VALUE"""),"")</f>
        <v/>
      </c>
      <c r="N540" s="89">
        <f>IFERROR(__xludf.DUMMYFUNCTION("""COMPUTED_VALUE"""),6997.0)</f>
        <v>6997</v>
      </c>
      <c r="P540" s="52" t="str">
        <f t="shared" si="22"/>
        <v>0</v>
      </c>
      <c r="R540" s="52" t="str">
        <f t="shared" si="32"/>
        <v>Review</v>
      </c>
      <c r="Z540" s="81">
        <v>46072.0</v>
      </c>
      <c r="AA540" s="81" t="s">
        <v>4000</v>
      </c>
      <c r="AB540" s="81" t="s">
        <v>3998</v>
      </c>
      <c r="AC540" s="81">
        <f t="shared" si="5"/>
        <v>46069</v>
      </c>
      <c r="AD540" s="82">
        <f t="shared" si="6"/>
        <v>4</v>
      </c>
    </row>
    <row r="541">
      <c r="A541" s="104">
        <v>46072.0</v>
      </c>
      <c r="B541" s="104" t="s">
        <v>88</v>
      </c>
      <c r="C541" s="89" t="s">
        <v>2147</v>
      </c>
      <c r="D541" s="89" t="s">
        <v>2148</v>
      </c>
      <c r="E541" s="89" t="s">
        <v>274</v>
      </c>
      <c r="F541" s="81">
        <f>IFERROR(__xludf.DUMMYFUNCTION("""COMPUTED_VALUE"""),46072.0)</f>
        <v>46072</v>
      </c>
      <c r="G541" s="89" t="s">
        <v>3996</v>
      </c>
      <c r="H541" s="89">
        <v>8.0</v>
      </c>
      <c r="I541" s="89" t="s">
        <v>3972</v>
      </c>
      <c r="J541" s="89" t="str">
        <f t="shared" si="18"/>
        <v>No</v>
      </c>
      <c r="K541" s="89" t="str">
        <f t="shared" si="23"/>
        <v>No</v>
      </c>
      <c r="L541" s="89" t="str">
        <f>IFERROR(__xludf.DUMMYFUNCTION("""COMPUTED_VALUE"""),"https://jobright.ai/jobs/info/6997ce8481476f6176affe8d?utm_source=1100&amp;utm_campaign=Software Engineering")</f>
        <v>https://jobright.ai/jobs/info/6997ce8481476f6176affe8d?utm_source=1100&amp;utm_campaign=Software Engineering</v>
      </c>
      <c r="M541" s="89" t="str">
        <f>IFERROR(__xludf.DUMMYFUNCTION("""COMPUTED_VALUE"""),"")</f>
        <v/>
      </c>
      <c r="N541" s="89">
        <f>IFERROR(__xludf.DUMMYFUNCTION("""COMPUTED_VALUE"""),6997.0)</f>
        <v>6997</v>
      </c>
      <c r="P541" s="52" t="str">
        <f t="shared" si="22"/>
        <v>0</v>
      </c>
      <c r="R541" s="52" t="str">
        <f t="shared" si="32"/>
        <v>Review</v>
      </c>
      <c r="Z541" s="81">
        <v>46072.0</v>
      </c>
      <c r="AA541" s="81" t="s">
        <v>4000</v>
      </c>
      <c r="AB541" s="81" t="s">
        <v>3998</v>
      </c>
      <c r="AC541" s="81">
        <f t="shared" si="5"/>
        <v>46069</v>
      </c>
      <c r="AD541" s="82">
        <f t="shared" si="6"/>
        <v>4</v>
      </c>
    </row>
    <row r="542">
      <c r="A542" s="104">
        <v>46069.0</v>
      </c>
      <c r="B542" s="89" t="s">
        <v>2126</v>
      </c>
      <c r="C542" s="89" t="s">
        <v>2152</v>
      </c>
      <c r="D542" s="89" t="s">
        <v>971</v>
      </c>
      <c r="E542" s="89"/>
      <c r="F542" s="81">
        <f>IFERROR(__xludf.DUMMYFUNCTION("""COMPUTED_VALUE"""),46069.0)</f>
        <v>46069</v>
      </c>
      <c r="G542" s="89" t="s">
        <v>3996</v>
      </c>
      <c r="H542" s="89">
        <v>8.0</v>
      </c>
      <c r="I542" s="89" t="s">
        <v>3964</v>
      </c>
      <c r="J542" s="89" t="str">
        <f t="shared" si="18"/>
        <v>No</v>
      </c>
      <c r="K542" s="89" t="str">
        <f t="shared" si="23"/>
        <v>No</v>
      </c>
      <c r="L542" s="89" t="str">
        <f>IFERROR(__xludf.DUMMYFUNCTION("""COMPUTED_VALUE"""),"On Site")</f>
        <v>On Site</v>
      </c>
      <c r="M542" s="89" t="str">
        <f>IFERROR(__xludf.DUMMYFUNCTION("""COMPUTED_VALUE"""),"")</f>
        <v/>
      </c>
      <c r="N542" s="89" t="str">
        <f>IFERROR(__xludf.DUMMYFUNCTION("""COMPUTED_VALUE"""),"")</f>
        <v/>
      </c>
      <c r="P542" s="52" t="str">
        <f t="shared" si="22"/>
        <v>0</v>
      </c>
      <c r="R542" s="52" t="str">
        <f t="shared" si="32"/>
        <v>Review</v>
      </c>
      <c r="Z542" s="81">
        <v>46069.0</v>
      </c>
      <c r="AA542" s="81" t="s">
        <v>4000</v>
      </c>
      <c r="AB542" s="81" t="s">
        <v>3998</v>
      </c>
      <c r="AC542" s="81">
        <f t="shared" si="5"/>
        <v>46069</v>
      </c>
      <c r="AD542" s="82">
        <f t="shared" si="6"/>
        <v>1</v>
      </c>
    </row>
    <row r="543">
      <c r="A543" s="104">
        <v>46074.0</v>
      </c>
      <c r="B543" s="89" t="s">
        <v>1074</v>
      </c>
      <c r="C543" s="89" t="s">
        <v>1057</v>
      </c>
      <c r="D543" s="89" t="s">
        <v>1073</v>
      </c>
      <c r="E543" s="89" t="s">
        <v>1076</v>
      </c>
      <c r="F543" s="81">
        <f>IFERROR(__xludf.DUMMYFUNCTION("""COMPUTED_VALUE"""),46074.0)</f>
        <v>46074</v>
      </c>
      <c r="G543" s="89" t="s">
        <v>3996</v>
      </c>
      <c r="H543" s="89">
        <v>8.0</v>
      </c>
      <c r="I543" s="89" t="s">
        <v>3960</v>
      </c>
      <c r="J543" s="89" t="str">
        <f t="shared" si="18"/>
        <v>No</v>
      </c>
      <c r="K543" s="89" t="str">
        <f t="shared" si="23"/>
        <v>No</v>
      </c>
      <c r="L543" s="89" t="str">
        <f>IFERROR(__xludf.DUMMYFUNCTION("""COMPUTED_VALUE"""),"Zip")</f>
        <v>Zip</v>
      </c>
      <c r="M543" s="89" t="str">
        <f>IFERROR(__xludf.DUMMYFUNCTION("""COMPUTED_VALUE"""),"")</f>
        <v/>
      </c>
      <c r="N543" s="89" t="str">
        <f>IFERROR(__xludf.DUMMYFUNCTION("""COMPUTED_VALUE"""),"")</f>
        <v/>
      </c>
      <c r="P543" s="52" t="str">
        <f t="shared" si="22"/>
        <v>0</v>
      </c>
      <c r="R543" s="52" t="str">
        <f t="shared" si="32"/>
        <v>Review</v>
      </c>
      <c r="Z543" s="81">
        <v>46074.0</v>
      </c>
      <c r="AA543" s="81" t="s">
        <v>4000</v>
      </c>
      <c r="AB543" s="81" t="s">
        <v>3998</v>
      </c>
      <c r="AC543" s="81">
        <f t="shared" si="5"/>
        <v>46069</v>
      </c>
      <c r="AD543" s="82">
        <f t="shared" si="6"/>
        <v>6</v>
      </c>
    </row>
    <row r="544">
      <c r="A544" s="104">
        <v>46074.0</v>
      </c>
      <c r="B544" s="89" t="s">
        <v>1216</v>
      </c>
      <c r="C544" s="89" t="s">
        <v>1057</v>
      </c>
      <c r="D544" s="89" t="s">
        <v>1217</v>
      </c>
      <c r="E544" s="89" t="s">
        <v>2156</v>
      </c>
      <c r="F544" s="81">
        <f>IFERROR(__xludf.DUMMYFUNCTION("""COMPUTED_VALUE"""),46074.0)</f>
        <v>46074</v>
      </c>
      <c r="G544" s="89" t="s">
        <v>3996</v>
      </c>
      <c r="H544" s="89">
        <v>8.0</v>
      </c>
      <c r="I544" s="89" t="s">
        <v>3960</v>
      </c>
      <c r="J544" s="89" t="str">
        <f t="shared" si="18"/>
        <v>No</v>
      </c>
      <c r="K544" s="89" t="str">
        <f t="shared" si="23"/>
        <v>No</v>
      </c>
      <c r="L544" s="89" t="str">
        <f>IFERROR(__xludf.DUMMYFUNCTION("""COMPUTED_VALUE"""),"Whatnot")</f>
        <v>Whatnot</v>
      </c>
      <c r="M544" s="89" t="str">
        <f>IFERROR(__xludf.DUMMYFUNCTION("""COMPUTED_VALUE"""),"")</f>
        <v/>
      </c>
      <c r="N544" s="89" t="str">
        <f>IFERROR(__xludf.DUMMYFUNCTION("""COMPUTED_VALUE"""),"")</f>
        <v/>
      </c>
      <c r="P544" s="52" t="str">
        <f t="shared" si="22"/>
        <v>0</v>
      </c>
      <c r="R544" s="52" t="str">
        <f t="shared" si="32"/>
        <v>Review</v>
      </c>
      <c r="Z544" s="81">
        <v>46074.0</v>
      </c>
      <c r="AA544" s="81" t="s">
        <v>4000</v>
      </c>
      <c r="AB544" s="81" t="s">
        <v>3998</v>
      </c>
      <c r="AC544" s="81">
        <f t="shared" si="5"/>
        <v>46069</v>
      </c>
      <c r="AD544" s="82">
        <f t="shared" si="6"/>
        <v>6</v>
      </c>
    </row>
    <row r="545">
      <c r="A545" s="104">
        <v>46074.0</v>
      </c>
      <c r="B545" s="89" t="s">
        <v>2158</v>
      </c>
      <c r="C545" s="89" t="s">
        <v>1057</v>
      </c>
      <c r="D545" s="89" t="s">
        <v>2159</v>
      </c>
      <c r="E545" s="89" t="s">
        <v>2160</v>
      </c>
      <c r="F545" s="81">
        <f>IFERROR(__xludf.DUMMYFUNCTION("""COMPUTED_VALUE"""),46074.0)</f>
        <v>46074</v>
      </c>
      <c r="G545" s="89" t="s">
        <v>3996</v>
      </c>
      <c r="H545" s="89">
        <v>8.0</v>
      </c>
      <c r="I545" s="89" t="s">
        <v>3960</v>
      </c>
      <c r="J545" s="89" t="str">
        <f t="shared" si="18"/>
        <v>No</v>
      </c>
      <c r="K545" s="89" t="str">
        <f t="shared" si="23"/>
        <v>No</v>
      </c>
      <c r="L545" s="89" t="str">
        <f>IFERROR(__xludf.DUMMYFUNCTION("""COMPUTED_VALUE"""),"Notion")</f>
        <v>Notion</v>
      </c>
      <c r="M545" s="89" t="str">
        <f>IFERROR(__xludf.DUMMYFUNCTION("""COMPUTED_VALUE"""),"")</f>
        <v/>
      </c>
      <c r="N545" s="89" t="str">
        <f>IFERROR(__xludf.DUMMYFUNCTION("""COMPUTED_VALUE"""),"")</f>
        <v/>
      </c>
      <c r="P545" s="52" t="str">
        <f t="shared" si="22"/>
        <v>0</v>
      </c>
      <c r="R545" s="52" t="str">
        <f t="shared" si="32"/>
        <v>Review</v>
      </c>
      <c r="Z545" s="81">
        <v>46074.0</v>
      </c>
      <c r="AA545" s="81" t="s">
        <v>4000</v>
      </c>
      <c r="AB545" s="81" t="s">
        <v>3998</v>
      </c>
      <c r="AC545" s="81">
        <f t="shared" si="5"/>
        <v>46069</v>
      </c>
      <c r="AD545" s="82">
        <f t="shared" si="6"/>
        <v>6</v>
      </c>
    </row>
    <row r="546">
      <c r="A546" s="104">
        <v>46074.0</v>
      </c>
      <c r="B546" s="89" t="s">
        <v>2163</v>
      </c>
      <c r="C546" s="89" t="s">
        <v>1025</v>
      </c>
      <c r="D546" s="89" t="s">
        <v>1697</v>
      </c>
      <c r="E546" s="89" t="s">
        <v>2164</v>
      </c>
      <c r="F546" s="81">
        <f>IFERROR(__xludf.DUMMYFUNCTION("""COMPUTED_VALUE"""),46074.0)</f>
        <v>46074</v>
      </c>
      <c r="G546" s="89" t="s">
        <v>3996</v>
      </c>
      <c r="H546" s="89">
        <v>8.0</v>
      </c>
      <c r="I546" s="89" t="s">
        <v>3960</v>
      </c>
      <c r="J546" s="89" t="str">
        <f t="shared" si="18"/>
        <v>No</v>
      </c>
      <c r="K546" s="89" t="str">
        <f t="shared" si="23"/>
        <v>No</v>
      </c>
      <c r="L546" s="89" t="str">
        <f>IFERROR(__xludf.DUMMYFUNCTION("""COMPUTED_VALUE"""),"Applied Materials")</f>
        <v>Applied Materials</v>
      </c>
      <c r="M546" s="89" t="str">
        <f>IFERROR(__xludf.DUMMYFUNCTION("""COMPUTED_VALUE"""),"")</f>
        <v/>
      </c>
      <c r="N546" s="89" t="str">
        <f>IFERROR(__xludf.DUMMYFUNCTION("""COMPUTED_VALUE"""),"")</f>
        <v/>
      </c>
      <c r="P546" s="52" t="str">
        <f t="shared" si="22"/>
        <v>0</v>
      </c>
      <c r="R546" s="52" t="str">
        <f t="shared" si="32"/>
        <v>Review</v>
      </c>
      <c r="Z546" s="81">
        <v>46074.0</v>
      </c>
      <c r="AA546" s="81" t="s">
        <v>4000</v>
      </c>
      <c r="AB546" s="81" t="s">
        <v>3998</v>
      </c>
      <c r="AC546" s="81">
        <f t="shared" si="5"/>
        <v>46069</v>
      </c>
      <c r="AD546" s="82">
        <f t="shared" si="6"/>
        <v>6</v>
      </c>
    </row>
    <row r="547">
      <c r="A547" s="89"/>
      <c r="B547" s="89"/>
      <c r="C547" s="89"/>
      <c r="D547" s="89"/>
      <c r="E547" s="89"/>
      <c r="F547" s="81"/>
      <c r="G547" s="89"/>
      <c r="H547" s="89"/>
      <c r="I547" s="89"/>
      <c r="J547" s="89" t="str">
        <f t="shared" si="18"/>
        <v/>
      </c>
      <c r="K547" s="89" t="str">
        <f t="shared" si="23"/>
        <v/>
      </c>
      <c r="L547" s="89" t="str">
        <f>IFERROR(__xludf.DUMMYFUNCTION("""COMPUTED_VALUE"""),"")</f>
        <v/>
      </c>
      <c r="M547" s="89" t="str">
        <f>IFERROR(__xludf.DUMMYFUNCTION("""COMPUTED_VALUE"""),"")</f>
        <v/>
      </c>
      <c r="N547" s="89" t="str">
        <f>IFERROR(__xludf.DUMMYFUNCTION("""COMPUTED_VALUE"""),"")</f>
        <v/>
      </c>
      <c r="P547" s="52" t="str">
        <f t="shared" si="22"/>
        <v/>
      </c>
      <c r="R547" s="52" t="str">
        <f t="shared" si="32"/>
        <v/>
      </c>
      <c r="Z547" s="81"/>
      <c r="AA547" s="81"/>
      <c r="AB547" s="81"/>
      <c r="AC547" s="81" t="str">
        <f t="shared" si="5"/>
        <v/>
      </c>
      <c r="AD547" s="82" t="str">
        <f t="shared" si="6"/>
        <v/>
      </c>
    </row>
    <row r="548">
      <c r="A548" s="89"/>
      <c r="B548" s="89"/>
      <c r="C548" s="89"/>
      <c r="D548" s="89"/>
      <c r="E548" s="89"/>
      <c r="F548" s="81"/>
      <c r="G548" s="89"/>
      <c r="H548" s="89"/>
      <c r="I548" s="89"/>
      <c r="J548" s="89" t="str">
        <f t="shared" si="18"/>
        <v/>
      </c>
      <c r="K548" s="89" t="str">
        <f t="shared" si="23"/>
        <v/>
      </c>
      <c r="L548" s="89" t="str">
        <f>IFERROR(__xludf.DUMMYFUNCTION("""COMPUTED_VALUE"""),"")</f>
        <v/>
      </c>
      <c r="M548" s="89" t="str">
        <f>IFERROR(__xludf.DUMMYFUNCTION("""COMPUTED_VALUE"""),"")</f>
        <v/>
      </c>
      <c r="N548" s="89" t="str">
        <f>IFERROR(__xludf.DUMMYFUNCTION("""COMPUTED_VALUE"""),"")</f>
        <v/>
      </c>
      <c r="P548" s="52" t="str">
        <f t="shared" si="22"/>
        <v/>
      </c>
      <c r="R548" s="52" t="str">
        <f t="shared" si="32"/>
        <v/>
      </c>
      <c r="Z548" s="81"/>
      <c r="AA548" s="81"/>
      <c r="AB548" s="81"/>
      <c r="AC548" s="81" t="str">
        <f t="shared" si="5"/>
        <v/>
      </c>
      <c r="AD548" s="82" t="str">
        <f t="shared" si="6"/>
        <v/>
      </c>
    </row>
    <row r="549">
      <c r="A549" s="89"/>
      <c r="B549" s="89"/>
      <c r="C549" s="89"/>
      <c r="D549" s="89"/>
      <c r="E549" s="89"/>
      <c r="F549" s="81"/>
      <c r="G549" s="89"/>
      <c r="H549" s="89"/>
      <c r="I549" s="89"/>
      <c r="J549" s="89" t="str">
        <f t="shared" si="18"/>
        <v/>
      </c>
      <c r="K549" s="89" t="str">
        <f t="shared" si="23"/>
        <v/>
      </c>
      <c r="L549" s="89" t="str">
        <f>IFERROR(__xludf.DUMMYFUNCTION("""COMPUTED_VALUE"""),"")</f>
        <v/>
      </c>
      <c r="M549" s="89" t="str">
        <f>IFERROR(__xludf.DUMMYFUNCTION("""COMPUTED_VALUE"""),"")</f>
        <v/>
      </c>
      <c r="N549" s="89" t="str">
        <f>IFERROR(__xludf.DUMMYFUNCTION("""COMPUTED_VALUE"""),"")</f>
        <v/>
      </c>
      <c r="P549" s="52" t="str">
        <f t="shared" si="22"/>
        <v/>
      </c>
      <c r="R549" s="52" t="str">
        <f t="shared" si="32"/>
        <v/>
      </c>
      <c r="Z549" s="81"/>
      <c r="AA549" s="81"/>
      <c r="AB549" s="81"/>
      <c r="AC549" s="81" t="str">
        <f t="shared" si="5"/>
        <v/>
      </c>
      <c r="AD549" s="82" t="str">
        <f t="shared" si="6"/>
        <v/>
      </c>
    </row>
    <row r="550">
      <c r="A550" s="89"/>
      <c r="B550" s="89"/>
      <c r="C550" s="89"/>
      <c r="D550" s="89"/>
      <c r="E550" s="89"/>
      <c r="F550" s="81"/>
      <c r="G550" s="89"/>
      <c r="H550" s="89"/>
      <c r="I550" s="89"/>
      <c r="J550" s="89" t="str">
        <f t="shared" si="18"/>
        <v/>
      </c>
      <c r="K550" s="89" t="str">
        <f t="shared" si="23"/>
        <v/>
      </c>
      <c r="L550" s="89" t="str">
        <f>IFERROR(__xludf.DUMMYFUNCTION("""COMPUTED_VALUE"""),"")</f>
        <v/>
      </c>
      <c r="M550" s="89" t="str">
        <f>IFERROR(__xludf.DUMMYFUNCTION("""COMPUTED_VALUE"""),"")</f>
        <v/>
      </c>
      <c r="N550" s="89" t="str">
        <f>IFERROR(__xludf.DUMMYFUNCTION("""COMPUTED_VALUE"""),"")</f>
        <v/>
      </c>
      <c r="P550" s="52" t="str">
        <f t="shared" si="22"/>
        <v/>
      </c>
      <c r="R550" s="52" t="str">
        <f t="shared" si="32"/>
        <v/>
      </c>
      <c r="Z550" s="81"/>
      <c r="AA550" s="81"/>
      <c r="AB550" s="81"/>
      <c r="AC550" s="81" t="str">
        <f t="shared" si="5"/>
        <v/>
      </c>
      <c r="AD550" s="82" t="str">
        <f t="shared" si="6"/>
        <v/>
      </c>
    </row>
    <row r="551">
      <c r="A551" s="89"/>
      <c r="B551" s="89"/>
      <c r="C551" s="89"/>
      <c r="D551" s="89"/>
      <c r="E551" s="89"/>
      <c r="F551" s="81"/>
      <c r="G551" s="89"/>
      <c r="H551" s="89"/>
      <c r="I551" s="89"/>
      <c r="J551" s="89" t="str">
        <f t="shared" si="18"/>
        <v/>
      </c>
      <c r="K551" s="89" t="str">
        <f t="shared" si="23"/>
        <v/>
      </c>
      <c r="L551" s="89" t="str">
        <f>IFERROR(__xludf.DUMMYFUNCTION("""COMPUTED_VALUE"""),"")</f>
        <v/>
      </c>
      <c r="M551" s="89" t="str">
        <f>IFERROR(__xludf.DUMMYFUNCTION("""COMPUTED_VALUE"""),"")</f>
        <v/>
      </c>
      <c r="N551" s="89" t="str">
        <f>IFERROR(__xludf.DUMMYFUNCTION("""COMPUTED_VALUE"""),"")</f>
        <v/>
      </c>
      <c r="P551" s="52" t="str">
        <f t="shared" si="22"/>
        <v/>
      </c>
      <c r="R551" s="52" t="str">
        <f t="shared" si="32"/>
        <v/>
      </c>
      <c r="Z551" s="81"/>
      <c r="AA551" s="81"/>
      <c r="AB551" s="81"/>
      <c r="AC551" s="81" t="str">
        <f t="shared" si="5"/>
        <v/>
      </c>
      <c r="AD551" s="82" t="str">
        <f t="shared" si="6"/>
        <v/>
      </c>
    </row>
    <row r="552">
      <c r="A552" s="89"/>
      <c r="B552" s="89"/>
      <c r="C552" s="89"/>
      <c r="D552" s="89"/>
      <c r="E552" s="89"/>
      <c r="F552" s="81"/>
      <c r="G552" s="89"/>
      <c r="H552" s="89"/>
      <c r="I552" s="89"/>
      <c r="J552" s="89" t="str">
        <f t="shared" si="18"/>
        <v/>
      </c>
      <c r="K552" s="89" t="str">
        <f t="shared" si="23"/>
        <v/>
      </c>
      <c r="L552" s="89" t="str">
        <f>IFERROR(__xludf.DUMMYFUNCTION("""COMPUTED_VALUE"""),"")</f>
        <v/>
      </c>
      <c r="M552" s="89" t="str">
        <f>IFERROR(__xludf.DUMMYFUNCTION("""COMPUTED_VALUE"""),"")</f>
        <v/>
      </c>
      <c r="N552" s="89" t="str">
        <f>IFERROR(__xludf.DUMMYFUNCTION("""COMPUTED_VALUE"""),"")</f>
        <v/>
      </c>
      <c r="P552" s="52" t="str">
        <f t="shared" si="22"/>
        <v/>
      </c>
      <c r="R552" s="52" t="str">
        <f t="shared" si="32"/>
        <v/>
      </c>
      <c r="Z552" s="81"/>
      <c r="AA552" s="81"/>
      <c r="AB552" s="81"/>
      <c r="AC552" s="81" t="str">
        <f t="shared" si="5"/>
        <v/>
      </c>
      <c r="AD552" s="82" t="str">
        <f t="shared" si="6"/>
        <v/>
      </c>
    </row>
    <row r="553">
      <c r="A553" s="89"/>
      <c r="B553" s="89"/>
      <c r="C553" s="89"/>
      <c r="D553" s="89"/>
      <c r="E553" s="89"/>
      <c r="F553" s="81"/>
      <c r="G553" s="89"/>
      <c r="H553" s="89"/>
      <c r="I553" s="89"/>
      <c r="J553" s="89" t="str">
        <f t="shared" si="18"/>
        <v/>
      </c>
      <c r="K553" s="89" t="str">
        <f t="shared" si="23"/>
        <v/>
      </c>
      <c r="L553" s="89" t="str">
        <f>IFERROR(__xludf.DUMMYFUNCTION("""COMPUTED_VALUE"""),"")</f>
        <v/>
      </c>
      <c r="M553" s="89" t="str">
        <f>IFERROR(__xludf.DUMMYFUNCTION("""COMPUTED_VALUE"""),"")</f>
        <v/>
      </c>
      <c r="N553" s="89" t="str">
        <f>IFERROR(__xludf.DUMMYFUNCTION("""COMPUTED_VALUE"""),"")</f>
        <v/>
      </c>
      <c r="P553" s="52" t="str">
        <f t="shared" si="22"/>
        <v/>
      </c>
      <c r="R553" s="52" t="str">
        <f t="shared" si="32"/>
        <v/>
      </c>
      <c r="Z553" s="81"/>
      <c r="AA553" s="81"/>
      <c r="AB553" s="81"/>
      <c r="AC553" s="81" t="str">
        <f t="shared" si="5"/>
        <v/>
      </c>
      <c r="AD553" s="82" t="str">
        <f t="shared" si="6"/>
        <v/>
      </c>
    </row>
    <row r="554">
      <c r="A554" s="89"/>
      <c r="B554" s="89"/>
      <c r="C554" s="89"/>
      <c r="D554" s="89"/>
      <c r="E554" s="89"/>
      <c r="F554" s="81"/>
      <c r="G554" s="89"/>
      <c r="H554" s="89"/>
      <c r="I554" s="89"/>
      <c r="J554" s="89" t="str">
        <f t="shared" si="18"/>
        <v/>
      </c>
      <c r="K554" s="89" t="str">
        <f t="shared" si="23"/>
        <v/>
      </c>
      <c r="L554" s="89" t="str">
        <f>IFERROR(__xludf.DUMMYFUNCTION("""COMPUTED_VALUE"""),"")</f>
        <v/>
      </c>
      <c r="M554" s="89" t="str">
        <f>IFERROR(__xludf.DUMMYFUNCTION("""COMPUTED_VALUE"""),"")</f>
        <v/>
      </c>
      <c r="N554" s="89" t="str">
        <f>IFERROR(__xludf.DUMMYFUNCTION("""COMPUTED_VALUE"""),"")</f>
        <v/>
      </c>
      <c r="P554" s="52" t="str">
        <f t="shared" si="22"/>
        <v/>
      </c>
      <c r="R554" s="52" t="str">
        <f t="shared" si="32"/>
        <v/>
      </c>
      <c r="Z554" s="81"/>
      <c r="AA554" s="81"/>
      <c r="AB554" s="81"/>
      <c r="AC554" s="81" t="str">
        <f t="shared" si="5"/>
        <v/>
      </c>
      <c r="AD554" s="82" t="str">
        <f t="shared" si="6"/>
        <v/>
      </c>
    </row>
    <row r="555">
      <c r="A555" s="89"/>
      <c r="B555" s="89"/>
      <c r="C555" s="89"/>
      <c r="D555" s="89"/>
      <c r="E555" s="89"/>
      <c r="F555" s="81"/>
      <c r="G555" s="89"/>
      <c r="H555" s="89"/>
      <c r="I555" s="89"/>
      <c r="J555" s="89" t="str">
        <f t="shared" si="18"/>
        <v/>
      </c>
      <c r="K555" s="89" t="str">
        <f t="shared" si="23"/>
        <v/>
      </c>
      <c r="L555" s="89" t="str">
        <f>IFERROR(__xludf.DUMMYFUNCTION("""COMPUTED_VALUE"""),"")</f>
        <v/>
      </c>
      <c r="M555" s="89" t="str">
        <f>IFERROR(__xludf.DUMMYFUNCTION("""COMPUTED_VALUE"""),"")</f>
        <v/>
      </c>
      <c r="N555" s="89" t="str">
        <f>IFERROR(__xludf.DUMMYFUNCTION("""COMPUTED_VALUE"""),"")</f>
        <v/>
      </c>
      <c r="P555" s="52" t="str">
        <f t="shared" si="22"/>
        <v/>
      </c>
      <c r="R555" s="52" t="str">
        <f t="shared" si="32"/>
        <v/>
      </c>
      <c r="Z555" s="81"/>
      <c r="AA555" s="81"/>
      <c r="AB555" s="81"/>
      <c r="AC555" s="81" t="str">
        <f t="shared" si="5"/>
        <v/>
      </c>
      <c r="AD555" s="82" t="str">
        <f t="shared" si="6"/>
        <v/>
      </c>
    </row>
    <row r="556">
      <c r="A556" s="89"/>
      <c r="B556" s="89"/>
      <c r="C556" s="89"/>
      <c r="D556" s="89"/>
      <c r="E556" s="89"/>
      <c r="F556" s="81"/>
      <c r="G556" s="89"/>
      <c r="H556" s="89"/>
      <c r="I556" s="89"/>
      <c r="J556" s="89" t="str">
        <f t="shared" si="18"/>
        <v/>
      </c>
      <c r="K556" s="89" t="str">
        <f t="shared" si="23"/>
        <v/>
      </c>
      <c r="L556" s="89" t="str">
        <f>IFERROR(__xludf.DUMMYFUNCTION("""COMPUTED_VALUE"""),"")</f>
        <v/>
      </c>
      <c r="M556" s="89" t="str">
        <f>IFERROR(__xludf.DUMMYFUNCTION("""COMPUTED_VALUE"""),"")</f>
        <v/>
      </c>
      <c r="N556" s="89" t="str">
        <f>IFERROR(__xludf.DUMMYFUNCTION("""COMPUTED_VALUE"""),"")</f>
        <v/>
      </c>
      <c r="P556" s="52" t="str">
        <f t="shared" si="22"/>
        <v/>
      </c>
      <c r="R556" s="52" t="str">
        <f t="shared" si="32"/>
        <v/>
      </c>
      <c r="Z556" s="81"/>
      <c r="AA556" s="81"/>
      <c r="AB556" s="81"/>
      <c r="AC556" s="81" t="str">
        <f t="shared" si="5"/>
        <v/>
      </c>
      <c r="AD556" s="82" t="str">
        <f t="shared" si="6"/>
        <v/>
      </c>
    </row>
    <row r="557">
      <c r="A557" s="89"/>
      <c r="B557" s="89"/>
      <c r="C557" s="89"/>
      <c r="D557" s="89"/>
      <c r="E557" s="89"/>
      <c r="F557" s="81"/>
      <c r="G557" s="89"/>
      <c r="H557" s="89"/>
      <c r="I557" s="89"/>
      <c r="J557" s="89" t="str">
        <f t="shared" si="18"/>
        <v/>
      </c>
      <c r="K557" s="89" t="str">
        <f t="shared" si="23"/>
        <v/>
      </c>
      <c r="L557" s="89" t="str">
        <f>IFERROR(__xludf.DUMMYFUNCTION("""COMPUTED_VALUE"""),"")</f>
        <v/>
      </c>
      <c r="M557" s="89" t="str">
        <f>IFERROR(__xludf.DUMMYFUNCTION("""COMPUTED_VALUE"""),"")</f>
        <v/>
      </c>
      <c r="N557" s="89" t="str">
        <f>IFERROR(__xludf.DUMMYFUNCTION("""COMPUTED_VALUE"""),"")</f>
        <v/>
      </c>
      <c r="P557" s="52" t="str">
        <f t="shared" si="22"/>
        <v/>
      </c>
      <c r="R557" s="52" t="str">
        <f t="shared" si="32"/>
        <v/>
      </c>
      <c r="Z557" s="81"/>
      <c r="AA557" s="81"/>
      <c r="AB557" s="81"/>
      <c r="AC557" s="81" t="str">
        <f t="shared" si="5"/>
        <v/>
      </c>
      <c r="AD557" s="82" t="str">
        <f t="shared" si="6"/>
        <v/>
      </c>
    </row>
    <row r="558">
      <c r="A558" s="89"/>
      <c r="B558" s="89"/>
      <c r="C558" s="89"/>
      <c r="D558" s="89"/>
      <c r="E558" s="89"/>
      <c r="F558" s="81"/>
      <c r="G558" s="89"/>
      <c r="H558" s="89"/>
      <c r="I558" s="89"/>
      <c r="J558" s="89" t="str">
        <f t="shared" si="18"/>
        <v/>
      </c>
      <c r="K558" s="89" t="str">
        <f t="shared" si="23"/>
        <v/>
      </c>
      <c r="L558" s="89" t="str">
        <f>IFERROR(__xludf.DUMMYFUNCTION("""COMPUTED_VALUE"""),"")</f>
        <v/>
      </c>
      <c r="M558" s="89" t="str">
        <f>IFERROR(__xludf.DUMMYFUNCTION("""COMPUTED_VALUE"""),"")</f>
        <v/>
      </c>
      <c r="N558" s="89" t="str">
        <f>IFERROR(__xludf.DUMMYFUNCTION("""COMPUTED_VALUE"""),"")</f>
        <v/>
      </c>
      <c r="P558" s="52" t="str">
        <f t="shared" si="22"/>
        <v/>
      </c>
      <c r="R558" s="52" t="str">
        <f t="shared" si="32"/>
        <v/>
      </c>
      <c r="Z558" s="81"/>
      <c r="AA558" s="81"/>
      <c r="AB558" s="81"/>
      <c r="AC558" s="81" t="str">
        <f t="shared" si="5"/>
        <v/>
      </c>
      <c r="AD558" s="82" t="str">
        <f t="shared" si="6"/>
        <v/>
      </c>
    </row>
    <row r="559">
      <c r="A559" s="89"/>
      <c r="B559" s="89"/>
      <c r="C559" s="89"/>
      <c r="D559" s="89"/>
      <c r="E559" s="89"/>
      <c r="F559" s="81"/>
      <c r="G559" s="89"/>
      <c r="H559" s="89"/>
      <c r="I559" s="89"/>
      <c r="J559" s="89" t="str">
        <f t="shared" si="18"/>
        <v/>
      </c>
      <c r="K559" s="89" t="str">
        <f t="shared" si="23"/>
        <v/>
      </c>
      <c r="L559" s="89" t="str">
        <f>IFERROR(__xludf.DUMMYFUNCTION("""COMPUTED_VALUE"""),"")</f>
        <v/>
      </c>
      <c r="M559" s="89" t="str">
        <f>IFERROR(__xludf.DUMMYFUNCTION("""COMPUTED_VALUE"""),"")</f>
        <v/>
      </c>
      <c r="N559" s="89" t="str">
        <f>IFERROR(__xludf.DUMMYFUNCTION("""COMPUTED_VALUE"""),"")</f>
        <v/>
      </c>
      <c r="P559" s="52" t="str">
        <f t="shared" si="22"/>
        <v/>
      </c>
      <c r="R559" s="52" t="str">
        <f t="shared" si="32"/>
        <v/>
      </c>
      <c r="Z559" s="81"/>
      <c r="AA559" s="81"/>
      <c r="AB559" s="81"/>
      <c r="AC559" s="81" t="str">
        <f t="shared" si="5"/>
        <v/>
      </c>
      <c r="AD559" s="82" t="str">
        <f t="shared" si="6"/>
        <v/>
      </c>
    </row>
    <row r="560">
      <c r="A560" s="89"/>
      <c r="B560" s="89"/>
      <c r="C560" s="89"/>
      <c r="D560" s="89"/>
      <c r="E560" s="89"/>
      <c r="F560" s="81"/>
      <c r="G560" s="89"/>
      <c r="H560" s="89"/>
      <c r="I560" s="89"/>
      <c r="J560" s="89" t="str">
        <f t="shared" si="18"/>
        <v/>
      </c>
      <c r="K560" s="89" t="str">
        <f t="shared" si="23"/>
        <v/>
      </c>
      <c r="L560" s="89" t="str">
        <f>IFERROR(__xludf.DUMMYFUNCTION("""COMPUTED_VALUE"""),"")</f>
        <v/>
      </c>
      <c r="M560" s="89" t="str">
        <f>IFERROR(__xludf.DUMMYFUNCTION("""COMPUTED_VALUE"""),"")</f>
        <v/>
      </c>
      <c r="N560" s="89" t="str">
        <f>IFERROR(__xludf.DUMMYFUNCTION("""COMPUTED_VALUE"""),"")</f>
        <v/>
      </c>
      <c r="P560" s="52" t="str">
        <f t="shared" si="22"/>
        <v/>
      </c>
      <c r="R560" s="52" t="str">
        <f t="shared" si="32"/>
        <v/>
      </c>
      <c r="Z560" s="81"/>
      <c r="AA560" s="81"/>
      <c r="AB560" s="81"/>
      <c r="AC560" s="81" t="str">
        <f t="shared" si="5"/>
        <v/>
      </c>
      <c r="AD560" s="82" t="str">
        <f t="shared" si="6"/>
        <v/>
      </c>
    </row>
    <row r="561">
      <c r="A561" s="89"/>
      <c r="B561" s="89"/>
      <c r="C561" s="89"/>
      <c r="D561" s="89"/>
      <c r="E561" s="89"/>
      <c r="F561" s="81"/>
      <c r="G561" s="89"/>
      <c r="H561" s="89"/>
      <c r="I561" s="89"/>
      <c r="J561" s="89" t="str">
        <f t="shared" si="18"/>
        <v/>
      </c>
      <c r="K561" s="89" t="str">
        <f t="shared" si="23"/>
        <v/>
      </c>
      <c r="L561" s="89" t="str">
        <f>IFERROR(__xludf.DUMMYFUNCTION("""COMPUTED_VALUE"""),"")</f>
        <v/>
      </c>
      <c r="M561" s="89" t="str">
        <f>IFERROR(__xludf.DUMMYFUNCTION("""COMPUTED_VALUE"""),"")</f>
        <v/>
      </c>
      <c r="N561" s="89" t="str">
        <f>IFERROR(__xludf.DUMMYFUNCTION("""COMPUTED_VALUE"""),"")</f>
        <v/>
      </c>
      <c r="P561" s="52" t="str">
        <f t="shared" si="22"/>
        <v/>
      </c>
      <c r="R561" s="52" t="str">
        <f t="shared" si="32"/>
        <v/>
      </c>
      <c r="Z561" s="81"/>
      <c r="AA561" s="81"/>
      <c r="AB561" s="81"/>
      <c r="AC561" s="81" t="str">
        <f t="shared" si="5"/>
        <v/>
      </c>
      <c r="AD561" s="82" t="str">
        <f t="shared" si="6"/>
        <v/>
      </c>
    </row>
    <row r="562">
      <c r="A562" s="89"/>
      <c r="B562" s="89"/>
      <c r="C562" s="89"/>
      <c r="D562" s="89"/>
      <c r="E562" s="89"/>
      <c r="F562" s="81"/>
      <c r="G562" s="89"/>
      <c r="H562" s="89"/>
      <c r="I562" s="89"/>
      <c r="J562" s="89" t="str">
        <f t="shared" si="18"/>
        <v/>
      </c>
      <c r="K562" s="89" t="str">
        <f t="shared" si="23"/>
        <v/>
      </c>
      <c r="L562" s="89" t="str">
        <f>IFERROR(__xludf.DUMMYFUNCTION("""COMPUTED_VALUE"""),"")</f>
        <v/>
      </c>
      <c r="M562" s="89" t="str">
        <f>IFERROR(__xludf.DUMMYFUNCTION("""COMPUTED_VALUE"""),"")</f>
        <v/>
      </c>
      <c r="N562" s="89" t="str">
        <f>IFERROR(__xludf.DUMMYFUNCTION("""COMPUTED_VALUE"""),"")</f>
        <v/>
      </c>
      <c r="P562" s="52" t="str">
        <f t="shared" si="22"/>
        <v/>
      </c>
      <c r="R562" s="52" t="str">
        <f t="shared" si="32"/>
        <v/>
      </c>
      <c r="Z562" s="81"/>
      <c r="AA562" s="81"/>
      <c r="AB562" s="81"/>
      <c r="AC562" s="81" t="str">
        <f t="shared" si="5"/>
        <v/>
      </c>
      <c r="AD562" s="82" t="str">
        <f t="shared" si="6"/>
        <v/>
      </c>
    </row>
    <row r="563">
      <c r="A563" s="89"/>
      <c r="B563" s="89"/>
      <c r="C563" s="89"/>
      <c r="D563" s="89"/>
      <c r="E563" s="89"/>
      <c r="F563" s="81"/>
      <c r="G563" s="89"/>
      <c r="H563" s="89"/>
      <c r="I563" s="89"/>
      <c r="J563" s="89" t="str">
        <f t="shared" si="18"/>
        <v/>
      </c>
      <c r="K563" s="89" t="str">
        <f t="shared" si="23"/>
        <v/>
      </c>
      <c r="L563" s="89" t="str">
        <f>IFERROR(__xludf.DUMMYFUNCTION("""COMPUTED_VALUE"""),"")</f>
        <v/>
      </c>
      <c r="M563" s="89" t="str">
        <f>IFERROR(__xludf.DUMMYFUNCTION("""COMPUTED_VALUE"""),"")</f>
        <v/>
      </c>
      <c r="N563" s="89" t="str">
        <f>IFERROR(__xludf.DUMMYFUNCTION("""COMPUTED_VALUE"""),"")</f>
        <v/>
      </c>
      <c r="P563" s="52" t="str">
        <f t="shared" si="22"/>
        <v/>
      </c>
      <c r="R563" s="52" t="str">
        <f t="shared" si="32"/>
        <v/>
      </c>
      <c r="Z563" s="81"/>
      <c r="AA563" s="81"/>
      <c r="AB563" s="81"/>
      <c r="AC563" s="81" t="str">
        <f t="shared" si="5"/>
        <v/>
      </c>
      <c r="AD563" s="82" t="str">
        <f t="shared" si="6"/>
        <v/>
      </c>
    </row>
    <row r="564">
      <c r="A564" s="89"/>
      <c r="B564" s="89"/>
      <c r="C564" s="89"/>
      <c r="D564" s="89"/>
      <c r="E564" s="89"/>
      <c r="F564" s="81"/>
      <c r="G564" s="89"/>
      <c r="H564" s="89"/>
      <c r="I564" s="89"/>
      <c r="J564" s="89" t="str">
        <f t="shared" si="18"/>
        <v/>
      </c>
      <c r="K564" s="89" t="str">
        <f t="shared" si="23"/>
        <v/>
      </c>
      <c r="L564" s="89" t="str">
        <f>IFERROR(__xludf.DUMMYFUNCTION("""COMPUTED_VALUE"""),"")</f>
        <v/>
      </c>
      <c r="M564" s="89" t="str">
        <f>IFERROR(__xludf.DUMMYFUNCTION("""COMPUTED_VALUE"""),"")</f>
        <v/>
      </c>
      <c r="N564" s="89" t="str">
        <f>IFERROR(__xludf.DUMMYFUNCTION("""COMPUTED_VALUE"""),"")</f>
        <v/>
      </c>
      <c r="P564" s="52" t="str">
        <f t="shared" si="22"/>
        <v/>
      </c>
      <c r="R564" s="52" t="str">
        <f t="shared" si="32"/>
        <v/>
      </c>
      <c r="Z564" s="81"/>
      <c r="AA564" s="81"/>
      <c r="AB564" s="81"/>
      <c r="AC564" s="81" t="str">
        <f t="shared" si="5"/>
        <v/>
      </c>
      <c r="AD564" s="82" t="str">
        <f t="shared" si="6"/>
        <v/>
      </c>
    </row>
    <row r="565">
      <c r="A565" s="89"/>
      <c r="B565" s="89"/>
      <c r="C565" s="89"/>
      <c r="D565" s="89"/>
      <c r="E565" s="89"/>
      <c r="F565" s="81"/>
      <c r="G565" s="89"/>
      <c r="H565" s="89"/>
      <c r="I565" s="89"/>
      <c r="J565" s="89" t="str">
        <f t="shared" si="18"/>
        <v/>
      </c>
      <c r="K565" s="89" t="str">
        <f t="shared" si="23"/>
        <v/>
      </c>
      <c r="L565" s="89" t="str">
        <f>IFERROR(__xludf.DUMMYFUNCTION("""COMPUTED_VALUE"""),"")</f>
        <v/>
      </c>
      <c r="M565" s="89" t="str">
        <f>IFERROR(__xludf.DUMMYFUNCTION("""COMPUTED_VALUE"""),"")</f>
        <v/>
      </c>
      <c r="N565" s="89" t="str">
        <f>IFERROR(__xludf.DUMMYFUNCTION("""COMPUTED_VALUE"""),"")</f>
        <v/>
      </c>
      <c r="P565" s="52" t="str">
        <f t="shared" si="22"/>
        <v/>
      </c>
      <c r="R565" s="52" t="str">
        <f t="shared" si="32"/>
        <v/>
      </c>
      <c r="Z565" s="81"/>
      <c r="AA565" s="81"/>
      <c r="AB565" s="81"/>
      <c r="AC565" s="81" t="str">
        <f t="shared" si="5"/>
        <v/>
      </c>
      <c r="AD565" s="82" t="str">
        <f t="shared" si="6"/>
        <v/>
      </c>
    </row>
    <row r="566">
      <c r="A566" s="89"/>
      <c r="B566" s="89"/>
      <c r="C566" s="89"/>
      <c r="D566" s="89"/>
      <c r="E566" s="89"/>
      <c r="F566" s="81"/>
      <c r="G566" s="89"/>
      <c r="H566" s="89"/>
      <c r="I566" s="89"/>
      <c r="J566" s="89" t="str">
        <f t="shared" si="18"/>
        <v/>
      </c>
      <c r="K566" s="89" t="str">
        <f t="shared" si="23"/>
        <v/>
      </c>
      <c r="L566" s="89" t="str">
        <f>IFERROR(__xludf.DUMMYFUNCTION("""COMPUTED_VALUE"""),"")</f>
        <v/>
      </c>
      <c r="M566" s="89" t="str">
        <f>IFERROR(__xludf.DUMMYFUNCTION("""COMPUTED_VALUE"""),"")</f>
        <v/>
      </c>
      <c r="N566" s="89" t="str">
        <f>IFERROR(__xludf.DUMMYFUNCTION("""COMPUTED_VALUE"""),"")</f>
        <v/>
      </c>
      <c r="P566" s="52" t="str">
        <f t="shared" si="22"/>
        <v/>
      </c>
      <c r="R566" s="52" t="str">
        <f t="shared" si="32"/>
        <v/>
      </c>
      <c r="Z566" s="81"/>
      <c r="AA566" s="81"/>
      <c r="AB566" s="81"/>
      <c r="AC566" s="81" t="str">
        <f t="shared" si="5"/>
        <v/>
      </c>
      <c r="AD566" s="82" t="str">
        <f t="shared" si="6"/>
        <v/>
      </c>
    </row>
    <row r="567">
      <c r="A567" s="89"/>
      <c r="B567" s="89"/>
      <c r="C567" s="89"/>
      <c r="D567" s="89"/>
      <c r="E567" s="89"/>
      <c r="F567" s="81"/>
      <c r="G567" s="89"/>
      <c r="H567" s="89"/>
      <c r="I567" s="89"/>
      <c r="J567" s="89" t="str">
        <f t="shared" si="18"/>
        <v/>
      </c>
      <c r="K567" s="89" t="str">
        <f t="shared" si="23"/>
        <v/>
      </c>
      <c r="L567" s="89" t="str">
        <f>IFERROR(__xludf.DUMMYFUNCTION("""COMPUTED_VALUE"""),"")</f>
        <v/>
      </c>
      <c r="M567" s="89" t="str">
        <f>IFERROR(__xludf.DUMMYFUNCTION("""COMPUTED_VALUE"""),"")</f>
        <v/>
      </c>
      <c r="N567" s="89" t="str">
        <f>IFERROR(__xludf.DUMMYFUNCTION("""COMPUTED_VALUE"""),"")</f>
        <v/>
      </c>
      <c r="P567" s="52" t="str">
        <f t="shared" si="22"/>
        <v/>
      </c>
      <c r="R567" s="52" t="str">
        <f t="shared" si="32"/>
        <v/>
      </c>
      <c r="Z567" s="81"/>
      <c r="AA567" s="81"/>
      <c r="AB567" s="81"/>
      <c r="AC567" s="81" t="str">
        <f t="shared" si="5"/>
        <v/>
      </c>
      <c r="AD567" s="82" t="str">
        <f t="shared" si="6"/>
        <v/>
      </c>
    </row>
    <row r="568">
      <c r="A568" s="89"/>
      <c r="B568" s="89"/>
      <c r="C568" s="89"/>
      <c r="D568" s="89"/>
      <c r="E568" s="89"/>
      <c r="F568" s="81"/>
      <c r="G568" s="89"/>
      <c r="H568" s="89"/>
      <c r="I568" s="89"/>
      <c r="J568" s="89" t="str">
        <f t="shared" si="18"/>
        <v/>
      </c>
      <c r="K568" s="89" t="str">
        <f t="shared" si="23"/>
        <v/>
      </c>
      <c r="L568" s="89" t="str">
        <f>IFERROR(__xludf.DUMMYFUNCTION("""COMPUTED_VALUE"""),"")</f>
        <v/>
      </c>
      <c r="M568" s="89" t="str">
        <f>IFERROR(__xludf.DUMMYFUNCTION("""COMPUTED_VALUE"""),"")</f>
        <v/>
      </c>
      <c r="N568" s="89" t="str">
        <f>IFERROR(__xludf.DUMMYFUNCTION("""COMPUTED_VALUE"""),"")</f>
        <v/>
      </c>
      <c r="P568" s="52" t="str">
        <f t="shared" si="22"/>
        <v/>
      </c>
      <c r="R568" s="52" t="str">
        <f t="shared" si="32"/>
        <v/>
      </c>
      <c r="Z568" s="81"/>
      <c r="AA568" s="81"/>
      <c r="AB568" s="81"/>
      <c r="AC568" s="81" t="str">
        <f t="shared" si="5"/>
        <v/>
      </c>
      <c r="AD568" s="82" t="str">
        <f t="shared" si="6"/>
        <v/>
      </c>
    </row>
    <row r="569">
      <c r="A569" s="89"/>
      <c r="B569" s="89"/>
      <c r="C569" s="89"/>
      <c r="D569" s="89"/>
      <c r="E569" s="89"/>
      <c r="F569" s="81"/>
      <c r="G569" s="89"/>
      <c r="H569" s="89"/>
      <c r="I569" s="89"/>
      <c r="J569" s="89" t="str">
        <f t="shared" si="18"/>
        <v/>
      </c>
      <c r="K569" s="89" t="str">
        <f t="shared" si="23"/>
        <v/>
      </c>
      <c r="L569" s="89" t="str">
        <f>IFERROR(__xludf.DUMMYFUNCTION("""COMPUTED_VALUE"""),"")</f>
        <v/>
      </c>
      <c r="M569" s="89" t="str">
        <f>IFERROR(__xludf.DUMMYFUNCTION("""COMPUTED_VALUE"""),"")</f>
        <v/>
      </c>
      <c r="N569" s="89" t="str">
        <f>IFERROR(__xludf.DUMMYFUNCTION("""COMPUTED_VALUE"""),"")</f>
        <v/>
      </c>
      <c r="P569" s="52" t="str">
        <f t="shared" si="22"/>
        <v/>
      </c>
      <c r="R569" s="52" t="str">
        <f t="shared" si="32"/>
        <v/>
      </c>
      <c r="Z569" s="81"/>
      <c r="AA569" s="81"/>
      <c r="AB569" s="81"/>
      <c r="AC569" s="81" t="str">
        <f t="shared" si="5"/>
        <v/>
      </c>
      <c r="AD569" s="82" t="str">
        <f t="shared" si="6"/>
        <v/>
      </c>
    </row>
    <row r="570">
      <c r="A570" s="89"/>
      <c r="B570" s="89"/>
      <c r="C570" s="89"/>
      <c r="D570" s="89"/>
      <c r="E570" s="89"/>
      <c r="F570" s="81"/>
      <c r="G570" s="89"/>
      <c r="H570" s="89"/>
      <c r="I570" s="89"/>
      <c r="J570" s="89" t="str">
        <f t="shared" si="18"/>
        <v/>
      </c>
      <c r="K570" s="89" t="str">
        <f t="shared" si="23"/>
        <v/>
      </c>
      <c r="L570" s="89" t="str">
        <f>IFERROR(__xludf.DUMMYFUNCTION("""COMPUTED_VALUE"""),"")</f>
        <v/>
      </c>
      <c r="M570" s="89" t="str">
        <f>IFERROR(__xludf.DUMMYFUNCTION("""COMPUTED_VALUE"""),"")</f>
        <v/>
      </c>
      <c r="N570" s="89" t="str">
        <f>IFERROR(__xludf.DUMMYFUNCTION("""COMPUTED_VALUE"""),"")</f>
        <v/>
      </c>
      <c r="P570" s="52" t="str">
        <f t="shared" si="22"/>
        <v/>
      </c>
      <c r="R570" s="52" t="str">
        <f t="shared" si="32"/>
        <v/>
      </c>
      <c r="Z570" s="81"/>
      <c r="AA570" s="81"/>
      <c r="AB570" s="81"/>
      <c r="AC570" s="81" t="str">
        <f t="shared" si="5"/>
        <v/>
      </c>
      <c r="AD570" s="82" t="str">
        <f t="shared" si="6"/>
        <v/>
      </c>
    </row>
    <row r="571">
      <c r="A571" s="89"/>
      <c r="B571" s="89"/>
      <c r="C571" s="89"/>
      <c r="D571" s="89"/>
      <c r="E571" s="89"/>
      <c r="F571" s="81"/>
      <c r="G571" s="89"/>
      <c r="H571" s="89"/>
      <c r="I571" s="89"/>
      <c r="J571" s="89" t="str">
        <f t="shared" si="18"/>
        <v/>
      </c>
      <c r="K571" s="89" t="str">
        <f t="shared" si="23"/>
        <v/>
      </c>
      <c r="L571" s="89" t="str">
        <f>IFERROR(__xludf.DUMMYFUNCTION("""COMPUTED_VALUE"""),"")</f>
        <v/>
      </c>
      <c r="M571" s="89" t="str">
        <f>IFERROR(__xludf.DUMMYFUNCTION("""COMPUTED_VALUE"""),"")</f>
        <v/>
      </c>
      <c r="N571" s="89" t="str">
        <f>IFERROR(__xludf.DUMMYFUNCTION("""COMPUTED_VALUE"""),"")</f>
        <v/>
      </c>
      <c r="P571" s="52" t="str">
        <f t="shared" si="22"/>
        <v/>
      </c>
      <c r="R571" s="52" t="str">
        <f t="shared" si="32"/>
        <v/>
      </c>
      <c r="Z571" s="81"/>
      <c r="AA571" s="81"/>
      <c r="AB571" s="81"/>
      <c r="AC571" s="81" t="str">
        <f t="shared" si="5"/>
        <v/>
      </c>
      <c r="AD571" s="82" t="str">
        <f t="shared" si="6"/>
        <v/>
      </c>
    </row>
    <row r="572">
      <c r="A572" s="89"/>
      <c r="B572" s="89"/>
      <c r="C572" s="89"/>
      <c r="D572" s="89"/>
      <c r="E572" s="89"/>
      <c r="F572" s="81"/>
      <c r="G572" s="89"/>
      <c r="H572" s="89"/>
      <c r="I572" s="89"/>
      <c r="J572" s="89" t="str">
        <f t="shared" si="18"/>
        <v/>
      </c>
      <c r="K572" s="89" t="str">
        <f t="shared" si="23"/>
        <v/>
      </c>
      <c r="L572" s="89" t="str">
        <f>IFERROR(__xludf.DUMMYFUNCTION("""COMPUTED_VALUE"""),"")</f>
        <v/>
      </c>
      <c r="M572" s="89" t="str">
        <f>IFERROR(__xludf.DUMMYFUNCTION("""COMPUTED_VALUE"""),"")</f>
        <v/>
      </c>
      <c r="N572" s="89" t="str">
        <f>IFERROR(__xludf.DUMMYFUNCTION("""COMPUTED_VALUE"""),"")</f>
        <v/>
      </c>
      <c r="P572" s="52" t="str">
        <f t="shared" si="22"/>
        <v/>
      </c>
      <c r="R572" s="52" t="str">
        <f t="shared" si="32"/>
        <v/>
      </c>
      <c r="Z572" s="81"/>
      <c r="AA572" s="81"/>
      <c r="AB572" s="81"/>
      <c r="AC572" s="81" t="str">
        <f t="shared" si="5"/>
        <v/>
      </c>
      <c r="AD572" s="82" t="str">
        <f t="shared" si="6"/>
        <v/>
      </c>
    </row>
    <row r="573">
      <c r="A573" s="89"/>
      <c r="B573" s="89"/>
      <c r="C573" s="89"/>
      <c r="D573" s="89"/>
      <c r="E573" s="89"/>
      <c r="F573" s="81"/>
      <c r="G573" s="89"/>
      <c r="H573" s="89"/>
      <c r="I573" s="89"/>
      <c r="J573" s="89" t="str">
        <f t="shared" si="18"/>
        <v/>
      </c>
      <c r="K573" s="89" t="str">
        <f t="shared" si="23"/>
        <v/>
      </c>
      <c r="L573" s="89" t="str">
        <f>IFERROR(__xludf.DUMMYFUNCTION("""COMPUTED_VALUE"""),"")</f>
        <v/>
      </c>
      <c r="M573" s="89" t="str">
        <f>IFERROR(__xludf.DUMMYFUNCTION("""COMPUTED_VALUE"""),"")</f>
        <v/>
      </c>
      <c r="N573" s="89" t="str">
        <f>IFERROR(__xludf.DUMMYFUNCTION("""COMPUTED_VALUE"""),"")</f>
        <v/>
      </c>
      <c r="P573" s="52" t="str">
        <f t="shared" si="22"/>
        <v/>
      </c>
      <c r="R573" s="52" t="str">
        <f t="shared" si="32"/>
        <v/>
      </c>
      <c r="Z573" s="81"/>
      <c r="AA573" s="81"/>
      <c r="AB573" s="81"/>
      <c r="AC573" s="81" t="str">
        <f t="shared" si="5"/>
        <v/>
      </c>
      <c r="AD573" s="82" t="str">
        <f t="shared" si="6"/>
        <v/>
      </c>
    </row>
    <row r="574">
      <c r="A574" s="89"/>
      <c r="B574" s="89"/>
      <c r="C574" s="89"/>
      <c r="D574" s="89"/>
      <c r="E574" s="89"/>
      <c r="F574" s="81"/>
      <c r="G574" s="89"/>
      <c r="H574" s="89"/>
      <c r="I574" s="89"/>
      <c r="J574" s="89" t="str">
        <f t="shared" si="18"/>
        <v/>
      </c>
      <c r="K574" s="89" t="str">
        <f t="shared" si="23"/>
        <v/>
      </c>
      <c r="L574" s="89" t="str">
        <f>IFERROR(__xludf.DUMMYFUNCTION("""COMPUTED_VALUE"""),"")</f>
        <v/>
      </c>
      <c r="M574" s="89" t="str">
        <f>IFERROR(__xludf.DUMMYFUNCTION("""COMPUTED_VALUE"""),"")</f>
        <v/>
      </c>
      <c r="N574" s="89" t="str">
        <f>IFERROR(__xludf.DUMMYFUNCTION("""COMPUTED_VALUE"""),"")</f>
        <v/>
      </c>
      <c r="P574" s="52" t="str">
        <f t="shared" si="22"/>
        <v/>
      </c>
      <c r="R574" s="52" t="str">
        <f t="shared" si="32"/>
        <v/>
      </c>
      <c r="Z574" s="81"/>
      <c r="AA574" s="81"/>
      <c r="AB574" s="81"/>
      <c r="AC574" s="81" t="str">
        <f t="shared" si="5"/>
        <v/>
      </c>
      <c r="AD574" s="82" t="str">
        <f t="shared" si="6"/>
        <v/>
      </c>
    </row>
    <row r="575">
      <c r="A575" s="89"/>
      <c r="B575" s="89"/>
      <c r="C575" s="89"/>
      <c r="D575" s="89"/>
      <c r="E575" s="89"/>
      <c r="F575" s="81"/>
      <c r="G575" s="89"/>
      <c r="H575" s="89"/>
      <c r="I575" s="89"/>
      <c r="J575" s="89" t="str">
        <f t="shared" si="18"/>
        <v/>
      </c>
      <c r="K575" s="89" t="str">
        <f t="shared" si="23"/>
        <v/>
      </c>
      <c r="L575" s="89" t="str">
        <f>IFERROR(__xludf.DUMMYFUNCTION("""COMPUTED_VALUE"""),"")</f>
        <v/>
      </c>
      <c r="M575" s="89" t="str">
        <f>IFERROR(__xludf.DUMMYFUNCTION("""COMPUTED_VALUE"""),"")</f>
        <v/>
      </c>
      <c r="N575" s="89" t="str">
        <f>IFERROR(__xludf.DUMMYFUNCTION("""COMPUTED_VALUE"""),"")</f>
        <v/>
      </c>
      <c r="P575" s="52" t="str">
        <f t="shared" si="22"/>
        <v/>
      </c>
      <c r="R575" s="52" t="str">
        <f t="shared" si="32"/>
        <v/>
      </c>
      <c r="Z575" s="81"/>
      <c r="AA575" s="81"/>
      <c r="AB575" s="81"/>
      <c r="AC575" s="81" t="str">
        <f t="shared" si="5"/>
        <v/>
      </c>
      <c r="AD575" s="82" t="str">
        <f t="shared" si="6"/>
        <v/>
      </c>
    </row>
    <row r="576">
      <c r="A576" s="89"/>
      <c r="B576" s="89"/>
      <c r="C576" s="89"/>
      <c r="D576" s="89"/>
      <c r="E576" s="89"/>
      <c r="F576" s="81"/>
      <c r="G576" s="89"/>
      <c r="H576" s="89"/>
      <c r="I576" s="89"/>
      <c r="J576" s="89" t="str">
        <f t="shared" si="18"/>
        <v/>
      </c>
      <c r="K576" s="89" t="str">
        <f t="shared" si="23"/>
        <v/>
      </c>
      <c r="L576" s="89" t="str">
        <f>IFERROR(__xludf.DUMMYFUNCTION("""COMPUTED_VALUE"""),"")</f>
        <v/>
      </c>
      <c r="M576" s="89" t="str">
        <f>IFERROR(__xludf.DUMMYFUNCTION("""COMPUTED_VALUE"""),"")</f>
        <v/>
      </c>
      <c r="N576" s="89" t="str">
        <f>IFERROR(__xludf.DUMMYFUNCTION("""COMPUTED_VALUE"""),"")</f>
        <v/>
      </c>
      <c r="P576" s="52" t="str">
        <f t="shared" si="22"/>
        <v/>
      </c>
      <c r="R576" s="52" t="str">
        <f t="shared" si="32"/>
        <v/>
      </c>
      <c r="Z576" s="81"/>
      <c r="AA576" s="81"/>
      <c r="AB576" s="81"/>
      <c r="AC576" s="81" t="str">
        <f t="shared" si="5"/>
        <v/>
      </c>
      <c r="AD576" s="82" t="str">
        <f t="shared" si="6"/>
        <v/>
      </c>
    </row>
    <row r="577">
      <c r="A577" s="89"/>
      <c r="B577" s="89"/>
      <c r="C577" s="89"/>
      <c r="D577" s="89"/>
      <c r="E577" s="89"/>
      <c r="F577" s="81"/>
      <c r="G577" s="89"/>
      <c r="H577" s="89"/>
      <c r="I577" s="89"/>
      <c r="J577" s="89" t="str">
        <f t="shared" si="18"/>
        <v/>
      </c>
      <c r="K577" s="89" t="str">
        <f t="shared" si="23"/>
        <v/>
      </c>
      <c r="L577" s="89" t="str">
        <f>IFERROR(__xludf.DUMMYFUNCTION("""COMPUTED_VALUE"""),"")</f>
        <v/>
      </c>
      <c r="M577" s="89" t="str">
        <f>IFERROR(__xludf.DUMMYFUNCTION("""COMPUTED_VALUE"""),"")</f>
        <v/>
      </c>
      <c r="N577" s="89" t="str">
        <f>IFERROR(__xludf.DUMMYFUNCTION("""COMPUTED_VALUE"""),"")</f>
        <v/>
      </c>
      <c r="P577" s="52" t="str">
        <f t="shared" si="22"/>
        <v/>
      </c>
      <c r="R577" s="52" t="str">
        <f t="shared" si="32"/>
        <v/>
      </c>
      <c r="Z577" s="81"/>
      <c r="AA577" s="81"/>
      <c r="AB577" s="81"/>
      <c r="AC577" s="81" t="str">
        <f t="shared" si="5"/>
        <v/>
      </c>
      <c r="AD577" s="82" t="str">
        <f t="shared" si="6"/>
        <v/>
      </c>
    </row>
    <row r="578">
      <c r="A578" s="89"/>
      <c r="B578" s="89"/>
      <c r="C578" s="89"/>
      <c r="D578" s="89"/>
      <c r="E578" s="89"/>
      <c r="F578" s="81"/>
      <c r="G578" s="89"/>
      <c r="H578" s="89"/>
      <c r="I578" s="89"/>
      <c r="J578" s="89" t="str">
        <f t="shared" si="18"/>
        <v/>
      </c>
      <c r="K578" s="89" t="str">
        <f t="shared" si="23"/>
        <v/>
      </c>
      <c r="L578" s="89" t="str">
        <f>IFERROR(__xludf.DUMMYFUNCTION("""COMPUTED_VALUE"""),"")</f>
        <v/>
      </c>
      <c r="M578" s="89" t="str">
        <f>IFERROR(__xludf.DUMMYFUNCTION("""COMPUTED_VALUE"""),"")</f>
        <v/>
      </c>
      <c r="N578" s="89" t="str">
        <f>IFERROR(__xludf.DUMMYFUNCTION("""COMPUTED_VALUE"""),"")</f>
        <v/>
      </c>
      <c r="P578" s="52" t="str">
        <f t="shared" si="22"/>
        <v/>
      </c>
      <c r="R578" s="52" t="str">
        <f t="shared" si="32"/>
        <v/>
      </c>
      <c r="Z578" s="81"/>
      <c r="AA578" s="81"/>
      <c r="AB578" s="81"/>
      <c r="AC578" s="81" t="str">
        <f t="shared" si="5"/>
        <v/>
      </c>
      <c r="AD578" s="82" t="str">
        <f t="shared" si="6"/>
        <v/>
      </c>
    </row>
    <row r="579">
      <c r="A579" s="89"/>
      <c r="B579" s="89"/>
      <c r="C579" s="89"/>
      <c r="D579" s="89"/>
      <c r="E579" s="89"/>
      <c r="F579" s="81"/>
      <c r="G579" s="89"/>
      <c r="H579" s="89"/>
      <c r="I579" s="89"/>
      <c r="J579" s="89" t="str">
        <f t="shared" si="18"/>
        <v/>
      </c>
      <c r="K579" s="89" t="str">
        <f t="shared" si="23"/>
        <v/>
      </c>
      <c r="L579" s="89" t="str">
        <f>IFERROR(__xludf.DUMMYFUNCTION("""COMPUTED_VALUE"""),"")</f>
        <v/>
      </c>
      <c r="M579" s="89" t="str">
        <f>IFERROR(__xludf.DUMMYFUNCTION("""COMPUTED_VALUE"""),"")</f>
        <v/>
      </c>
      <c r="N579" s="89" t="str">
        <f>IFERROR(__xludf.DUMMYFUNCTION("""COMPUTED_VALUE"""),"")</f>
        <v/>
      </c>
      <c r="P579" s="52" t="str">
        <f t="shared" si="22"/>
        <v/>
      </c>
      <c r="R579" s="52" t="str">
        <f t="shared" si="32"/>
        <v/>
      </c>
      <c r="Z579" s="81"/>
      <c r="AA579" s="81"/>
      <c r="AB579" s="81"/>
      <c r="AC579" s="81" t="str">
        <f t="shared" si="5"/>
        <v/>
      </c>
      <c r="AD579" s="82" t="str">
        <f t="shared" si="6"/>
        <v/>
      </c>
    </row>
    <row r="580">
      <c r="A580" s="89"/>
      <c r="B580" s="89"/>
      <c r="C580" s="89"/>
      <c r="D580" s="89"/>
      <c r="E580" s="89"/>
      <c r="F580" s="81"/>
      <c r="G580" s="89"/>
      <c r="H580" s="89"/>
      <c r="I580" s="89"/>
      <c r="J580" s="89" t="str">
        <f t="shared" si="18"/>
        <v/>
      </c>
      <c r="K580" s="89" t="str">
        <f t="shared" si="23"/>
        <v/>
      </c>
      <c r="L580" s="89" t="str">
        <f>IFERROR(__xludf.DUMMYFUNCTION("""COMPUTED_VALUE"""),"")</f>
        <v/>
      </c>
      <c r="M580" s="89" t="str">
        <f>IFERROR(__xludf.DUMMYFUNCTION("""COMPUTED_VALUE"""),"")</f>
        <v/>
      </c>
      <c r="N580" s="89" t="str">
        <f>IFERROR(__xludf.DUMMYFUNCTION("""COMPUTED_VALUE"""),"")</f>
        <v/>
      </c>
      <c r="P580" s="52" t="str">
        <f t="shared" si="22"/>
        <v/>
      </c>
      <c r="R580" s="52" t="str">
        <f t="shared" si="32"/>
        <v/>
      </c>
      <c r="Z580" s="81"/>
      <c r="AA580" s="81"/>
      <c r="AB580" s="81"/>
      <c r="AC580" s="81" t="str">
        <f t="shared" si="5"/>
        <v/>
      </c>
      <c r="AD580" s="82" t="str">
        <f t="shared" si="6"/>
        <v/>
      </c>
    </row>
    <row r="581">
      <c r="A581" s="89"/>
      <c r="B581" s="89"/>
      <c r="C581" s="89"/>
      <c r="D581" s="89"/>
      <c r="E581" s="89"/>
      <c r="F581" s="81"/>
      <c r="G581" s="89"/>
      <c r="H581" s="89"/>
      <c r="I581" s="89"/>
      <c r="J581" s="89" t="str">
        <f t="shared" si="18"/>
        <v/>
      </c>
      <c r="K581" s="89" t="str">
        <f t="shared" si="23"/>
        <v/>
      </c>
      <c r="L581" s="89" t="str">
        <f>IFERROR(__xludf.DUMMYFUNCTION("""COMPUTED_VALUE"""),"")</f>
        <v/>
      </c>
      <c r="M581" s="89" t="str">
        <f>IFERROR(__xludf.DUMMYFUNCTION("""COMPUTED_VALUE"""),"")</f>
        <v/>
      </c>
      <c r="N581" s="89" t="str">
        <f>IFERROR(__xludf.DUMMYFUNCTION("""COMPUTED_VALUE"""),"")</f>
        <v/>
      </c>
      <c r="P581" s="52" t="str">
        <f t="shared" si="22"/>
        <v/>
      </c>
      <c r="R581" s="52" t="str">
        <f t="shared" si="32"/>
        <v/>
      </c>
      <c r="Z581" s="81"/>
      <c r="AA581" s="81"/>
      <c r="AB581" s="81"/>
      <c r="AC581" s="81" t="str">
        <f t="shared" si="5"/>
        <v/>
      </c>
      <c r="AD581" s="82" t="str">
        <f t="shared" si="6"/>
        <v/>
      </c>
    </row>
    <row r="582">
      <c r="A582" s="89"/>
      <c r="B582" s="89"/>
      <c r="C582" s="89"/>
      <c r="D582" s="89"/>
      <c r="E582" s="89"/>
      <c r="F582" s="81"/>
      <c r="G582" s="89"/>
      <c r="H582" s="89"/>
      <c r="I582" s="89"/>
      <c r="J582" s="89" t="str">
        <f t="shared" si="18"/>
        <v/>
      </c>
      <c r="K582" s="89" t="str">
        <f t="shared" si="23"/>
        <v/>
      </c>
      <c r="L582" s="89" t="str">
        <f>IFERROR(__xludf.DUMMYFUNCTION("""COMPUTED_VALUE"""),"")</f>
        <v/>
      </c>
      <c r="M582" s="89" t="str">
        <f>IFERROR(__xludf.DUMMYFUNCTION("""COMPUTED_VALUE"""),"")</f>
        <v/>
      </c>
      <c r="N582" s="89" t="str">
        <f>IFERROR(__xludf.DUMMYFUNCTION("""COMPUTED_VALUE"""),"")</f>
        <v/>
      </c>
      <c r="P582" s="52" t="str">
        <f t="shared" si="22"/>
        <v/>
      </c>
      <c r="R582" s="52" t="str">
        <f t="shared" si="32"/>
        <v/>
      </c>
      <c r="Z582" s="81"/>
      <c r="AA582" s="81"/>
      <c r="AB582" s="81"/>
      <c r="AC582" s="81" t="str">
        <f t="shared" si="5"/>
        <v/>
      </c>
      <c r="AD582" s="82" t="str">
        <f t="shared" si="6"/>
        <v/>
      </c>
    </row>
    <row r="583">
      <c r="A583" s="89"/>
      <c r="B583" s="89"/>
      <c r="C583" s="89"/>
      <c r="D583" s="89"/>
      <c r="E583" s="89"/>
      <c r="F583" s="81"/>
      <c r="G583" s="89"/>
      <c r="H583" s="89"/>
      <c r="I583" s="89"/>
      <c r="J583" s="89" t="str">
        <f t="shared" si="18"/>
        <v/>
      </c>
      <c r="K583" s="89" t="str">
        <f t="shared" si="23"/>
        <v/>
      </c>
      <c r="L583" s="89" t="str">
        <f>IFERROR(__xludf.DUMMYFUNCTION("""COMPUTED_VALUE"""),"")</f>
        <v/>
      </c>
      <c r="M583" s="89" t="str">
        <f>IFERROR(__xludf.DUMMYFUNCTION("""COMPUTED_VALUE"""),"")</f>
        <v/>
      </c>
      <c r="N583" s="89" t="str">
        <f>IFERROR(__xludf.DUMMYFUNCTION("""COMPUTED_VALUE"""),"")</f>
        <v/>
      </c>
      <c r="P583" s="52" t="str">
        <f t="shared" si="22"/>
        <v/>
      </c>
      <c r="R583" s="52" t="str">
        <f t="shared" si="32"/>
        <v/>
      </c>
      <c r="Z583" s="81"/>
      <c r="AA583" s="81"/>
      <c r="AB583" s="81"/>
      <c r="AC583" s="81" t="str">
        <f t="shared" si="5"/>
        <v/>
      </c>
      <c r="AD583" s="82" t="str">
        <f t="shared" si="6"/>
        <v/>
      </c>
    </row>
    <row r="584">
      <c r="A584" s="89"/>
      <c r="B584" s="89"/>
      <c r="C584" s="89"/>
      <c r="D584" s="89"/>
      <c r="E584" s="89"/>
      <c r="F584" s="81"/>
      <c r="G584" s="89"/>
      <c r="H584" s="89"/>
      <c r="I584" s="89"/>
      <c r="J584" s="89" t="str">
        <f t="shared" si="18"/>
        <v/>
      </c>
      <c r="K584" s="89" t="str">
        <f t="shared" si="23"/>
        <v/>
      </c>
      <c r="L584" s="89" t="str">
        <f>IFERROR(__xludf.DUMMYFUNCTION("""COMPUTED_VALUE"""),"")</f>
        <v/>
      </c>
      <c r="M584" s="89" t="str">
        <f>IFERROR(__xludf.DUMMYFUNCTION("""COMPUTED_VALUE"""),"")</f>
        <v/>
      </c>
      <c r="N584" s="89" t="str">
        <f>IFERROR(__xludf.DUMMYFUNCTION("""COMPUTED_VALUE"""),"")</f>
        <v/>
      </c>
      <c r="P584" s="52" t="str">
        <f t="shared" si="22"/>
        <v/>
      </c>
      <c r="R584" s="52" t="str">
        <f t="shared" si="32"/>
        <v/>
      </c>
      <c r="Z584" s="81"/>
      <c r="AA584" s="81"/>
      <c r="AB584" s="81"/>
      <c r="AC584" s="81" t="str">
        <f t="shared" si="5"/>
        <v/>
      </c>
      <c r="AD584" s="82" t="str">
        <f t="shared" si="6"/>
        <v/>
      </c>
    </row>
    <row r="585">
      <c r="A585" s="89"/>
      <c r="B585" s="89"/>
      <c r="C585" s="89"/>
      <c r="D585" s="89"/>
      <c r="E585" s="89"/>
      <c r="F585" s="81"/>
      <c r="G585" s="89"/>
      <c r="H585" s="89"/>
      <c r="I585" s="89"/>
      <c r="J585" s="89" t="str">
        <f t="shared" si="18"/>
        <v/>
      </c>
      <c r="K585" s="89" t="str">
        <f t="shared" si="23"/>
        <v/>
      </c>
      <c r="L585" s="89" t="str">
        <f>IFERROR(__xludf.DUMMYFUNCTION("""COMPUTED_VALUE"""),"")</f>
        <v/>
      </c>
      <c r="M585" s="89" t="str">
        <f>IFERROR(__xludf.DUMMYFUNCTION("""COMPUTED_VALUE"""),"")</f>
        <v/>
      </c>
      <c r="N585" s="89" t="str">
        <f>IFERROR(__xludf.DUMMYFUNCTION("""COMPUTED_VALUE"""),"")</f>
        <v/>
      </c>
      <c r="P585" s="52" t="str">
        <f t="shared" si="22"/>
        <v/>
      </c>
      <c r="R585" s="52" t="str">
        <f t="shared" si="32"/>
        <v/>
      </c>
      <c r="Z585" s="81"/>
      <c r="AA585" s="81"/>
      <c r="AB585" s="81"/>
      <c r="AC585" s="81" t="str">
        <f t="shared" si="5"/>
        <v/>
      </c>
      <c r="AD585" s="82" t="str">
        <f t="shared" si="6"/>
        <v/>
      </c>
    </row>
    <row r="586">
      <c r="A586" s="89"/>
      <c r="B586" s="89"/>
      <c r="C586" s="89"/>
      <c r="D586" s="89"/>
      <c r="E586" s="89"/>
      <c r="F586" s="81"/>
      <c r="G586" s="89"/>
      <c r="H586" s="89"/>
      <c r="I586" s="89"/>
      <c r="J586" s="89" t="str">
        <f t="shared" si="18"/>
        <v/>
      </c>
      <c r="K586" s="89" t="str">
        <f t="shared" si="23"/>
        <v/>
      </c>
      <c r="L586" s="89" t="str">
        <f>IFERROR(__xludf.DUMMYFUNCTION("""COMPUTED_VALUE"""),"")</f>
        <v/>
      </c>
      <c r="M586" s="89" t="str">
        <f>IFERROR(__xludf.DUMMYFUNCTION("""COMPUTED_VALUE"""),"")</f>
        <v/>
      </c>
      <c r="N586" s="89" t="str">
        <f>IFERROR(__xludf.DUMMYFUNCTION("""COMPUTED_VALUE"""),"")</f>
        <v/>
      </c>
      <c r="P586" s="52" t="str">
        <f t="shared" si="22"/>
        <v/>
      </c>
      <c r="R586" s="52" t="str">
        <f t="shared" si="32"/>
        <v/>
      </c>
      <c r="Z586" s="81"/>
      <c r="AA586" s="81"/>
      <c r="AB586" s="81"/>
      <c r="AC586" s="81" t="str">
        <f t="shared" si="5"/>
        <v/>
      </c>
      <c r="AD586" s="82" t="str">
        <f t="shared" si="6"/>
        <v/>
      </c>
    </row>
    <row r="587">
      <c r="A587" s="89"/>
      <c r="B587" s="89"/>
      <c r="C587" s="89"/>
      <c r="D587" s="89"/>
      <c r="E587" s="89"/>
      <c r="F587" s="81"/>
      <c r="G587" s="89"/>
      <c r="H587" s="89"/>
      <c r="I587" s="89"/>
      <c r="J587" s="89" t="str">
        <f t="shared" si="18"/>
        <v/>
      </c>
      <c r="K587" s="89" t="str">
        <f t="shared" si="23"/>
        <v/>
      </c>
      <c r="L587" s="89" t="str">
        <f>IFERROR(__xludf.DUMMYFUNCTION("""COMPUTED_VALUE"""),"")</f>
        <v/>
      </c>
      <c r="M587" s="89" t="str">
        <f>IFERROR(__xludf.DUMMYFUNCTION("""COMPUTED_VALUE"""),"")</f>
        <v/>
      </c>
      <c r="N587" s="89" t="str">
        <f>IFERROR(__xludf.DUMMYFUNCTION("""COMPUTED_VALUE"""),"")</f>
        <v/>
      </c>
      <c r="P587" s="52" t="str">
        <f t="shared" si="22"/>
        <v/>
      </c>
      <c r="R587" s="52" t="str">
        <f t="shared" si="32"/>
        <v/>
      </c>
      <c r="Z587" s="81"/>
      <c r="AA587" s="81"/>
      <c r="AB587" s="81"/>
      <c r="AC587" s="81" t="str">
        <f t="shared" si="5"/>
        <v/>
      </c>
      <c r="AD587" s="82" t="str">
        <f t="shared" si="6"/>
        <v/>
      </c>
    </row>
    <row r="588">
      <c r="A588" s="89"/>
      <c r="B588" s="89"/>
      <c r="C588" s="89"/>
      <c r="D588" s="89"/>
      <c r="E588" s="89"/>
      <c r="F588" s="81"/>
      <c r="G588" s="89"/>
      <c r="H588" s="89"/>
      <c r="I588" s="89"/>
      <c r="J588" s="89" t="str">
        <f t="shared" si="18"/>
        <v/>
      </c>
      <c r="K588" s="89" t="str">
        <f t="shared" si="23"/>
        <v/>
      </c>
      <c r="L588" s="89" t="str">
        <f>IFERROR(__xludf.DUMMYFUNCTION("""COMPUTED_VALUE"""),"")</f>
        <v/>
      </c>
      <c r="M588" s="89" t="str">
        <f>IFERROR(__xludf.DUMMYFUNCTION("""COMPUTED_VALUE"""),"")</f>
        <v/>
      </c>
      <c r="N588" s="89" t="str">
        <f>IFERROR(__xludf.DUMMYFUNCTION("""COMPUTED_VALUE"""),"")</f>
        <v/>
      </c>
      <c r="P588" s="52" t="str">
        <f t="shared" si="22"/>
        <v/>
      </c>
      <c r="R588" s="52" t="str">
        <f t="shared" si="32"/>
        <v/>
      </c>
      <c r="Z588" s="81"/>
      <c r="AA588" s="81"/>
      <c r="AB588" s="81"/>
      <c r="AC588" s="81" t="str">
        <f t="shared" si="5"/>
        <v/>
      </c>
      <c r="AD588" s="82" t="str">
        <f t="shared" si="6"/>
        <v/>
      </c>
    </row>
    <row r="589">
      <c r="A589" s="89"/>
      <c r="B589" s="89"/>
      <c r="C589" s="89"/>
      <c r="D589" s="89"/>
      <c r="E589" s="89"/>
      <c r="F589" s="81"/>
      <c r="G589" s="89"/>
      <c r="H589" s="89"/>
      <c r="I589" s="89"/>
      <c r="J589" s="89" t="str">
        <f t="shared" si="18"/>
        <v/>
      </c>
      <c r="K589" s="89" t="str">
        <f t="shared" si="23"/>
        <v/>
      </c>
      <c r="L589" s="89" t="str">
        <f>IFERROR(__xludf.DUMMYFUNCTION("""COMPUTED_VALUE"""),"")</f>
        <v/>
      </c>
      <c r="M589" s="89" t="str">
        <f>IFERROR(__xludf.DUMMYFUNCTION("""COMPUTED_VALUE"""),"")</f>
        <v/>
      </c>
      <c r="N589" s="89" t="str">
        <f>IFERROR(__xludf.DUMMYFUNCTION("""COMPUTED_VALUE"""),"")</f>
        <v/>
      </c>
      <c r="P589" s="52" t="str">
        <f t="shared" si="22"/>
        <v/>
      </c>
      <c r="R589" s="52" t="str">
        <f t="shared" si="32"/>
        <v/>
      </c>
      <c r="Z589" s="81"/>
      <c r="AA589" s="81"/>
      <c r="AB589" s="81"/>
      <c r="AC589" s="81" t="str">
        <f t="shared" si="5"/>
        <v/>
      </c>
      <c r="AD589" s="82" t="str">
        <f t="shared" si="6"/>
        <v/>
      </c>
    </row>
    <row r="590">
      <c r="A590" s="89"/>
      <c r="B590" s="89"/>
      <c r="C590" s="89"/>
      <c r="D590" s="89"/>
      <c r="E590" s="89"/>
      <c r="F590" s="81"/>
      <c r="G590" s="89"/>
      <c r="H590" s="89"/>
      <c r="I590" s="89"/>
      <c r="J590" s="89" t="str">
        <f t="shared" si="18"/>
        <v/>
      </c>
      <c r="K590" s="89" t="str">
        <f t="shared" si="23"/>
        <v/>
      </c>
      <c r="L590" s="89" t="str">
        <f>IFERROR(__xludf.DUMMYFUNCTION("""COMPUTED_VALUE"""),"")</f>
        <v/>
      </c>
      <c r="M590" s="89" t="str">
        <f>IFERROR(__xludf.DUMMYFUNCTION("""COMPUTED_VALUE"""),"")</f>
        <v/>
      </c>
      <c r="N590" s="89" t="str">
        <f>IFERROR(__xludf.DUMMYFUNCTION("""COMPUTED_VALUE"""),"")</f>
        <v/>
      </c>
      <c r="P590" s="52" t="str">
        <f t="shared" si="22"/>
        <v/>
      </c>
      <c r="R590" s="52" t="str">
        <f t="shared" si="32"/>
        <v/>
      </c>
      <c r="Z590" s="81"/>
      <c r="AA590" s="81"/>
      <c r="AB590" s="81"/>
      <c r="AC590" s="81" t="str">
        <f t="shared" si="5"/>
        <v/>
      </c>
      <c r="AD590" s="82" t="str">
        <f t="shared" si="6"/>
        <v/>
      </c>
    </row>
    <row r="591">
      <c r="A591" s="89"/>
      <c r="B591" s="89"/>
      <c r="C591" s="89"/>
      <c r="D591" s="89"/>
      <c r="E591" s="89"/>
      <c r="F591" s="81"/>
      <c r="G591" s="89"/>
      <c r="H591" s="89"/>
      <c r="I591" s="89"/>
      <c r="J591" s="89" t="str">
        <f t="shared" si="18"/>
        <v/>
      </c>
      <c r="K591" s="89" t="str">
        <f t="shared" si="23"/>
        <v/>
      </c>
      <c r="L591" s="89" t="str">
        <f>IFERROR(__xludf.DUMMYFUNCTION("""COMPUTED_VALUE"""),"")</f>
        <v/>
      </c>
      <c r="M591" s="89" t="str">
        <f>IFERROR(__xludf.DUMMYFUNCTION("""COMPUTED_VALUE"""),"")</f>
        <v/>
      </c>
      <c r="N591" s="89" t="str">
        <f>IFERROR(__xludf.DUMMYFUNCTION("""COMPUTED_VALUE"""),"")</f>
        <v/>
      </c>
      <c r="P591" s="52" t="str">
        <f t="shared" si="22"/>
        <v/>
      </c>
      <c r="R591" s="52" t="str">
        <f t="shared" si="32"/>
        <v/>
      </c>
      <c r="Z591" s="81"/>
      <c r="AA591" s="81"/>
      <c r="AB591" s="81"/>
      <c r="AC591" s="81" t="str">
        <f t="shared" si="5"/>
        <v/>
      </c>
      <c r="AD591" s="82" t="str">
        <f t="shared" si="6"/>
        <v/>
      </c>
    </row>
    <row r="592">
      <c r="A592" s="89"/>
      <c r="B592" s="89"/>
      <c r="C592" s="89"/>
      <c r="D592" s="89"/>
      <c r="E592" s="89"/>
      <c r="F592" s="81"/>
      <c r="G592" s="89"/>
      <c r="H592" s="89"/>
      <c r="I592" s="89"/>
      <c r="J592" s="89" t="str">
        <f t="shared" si="18"/>
        <v/>
      </c>
      <c r="K592" s="89" t="str">
        <f t="shared" si="23"/>
        <v/>
      </c>
      <c r="L592" s="89" t="str">
        <f>IFERROR(__xludf.DUMMYFUNCTION("""COMPUTED_VALUE"""),"")</f>
        <v/>
      </c>
      <c r="M592" s="89" t="str">
        <f>IFERROR(__xludf.DUMMYFUNCTION("""COMPUTED_VALUE"""),"")</f>
        <v/>
      </c>
      <c r="N592" s="89" t="str">
        <f>IFERROR(__xludf.DUMMYFUNCTION("""COMPUTED_VALUE"""),"")</f>
        <v/>
      </c>
      <c r="P592" s="52" t="str">
        <f t="shared" si="22"/>
        <v/>
      </c>
      <c r="R592" s="52" t="str">
        <f t="shared" si="32"/>
        <v/>
      </c>
      <c r="Z592" s="81"/>
      <c r="AA592" s="81"/>
      <c r="AB592" s="81"/>
      <c r="AC592" s="81" t="str">
        <f t="shared" si="5"/>
        <v/>
      </c>
      <c r="AD592" s="82" t="str">
        <f t="shared" si="6"/>
        <v/>
      </c>
    </row>
    <row r="593">
      <c r="A593" s="89"/>
      <c r="B593" s="89"/>
      <c r="C593" s="89"/>
      <c r="D593" s="89"/>
      <c r="E593" s="89"/>
      <c r="F593" s="81"/>
      <c r="G593" s="89"/>
      <c r="H593" s="89"/>
      <c r="I593" s="89"/>
      <c r="J593" s="89" t="str">
        <f t="shared" si="18"/>
        <v/>
      </c>
      <c r="K593" s="89" t="str">
        <f t="shared" si="23"/>
        <v/>
      </c>
      <c r="L593" s="89" t="str">
        <f>IFERROR(__xludf.DUMMYFUNCTION("""COMPUTED_VALUE"""),"")</f>
        <v/>
      </c>
      <c r="M593" s="89" t="str">
        <f>IFERROR(__xludf.DUMMYFUNCTION("""COMPUTED_VALUE"""),"")</f>
        <v/>
      </c>
      <c r="N593" s="89" t="str">
        <f>IFERROR(__xludf.DUMMYFUNCTION("""COMPUTED_VALUE"""),"")</f>
        <v/>
      </c>
      <c r="P593" s="52" t="str">
        <f t="shared" si="22"/>
        <v/>
      </c>
      <c r="R593" s="52" t="str">
        <f t="shared" si="32"/>
        <v/>
      </c>
      <c r="Z593" s="81"/>
      <c r="AA593" s="81"/>
      <c r="AB593" s="81"/>
      <c r="AC593" s="81" t="str">
        <f t="shared" si="5"/>
        <v/>
      </c>
      <c r="AD593" s="82" t="str">
        <f t="shared" si="6"/>
        <v/>
      </c>
    </row>
    <row r="594">
      <c r="A594" s="89"/>
      <c r="B594" s="89"/>
      <c r="C594" s="89"/>
      <c r="D594" s="89"/>
      <c r="E594" s="89"/>
      <c r="F594" s="81"/>
      <c r="G594" s="89"/>
      <c r="H594" s="89"/>
      <c r="I594" s="89"/>
      <c r="J594" s="89" t="str">
        <f t="shared" si="18"/>
        <v/>
      </c>
      <c r="K594" s="89" t="str">
        <f t="shared" si="23"/>
        <v/>
      </c>
      <c r="L594" s="89" t="str">
        <f>IFERROR(__xludf.DUMMYFUNCTION("""COMPUTED_VALUE"""),"")</f>
        <v/>
      </c>
      <c r="M594" s="89" t="str">
        <f>IFERROR(__xludf.DUMMYFUNCTION("""COMPUTED_VALUE"""),"")</f>
        <v/>
      </c>
      <c r="N594" s="89" t="str">
        <f>IFERROR(__xludf.DUMMYFUNCTION("""COMPUTED_VALUE"""),"")</f>
        <v/>
      </c>
      <c r="P594" s="52" t="str">
        <f t="shared" si="22"/>
        <v/>
      </c>
      <c r="R594" s="52" t="str">
        <f t="shared" si="32"/>
        <v/>
      </c>
      <c r="Z594" s="81"/>
      <c r="AA594" s="81"/>
      <c r="AB594" s="81"/>
      <c r="AC594" s="81" t="str">
        <f t="shared" si="5"/>
        <v/>
      </c>
      <c r="AD594" s="82" t="str">
        <f t="shared" si="6"/>
        <v/>
      </c>
    </row>
    <row r="595">
      <c r="A595" s="89"/>
      <c r="B595" s="89"/>
      <c r="C595" s="89"/>
      <c r="D595" s="89"/>
      <c r="E595" s="89"/>
      <c r="F595" s="81"/>
      <c r="G595" s="89"/>
      <c r="H595" s="89"/>
      <c r="I595" s="89"/>
      <c r="J595" s="89" t="str">
        <f t="shared" si="18"/>
        <v/>
      </c>
      <c r="K595" s="89" t="str">
        <f t="shared" si="23"/>
        <v/>
      </c>
      <c r="L595" s="89" t="str">
        <f>IFERROR(__xludf.DUMMYFUNCTION("""COMPUTED_VALUE"""),"")</f>
        <v/>
      </c>
      <c r="M595" s="89" t="str">
        <f>IFERROR(__xludf.DUMMYFUNCTION("""COMPUTED_VALUE"""),"")</f>
        <v/>
      </c>
      <c r="N595" s="89" t="str">
        <f>IFERROR(__xludf.DUMMYFUNCTION("""COMPUTED_VALUE"""),"")</f>
        <v/>
      </c>
      <c r="P595" s="52" t="str">
        <f t="shared" si="22"/>
        <v/>
      </c>
      <c r="R595" s="52" t="str">
        <f t="shared" si="32"/>
        <v/>
      </c>
      <c r="Z595" s="81"/>
      <c r="AA595" s="81"/>
      <c r="AB595" s="81"/>
      <c r="AC595" s="81" t="str">
        <f t="shared" si="5"/>
        <v/>
      </c>
      <c r="AD595" s="82" t="str">
        <f t="shared" si="6"/>
        <v/>
      </c>
    </row>
    <row r="596">
      <c r="A596" s="89"/>
      <c r="B596" s="89"/>
      <c r="C596" s="89"/>
      <c r="D596" s="89"/>
      <c r="E596" s="89"/>
      <c r="F596" s="81"/>
      <c r="G596" s="89"/>
      <c r="H596" s="89"/>
      <c r="I596" s="89"/>
      <c r="J596" s="89" t="str">
        <f t="shared" si="18"/>
        <v/>
      </c>
      <c r="K596" s="89" t="str">
        <f t="shared" si="23"/>
        <v/>
      </c>
      <c r="L596" s="89" t="str">
        <f>IFERROR(__xludf.DUMMYFUNCTION("""COMPUTED_VALUE"""),"")</f>
        <v/>
      </c>
      <c r="M596" s="89" t="str">
        <f>IFERROR(__xludf.DUMMYFUNCTION("""COMPUTED_VALUE"""),"")</f>
        <v/>
      </c>
      <c r="N596" s="89" t="str">
        <f>IFERROR(__xludf.DUMMYFUNCTION("""COMPUTED_VALUE"""),"")</f>
        <v/>
      </c>
      <c r="P596" s="52" t="str">
        <f t="shared" si="22"/>
        <v/>
      </c>
      <c r="R596" s="52" t="str">
        <f t="shared" si="32"/>
        <v/>
      </c>
      <c r="Z596" s="81"/>
      <c r="AA596" s="81"/>
      <c r="AB596" s="81"/>
      <c r="AC596" s="81" t="str">
        <f t="shared" si="5"/>
        <v/>
      </c>
      <c r="AD596" s="82" t="str">
        <f t="shared" si="6"/>
        <v/>
      </c>
    </row>
    <row r="597">
      <c r="A597" s="89"/>
      <c r="B597" s="89"/>
      <c r="C597" s="89"/>
      <c r="D597" s="89"/>
      <c r="E597" s="89"/>
      <c r="F597" s="81"/>
      <c r="G597" s="89"/>
      <c r="H597" s="89"/>
      <c r="I597" s="89"/>
      <c r="J597" s="89" t="str">
        <f t="shared" si="18"/>
        <v/>
      </c>
      <c r="K597" s="89" t="str">
        <f t="shared" si="23"/>
        <v/>
      </c>
      <c r="L597" s="89" t="str">
        <f>IFERROR(__xludf.DUMMYFUNCTION("""COMPUTED_VALUE"""),"")</f>
        <v/>
      </c>
      <c r="M597" s="89" t="str">
        <f>IFERROR(__xludf.DUMMYFUNCTION("""COMPUTED_VALUE"""),"")</f>
        <v/>
      </c>
      <c r="N597" s="89" t="str">
        <f>IFERROR(__xludf.DUMMYFUNCTION("""COMPUTED_VALUE"""),"")</f>
        <v/>
      </c>
      <c r="P597" s="52" t="str">
        <f t="shared" si="22"/>
        <v/>
      </c>
      <c r="R597" s="52" t="str">
        <f t="shared" si="32"/>
        <v/>
      </c>
      <c r="Z597" s="81"/>
      <c r="AA597" s="81"/>
      <c r="AB597" s="81"/>
      <c r="AC597" s="81" t="str">
        <f t="shared" si="5"/>
        <v/>
      </c>
      <c r="AD597" s="82" t="str">
        <f t="shared" si="6"/>
        <v/>
      </c>
    </row>
    <row r="598">
      <c r="A598" s="89"/>
      <c r="B598" s="89"/>
      <c r="C598" s="89"/>
      <c r="D598" s="89"/>
      <c r="E598" s="89"/>
      <c r="F598" s="81"/>
      <c r="G598" s="89"/>
      <c r="H598" s="89"/>
      <c r="I598" s="89"/>
      <c r="J598" s="89" t="str">
        <f t="shared" si="18"/>
        <v/>
      </c>
      <c r="K598" s="89" t="str">
        <f t="shared" si="23"/>
        <v/>
      </c>
      <c r="L598" s="89" t="str">
        <f>IFERROR(__xludf.DUMMYFUNCTION("""COMPUTED_VALUE"""),"")</f>
        <v/>
      </c>
      <c r="M598" s="89" t="str">
        <f>IFERROR(__xludf.DUMMYFUNCTION("""COMPUTED_VALUE"""),"")</f>
        <v/>
      </c>
      <c r="N598" s="89" t="str">
        <f>IFERROR(__xludf.DUMMYFUNCTION("""COMPUTED_VALUE"""),"")</f>
        <v/>
      </c>
      <c r="P598" s="52" t="str">
        <f t="shared" si="22"/>
        <v/>
      </c>
      <c r="R598" s="52" t="str">
        <f t="shared" si="32"/>
        <v/>
      </c>
      <c r="Z598" s="81"/>
      <c r="AA598" s="81"/>
      <c r="AB598" s="81"/>
      <c r="AC598" s="81" t="str">
        <f t="shared" si="5"/>
        <v/>
      </c>
      <c r="AD598" s="82" t="str">
        <f t="shared" si="6"/>
        <v/>
      </c>
    </row>
    <row r="599">
      <c r="A599" s="89"/>
      <c r="B599" s="89"/>
      <c r="C599" s="89"/>
      <c r="D599" s="89"/>
      <c r="E599" s="89"/>
      <c r="F599" s="81"/>
      <c r="G599" s="89"/>
      <c r="H599" s="89"/>
      <c r="I599" s="89"/>
      <c r="J599" s="89" t="str">
        <f t="shared" si="18"/>
        <v/>
      </c>
      <c r="K599" s="89" t="str">
        <f t="shared" si="23"/>
        <v/>
      </c>
      <c r="L599" s="89" t="str">
        <f>IFERROR(__xludf.DUMMYFUNCTION("""COMPUTED_VALUE"""),"")</f>
        <v/>
      </c>
      <c r="M599" s="89" t="str">
        <f>IFERROR(__xludf.DUMMYFUNCTION("""COMPUTED_VALUE"""),"")</f>
        <v/>
      </c>
      <c r="N599" s="89" t="str">
        <f>IFERROR(__xludf.DUMMYFUNCTION("""COMPUTED_VALUE"""),"")</f>
        <v/>
      </c>
      <c r="P599" s="52" t="str">
        <f t="shared" si="22"/>
        <v/>
      </c>
      <c r="R599" s="52" t="str">
        <f t="shared" si="32"/>
        <v/>
      </c>
      <c r="Z599" s="81"/>
      <c r="AA599" s="81"/>
      <c r="AB599" s="81"/>
      <c r="AC599" s="81" t="str">
        <f t="shared" si="5"/>
        <v/>
      </c>
      <c r="AD599" s="82" t="str">
        <f t="shared" si="6"/>
        <v/>
      </c>
    </row>
    <row r="600">
      <c r="A600" s="89"/>
      <c r="B600" s="89"/>
      <c r="C600" s="89"/>
      <c r="D600" s="89"/>
      <c r="E600" s="89"/>
      <c r="F600" s="81"/>
      <c r="G600" s="89"/>
      <c r="H600" s="89"/>
      <c r="I600" s="89"/>
      <c r="J600" s="89" t="str">
        <f t="shared" si="18"/>
        <v/>
      </c>
      <c r="K600" s="89" t="str">
        <f t="shared" si="23"/>
        <v/>
      </c>
      <c r="L600" s="89" t="str">
        <f>IFERROR(__xludf.DUMMYFUNCTION("""COMPUTED_VALUE"""),"")</f>
        <v/>
      </c>
      <c r="M600" s="89" t="str">
        <f>IFERROR(__xludf.DUMMYFUNCTION("""COMPUTED_VALUE"""),"")</f>
        <v/>
      </c>
      <c r="N600" s="89" t="str">
        <f>IFERROR(__xludf.DUMMYFUNCTION("""COMPUTED_VALUE"""),"")</f>
        <v/>
      </c>
      <c r="P600" s="52" t="str">
        <f t="shared" si="22"/>
        <v/>
      </c>
      <c r="R600" s="52" t="str">
        <f t="shared" si="32"/>
        <v/>
      </c>
      <c r="Z600" s="81"/>
      <c r="AA600" s="81"/>
      <c r="AB600" s="81"/>
      <c r="AC600" s="81" t="str">
        <f t="shared" si="5"/>
        <v/>
      </c>
      <c r="AD600" s="82" t="str">
        <f t="shared" si="6"/>
        <v/>
      </c>
    </row>
    <row r="601">
      <c r="A601" s="89"/>
      <c r="B601" s="89"/>
      <c r="C601" s="89"/>
      <c r="D601" s="89"/>
      <c r="E601" s="89"/>
      <c r="F601" s="81"/>
      <c r="G601" s="89"/>
      <c r="H601" s="89"/>
      <c r="I601" s="89"/>
      <c r="J601" s="89" t="str">
        <f t="shared" si="18"/>
        <v/>
      </c>
      <c r="K601" s="89" t="str">
        <f t="shared" si="23"/>
        <v/>
      </c>
      <c r="L601" s="89" t="str">
        <f>IFERROR(__xludf.DUMMYFUNCTION("""COMPUTED_VALUE"""),"")</f>
        <v/>
      </c>
      <c r="M601" s="89" t="str">
        <f>IFERROR(__xludf.DUMMYFUNCTION("""COMPUTED_VALUE"""),"")</f>
        <v/>
      </c>
      <c r="N601" s="89" t="str">
        <f>IFERROR(__xludf.DUMMYFUNCTION("""COMPUTED_VALUE"""),"")</f>
        <v/>
      </c>
      <c r="P601" s="52" t="str">
        <f t="shared" si="22"/>
        <v/>
      </c>
      <c r="R601" s="52" t="str">
        <f t="shared" si="32"/>
        <v/>
      </c>
      <c r="Z601" s="81"/>
      <c r="AA601" s="81"/>
      <c r="AB601" s="81"/>
      <c r="AC601" s="81" t="str">
        <f t="shared" si="5"/>
        <v/>
      </c>
      <c r="AD601" s="82" t="str">
        <f t="shared" si="6"/>
        <v/>
      </c>
    </row>
    <row r="602">
      <c r="A602" s="89"/>
      <c r="B602" s="89"/>
      <c r="C602" s="89"/>
      <c r="D602" s="89"/>
      <c r="E602" s="89"/>
      <c r="F602" s="81"/>
      <c r="G602" s="89"/>
      <c r="H602" s="89"/>
      <c r="I602" s="89"/>
      <c r="J602" s="89" t="str">
        <f t="shared" si="18"/>
        <v/>
      </c>
      <c r="K602" s="89" t="str">
        <f t="shared" si="23"/>
        <v/>
      </c>
      <c r="L602" s="89" t="str">
        <f>IFERROR(__xludf.DUMMYFUNCTION("""COMPUTED_VALUE"""),"")</f>
        <v/>
      </c>
      <c r="M602" s="89" t="str">
        <f>IFERROR(__xludf.DUMMYFUNCTION("""COMPUTED_VALUE"""),"")</f>
        <v/>
      </c>
      <c r="N602" s="89" t="str">
        <f>IFERROR(__xludf.DUMMYFUNCTION("""COMPUTED_VALUE"""),"")</f>
        <v/>
      </c>
      <c r="P602" s="52" t="str">
        <f t="shared" si="22"/>
        <v/>
      </c>
      <c r="R602" s="52" t="str">
        <f t="shared" si="32"/>
        <v/>
      </c>
      <c r="Z602" s="81"/>
      <c r="AA602" s="81"/>
      <c r="AB602" s="81"/>
      <c r="AC602" s="81" t="str">
        <f t="shared" si="5"/>
        <v/>
      </c>
      <c r="AD602" s="82" t="str">
        <f t="shared" si="6"/>
        <v/>
      </c>
    </row>
    <row r="603">
      <c r="A603" s="89"/>
      <c r="B603" s="89"/>
      <c r="C603" s="89"/>
      <c r="D603" s="89"/>
      <c r="E603" s="89"/>
      <c r="F603" s="81"/>
      <c r="G603" s="89"/>
      <c r="H603" s="89"/>
      <c r="I603" s="89"/>
      <c r="J603" s="89" t="str">
        <f t="shared" si="18"/>
        <v/>
      </c>
      <c r="K603" s="89" t="str">
        <f t="shared" si="23"/>
        <v/>
      </c>
      <c r="L603" s="89" t="str">
        <f>IFERROR(__xludf.DUMMYFUNCTION("""COMPUTED_VALUE"""),"")</f>
        <v/>
      </c>
      <c r="M603" s="89" t="str">
        <f>IFERROR(__xludf.DUMMYFUNCTION("""COMPUTED_VALUE"""),"")</f>
        <v/>
      </c>
      <c r="N603" s="89" t="str">
        <f>IFERROR(__xludf.DUMMYFUNCTION("""COMPUTED_VALUE"""),"")</f>
        <v/>
      </c>
      <c r="P603" s="52" t="str">
        <f t="shared" si="22"/>
        <v/>
      </c>
      <c r="R603" s="52" t="str">
        <f t="shared" si="32"/>
        <v/>
      </c>
      <c r="Z603" s="81"/>
      <c r="AA603" s="81"/>
      <c r="AB603" s="81"/>
      <c r="AC603" s="81" t="str">
        <f t="shared" si="5"/>
        <v/>
      </c>
      <c r="AD603" s="82" t="str">
        <f t="shared" si="6"/>
        <v/>
      </c>
    </row>
    <row r="604">
      <c r="A604" s="89"/>
      <c r="B604" s="89"/>
      <c r="C604" s="89"/>
      <c r="D604" s="89"/>
      <c r="E604" s="89"/>
      <c r="F604" s="81"/>
      <c r="G604" s="89"/>
      <c r="H604" s="89"/>
      <c r="I604" s="89"/>
      <c r="J604" s="89" t="str">
        <f t="shared" si="18"/>
        <v/>
      </c>
      <c r="K604" s="89" t="str">
        <f t="shared" si="23"/>
        <v/>
      </c>
      <c r="L604" s="89" t="str">
        <f>IFERROR(__xludf.DUMMYFUNCTION("""COMPUTED_VALUE"""),"")</f>
        <v/>
      </c>
      <c r="M604" s="89" t="str">
        <f>IFERROR(__xludf.DUMMYFUNCTION("""COMPUTED_VALUE"""),"")</f>
        <v/>
      </c>
      <c r="N604" s="89" t="str">
        <f>IFERROR(__xludf.DUMMYFUNCTION("""COMPUTED_VALUE"""),"")</f>
        <v/>
      </c>
      <c r="P604" s="52" t="str">
        <f t="shared" si="22"/>
        <v/>
      </c>
      <c r="R604" s="52" t="str">
        <f t="shared" si="32"/>
        <v/>
      </c>
      <c r="Z604" s="81"/>
      <c r="AA604" s="81"/>
      <c r="AB604" s="81"/>
      <c r="AC604" s="81" t="str">
        <f t="shared" si="5"/>
        <v/>
      </c>
      <c r="AD604" s="82" t="str">
        <f t="shared" si="6"/>
        <v/>
      </c>
    </row>
    <row r="605">
      <c r="A605" s="89"/>
      <c r="B605" s="89"/>
      <c r="C605" s="89"/>
      <c r="D605" s="89"/>
      <c r="E605" s="89"/>
      <c r="F605" s="81"/>
      <c r="G605" s="89"/>
      <c r="H605" s="89"/>
      <c r="I605" s="89"/>
      <c r="J605" s="89" t="str">
        <f t="shared" si="18"/>
        <v/>
      </c>
      <c r="K605" s="89" t="str">
        <f t="shared" si="23"/>
        <v/>
      </c>
      <c r="L605" s="89" t="str">
        <f>IFERROR(__xludf.DUMMYFUNCTION("""COMPUTED_VALUE"""),"")</f>
        <v/>
      </c>
      <c r="M605" s="89" t="str">
        <f>IFERROR(__xludf.DUMMYFUNCTION("""COMPUTED_VALUE"""),"")</f>
        <v/>
      </c>
      <c r="N605" s="89" t="str">
        <f>IFERROR(__xludf.DUMMYFUNCTION("""COMPUTED_VALUE"""),"")</f>
        <v/>
      </c>
      <c r="P605" s="52" t="str">
        <f t="shared" si="22"/>
        <v/>
      </c>
      <c r="R605" s="52" t="str">
        <f t="shared" si="32"/>
        <v/>
      </c>
      <c r="Z605" s="81"/>
      <c r="AA605" s="81"/>
      <c r="AB605" s="81"/>
      <c r="AC605" s="81" t="str">
        <f t="shared" si="5"/>
        <v/>
      </c>
      <c r="AD605" s="82" t="str">
        <f t="shared" si="6"/>
        <v/>
      </c>
    </row>
    <row r="606">
      <c r="A606" s="89"/>
      <c r="B606" s="89"/>
      <c r="C606" s="89"/>
      <c r="D606" s="89"/>
      <c r="E606" s="89"/>
      <c r="F606" s="81"/>
      <c r="G606" s="89"/>
      <c r="H606" s="89"/>
      <c r="I606" s="89"/>
      <c r="J606" s="89" t="str">
        <f t="shared" si="18"/>
        <v/>
      </c>
      <c r="K606" s="89" t="str">
        <f t="shared" si="23"/>
        <v/>
      </c>
      <c r="L606" s="89" t="str">
        <f>IFERROR(__xludf.DUMMYFUNCTION("""COMPUTED_VALUE"""),"")</f>
        <v/>
      </c>
      <c r="M606" s="89" t="str">
        <f>IFERROR(__xludf.DUMMYFUNCTION("""COMPUTED_VALUE"""),"")</f>
        <v/>
      </c>
      <c r="N606" s="89" t="str">
        <f>IFERROR(__xludf.DUMMYFUNCTION("""COMPUTED_VALUE"""),"")</f>
        <v/>
      </c>
      <c r="P606" s="52" t="str">
        <f t="shared" si="22"/>
        <v/>
      </c>
      <c r="R606" s="52" t="str">
        <f t="shared" si="32"/>
        <v/>
      </c>
      <c r="Z606" s="81"/>
      <c r="AA606" s="81"/>
      <c r="AB606" s="81"/>
      <c r="AC606" s="81" t="str">
        <f t="shared" si="5"/>
        <v/>
      </c>
      <c r="AD606" s="82" t="str">
        <f t="shared" si="6"/>
        <v/>
      </c>
    </row>
    <row r="607">
      <c r="A607" s="89"/>
      <c r="B607" s="89"/>
      <c r="C607" s="89"/>
      <c r="D607" s="89"/>
      <c r="E607" s="89"/>
      <c r="F607" s="81"/>
      <c r="G607" s="89"/>
      <c r="H607" s="89"/>
      <c r="I607" s="89"/>
      <c r="J607" s="89" t="str">
        <f t="shared" si="18"/>
        <v/>
      </c>
      <c r="K607" s="89" t="str">
        <f t="shared" si="23"/>
        <v/>
      </c>
      <c r="L607" s="89" t="str">
        <f>IFERROR(__xludf.DUMMYFUNCTION("""COMPUTED_VALUE"""),"")</f>
        <v/>
      </c>
      <c r="M607" s="89" t="str">
        <f>IFERROR(__xludf.DUMMYFUNCTION("""COMPUTED_VALUE"""),"")</f>
        <v/>
      </c>
      <c r="N607" s="89" t="str">
        <f>IFERROR(__xludf.DUMMYFUNCTION("""COMPUTED_VALUE"""),"")</f>
        <v/>
      </c>
      <c r="P607" s="52" t="str">
        <f t="shared" si="22"/>
        <v/>
      </c>
      <c r="R607" s="52" t="str">
        <f t="shared" si="32"/>
        <v/>
      </c>
      <c r="Z607" s="81"/>
      <c r="AA607" s="81"/>
      <c r="AB607" s="81"/>
      <c r="AC607" s="81" t="str">
        <f t="shared" si="5"/>
        <v/>
      </c>
      <c r="AD607" s="82" t="str">
        <f t="shared" si="6"/>
        <v/>
      </c>
    </row>
    <row r="608">
      <c r="A608" s="89"/>
      <c r="B608" s="89"/>
      <c r="C608" s="89"/>
      <c r="D608" s="89"/>
      <c r="E608" s="89"/>
      <c r="F608" s="81"/>
      <c r="G608" s="89"/>
      <c r="H608" s="89"/>
      <c r="I608" s="89"/>
      <c r="J608" s="89" t="str">
        <f t="shared" si="18"/>
        <v/>
      </c>
      <c r="K608" s="89" t="str">
        <f t="shared" si="23"/>
        <v/>
      </c>
      <c r="L608" s="89" t="str">
        <f>IFERROR(__xludf.DUMMYFUNCTION("""COMPUTED_VALUE"""),"")</f>
        <v/>
      </c>
      <c r="M608" s="89" t="str">
        <f>IFERROR(__xludf.DUMMYFUNCTION("""COMPUTED_VALUE"""),"")</f>
        <v/>
      </c>
      <c r="N608" s="89" t="str">
        <f>IFERROR(__xludf.DUMMYFUNCTION("""COMPUTED_VALUE"""),"")</f>
        <v/>
      </c>
      <c r="P608" s="52" t="str">
        <f t="shared" si="22"/>
        <v/>
      </c>
      <c r="R608" s="52" t="str">
        <f t="shared" si="32"/>
        <v/>
      </c>
      <c r="Z608" s="81"/>
      <c r="AA608" s="81"/>
      <c r="AB608" s="81"/>
      <c r="AC608" s="81" t="str">
        <f t="shared" si="5"/>
        <v/>
      </c>
      <c r="AD608" s="82" t="str">
        <f t="shared" si="6"/>
        <v/>
      </c>
    </row>
    <row r="609">
      <c r="A609" s="89"/>
      <c r="B609" s="89"/>
      <c r="C609" s="89"/>
      <c r="D609" s="89"/>
      <c r="E609" s="89"/>
      <c r="F609" s="81"/>
      <c r="G609" s="89"/>
      <c r="H609" s="89"/>
      <c r="I609" s="89"/>
      <c r="J609" s="89" t="str">
        <f t="shared" si="18"/>
        <v/>
      </c>
      <c r="K609" s="89" t="str">
        <f t="shared" si="23"/>
        <v/>
      </c>
      <c r="L609" s="89" t="str">
        <f>IFERROR(__xludf.DUMMYFUNCTION("""COMPUTED_VALUE"""),"")</f>
        <v/>
      </c>
      <c r="M609" s="89" t="str">
        <f>IFERROR(__xludf.DUMMYFUNCTION("""COMPUTED_VALUE"""),"")</f>
        <v/>
      </c>
      <c r="N609" s="89" t="str">
        <f>IFERROR(__xludf.DUMMYFUNCTION("""COMPUTED_VALUE"""),"")</f>
        <v/>
      </c>
      <c r="P609" s="52" t="str">
        <f t="shared" si="22"/>
        <v/>
      </c>
      <c r="R609" s="52" t="str">
        <f t="shared" si="32"/>
        <v/>
      </c>
      <c r="Z609" s="81"/>
      <c r="AA609" s="81"/>
      <c r="AB609" s="81"/>
      <c r="AC609" s="81" t="str">
        <f t="shared" si="5"/>
        <v/>
      </c>
      <c r="AD609" s="82" t="str">
        <f t="shared" si="6"/>
        <v/>
      </c>
    </row>
    <row r="610">
      <c r="A610" s="89"/>
      <c r="B610" s="89"/>
      <c r="C610" s="89"/>
      <c r="D610" s="89"/>
      <c r="E610" s="89"/>
      <c r="F610" s="81"/>
      <c r="G610" s="89"/>
      <c r="H610" s="89"/>
      <c r="I610" s="89"/>
      <c r="J610" s="89" t="str">
        <f t="shared" si="18"/>
        <v/>
      </c>
      <c r="K610" s="89" t="str">
        <f t="shared" si="23"/>
        <v/>
      </c>
      <c r="L610" s="89" t="str">
        <f>IFERROR(__xludf.DUMMYFUNCTION("""COMPUTED_VALUE"""),"")</f>
        <v/>
      </c>
      <c r="M610" s="89" t="str">
        <f>IFERROR(__xludf.DUMMYFUNCTION("""COMPUTED_VALUE"""),"")</f>
        <v/>
      </c>
      <c r="N610" s="89" t="str">
        <f>IFERROR(__xludf.DUMMYFUNCTION("""COMPUTED_VALUE"""),"")</f>
        <v/>
      </c>
      <c r="P610" s="52" t="str">
        <f t="shared" si="22"/>
        <v/>
      </c>
      <c r="R610" s="52" t="str">
        <f t="shared" si="32"/>
        <v/>
      </c>
      <c r="Z610" s="81"/>
      <c r="AA610" s="81"/>
      <c r="AB610" s="81"/>
      <c r="AC610" s="81" t="str">
        <f t="shared" si="5"/>
        <v/>
      </c>
      <c r="AD610" s="82" t="str">
        <f t="shared" si="6"/>
        <v/>
      </c>
    </row>
    <row r="611">
      <c r="A611" s="89"/>
      <c r="B611" s="89"/>
      <c r="C611" s="89"/>
      <c r="D611" s="89"/>
      <c r="E611" s="89"/>
      <c r="F611" s="81"/>
      <c r="G611" s="89"/>
      <c r="H611" s="89"/>
      <c r="I611" s="89"/>
      <c r="J611" s="89" t="str">
        <f t="shared" si="18"/>
        <v/>
      </c>
      <c r="K611" s="89" t="str">
        <f t="shared" si="23"/>
        <v/>
      </c>
      <c r="L611" s="89" t="str">
        <f>IFERROR(__xludf.DUMMYFUNCTION("""COMPUTED_VALUE"""),"")</f>
        <v/>
      </c>
      <c r="M611" s="89" t="str">
        <f>IFERROR(__xludf.DUMMYFUNCTION("""COMPUTED_VALUE"""),"")</f>
        <v/>
      </c>
      <c r="N611" s="89" t="str">
        <f>IFERROR(__xludf.DUMMYFUNCTION("""COMPUTED_VALUE"""),"")</f>
        <v/>
      </c>
      <c r="P611" s="52" t="str">
        <f t="shared" si="22"/>
        <v/>
      </c>
      <c r="R611" s="52" t="str">
        <f t="shared" si="32"/>
        <v/>
      </c>
      <c r="Z611" s="81"/>
      <c r="AA611" s="81"/>
      <c r="AB611" s="81"/>
      <c r="AC611" s="81" t="str">
        <f t="shared" si="5"/>
        <v/>
      </c>
      <c r="AD611" s="82" t="str">
        <f t="shared" si="6"/>
        <v/>
      </c>
    </row>
    <row r="612">
      <c r="A612" s="89"/>
      <c r="B612" s="89"/>
      <c r="C612" s="89"/>
      <c r="D612" s="89"/>
      <c r="E612" s="89"/>
      <c r="F612" s="81"/>
      <c r="G612" s="89"/>
      <c r="H612" s="89"/>
      <c r="I612" s="89"/>
      <c r="J612" s="89" t="str">
        <f t="shared" si="18"/>
        <v/>
      </c>
      <c r="K612" s="89" t="str">
        <f t="shared" si="23"/>
        <v/>
      </c>
      <c r="L612" s="89" t="str">
        <f>IFERROR(__xludf.DUMMYFUNCTION("""COMPUTED_VALUE"""),"")</f>
        <v/>
      </c>
      <c r="M612" s="89" t="str">
        <f>IFERROR(__xludf.DUMMYFUNCTION("""COMPUTED_VALUE"""),"")</f>
        <v/>
      </c>
      <c r="N612" s="89" t="str">
        <f>IFERROR(__xludf.DUMMYFUNCTION("""COMPUTED_VALUE"""),"")</f>
        <v/>
      </c>
      <c r="P612" s="52" t="str">
        <f t="shared" si="22"/>
        <v/>
      </c>
      <c r="R612" s="52" t="str">
        <f t="shared" si="32"/>
        <v/>
      </c>
      <c r="Z612" s="81"/>
      <c r="AA612" s="81"/>
      <c r="AB612" s="81"/>
      <c r="AC612" s="81" t="str">
        <f t="shared" si="5"/>
        <v/>
      </c>
      <c r="AD612" s="82" t="str">
        <f t="shared" si="6"/>
        <v/>
      </c>
    </row>
    <row r="613">
      <c r="A613" s="89"/>
      <c r="B613" s="89"/>
      <c r="C613" s="89"/>
      <c r="D613" s="89"/>
      <c r="E613" s="89"/>
      <c r="F613" s="81"/>
      <c r="G613" s="89"/>
      <c r="H613" s="89"/>
      <c r="I613" s="89"/>
      <c r="J613" s="89" t="str">
        <f t="shared" si="18"/>
        <v/>
      </c>
      <c r="K613" s="89" t="str">
        <f t="shared" si="23"/>
        <v/>
      </c>
      <c r="L613" s="89" t="str">
        <f>IFERROR(__xludf.DUMMYFUNCTION("""COMPUTED_VALUE"""),"")</f>
        <v/>
      </c>
      <c r="M613" s="89" t="str">
        <f>IFERROR(__xludf.DUMMYFUNCTION("""COMPUTED_VALUE"""),"")</f>
        <v/>
      </c>
      <c r="N613" s="89" t="str">
        <f>IFERROR(__xludf.DUMMYFUNCTION("""COMPUTED_VALUE"""),"")</f>
        <v/>
      </c>
      <c r="P613" s="52" t="str">
        <f t="shared" si="22"/>
        <v/>
      </c>
      <c r="R613" s="52" t="str">
        <f t="shared" si="32"/>
        <v/>
      </c>
      <c r="Z613" s="81"/>
      <c r="AA613" s="81"/>
      <c r="AB613" s="81"/>
      <c r="AC613" s="81" t="str">
        <f t="shared" si="5"/>
        <v/>
      </c>
      <c r="AD613" s="82" t="str">
        <f t="shared" si="6"/>
        <v/>
      </c>
    </row>
    <row r="614">
      <c r="A614" s="89"/>
      <c r="B614" s="89"/>
      <c r="C614" s="89"/>
      <c r="D614" s="89"/>
      <c r="E614" s="89"/>
      <c r="F614" s="81"/>
      <c r="G614" s="89"/>
      <c r="H614" s="89"/>
      <c r="I614" s="89"/>
      <c r="J614" s="89" t="str">
        <f t="shared" si="18"/>
        <v/>
      </c>
      <c r="K614" s="89" t="str">
        <f t="shared" si="23"/>
        <v/>
      </c>
      <c r="L614" s="89" t="str">
        <f>IFERROR(__xludf.DUMMYFUNCTION("""COMPUTED_VALUE"""),"")</f>
        <v/>
      </c>
      <c r="M614" s="89" t="str">
        <f>IFERROR(__xludf.DUMMYFUNCTION("""COMPUTED_VALUE"""),"")</f>
        <v/>
      </c>
      <c r="N614" s="89" t="str">
        <f>IFERROR(__xludf.DUMMYFUNCTION("""COMPUTED_VALUE"""),"")</f>
        <v/>
      </c>
      <c r="P614" s="52" t="str">
        <f t="shared" si="22"/>
        <v/>
      </c>
      <c r="R614" s="52" t="str">
        <f t="shared" si="32"/>
        <v/>
      </c>
      <c r="Z614" s="81"/>
      <c r="AA614" s="81"/>
      <c r="AB614" s="81"/>
      <c r="AC614" s="81" t="str">
        <f t="shared" si="5"/>
        <v/>
      </c>
      <c r="AD614" s="82" t="str">
        <f t="shared" si="6"/>
        <v/>
      </c>
    </row>
    <row r="615">
      <c r="A615" s="89"/>
      <c r="B615" s="89"/>
      <c r="C615" s="89"/>
      <c r="D615" s="89"/>
      <c r="E615" s="89"/>
      <c r="F615" s="81"/>
      <c r="G615" s="89"/>
      <c r="H615" s="89"/>
      <c r="I615" s="89"/>
      <c r="J615" s="89" t="str">
        <f t="shared" si="18"/>
        <v/>
      </c>
      <c r="K615" s="89" t="str">
        <f t="shared" si="23"/>
        <v/>
      </c>
      <c r="L615" s="89" t="str">
        <f>IFERROR(__xludf.DUMMYFUNCTION("""COMPUTED_VALUE"""),"")</f>
        <v/>
      </c>
      <c r="M615" s="89" t="str">
        <f>IFERROR(__xludf.DUMMYFUNCTION("""COMPUTED_VALUE"""),"")</f>
        <v/>
      </c>
      <c r="N615" s="89" t="str">
        <f>IFERROR(__xludf.DUMMYFUNCTION("""COMPUTED_VALUE"""),"")</f>
        <v/>
      </c>
      <c r="P615" s="52" t="str">
        <f t="shared" si="22"/>
        <v/>
      </c>
      <c r="R615" s="52" t="str">
        <f t="shared" si="32"/>
        <v/>
      </c>
      <c r="Z615" s="81"/>
      <c r="AA615" s="81"/>
      <c r="AB615" s="81"/>
      <c r="AC615" s="81" t="str">
        <f t="shared" si="5"/>
        <v/>
      </c>
      <c r="AD615" s="82" t="str">
        <f t="shared" si="6"/>
        <v/>
      </c>
    </row>
    <row r="616">
      <c r="A616" s="89"/>
      <c r="B616" s="89"/>
      <c r="C616" s="89"/>
      <c r="D616" s="89"/>
      <c r="E616" s="89"/>
      <c r="F616" s="81"/>
      <c r="G616" s="89"/>
      <c r="H616" s="89"/>
      <c r="I616" s="89"/>
      <c r="J616" s="89" t="str">
        <f t="shared" si="18"/>
        <v/>
      </c>
      <c r="K616" s="89" t="str">
        <f t="shared" si="23"/>
        <v/>
      </c>
      <c r="L616" s="89" t="str">
        <f>IFERROR(__xludf.DUMMYFUNCTION("""COMPUTED_VALUE"""),"")</f>
        <v/>
      </c>
      <c r="M616" s="89" t="str">
        <f>IFERROR(__xludf.DUMMYFUNCTION("""COMPUTED_VALUE"""),"")</f>
        <v/>
      </c>
      <c r="N616" s="89" t="str">
        <f>IFERROR(__xludf.DUMMYFUNCTION("""COMPUTED_VALUE"""),"")</f>
        <v/>
      </c>
      <c r="P616" s="52" t="str">
        <f t="shared" si="22"/>
        <v/>
      </c>
      <c r="R616" s="52" t="str">
        <f t="shared" si="32"/>
        <v/>
      </c>
      <c r="Z616" s="81"/>
      <c r="AA616" s="81"/>
      <c r="AB616" s="81"/>
      <c r="AC616" s="81" t="str">
        <f t="shared" si="5"/>
        <v/>
      </c>
      <c r="AD616" s="82" t="str">
        <f t="shared" si="6"/>
        <v/>
      </c>
    </row>
    <row r="617">
      <c r="A617" s="89"/>
      <c r="B617" s="89"/>
      <c r="C617" s="89"/>
      <c r="D617" s="89"/>
      <c r="E617" s="89"/>
      <c r="F617" s="81"/>
      <c r="G617" s="89"/>
      <c r="H617" s="89"/>
      <c r="I617" s="89"/>
      <c r="J617" s="89" t="str">
        <f t="shared" si="18"/>
        <v/>
      </c>
      <c r="K617" s="89" t="str">
        <f t="shared" si="23"/>
        <v/>
      </c>
      <c r="L617" s="89" t="str">
        <f>IFERROR(__xludf.DUMMYFUNCTION("""COMPUTED_VALUE"""),"")</f>
        <v/>
      </c>
      <c r="M617" s="89" t="str">
        <f>IFERROR(__xludf.DUMMYFUNCTION("""COMPUTED_VALUE"""),"")</f>
        <v/>
      </c>
      <c r="N617" s="89" t="str">
        <f>IFERROR(__xludf.DUMMYFUNCTION("""COMPUTED_VALUE"""),"")</f>
        <v/>
      </c>
      <c r="P617" s="52" t="str">
        <f t="shared" si="22"/>
        <v/>
      </c>
      <c r="R617" s="52" t="str">
        <f t="shared" si="32"/>
        <v/>
      </c>
      <c r="Z617" s="81"/>
      <c r="AA617" s="81"/>
      <c r="AB617" s="81"/>
      <c r="AC617" s="81" t="str">
        <f t="shared" si="5"/>
        <v/>
      </c>
      <c r="AD617" s="82" t="str">
        <f t="shared" si="6"/>
        <v/>
      </c>
    </row>
    <row r="618">
      <c r="A618" s="89"/>
      <c r="B618" s="89"/>
      <c r="C618" s="89"/>
      <c r="D618" s="89"/>
      <c r="E618" s="89"/>
      <c r="F618" s="81"/>
      <c r="G618" s="89"/>
      <c r="H618" s="89"/>
      <c r="I618" s="89"/>
      <c r="J618" s="89" t="str">
        <f t="shared" si="18"/>
        <v/>
      </c>
      <c r="K618" s="89" t="str">
        <f t="shared" si="23"/>
        <v/>
      </c>
      <c r="L618" s="89" t="str">
        <f>IFERROR(__xludf.DUMMYFUNCTION("""COMPUTED_VALUE"""),"")</f>
        <v/>
      </c>
      <c r="M618" s="89" t="str">
        <f>IFERROR(__xludf.DUMMYFUNCTION("""COMPUTED_VALUE"""),"")</f>
        <v/>
      </c>
      <c r="N618" s="89" t="str">
        <f>IFERROR(__xludf.DUMMYFUNCTION("""COMPUTED_VALUE"""),"")</f>
        <v/>
      </c>
      <c r="P618" s="52" t="str">
        <f t="shared" si="22"/>
        <v/>
      </c>
      <c r="R618" s="52" t="str">
        <f t="shared" si="32"/>
        <v/>
      </c>
      <c r="Z618" s="81"/>
      <c r="AA618" s="81"/>
      <c r="AB618" s="81"/>
      <c r="AC618" s="81" t="str">
        <f t="shared" si="5"/>
        <v/>
      </c>
      <c r="AD618" s="82" t="str">
        <f t="shared" si="6"/>
        <v/>
      </c>
    </row>
    <row r="619">
      <c r="A619" s="89"/>
      <c r="B619" s="89"/>
      <c r="C619" s="89"/>
      <c r="D619" s="89"/>
      <c r="E619" s="89"/>
      <c r="F619" s="81"/>
      <c r="G619" s="89"/>
      <c r="H619" s="89"/>
      <c r="I619" s="89"/>
      <c r="J619" s="89" t="str">
        <f t="shared" si="18"/>
        <v/>
      </c>
      <c r="K619" s="89" t="str">
        <f t="shared" si="23"/>
        <v/>
      </c>
      <c r="L619" s="89" t="str">
        <f>IFERROR(__xludf.DUMMYFUNCTION("""COMPUTED_VALUE"""),"")</f>
        <v/>
      </c>
      <c r="M619" s="89" t="str">
        <f>IFERROR(__xludf.DUMMYFUNCTION("""COMPUTED_VALUE"""),"")</f>
        <v/>
      </c>
      <c r="N619" s="89" t="str">
        <f>IFERROR(__xludf.DUMMYFUNCTION("""COMPUTED_VALUE"""),"")</f>
        <v/>
      </c>
      <c r="P619" s="52" t="str">
        <f t="shared" si="22"/>
        <v/>
      </c>
      <c r="R619" s="52" t="str">
        <f t="shared" si="32"/>
        <v/>
      </c>
      <c r="Z619" s="81"/>
      <c r="AA619" s="81"/>
      <c r="AB619" s="81"/>
      <c r="AC619" s="81" t="str">
        <f t="shared" si="5"/>
        <v/>
      </c>
      <c r="AD619" s="82" t="str">
        <f t="shared" si="6"/>
        <v/>
      </c>
    </row>
    <row r="620">
      <c r="A620" s="89"/>
      <c r="B620" s="89"/>
      <c r="C620" s="89"/>
      <c r="D620" s="89"/>
      <c r="E620" s="89"/>
      <c r="F620" s="81"/>
      <c r="G620" s="89"/>
      <c r="H620" s="89"/>
      <c r="I620" s="89"/>
      <c r="J620" s="89" t="str">
        <f t="shared" si="18"/>
        <v/>
      </c>
      <c r="K620" s="89" t="str">
        <f t="shared" si="23"/>
        <v/>
      </c>
      <c r="L620" s="89" t="str">
        <f>IFERROR(__xludf.DUMMYFUNCTION("""COMPUTED_VALUE"""),"")</f>
        <v/>
      </c>
      <c r="M620" s="89" t="str">
        <f>IFERROR(__xludf.DUMMYFUNCTION("""COMPUTED_VALUE"""),"")</f>
        <v/>
      </c>
      <c r="N620" s="89" t="str">
        <f>IFERROR(__xludf.DUMMYFUNCTION("""COMPUTED_VALUE"""),"")</f>
        <v/>
      </c>
      <c r="P620" s="52" t="str">
        <f t="shared" si="22"/>
        <v/>
      </c>
      <c r="R620" s="52" t="str">
        <f t="shared" si="32"/>
        <v/>
      </c>
      <c r="Z620" s="81"/>
      <c r="AA620" s="81"/>
      <c r="AB620" s="81"/>
      <c r="AC620" s="81" t="str">
        <f t="shared" si="5"/>
        <v/>
      </c>
      <c r="AD620" s="82" t="str">
        <f t="shared" si="6"/>
        <v/>
      </c>
    </row>
    <row r="621">
      <c r="A621" s="89"/>
      <c r="B621" s="89"/>
      <c r="C621" s="89"/>
      <c r="D621" s="89"/>
      <c r="E621" s="89"/>
      <c r="F621" s="81"/>
      <c r="G621" s="89"/>
      <c r="H621" s="89"/>
      <c r="I621" s="89"/>
      <c r="J621" s="89" t="str">
        <f t="shared" si="18"/>
        <v/>
      </c>
      <c r="K621" s="89" t="str">
        <f t="shared" si="23"/>
        <v/>
      </c>
      <c r="L621" s="89" t="str">
        <f>IFERROR(__xludf.DUMMYFUNCTION("""COMPUTED_VALUE"""),"")</f>
        <v/>
      </c>
      <c r="M621" s="89" t="str">
        <f>IFERROR(__xludf.DUMMYFUNCTION("""COMPUTED_VALUE"""),"")</f>
        <v/>
      </c>
      <c r="N621" s="89" t="str">
        <f>IFERROR(__xludf.DUMMYFUNCTION("""COMPUTED_VALUE"""),"")</f>
        <v/>
      </c>
      <c r="P621" s="52" t="str">
        <f t="shared" si="22"/>
        <v/>
      </c>
      <c r="R621" s="52" t="str">
        <f t="shared" si="32"/>
        <v/>
      </c>
      <c r="Z621" s="81"/>
      <c r="AA621" s="81"/>
      <c r="AB621" s="81"/>
      <c r="AC621" s="81" t="str">
        <f t="shared" si="5"/>
        <v/>
      </c>
      <c r="AD621" s="82" t="str">
        <f t="shared" si="6"/>
        <v/>
      </c>
    </row>
    <row r="622">
      <c r="A622" s="89"/>
      <c r="B622" s="89"/>
      <c r="C622" s="89"/>
      <c r="D622" s="89"/>
      <c r="E622" s="89"/>
      <c r="F622" s="81"/>
      <c r="G622" s="89"/>
      <c r="H622" s="89"/>
      <c r="I622" s="89"/>
      <c r="J622" s="89" t="str">
        <f t="shared" si="18"/>
        <v/>
      </c>
      <c r="K622" s="89" t="str">
        <f t="shared" si="23"/>
        <v/>
      </c>
      <c r="L622" s="89" t="str">
        <f>IFERROR(__xludf.DUMMYFUNCTION("""COMPUTED_VALUE"""),"")</f>
        <v/>
      </c>
      <c r="M622" s="89" t="str">
        <f>IFERROR(__xludf.DUMMYFUNCTION("""COMPUTED_VALUE"""),"")</f>
        <v/>
      </c>
      <c r="N622" s="89" t="str">
        <f>IFERROR(__xludf.DUMMYFUNCTION("""COMPUTED_VALUE"""),"")</f>
        <v/>
      </c>
      <c r="P622" s="52" t="str">
        <f t="shared" si="22"/>
        <v/>
      </c>
      <c r="R622" s="52" t="str">
        <f t="shared" si="32"/>
        <v/>
      </c>
      <c r="Z622" s="81"/>
      <c r="AA622" s="81"/>
      <c r="AB622" s="81"/>
      <c r="AC622" s="81" t="str">
        <f t="shared" si="5"/>
        <v/>
      </c>
      <c r="AD622" s="82" t="str">
        <f t="shared" si="6"/>
        <v/>
      </c>
    </row>
    <row r="623">
      <c r="A623" s="89"/>
      <c r="B623" s="89"/>
      <c r="C623" s="89"/>
      <c r="D623" s="89"/>
      <c r="E623" s="89"/>
      <c r="F623" s="81"/>
      <c r="G623" s="89"/>
      <c r="H623" s="89"/>
      <c r="I623" s="89"/>
      <c r="J623" s="89" t="str">
        <f t="shared" si="18"/>
        <v/>
      </c>
      <c r="K623" s="89" t="str">
        <f t="shared" si="23"/>
        <v/>
      </c>
      <c r="L623" s="89" t="str">
        <f>IFERROR(__xludf.DUMMYFUNCTION("""COMPUTED_VALUE"""),"")</f>
        <v/>
      </c>
      <c r="M623" s="89" t="str">
        <f>IFERROR(__xludf.DUMMYFUNCTION("""COMPUTED_VALUE"""),"")</f>
        <v/>
      </c>
      <c r="N623" s="89" t="str">
        <f>IFERROR(__xludf.DUMMYFUNCTION("""COMPUTED_VALUE"""),"")</f>
        <v/>
      </c>
      <c r="P623" s="52" t="str">
        <f t="shared" si="22"/>
        <v/>
      </c>
      <c r="R623" s="52" t="str">
        <f t="shared" si="32"/>
        <v/>
      </c>
      <c r="Z623" s="81"/>
      <c r="AA623" s="81"/>
      <c r="AB623" s="81"/>
      <c r="AC623" s="81" t="str">
        <f t="shared" si="5"/>
        <v/>
      </c>
      <c r="AD623" s="82" t="str">
        <f t="shared" si="6"/>
        <v/>
      </c>
    </row>
    <row r="624">
      <c r="A624" s="89"/>
      <c r="B624" s="89"/>
      <c r="C624" s="89"/>
      <c r="D624" s="89"/>
      <c r="E624" s="89"/>
      <c r="F624" s="81"/>
      <c r="G624" s="89"/>
      <c r="H624" s="89"/>
      <c r="I624" s="89"/>
      <c r="J624" s="89" t="str">
        <f t="shared" si="18"/>
        <v/>
      </c>
      <c r="K624" s="89" t="str">
        <f t="shared" si="23"/>
        <v/>
      </c>
      <c r="L624" s="89" t="str">
        <f>IFERROR(__xludf.DUMMYFUNCTION("""COMPUTED_VALUE"""),"")</f>
        <v/>
      </c>
      <c r="M624" s="89" t="str">
        <f>IFERROR(__xludf.DUMMYFUNCTION("""COMPUTED_VALUE"""),"")</f>
        <v/>
      </c>
      <c r="N624" s="89" t="str">
        <f>IFERROR(__xludf.DUMMYFUNCTION("""COMPUTED_VALUE"""),"")</f>
        <v/>
      </c>
      <c r="P624" s="52" t="str">
        <f t="shared" si="22"/>
        <v/>
      </c>
      <c r="R624" s="52" t="str">
        <f t="shared" si="32"/>
        <v/>
      </c>
      <c r="Z624" s="81"/>
      <c r="AA624" s="81"/>
      <c r="AB624" s="81"/>
      <c r="AC624" s="81" t="str">
        <f t="shared" si="5"/>
        <v/>
      </c>
      <c r="AD624" s="82" t="str">
        <f t="shared" si="6"/>
        <v/>
      </c>
    </row>
    <row r="625">
      <c r="A625" s="89"/>
      <c r="B625" s="89"/>
      <c r="C625" s="89"/>
      <c r="D625" s="89"/>
      <c r="E625" s="89"/>
      <c r="F625" s="81"/>
      <c r="G625" s="89"/>
      <c r="H625" s="89"/>
      <c r="I625" s="89"/>
      <c r="J625" s="89" t="str">
        <f t="shared" si="18"/>
        <v/>
      </c>
      <c r="K625" s="89" t="str">
        <f t="shared" si="23"/>
        <v/>
      </c>
      <c r="L625" s="89" t="str">
        <f>IFERROR(__xludf.DUMMYFUNCTION("""COMPUTED_VALUE"""),"")</f>
        <v/>
      </c>
      <c r="M625" s="89" t="str">
        <f>IFERROR(__xludf.DUMMYFUNCTION("""COMPUTED_VALUE"""),"")</f>
        <v/>
      </c>
      <c r="N625" s="89" t="str">
        <f>IFERROR(__xludf.DUMMYFUNCTION("""COMPUTED_VALUE"""),"")</f>
        <v/>
      </c>
      <c r="P625" s="52" t="str">
        <f t="shared" si="22"/>
        <v/>
      </c>
      <c r="R625" s="52" t="str">
        <f t="shared" si="32"/>
        <v/>
      </c>
      <c r="Z625" s="81"/>
      <c r="AA625" s="81"/>
      <c r="AB625" s="81"/>
      <c r="AC625" s="81" t="str">
        <f t="shared" si="5"/>
        <v/>
      </c>
      <c r="AD625" s="82" t="str">
        <f t="shared" si="6"/>
        <v/>
      </c>
    </row>
    <row r="626">
      <c r="A626" s="89"/>
      <c r="B626" s="89"/>
      <c r="C626" s="89"/>
      <c r="D626" s="89"/>
      <c r="E626" s="89"/>
      <c r="F626" s="81"/>
      <c r="G626" s="89"/>
      <c r="H626" s="89"/>
      <c r="I626" s="89"/>
      <c r="J626" s="89" t="str">
        <f t="shared" si="18"/>
        <v/>
      </c>
      <c r="K626" s="89" t="str">
        <f t="shared" si="23"/>
        <v/>
      </c>
      <c r="L626" s="89" t="str">
        <f>IFERROR(__xludf.DUMMYFUNCTION("""COMPUTED_VALUE"""),"")</f>
        <v/>
      </c>
      <c r="M626" s="89" t="str">
        <f>IFERROR(__xludf.DUMMYFUNCTION("""COMPUTED_VALUE"""),"")</f>
        <v/>
      </c>
      <c r="N626" s="89" t="str">
        <f>IFERROR(__xludf.DUMMYFUNCTION("""COMPUTED_VALUE"""),"")</f>
        <v/>
      </c>
      <c r="P626" s="52" t="str">
        <f t="shared" si="22"/>
        <v/>
      </c>
      <c r="R626" s="52" t="str">
        <f t="shared" si="32"/>
        <v/>
      </c>
      <c r="Z626" s="81"/>
      <c r="AA626" s="81"/>
      <c r="AB626" s="81"/>
      <c r="AC626" s="81" t="str">
        <f t="shared" si="5"/>
        <v/>
      </c>
      <c r="AD626" s="82" t="str">
        <f t="shared" si="6"/>
        <v/>
      </c>
    </row>
    <row r="627">
      <c r="A627" s="89"/>
      <c r="B627" s="89"/>
      <c r="C627" s="89"/>
      <c r="D627" s="89"/>
      <c r="E627" s="89"/>
      <c r="F627" s="81"/>
      <c r="G627" s="89"/>
      <c r="H627" s="89"/>
      <c r="I627" s="89"/>
      <c r="J627" s="89" t="str">
        <f t="shared" si="18"/>
        <v/>
      </c>
      <c r="K627" s="89" t="str">
        <f t="shared" si="23"/>
        <v/>
      </c>
      <c r="L627" s="89" t="str">
        <f>IFERROR(__xludf.DUMMYFUNCTION("""COMPUTED_VALUE"""),"")</f>
        <v/>
      </c>
      <c r="M627" s="89" t="str">
        <f>IFERROR(__xludf.DUMMYFUNCTION("""COMPUTED_VALUE"""),"")</f>
        <v/>
      </c>
      <c r="N627" s="89" t="str">
        <f>IFERROR(__xludf.DUMMYFUNCTION("""COMPUTED_VALUE"""),"")</f>
        <v/>
      </c>
      <c r="P627" s="52" t="str">
        <f t="shared" si="22"/>
        <v/>
      </c>
      <c r="R627" s="52" t="str">
        <f t="shared" si="32"/>
        <v/>
      </c>
      <c r="Z627" s="81"/>
      <c r="AA627" s="81"/>
      <c r="AB627" s="81"/>
      <c r="AC627" s="81" t="str">
        <f t="shared" si="5"/>
        <v/>
      </c>
      <c r="AD627" s="82" t="str">
        <f t="shared" si="6"/>
        <v/>
      </c>
    </row>
    <row r="628">
      <c r="A628" s="89"/>
      <c r="B628" s="89"/>
      <c r="C628" s="89"/>
      <c r="D628" s="89"/>
      <c r="E628" s="89"/>
      <c r="F628" s="81"/>
      <c r="G628" s="89"/>
      <c r="H628" s="89"/>
      <c r="I628" s="89"/>
      <c r="J628" s="89" t="str">
        <f t="shared" si="18"/>
        <v/>
      </c>
      <c r="K628" s="89" t="str">
        <f t="shared" si="23"/>
        <v/>
      </c>
      <c r="L628" s="89" t="str">
        <f>IFERROR(__xludf.DUMMYFUNCTION("""COMPUTED_VALUE"""),"")</f>
        <v/>
      </c>
      <c r="M628" s="89" t="str">
        <f>IFERROR(__xludf.DUMMYFUNCTION("""COMPUTED_VALUE"""),"")</f>
        <v/>
      </c>
      <c r="N628" s="89" t="str">
        <f>IFERROR(__xludf.DUMMYFUNCTION("""COMPUTED_VALUE"""),"")</f>
        <v/>
      </c>
      <c r="P628" s="52" t="str">
        <f t="shared" si="22"/>
        <v/>
      </c>
      <c r="R628" s="52" t="str">
        <f t="shared" si="32"/>
        <v/>
      </c>
      <c r="Z628" s="81"/>
      <c r="AA628" s="81"/>
      <c r="AB628" s="81"/>
      <c r="AC628" s="81" t="str">
        <f t="shared" si="5"/>
        <v/>
      </c>
      <c r="AD628" s="82" t="str">
        <f t="shared" si="6"/>
        <v/>
      </c>
    </row>
    <row r="629">
      <c r="A629" s="89"/>
      <c r="B629" s="89"/>
      <c r="C629" s="89"/>
      <c r="D629" s="89"/>
      <c r="E629" s="89"/>
      <c r="F629" s="81"/>
      <c r="G629" s="89"/>
      <c r="H629" s="89"/>
      <c r="I629" s="89"/>
      <c r="J629" s="89" t="str">
        <f t="shared" si="18"/>
        <v/>
      </c>
      <c r="K629" s="89" t="str">
        <f t="shared" si="23"/>
        <v/>
      </c>
      <c r="L629" s="89" t="str">
        <f>IFERROR(__xludf.DUMMYFUNCTION("""COMPUTED_VALUE"""),"")</f>
        <v/>
      </c>
      <c r="M629" s="89" t="str">
        <f>IFERROR(__xludf.DUMMYFUNCTION("""COMPUTED_VALUE"""),"")</f>
        <v/>
      </c>
      <c r="N629" s="89" t="str">
        <f>IFERROR(__xludf.DUMMYFUNCTION("""COMPUTED_VALUE"""),"")</f>
        <v/>
      </c>
      <c r="P629" s="52" t="str">
        <f t="shared" si="22"/>
        <v/>
      </c>
      <c r="R629" s="52" t="str">
        <f t="shared" si="32"/>
        <v/>
      </c>
      <c r="Z629" s="81"/>
      <c r="AA629" s="81"/>
      <c r="AB629" s="81"/>
      <c r="AC629" s="81" t="str">
        <f t="shared" si="5"/>
        <v/>
      </c>
      <c r="AD629" s="82" t="str">
        <f t="shared" si="6"/>
        <v/>
      </c>
    </row>
    <row r="630">
      <c r="A630" s="89"/>
      <c r="B630" s="89"/>
      <c r="C630" s="89"/>
      <c r="D630" s="89"/>
      <c r="E630" s="89"/>
      <c r="F630" s="81"/>
      <c r="G630" s="89"/>
      <c r="H630" s="89"/>
      <c r="I630" s="89"/>
      <c r="J630" s="89" t="str">
        <f t="shared" si="18"/>
        <v/>
      </c>
      <c r="K630" s="89" t="str">
        <f t="shared" si="23"/>
        <v/>
      </c>
      <c r="L630" s="89" t="str">
        <f>IFERROR(__xludf.DUMMYFUNCTION("""COMPUTED_VALUE"""),"")</f>
        <v/>
      </c>
      <c r="M630" s="89" t="str">
        <f>IFERROR(__xludf.DUMMYFUNCTION("""COMPUTED_VALUE"""),"")</f>
        <v/>
      </c>
      <c r="N630" s="89" t="str">
        <f>IFERROR(__xludf.DUMMYFUNCTION("""COMPUTED_VALUE"""),"")</f>
        <v/>
      </c>
      <c r="P630" s="52" t="str">
        <f t="shared" si="22"/>
        <v/>
      </c>
      <c r="R630" s="52" t="str">
        <f t="shared" si="32"/>
        <v/>
      </c>
      <c r="Z630" s="81"/>
      <c r="AA630" s="81"/>
      <c r="AB630" s="81"/>
      <c r="AC630" s="81" t="str">
        <f t="shared" si="5"/>
        <v/>
      </c>
      <c r="AD630" s="82" t="str">
        <f t="shared" si="6"/>
        <v/>
      </c>
    </row>
    <row r="631">
      <c r="A631" s="89"/>
      <c r="B631" s="89"/>
      <c r="C631" s="89"/>
      <c r="D631" s="89"/>
      <c r="E631" s="89"/>
      <c r="F631" s="81"/>
      <c r="G631" s="89"/>
      <c r="H631" s="89"/>
      <c r="I631" s="89"/>
      <c r="J631" s="89" t="str">
        <f t="shared" si="18"/>
        <v/>
      </c>
      <c r="K631" s="89" t="str">
        <f t="shared" si="23"/>
        <v/>
      </c>
      <c r="L631" s="89" t="str">
        <f>IFERROR(__xludf.DUMMYFUNCTION("""COMPUTED_VALUE"""),"")</f>
        <v/>
      </c>
      <c r="M631" s="89" t="str">
        <f>IFERROR(__xludf.DUMMYFUNCTION("""COMPUTED_VALUE"""),"")</f>
        <v/>
      </c>
      <c r="N631" s="89" t="str">
        <f>IFERROR(__xludf.DUMMYFUNCTION("""COMPUTED_VALUE"""),"")</f>
        <v/>
      </c>
      <c r="P631" s="52" t="str">
        <f t="shared" si="22"/>
        <v/>
      </c>
      <c r="R631" s="52" t="str">
        <f t="shared" si="32"/>
        <v/>
      </c>
      <c r="Z631" s="81"/>
      <c r="AA631" s="81"/>
      <c r="AB631" s="81"/>
      <c r="AC631" s="81" t="str">
        <f t="shared" si="5"/>
        <v/>
      </c>
      <c r="AD631" s="82" t="str">
        <f t="shared" si="6"/>
        <v/>
      </c>
    </row>
    <row r="632">
      <c r="A632" s="89"/>
      <c r="B632" s="89"/>
      <c r="C632" s="89"/>
      <c r="D632" s="89"/>
      <c r="E632" s="89"/>
      <c r="F632" s="81"/>
      <c r="G632" s="89"/>
      <c r="H632" s="89"/>
      <c r="I632" s="89"/>
      <c r="J632" s="89" t="str">
        <f t="shared" si="18"/>
        <v/>
      </c>
      <c r="K632" s="89" t="str">
        <f t="shared" si="23"/>
        <v/>
      </c>
      <c r="L632" s="89" t="str">
        <f>IFERROR(__xludf.DUMMYFUNCTION("""COMPUTED_VALUE"""),"")</f>
        <v/>
      </c>
      <c r="M632" s="89" t="str">
        <f>IFERROR(__xludf.DUMMYFUNCTION("""COMPUTED_VALUE"""),"")</f>
        <v/>
      </c>
      <c r="N632" s="89" t="str">
        <f>IFERROR(__xludf.DUMMYFUNCTION("""COMPUTED_VALUE"""),"")</f>
        <v/>
      </c>
      <c r="P632" s="52" t="str">
        <f t="shared" si="22"/>
        <v/>
      </c>
      <c r="R632" s="52" t="str">
        <f t="shared" si="32"/>
        <v/>
      </c>
      <c r="Z632" s="81"/>
      <c r="AA632" s="81"/>
      <c r="AB632" s="81"/>
      <c r="AC632" s="81" t="str">
        <f t="shared" si="5"/>
        <v/>
      </c>
      <c r="AD632" s="82" t="str">
        <f t="shared" si="6"/>
        <v/>
      </c>
    </row>
    <row r="633">
      <c r="A633" s="89"/>
      <c r="B633" s="89"/>
      <c r="C633" s="89"/>
      <c r="D633" s="89"/>
      <c r="E633" s="89"/>
      <c r="F633" s="81"/>
      <c r="G633" s="89"/>
      <c r="H633" s="89"/>
      <c r="I633" s="89"/>
      <c r="J633" s="89" t="str">
        <f t="shared" si="18"/>
        <v/>
      </c>
      <c r="K633" s="89" t="str">
        <f t="shared" si="23"/>
        <v/>
      </c>
      <c r="L633" s="89" t="str">
        <f>IFERROR(__xludf.DUMMYFUNCTION("""COMPUTED_VALUE"""),"")</f>
        <v/>
      </c>
      <c r="M633" s="89" t="str">
        <f>IFERROR(__xludf.DUMMYFUNCTION("""COMPUTED_VALUE"""),"")</f>
        <v/>
      </c>
      <c r="N633" s="89" t="str">
        <f>IFERROR(__xludf.DUMMYFUNCTION("""COMPUTED_VALUE"""),"")</f>
        <v/>
      </c>
      <c r="P633" s="52" t="str">
        <f t="shared" si="22"/>
        <v/>
      </c>
      <c r="R633" s="52" t="str">
        <f t="shared" si="32"/>
        <v/>
      </c>
      <c r="Z633" s="81"/>
      <c r="AA633" s="81"/>
      <c r="AB633" s="81"/>
      <c r="AC633" s="81" t="str">
        <f t="shared" si="5"/>
        <v/>
      </c>
      <c r="AD633" s="82" t="str">
        <f t="shared" si="6"/>
        <v/>
      </c>
    </row>
    <row r="634">
      <c r="A634" s="89"/>
      <c r="B634" s="89"/>
      <c r="C634" s="89"/>
      <c r="D634" s="89"/>
      <c r="E634" s="89"/>
      <c r="F634" s="81"/>
      <c r="G634" s="89"/>
      <c r="H634" s="89"/>
      <c r="I634" s="89"/>
      <c r="J634" s="89" t="str">
        <f t="shared" si="18"/>
        <v/>
      </c>
      <c r="K634" s="89" t="str">
        <f t="shared" si="23"/>
        <v/>
      </c>
      <c r="L634" s="89" t="str">
        <f>IFERROR(__xludf.DUMMYFUNCTION("""COMPUTED_VALUE"""),"")</f>
        <v/>
      </c>
      <c r="M634" s="89" t="str">
        <f>IFERROR(__xludf.DUMMYFUNCTION("""COMPUTED_VALUE"""),"")</f>
        <v/>
      </c>
      <c r="N634" s="89" t="str">
        <f>IFERROR(__xludf.DUMMYFUNCTION("""COMPUTED_VALUE"""),"")</f>
        <v/>
      </c>
      <c r="P634" s="52" t="str">
        <f t="shared" si="22"/>
        <v/>
      </c>
      <c r="R634" s="52" t="str">
        <f t="shared" si="32"/>
        <v/>
      </c>
      <c r="Z634" s="81"/>
      <c r="AA634" s="81"/>
      <c r="AB634" s="81"/>
      <c r="AC634" s="81" t="str">
        <f t="shared" si="5"/>
        <v/>
      </c>
      <c r="AD634" s="82" t="str">
        <f t="shared" si="6"/>
        <v/>
      </c>
    </row>
    <row r="635">
      <c r="A635" s="89"/>
      <c r="B635" s="89"/>
      <c r="C635" s="89"/>
      <c r="D635" s="89"/>
      <c r="E635" s="89"/>
      <c r="F635" s="81"/>
      <c r="G635" s="89"/>
      <c r="H635" s="89"/>
      <c r="I635" s="89"/>
      <c r="J635" s="89" t="str">
        <f t="shared" si="18"/>
        <v/>
      </c>
      <c r="K635" s="89" t="str">
        <f t="shared" si="23"/>
        <v/>
      </c>
      <c r="L635" s="89" t="str">
        <f>IFERROR(__xludf.DUMMYFUNCTION("""COMPUTED_VALUE"""),"")</f>
        <v/>
      </c>
      <c r="M635" s="89" t="str">
        <f>IFERROR(__xludf.DUMMYFUNCTION("""COMPUTED_VALUE"""),"")</f>
        <v/>
      </c>
      <c r="N635" s="89" t="str">
        <f>IFERROR(__xludf.DUMMYFUNCTION("""COMPUTED_VALUE"""),"")</f>
        <v/>
      </c>
      <c r="P635" s="52" t="str">
        <f t="shared" si="22"/>
        <v/>
      </c>
      <c r="R635" s="52" t="str">
        <f t="shared" si="32"/>
        <v/>
      </c>
      <c r="Z635" s="81"/>
      <c r="AA635" s="81"/>
      <c r="AB635" s="81"/>
      <c r="AC635" s="81" t="str">
        <f t="shared" si="5"/>
        <v/>
      </c>
      <c r="AD635" s="82" t="str">
        <f t="shared" si="6"/>
        <v/>
      </c>
    </row>
    <row r="636">
      <c r="A636" s="89"/>
      <c r="B636" s="89"/>
      <c r="C636" s="89"/>
      <c r="D636" s="89"/>
      <c r="E636" s="89"/>
      <c r="F636" s="81"/>
      <c r="G636" s="89"/>
      <c r="H636" s="89"/>
      <c r="I636" s="89"/>
      <c r="J636" s="89" t="str">
        <f t="shared" si="18"/>
        <v/>
      </c>
      <c r="K636" s="89" t="str">
        <f t="shared" si="23"/>
        <v/>
      </c>
      <c r="L636" s="89" t="str">
        <f>IFERROR(__xludf.DUMMYFUNCTION("""COMPUTED_VALUE"""),"")</f>
        <v/>
      </c>
      <c r="M636" s="89" t="str">
        <f>IFERROR(__xludf.DUMMYFUNCTION("""COMPUTED_VALUE"""),"")</f>
        <v/>
      </c>
      <c r="N636" s="89" t="str">
        <f>IFERROR(__xludf.DUMMYFUNCTION("""COMPUTED_VALUE"""),"")</f>
        <v/>
      </c>
      <c r="P636" s="52" t="str">
        <f t="shared" si="22"/>
        <v/>
      </c>
      <c r="R636" s="52" t="str">
        <f t="shared" si="32"/>
        <v/>
      </c>
      <c r="Z636" s="81"/>
      <c r="AA636" s="81"/>
      <c r="AB636" s="81"/>
      <c r="AC636" s="81" t="str">
        <f t="shared" si="5"/>
        <v/>
      </c>
      <c r="AD636" s="82" t="str">
        <f t="shared" si="6"/>
        <v/>
      </c>
    </row>
    <row r="637">
      <c r="A637" s="89"/>
      <c r="B637" s="89"/>
      <c r="C637" s="89"/>
      <c r="D637" s="89"/>
      <c r="E637" s="89"/>
      <c r="F637" s="81"/>
      <c r="G637" s="89"/>
      <c r="H637" s="89"/>
      <c r="I637" s="89"/>
      <c r="J637" s="89" t="str">
        <f t="shared" si="18"/>
        <v/>
      </c>
      <c r="K637" s="89" t="str">
        <f t="shared" si="23"/>
        <v/>
      </c>
      <c r="L637" s="89" t="str">
        <f>IFERROR(__xludf.DUMMYFUNCTION("""COMPUTED_VALUE"""),"")</f>
        <v/>
      </c>
      <c r="M637" s="89" t="str">
        <f>IFERROR(__xludf.DUMMYFUNCTION("""COMPUTED_VALUE"""),"")</f>
        <v/>
      </c>
      <c r="N637" s="89" t="str">
        <f>IFERROR(__xludf.DUMMYFUNCTION("""COMPUTED_VALUE"""),"")</f>
        <v/>
      </c>
      <c r="P637" s="52" t="str">
        <f t="shared" si="22"/>
        <v/>
      </c>
      <c r="R637" s="52" t="str">
        <f t="shared" si="32"/>
        <v/>
      </c>
      <c r="Z637" s="81"/>
      <c r="AA637" s="81"/>
      <c r="AB637" s="81"/>
      <c r="AC637" s="81" t="str">
        <f t="shared" si="5"/>
        <v/>
      </c>
      <c r="AD637" s="82" t="str">
        <f t="shared" si="6"/>
        <v/>
      </c>
    </row>
    <row r="638">
      <c r="A638" s="89"/>
      <c r="B638" s="89"/>
      <c r="C638" s="89"/>
      <c r="D638" s="89"/>
      <c r="E638" s="89"/>
      <c r="F638" s="81"/>
      <c r="G638" s="89"/>
      <c r="H638" s="89"/>
      <c r="I638" s="89"/>
      <c r="J638" s="89" t="str">
        <f t="shared" si="18"/>
        <v/>
      </c>
      <c r="K638" s="89" t="str">
        <f t="shared" si="23"/>
        <v/>
      </c>
      <c r="L638" s="89" t="str">
        <f>IFERROR(__xludf.DUMMYFUNCTION("""COMPUTED_VALUE"""),"")</f>
        <v/>
      </c>
      <c r="M638" s="89" t="str">
        <f>IFERROR(__xludf.DUMMYFUNCTION("""COMPUTED_VALUE"""),"")</f>
        <v/>
      </c>
      <c r="N638" s="89" t="str">
        <f>IFERROR(__xludf.DUMMYFUNCTION("""COMPUTED_VALUE"""),"")</f>
        <v/>
      </c>
      <c r="P638" s="52" t="str">
        <f t="shared" si="22"/>
        <v/>
      </c>
      <c r="R638" s="52" t="str">
        <f t="shared" si="32"/>
        <v/>
      </c>
      <c r="Z638" s="81"/>
      <c r="AA638" s="81"/>
      <c r="AB638" s="81"/>
      <c r="AC638" s="81" t="str">
        <f t="shared" si="5"/>
        <v/>
      </c>
      <c r="AD638" s="82" t="str">
        <f t="shared" si="6"/>
        <v/>
      </c>
    </row>
    <row r="639">
      <c r="A639" s="89"/>
      <c r="B639" s="89"/>
      <c r="C639" s="89"/>
      <c r="D639" s="89"/>
      <c r="E639" s="89"/>
      <c r="F639" s="81"/>
      <c r="G639" s="89"/>
      <c r="H639" s="89"/>
      <c r="I639" s="89"/>
      <c r="J639" s="89" t="str">
        <f t="shared" si="18"/>
        <v/>
      </c>
      <c r="K639" s="89" t="str">
        <f t="shared" si="23"/>
        <v/>
      </c>
      <c r="L639" s="89" t="str">
        <f>IFERROR(__xludf.DUMMYFUNCTION("""COMPUTED_VALUE"""),"")</f>
        <v/>
      </c>
      <c r="M639" s="89" t="str">
        <f>IFERROR(__xludf.DUMMYFUNCTION("""COMPUTED_VALUE"""),"")</f>
        <v/>
      </c>
      <c r="N639" s="89" t="str">
        <f>IFERROR(__xludf.DUMMYFUNCTION("""COMPUTED_VALUE"""),"")</f>
        <v/>
      </c>
      <c r="P639" s="52" t="str">
        <f t="shared" si="22"/>
        <v/>
      </c>
      <c r="R639" s="52" t="str">
        <f t="shared" si="32"/>
        <v/>
      </c>
      <c r="Z639" s="81"/>
      <c r="AA639" s="81"/>
      <c r="AB639" s="81"/>
      <c r="AC639" s="81" t="str">
        <f t="shared" si="5"/>
        <v/>
      </c>
      <c r="AD639" s="82" t="str">
        <f t="shared" si="6"/>
        <v/>
      </c>
    </row>
    <row r="640">
      <c r="A640" s="89"/>
      <c r="B640" s="89"/>
      <c r="C640" s="89"/>
      <c r="D640" s="89"/>
      <c r="E640" s="89"/>
      <c r="F640" s="81"/>
      <c r="G640" s="89"/>
      <c r="H640" s="89"/>
      <c r="I640" s="89"/>
      <c r="J640" s="89" t="str">
        <f t="shared" si="18"/>
        <v/>
      </c>
      <c r="K640" s="89" t="str">
        <f t="shared" si="23"/>
        <v/>
      </c>
      <c r="L640" s="89" t="str">
        <f>IFERROR(__xludf.DUMMYFUNCTION("""COMPUTED_VALUE"""),"")</f>
        <v/>
      </c>
      <c r="M640" s="89" t="str">
        <f>IFERROR(__xludf.DUMMYFUNCTION("""COMPUTED_VALUE"""),"")</f>
        <v/>
      </c>
      <c r="N640" s="89" t="str">
        <f>IFERROR(__xludf.DUMMYFUNCTION("""COMPUTED_VALUE"""),"")</f>
        <v/>
      </c>
      <c r="P640" s="52" t="str">
        <f t="shared" si="22"/>
        <v/>
      </c>
      <c r="R640" s="52" t="str">
        <f t="shared" si="32"/>
        <v/>
      </c>
      <c r="Z640" s="81"/>
      <c r="AA640" s="81"/>
      <c r="AB640" s="81"/>
      <c r="AC640" s="81" t="str">
        <f t="shared" si="5"/>
        <v/>
      </c>
      <c r="AD640" s="82" t="str">
        <f t="shared" si="6"/>
        <v/>
      </c>
    </row>
    <row r="641">
      <c r="A641" s="89"/>
      <c r="B641" s="89"/>
      <c r="C641" s="89"/>
      <c r="D641" s="89"/>
      <c r="E641" s="89"/>
      <c r="F641" s="81"/>
      <c r="G641" s="89"/>
      <c r="H641" s="89"/>
      <c r="I641" s="89"/>
      <c r="J641" s="89" t="str">
        <f t="shared" si="18"/>
        <v/>
      </c>
      <c r="K641" s="89" t="str">
        <f t="shared" si="23"/>
        <v/>
      </c>
      <c r="L641" s="89" t="str">
        <f>IFERROR(__xludf.DUMMYFUNCTION("""COMPUTED_VALUE"""),"")</f>
        <v/>
      </c>
      <c r="M641" s="89" t="str">
        <f>IFERROR(__xludf.DUMMYFUNCTION("""COMPUTED_VALUE"""),"")</f>
        <v/>
      </c>
      <c r="N641" s="89" t="str">
        <f>IFERROR(__xludf.DUMMYFUNCTION("""COMPUTED_VALUE"""),"")</f>
        <v/>
      </c>
      <c r="P641" s="52" t="str">
        <f t="shared" si="22"/>
        <v/>
      </c>
      <c r="R641" s="52" t="str">
        <f t="shared" si="32"/>
        <v/>
      </c>
      <c r="Z641" s="81"/>
      <c r="AA641" s="81"/>
      <c r="AB641" s="81"/>
      <c r="AC641" s="81" t="str">
        <f t="shared" si="5"/>
        <v/>
      </c>
      <c r="AD641" s="82" t="str">
        <f t="shared" si="6"/>
        <v/>
      </c>
    </row>
    <row r="642">
      <c r="A642" s="89"/>
      <c r="B642" s="89"/>
      <c r="C642" s="89"/>
      <c r="D642" s="89"/>
      <c r="E642" s="89"/>
      <c r="F642" s="81"/>
      <c r="G642" s="89"/>
      <c r="H642" s="89"/>
      <c r="I642" s="89"/>
      <c r="J642" s="89" t="str">
        <f t="shared" si="18"/>
        <v/>
      </c>
      <c r="K642" s="89" t="str">
        <f t="shared" si="23"/>
        <v/>
      </c>
      <c r="L642" s="89" t="str">
        <f>IFERROR(__xludf.DUMMYFUNCTION("""COMPUTED_VALUE"""),"")</f>
        <v/>
      </c>
      <c r="M642" s="89" t="str">
        <f>IFERROR(__xludf.DUMMYFUNCTION("""COMPUTED_VALUE"""),"")</f>
        <v/>
      </c>
      <c r="N642" s="89" t="str">
        <f>IFERROR(__xludf.DUMMYFUNCTION("""COMPUTED_VALUE"""),"")</f>
        <v/>
      </c>
      <c r="P642" s="52" t="str">
        <f t="shared" si="22"/>
        <v/>
      </c>
      <c r="R642" s="52" t="str">
        <f t="shared" si="32"/>
        <v/>
      </c>
      <c r="Z642" s="81"/>
      <c r="AA642" s="81"/>
      <c r="AB642" s="81"/>
      <c r="AC642" s="81" t="str">
        <f t="shared" si="5"/>
        <v/>
      </c>
      <c r="AD642" s="82" t="str">
        <f t="shared" si="6"/>
        <v/>
      </c>
    </row>
    <row r="643">
      <c r="A643" s="89"/>
      <c r="B643" s="89"/>
      <c r="C643" s="89"/>
      <c r="D643" s="89"/>
      <c r="E643" s="89"/>
      <c r="F643" s="81"/>
      <c r="G643" s="89"/>
      <c r="H643" s="89"/>
      <c r="I643" s="89"/>
      <c r="J643" s="89" t="str">
        <f t="shared" si="18"/>
        <v/>
      </c>
      <c r="K643" s="89" t="str">
        <f t="shared" si="23"/>
        <v/>
      </c>
      <c r="L643" s="89" t="str">
        <f>IFERROR(__xludf.DUMMYFUNCTION("""COMPUTED_VALUE"""),"")</f>
        <v/>
      </c>
      <c r="M643" s="89" t="str">
        <f>IFERROR(__xludf.DUMMYFUNCTION("""COMPUTED_VALUE"""),"")</f>
        <v/>
      </c>
      <c r="N643" s="89" t="str">
        <f>IFERROR(__xludf.DUMMYFUNCTION("""COMPUTED_VALUE"""),"")</f>
        <v/>
      </c>
      <c r="P643" s="52" t="str">
        <f t="shared" si="22"/>
        <v/>
      </c>
      <c r="R643" s="52" t="str">
        <f t="shared" si="32"/>
        <v/>
      </c>
      <c r="Z643" s="81"/>
      <c r="AA643" s="81"/>
      <c r="AB643" s="81"/>
      <c r="AC643" s="81" t="str">
        <f t="shared" si="5"/>
        <v/>
      </c>
      <c r="AD643" s="82" t="str">
        <f t="shared" si="6"/>
        <v/>
      </c>
    </row>
    <row r="644">
      <c r="A644" s="89"/>
      <c r="B644" s="89"/>
      <c r="C644" s="89"/>
      <c r="D644" s="89"/>
      <c r="E644" s="89"/>
      <c r="F644" s="81"/>
      <c r="G644" s="89"/>
      <c r="H644" s="89"/>
      <c r="I644" s="89"/>
      <c r="J644" s="89" t="str">
        <f t="shared" si="18"/>
        <v/>
      </c>
      <c r="K644" s="89" t="str">
        <f t="shared" si="23"/>
        <v/>
      </c>
      <c r="L644" s="89" t="str">
        <f>IFERROR(__xludf.DUMMYFUNCTION("""COMPUTED_VALUE"""),"")</f>
        <v/>
      </c>
      <c r="M644" s="89" t="str">
        <f>IFERROR(__xludf.DUMMYFUNCTION("""COMPUTED_VALUE"""),"")</f>
        <v/>
      </c>
      <c r="N644" s="89" t="str">
        <f>IFERROR(__xludf.DUMMYFUNCTION("""COMPUTED_VALUE"""),"")</f>
        <v/>
      </c>
      <c r="P644" s="52" t="str">
        <f t="shared" si="22"/>
        <v/>
      </c>
      <c r="R644" s="52" t="str">
        <f t="shared" si="32"/>
        <v/>
      </c>
      <c r="Z644" s="81"/>
      <c r="AA644" s="81"/>
      <c r="AB644" s="81"/>
      <c r="AC644" s="81" t="str">
        <f t="shared" si="5"/>
        <v/>
      </c>
      <c r="AD644" s="82" t="str">
        <f t="shared" si="6"/>
        <v/>
      </c>
    </row>
    <row r="645">
      <c r="A645" s="89"/>
      <c r="B645" s="89"/>
      <c r="C645" s="89"/>
      <c r="D645" s="89"/>
      <c r="E645" s="89"/>
      <c r="F645" s="81"/>
      <c r="G645" s="89"/>
      <c r="H645" s="89"/>
      <c r="I645" s="89"/>
      <c r="J645" s="89" t="str">
        <f t="shared" si="18"/>
        <v/>
      </c>
      <c r="K645" s="89" t="str">
        <f t="shared" si="23"/>
        <v/>
      </c>
      <c r="L645" s="89" t="str">
        <f>IFERROR(__xludf.DUMMYFUNCTION("""COMPUTED_VALUE"""),"")</f>
        <v/>
      </c>
      <c r="M645" s="89" t="str">
        <f>IFERROR(__xludf.DUMMYFUNCTION("""COMPUTED_VALUE"""),"")</f>
        <v/>
      </c>
      <c r="N645" s="89" t="str">
        <f>IFERROR(__xludf.DUMMYFUNCTION("""COMPUTED_VALUE"""),"")</f>
        <v/>
      </c>
      <c r="P645" s="52" t="str">
        <f t="shared" si="22"/>
        <v/>
      </c>
      <c r="R645" s="52" t="str">
        <f t="shared" si="32"/>
        <v/>
      </c>
      <c r="Z645" s="81"/>
      <c r="AA645" s="81"/>
      <c r="AB645" s="81"/>
      <c r="AC645" s="81" t="str">
        <f t="shared" si="5"/>
        <v/>
      </c>
      <c r="AD645" s="82" t="str">
        <f t="shared" si="6"/>
        <v/>
      </c>
    </row>
    <row r="646">
      <c r="A646" s="89"/>
      <c r="B646" s="89"/>
      <c r="C646" s="89"/>
      <c r="D646" s="89"/>
      <c r="E646" s="89"/>
      <c r="F646" s="81"/>
      <c r="G646" s="89"/>
      <c r="H646" s="89"/>
      <c r="I646" s="89"/>
      <c r="J646" s="89" t="str">
        <f t="shared" si="18"/>
        <v/>
      </c>
      <c r="K646" s="89" t="str">
        <f t="shared" si="23"/>
        <v/>
      </c>
      <c r="L646" s="89" t="str">
        <f>IFERROR(__xludf.DUMMYFUNCTION("""COMPUTED_VALUE"""),"")</f>
        <v/>
      </c>
      <c r="M646" s="89" t="str">
        <f>IFERROR(__xludf.DUMMYFUNCTION("""COMPUTED_VALUE"""),"")</f>
        <v/>
      </c>
      <c r="N646" s="89" t="str">
        <f>IFERROR(__xludf.DUMMYFUNCTION("""COMPUTED_VALUE"""),"")</f>
        <v/>
      </c>
      <c r="P646" s="52" t="str">
        <f t="shared" si="22"/>
        <v/>
      </c>
      <c r="R646" s="52" t="str">
        <f t="shared" si="32"/>
        <v/>
      </c>
      <c r="Z646" s="81"/>
      <c r="AA646" s="81"/>
      <c r="AB646" s="81"/>
      <c r="AC646" s="81" t="str">
        <f t="shared" si="5"/>
        <v/>
      </c>
      <c r="AD646" s="82" t="str">
        <f t="shared" si="6"/>
        <v/>
      </c>
    </row>
    <row r="647">
      <c r="A647" s="89"/>
      <c r="B647" s="89"/>
      <c r="C647" s="89"/>
      <c r="D647" s="89"/>
      <c r="E647" s="89"/>
      <c r="F647" s="81"/>
      <c r="G647" s="89"/>
      <c r="H647" s="89"/>
      <c r="I647" s="89"/>
      <c r="J647" s="89" t="str">
        <f t="shared" si="18"/>
        <v/>
      </c>
      <c r="K647" s="89" t="str">
        <f t="shared" si="23"/>
        <v/>
      </c>
      <c r="L647" s="89" t="str">
        <f>IFERROR(__xludf.DUMMYFUNCTION("""COMPUTED_VALUE"""),"")</f>
        <v/>
      </c>
      <c r="M647" s="89" t="str">
        <f>IFERROR(__xludf.DUMMYFUNCTION("""COMPUTED_VALUE"""),"")</f>
        <v/>
      </c>
      <c r="N647" s="89" t="str">
        <f>IFERROR(__xludf.DUMMYFUNCTION("""COMPUTED_VALUE"""),"")</f>
        <v/>
      </c>
      <c r="P647" s="52" t="str">
        <f t="shared" si="22"/>
        <v/>
      </c>
      <c r="R647" s="52" t="str">
        <f t="shared" si="32"/>
        <v/>
      </c>
      <c r="Z647" s="81"/>
      <c r="AA647" s="81"/>
      <c r="AB647" s="81"/>
      <c r="AC647" s="81" t="str">
        <f t="shared" si="5"/>
        <v/>
      </c>
      <c r="AD647" s="82" t="str">
        <f t="shared" si="6"/>
        <v/>
      </c>
    </row>
    <row r="648">
      <c r="A648" s="89"/>
      <c r="B648" s="89"/>
      <c r="C648" s="89"/>
      <c r="D648" s="89"/>
      <c r="E648" s="89"/>
      <c r="F648" s="81"/>
      <c r="G648" s="89"/>
      <c r="H648" s="89"/>
      <c r="I648" s="89"/>
      <c r="J648" s="89" t="str">
        <f t="shared" si="18"/>
        <v/>
      </c>
      <c r="K648" s="89" t="str">
        <f t="shared" si="23"/>
        <v/>
      </c>
      <c r="L648" s="89" t="str">
        <f>IFERROR(__xludf.DUMMYFUNCTION("""COMPUTED_VALUE"""),"")</f>
        <v/>
      </c>
      <c r="M648" s="89" t="str">
        <f>IFERROR(__xludf.DUMMYFUNCTION("""COMPUTED_VALUE"""),"")</f>
        <v/>
      </c>
      <c r="N648" s="89" t="str">
        <f>IFERROR(__xludf.DUMMYFUNCTION("""COMPUTED_VALUE"""),"")</f>
        <v/>
      </c>
      <c r="P648" s="52" t="str">
        <f t="shared" si="22"/>
        <v/>
      </c>
      <c r="R648" s="52" t="str">
        <f t="shared" si="32"/>
        <v/>
      </c>
      <c r="Z648" s="81"/>
      <c r="AA648" s="81"/>
      <c r="AB648" s="81"/>
      <c r="AC648" s="81" t="str">
        <f t="shared" si="5"/>
        <v/>
      </c>
      <c r="AD648" s="82" t="str">
        <f t="shared" si="6"/>
        <v/>
      </c>
    </row>
    <row r="649">
      <c r="A649" s="89"/>
      <c r="B649" s="89"/>
      <c r="C649" s="89"/>
      <c r="D649" s="89"/>
      <c r="E649" s="89"/>
      <c r="F649" s="81"/>
      <c r="G649" s="89"/>
      <c r="H649" s="89"/>
      <c r="I649" s="89"/>
      <c r="J649" s="89" t="str">
        <f t="shared" si="18"/>
        <v/>
      </c>
      <c r="K649" s="89" t="str">
        <f t="shared" si="23"/>
        <v/>
      </c>
      <c r="L649" s="89" t="str">
        <f>IFERROR(__xludf.DUMMYFUNCTION("""COMPUTED_VALUE"""),"")</f>
        <v/>
      </c>
      <c r="M649" s="89" t="str">
        <f>IFERROR(__xludf.DUMMYFUNCTION("""COMPUTED_VALUE"""),"")</f>
        <v/>
      </c>
      <c r="N649" s="89" t="str">
        <f>IFERROR(__xludf.DUMMYFUNCTION("""COMPUTED_VALUE"""),"")</f>
        <v/>
      </c>
      <c r="P649" s="52" t="str">
        <f t="shared" si="22"/>
        <v/>
      </c>
      <c r="R649" s="52" t="str">
        <f t="shared" si="32"/>
        <v/>
      </c>
      <c r="Z649" s="81"/>
      <c r="AA649" s="81"/>
      <c r="AB649" s="81"/>
      <c r="AC649" s="81" t="str">
        <f t="shared" si="5"/>
        <v/>
      </c>
      <c r="AD649" s="82" t="str">
        <f t="shared" si="6"/>
        <v/>
      </c>
    </row>
    <row r="650">
      <c r="A650" s="89"/>
      <c r="B650" s="89"/>
      <c r="C650" s="89"/>
      <c r="D650" s="89"/>
      <c r="E650" s="89"/>
      <c r="F650" s="81"/>
      <c r="G650" s="89"/>
      <c r="H650" s="89"/>
      <c r="I650" s="89"/>
      <c r="J650" s="89" t="str">
        <f t="shared" si="18"/>
        <v/>
      </c>
      <c r="K650" s="89" t="str">
        <f t="shared" si="23"/>
        <v/>
      </c>
      <c r="L650" s="89" t="str">
        <f>IFERROR(__xludf.DUMMYFUNCTION("""COMPUTED_VALUE"""),"")</f>
        <v/>
      </c>
      <c r="M650" s="89" t="str">
        <f>IFERROR(__xludf.DUMMYFUNCTION("""COMPUTED_VALUE"""),"")</f>
        <v/>
      </c>
      <c r="N650" s="89" t="str">
        <f>IFERROR(__xludf.DUMMYFUNCTION("""COMPUTED_VALUE"""),"")</f>
        <v/>
      </c>
      <c r="P650" s="52" t="str">
        <f t="shared" si="22"/>
        <v/>
      </c>
      <c r="R650" s="52" t="str">
        <f t="shared" si="32"/>
        <v/>
      </c>
      <c r="Z650" s="81"/>
      <c r="AA650" s="81"/>
      <c r="AB650" s="81"/>
      <c r="AC650" s="81" t="str">
        <f t="shared" si="5"/>
        <v/>
      </c>
      <c r="AD650" s="82" t="str">
        <f t="shared" si="6"/>
        <v/>
      </c>
    </row>
    <row r="651">
      <c r="A651" s="89"/>
      <c r="B651" s="89"/>
      <c r="C651" s="89"/>
      <c r="D651" s="89"/>
      <c r="E651" s="89"/>
      <c r="F651" s="81"/>
      <c r="G651" s="89"/>
      <c r="H651" s="89"/>
      <c r="I651" s="89"/>
      <c r="J651" s="89" t="str">
        <f t="shared" si="18"/>
        <v/>
      </c>
      <c r="K651" s="89" t="str">
        <f t="shared" si="23"/>
        <v/>
      </c>
      <c r="L651" s="89" t="str">
        <f>IFERROR(__xludf.DUMMYFUNCTION("""COMPUTED_VALUE"""),"")</f>
        <v/>
      </c>
      <c r="M651" s="89" t="str">
        <f>IFERROR(__xludf.DUMMYFUNCTION("""COMPUTED_VALUE"""),"")</f>
        <v/>
      </c>
      <c r="N651" s="89" t="str">
        <f>IFERROR(__xludf.DUMMYFUNCTION("""COMPUTED_VALUE"""),"")</f>
        <v/>
      </c>
      <c r="P651" s="52" t="str">
        <f t="shared" si="22"/>
        <v/>
      </c>
      <c r="R651" s="52" t="str">
        <f t="shared" si="32"/>
        <v/>
      </c>
      <c r="Z651" s="81"/>
      <c r="AA651" s="81"/>
      <c r="AB651" s="81"/>
      <c r="AC651" s="81" t="str">
        <f t="shared" si="5"/>
        <v/>
      </c>
      <c r="AD651" s="82" t="str">
        <f t="shared" si="6"/>
        <v/>
      </c>
    </row>
    <row r="652">
      <c r="A652" s="89"/>
      <c r="B652" s="89"/>
      <c r="C652" s="89"/>
      <c r="D652" s="89"/>
      <c r="E652" s="89"/>
      <c r="F652" s="81"/>
      <c r="G652" s="89"/>
      <c r="H652" s="89"/>
      <c r="I652" s="89"/>
      <c r="J652" s="89" t="str">
        <f t="shared" si="18"/>
        <v/>
      </c>
      <c r="K652" s="89" t="str">
        <f t="shared" si="23"/>
        <v/>
      </c>
      <c r="L652" s="89" t="str">
        <f>IFERROR(__xludf.DUMMYFUNCTION("""COMPUTED_VALUE"""),"")</f>
        <v/>
      </c>
      <c r="M652" s="89" t="str">
        <f>IFERROR(__xludf.DUMMYFUNCTION("""COMPUTED_VALUE"""),"")</f>
        <v/>
      </c>
      <c r="N652" s="89" t="str">
        <f>IFERROR(__xludf.DUMMYFUNCTION("""COMPUTED_VALUE"""),"")</f>
        <v/>
      </c>
      <c r="P652" s="52" t="str">
        <f t="shared" si="22"/>
        <v/>
      </c>
      <c r="R652" s="52" t="str">
        <f t="shared" si="32"/>
        <v/>
      </c>
      <c r="Z652" s="81"/>
      <c r="AA652" s="81"/>
      <c r="AB652" s="81"/>
      <c r="AC652" s="81" t="str">
        <f t="shared" si="5"/>
        <v/>
      </c>
      <c r="AD652" s="82" t="str">
        <f t="shared" si="6"/>
        <v/>
      </c>
    </row>
    <row r="653">
      <c r="A653" s="89"/>
      <c r="B653" s="89"/>
      <c r="C653" s="89"/>
      <c r="D653" s="89"/>
      <c r="E653" s="89"/>
      <c r="F653" s="81"/>
      <c r="G653" s="89"/>
      <c r="H653" s="89"/>
      <c r="I653" s="89"/>
      <c r="J653" s="89" t="str">
        <f t="shared" si="18"/>
        <v/>
      </c>
      <c r="K653" s="89" t="str">
        <f t="shared" si="23"/>
        <v/>
      </c>
      <c r="L653" s="89" t="str">
        <f>IFERROR(__xludf.DUMMYFUNCTION("""COMPUTED_VALUE"""),"")</f>
        <v/>
      </c>
      <c r="M653" s="89" t="str">
        <f>IFERROR(__xludf.DUMMYFUNCTION("""COMPUTED_VALUE"""),"")</f>
        <v/>
      </c>
      <c r="N653" s="89" t="str">
        <f>IFERROR(__xludf.DUMMYFUNCTION("""COMPUTED_VALUE"""),"")</f>
        <v/>
      </c>
      <c r="P653" s="52" t="str">
        <f t="shared" si="22"/>
        <v/>
      </c>
      <c r="R653" s="52" t="str">
        <f t="shared" si="32"/>
        <v/>
      </c>
      <c r="Z653" s="81"/>
      <c r="AA653" s="81"/>
      <c r="AB653" s="81"/>
      <c r="AC653" s="81" t="str">
        <f t="shared" si="5"/>
        <v/>
      </c>
      <c r="AD653" s="82" t="str">
        <f t="shared" si="6"/>
        <v/>
      </c>
    </row>
    <row r="654">
      <c r="A654" s="89"/>
      <c r="B654" s="89"/>
      <c r="C654" s="89"/>
      <c r="D654" s="89"/>
      <c r="E654" s="89"/>
      <c r="F654" s="81"/>
      <c r="G654" s="89"/>
      <c r="H654" s="89"/>
      <c r="I654" s="89"/>
      <c r="J654" s="89" t="str">
        <f t="shared" si="18"/>
        <v/>
      </c>
      <c r="K654" s="89" t="str">
        <f t="shared" si="23"/>
        <v/>
      </c>
      <c r="L654" s="89" t="str">
        <f>IFERROR(__xludf.DUMMYFUNCTION("""COMPUTED_VALUE"""),"")</f>
        <v/>
      </c>
      <c r="M654" s="89" t="str">
        <f>IFERROR(__xludf.DUMMYFUNCTION("""COMPUTED_VALUE"""),"")</f>
        <v/>
      </c>
      <c r="N654" s="89" t="str">
        <f>IFERROR(__xludf.DUMMYFUNCTION("""COMPUTED_VALUE"""),"")</f>
        <v/>
      </c>
      <c r="P654" s="52" t="str">
        <f t="shared" si="22"/>
        <v/>
      </c>
      <c r="R654" s="52" t="str">
        <f t="shared" si="32"/>
        <v/>
      </c>
      <c r="Z654" s="81"/>
      <c r="AA654" s="81"/>
      <c r="AB654" s="81"/>
      <c r="AC654" s="81" t="str">
        <f t="shared" si="5"/>
        <v/>
      </c>
      <c r="AD654" s="82" t="str">
        <f t="shared" si="6"/>
        <v/>
      </c>
    </row>
    <row r="655">
      <c r="A655" s="89"/>
      <c r="B655" s="89"/>
      <c r="C655" s="89"/>
      <c r="D655" s="89"/>
      <c r="E655" s="89"/>
      <c r="F655" s="81"/>
      <c r="G655" s="89"/>
      <c r="H655" s="89"/>
      <c r="I655" s="89"/>
      <c r="J655" s="89" t="str">
        <f t="shared" si="18"/>
        <v/>
      </c>
      <c r="K655" s="89" t="str">
        <f t="shared" si="23"/>
        <v/>
      </c>
      <c r="L655" s="89" t="str">
        <f>IFERROR(__xludf.DUMMYFUNCTION("""COMPUTED_VALUE"""),"")</f>
        <v/>
      </c>
      <c r="M655" s="89" t="str">
        <f>IFERROR(__xludf.DUMMYFUNCTION("""COMPUTED_VALUE"""),"")</f>
        <v/>
      </c>
      <c r="N655" s="89" t="str">
        <f>IFERROR(__xludf.DUMMYFUNCTION("""COMPUTED_VALUE"""),"")</f>
        <v/>
      </c>
      <c r="P655" s="52" t="str">
        <f t="shared" si="22"/>
        <v/>
      </c>
      <c r="R655" s="52" t="str">
        <f t="shared" si="32"/>
        <v/>
      </c>
      <c r="Z655" s="81"/>
      <c r="AA655" s="81"/>
      <c r="AB655" s="81"/>
      <c r="AC655" s="81" t="str">
        <f t="shared" si="5"/>
        <v/>
      </c>
      <c r="AD655" s="82" t="str">
        <f t="shared" si="6"/>
        <v/>
      </c>
    </row>
    <row r="656">
      <c r="A656" s="89"/>
      <c r="B656" s="89"/>
      <c r="C656" s="89"/>
      <c r="D656" s="89"/>
      <c r="E656" s="89"/>
      <c r="F656" s="81"/>
      <c r="G656" s="89"/>
      <c r="H656" s="89"/>
      <c r="I656" s="89"/>
      <c r="J656" s="89" t="str">
        <f t="shared" si="18"/>
        <v/>
      </c>
      <c r="K656" s="89" t="str">
        <f t="shared" si="23"/>
        <v/>
      </c>
      <c r="L656" s="89" t="str">
        <f>IFERROR(__xludf.DUMMYFUNCTION("""COMPUTED_VALUE"""),"")</f>
        <v/>
      </c>
      <c r="M656" s="89" t="str">
        <f>IFERROR(__xludf.DUMMYFUNCTION("""COMPUTED_VALUE"""),"")</f>
        <v/>
      </c>
      <c r="N656" s="89" t="str">
        <f>IFERROR(__xludf.DUMMYFUNCTION("""COMPUTED_VALUE"""),"")</f>
        <v/>
      </c>
      <c r="P656" s="52" t="str">
        <f t="shared" si="22"/>
        <v/>
      </c>
      <c r="R656" s="52" t="str">
        <f t="shared" si="32"/>
        <v/>
      </c>
      <c r="Z656" s="81"/>
      <c r="AA656" s="81"/>
      <c r="AB656" s="81"/>
      <c r="AC656" s="81" t="str">
        <f t="shared" si="5"/>
        <v/>
      </c>
      <c r="AD656" s="82" t="str">
        <f t="shared" si="6"/>
        <v/>
      </c>
    </row>
    <row r="657">
      <c r="A657" s="89"/>
      <c r="B657" s="89"/>
      <c r="C657" s="89"/>
      <c r="D657" s="89"/>
      <c r="E657" s="89"/>
      <c r="F657" s="81"/>
      <c r="G657" s="89"/>
      <c r="H657" s="89"/>
      <c r="I657" s="89"/>
      <c r="J657" s="89" t="str">
        <f t="shared" si="18"/>
        <v/>
      </c>
      <c r="K657" s="89" t="str">
        <f t="shared" si="23"/>
        <v/>
      </c>
      <c r="L657" s="89" t="str">
        <f>IFERROR(__xludf.DUMMYFUNCTION("""COMPUTED_VALUE"""),"")</f>
        <v/>
      </c>
      <c r="M657" s="89" t="str">
        <f>IFERROR(__xludf.DUMMYFUNCTION("""COMPUTED_VALUE"""),"")</f>
        <v/>
      </c>
      <c r="N657" s="89" t="str">
        <f>IFERROR(__xludf.DUMMYFUNCTION("""COMPUTED_VALUE"""),"")</f>
        <v/>
      </c>
      <c r="P657" s="52" t="str">
        <f t="shared" si="22"/>
        <v/>
      </c>
      <c r="R657" s="52" t="str">
        <f t="shared" si="32"/>
        <v/>
      </c>
      <c r="Z657" s="81"/>
      <c r="AA657" s="81"/>
      <c r="AB657" s="81"/>
      <c r="AC657" s="81" t="str">
        <f t="shared" si="5"/>
        <v/>
      </c>
      <c r="AD657" s="82" t="str">
        <f t="shared" si="6"/>
        <v/>
      </c>
    </row>
    <row r="658">
      <c r="A658" s="89"/>
      <c r="B658" s="89"/>
      <c r="C658" s="89"/>
      <c r="D658" s="89"/>
      <c r="E658" s="89"/>
      <c r="F658" s="81"/>
      <c r="G658" s="89"/>
      <c r="H658" s="89"/>
      <c r="I658" s="89"/>
      <c r="J658" s="89" t="str">
        <f t="shared" si="18"/>
        <v/>
      </c>
      <c r="K658" s="89" t="str">
        <f t="shared" si="23"/>
        <v/>
      </c>
      <c r="L658" s="89" t="str">
        <f>IFERROR(__xludf.DUMMYFUNCTION("""COMPUTED_VALUE"""),"")</f>
        <v/>
      </c>
      <c r="M658" s="89" t="str">
        <f>IFERROR(__xludf.DUMMYFUNCTION("""COMPUTED_VALUE"""),"")</f>
        <v/>
      </c>
      <c r="N658" s="89" t="str">
        <f>IFERROR(__xludf.DUMMYFUNCTION("""COMPUTED_VALUE"""),"")</f>
        <v/>
      </c>
      <c r="P658" s="52" t="str">
        <f t="shared" si="22"/>
        <v/>
      </c>
      <c r="R658" s="52" t="str">
        <f t="shared" si="32"/>
        <v/>
      </c>
      <c r="Z658" s="81"/>
      <c r="AA658" s="81"/>
      <c r="AB658" s="81"/>
      <c r="AC658" s="81" t="str">
        <f t="shared" si="5"/>
        <v/>
      </c>
      <c r="AD658" s="82" t="str">
        <f t="shared" si="6"/>
        <v/>
      </c>
    </row>
    <row r="659">
      <c r="A659" s="89"/>
      <c r="B659" s="89"/>
      <c r="C659" s="89"/>
      <c r="D659" s="89"/>
      <c r="E659" s="89"/>
      <c r="F659" s="81"/>
      <c r="G659" s="89"/>
      <c r="H659" s="89"/>
      <c r="I659" s="89"/>
      <c r="J659" s="89" t="str">
        <f t="shared" si="18"/>
        <v/>
      </c>
      <c r="K659" s="89" t="str">
        <f t="shared" si="23"/>
        <v/>
      </c>
      <c r="L659" s="89" t="str">
        <f>IFERROR(__xludf.DUMMYFUNCTION("""COMPUTED_VALUE"""),"")</f>
        <v/>
      </c>
      <c r="M659" s="89" t="str">
        <f>IFERROR(__xludf.DUMMYFUNCTION("""COMPUTED_VALUE"""),"")</f>
        <v/>
      </c>
      <c r="N659" s="89" t="str">
        <f>IFERROR(__xludf.DUMMYFUNCTION("""COMPUTED_VALUE"""),"")</f>
        <v/>
      </c>
      <c r="P659" s="52" t="str">
        <f t="shared" si="22"/>
        <v/>
      </c>
      <c r="R659" s="52" t="str">
        <f t="shared" si="32"/>
        <v/>
      </c>
      <c r="Z659" s="81"/>
      <c r="AA659" s="81"/>
      <c r="AB659" s="81"/>
      <c r="AC659" s="81" t="str">
        <f t="shared" si="5"/>
        <v/>
      </c>
      <c r="AD659" s="82" t="str">
        <f t="shared" si="6"/>
        <v/>
      </c>
    </row>
    <row r="660">
      <c r="A660" s="89"/>
      <c r="B660" s="89"/>
      <c r="C660" s="89"/>
      <c r="D660" s="89"/>
      <c r="E660" s="89"/>
      <c r="F660" s="81"/>
      <c r="G660" s="89"/>
      <c r="H660" s="89"/>
      <c r="I660" s="89"/>
      <c r="J660" s="89" t="str">
        <f t="shared" si="18"/>
        <v/>
      </c>
      <c r="K660" s="89" t="str">
        <f t="shared" si="23"/>
        <v/>
      </c>
      <c r="L660" s="89" t="str">
        <f>IFERROR(__xludf.DUMMYFUNCTION("""COMPUTED_VALUE"""),"")</f>
        <v/>
      </c>
      <c r="M660" s="89" t="str">
        <f>IFERROR(__xludf.DUMMYFUNCTION("""COMPUTED_VALUE"""),"")</f>
        <v/>
      </c>
      <c r="N660" s="89" t="str">
        <f>IFERROR(__xludf.DUMMYFUNCTION("""COMPUTED_VALUE"""),"")</f>
        <v/>
      </c>
      <c r="P660" s="52" t="str">
        <f t="shared" si="22"/>
        <v/>
      </c>
      <c r="R660" s="52" t="str">
        <f t="shared" si="32"/>
        <v/>
      </c>
      <c r="Z660" s="81"/>
      <c r="AA660" s="81"/>
      <c r="AB660" s="81"/>
      <c r="AC660" s="81" t="str">
        <f t="shared" si="5"/>
        <v/>
      </c>
      <c r="AD660" s="82" t="str">
        <f t="shared" si="6"/>
        <v/>
      </c>
    </row>
    <row r="661">
      <c r="A661" s="89"/>
      <c r="B661" s="89"/>
      <c r="C661" s="89"/>
      <c r="D661" s="89"/>
      <c r="E661" s="89"/>
      <c r="F661" s="81"/>
      <c r="G661" s="89"/>
      <c r="H661" s="89"/>
      <c r="I661" s="89"/>
      <c r="J661" s="89" t="str">
        <f t="shared" si="18"/>
        <v/>
      </c>
      <c r="K661" s="89" t="str">
        <f t="shared" si="23"/>
        <v/>
      </c>
      <c r="L661" s="89" t="str">
        <f>IFERROR(__xludf.DUMMYFUNCTION("""COMPUTED_VALUE"""),"")</f>
        <v/>
      </c>
      <c r="M661" s="89" t="str">
        <f>IFERROR(__xludf.DUMMYFUNCTION("""COMPUTED_VALUE"""),"")</f>
        <v/>
      </c>
      <c r="N661" s="89" t="str">
        <f>IFERROR(__xludf.DUMMYFUNCTION("""COMPUTED_VALUE"""),"")</f>
        <v/>
      </c>
      <c r="P661" s="52" t="str">
        <f t="shared" si="22"/>
        <v/>
      </c>
      <c r="R661" s="52" t="str">
        <f t="shared" si="32"/>
        <v/>
      </c>
      <c r="Z661" s="81"/>
      <c r="AA661" s="81"/>
      <c r="AB661" s="81"/>
      <c r="AC661" s="81" t="str">
        <f t="shared" si="5"/>
        <v/>
      </c>
      <c r="AD661" s="82" t="str">
        <f t="shared" si="6"/>
        <v/>
      </c>
    </row>
    <row r="662">
      <c r="A662" s="89"/>
      <c r="B662" s="89"/>
      <c r="C662" s="89"/>
      <c r="D662" s="89"/>
      <c r="E662" s="89"/>
      <c r="F662" s="81"/>
      <c r="G662" s="89"/>
      <c r="H662" s="89"/>
      <c r="I662" s="89"/>
      <c r="J662" s="89" t="str">
        <f t="shared" si="18"/>
        <v/>
      </c>
      <c r="K662" s="89" t="str">
        <f t="shared" si="23"/>
        <v/>
      </c>
      <c r="L662" s="89" t="str">
        <f>IFERROR(__xludf.DUMMYFUNCTION("""COMPUTED_VALUE"""),"")</f>
        <v/>
      </c>
      <c r="M662" s="89" t="str">
        <f>IFERROR(__xludf.DUMMYFUNCTION("""COMPUTED_VALUE"""),"")</f>
        <v/>
      </c>
      <c r="N662" s="89" t="str">
        <f>IFERROR(__xludf.DUMMYFUNCTION("""COMPUTED_VALUE"""),"")</f>
        <v/>
      </c>
      <c r="P662" s="52" t="str">
        <f t="shared" si="22"/>
        <v/>
      </c>
      <c r="R662" s="52" t="str">
        <f t="shared" si="32"/>
        <v/>
      </c>
      <c r="Z662" s="81"/>
      <c r="AA662" s="81"/>
      <c r="AB662" s="81"/>
      <c r="AC662" s="81" t="str">
        <f t="shared" si="5"/>
        <v/>
      </c>
      <c r="AD662" s="82" t="str">
        <f t="shared" si="6"/>
        <v/>
      </c>
    </row>
    <row r="663">
      <c r="A663" s="89"/>
      <c r="B663" s="89"/>
      <c r="C663" s="89"/>
      <c r="D663" s="89"/>
      <c r="E663" s="89"/>
      <c r="F663" s="81"/>
      <c r="G663" s="89"/>
      <c r="H663" s="89"/>
      <c r="I663" s="89"/>
      <c r="J663" s="89" t="str">
        <f t="shared" si="18"/>
        <v/>
      </c>
      <c r="K663" s="89" t="str">
        <f t="shared" si="23"/>
        <v/>
      </c>
      <c r="L663" s="89" t="str">
        <f>IFERROR(__xludf.DUMMYFUNCTION("""COMPUTED_VALUE"""),"")</f>
        <v/>
      </c>
      <c r="M663" s="89" t="str">
        <f>IFERROR(__xludf.DUMMYFUNCTION("""COMPUTED_VALUE"""),"")</f>
        <v/>
      </c>
      <c r="N663" s="89" t="str">
        <f>IFERROR(__xludf.DUMMYFUNCTION("""COMPUTED_VALUE"""),"")</f>
        <v/>
      </c>
      <c r="P663" s="52" t="str">
        <f t="shared" si="22"/>
        <v/>
      </c>
      <c r="R663" s="52" t="str">
        <f t="shared" si="32"/>
        <v/>
      </c>
      <c r="Z663" s="81"/>
      <c r="AA663" s="81"/>
      <c r="AB663" s="81"/>
      <c r="AC663" s="81" t="str">
        <f t="shared" si="5"/>
        <v/>
      </c>
      <c r="AD663" s="82" t="str">
        <f t="shared" si="6"/>
        <v/>
      </c>
    </row>
    <row r="664">
      <c r="A664" s="89"/>
      <c r="B664" s="89"/>
      <c r="C664" s="89"/>
      <c r="D664" s="89"/>
      <c r="E664" s="89"/>
      <c r="F664" s="81"/>
      <c r="G664" s="89"/>
      <c r="H664" s="89"/>
      <c r="I664" s="89"/>
      <c r="J664" s="89" t="str">
        <f t="shared" si="18"/>
        <v/>
      </c>
      <c r="K664" s="89" t="str">
        <f t="shared" si="23"/>
        <v/>
      </c>
      <c r="L664" s="89" t="str">
        <f>IFERROR(__xludf.DUMMYFUNCTION("""COMPUTED_VALUE"""),"")</f>
        <v/>
      </c>
      <c r="M664" s="89" t="str">
        <f>IFERROR(__xludf.DUMMYFUNCTION("""COMPUTED_VALUE"""),"")</f>
        <v/>
      </c>
      <c r="N664" s="89" t="str">
        <f>IFERROR(__xludf.DUMMYFUNCTION("""COMPUTED_VALUE"""),"")</f>
        <v/>
      </c>
      <c r="P664" s="52" t="str">
        <f t="shared" si="22"/>
        <v/>
      </c>
      <c r="R664" s="52" t="str">
        <f t="shared" si="32"/>
        <v/>
      </c>
      <c r="Z664" s="81"/>
      <c r="AA664" s="81"/>
      <c r="AB664" s="81"/>
      <c r="AC664" s="81" t="str">
        <f t="shared" si="5"/>
        <v/>
      </c>
      <c r="AD664" s="82" t="str">
        <f t="shared" si="6"/>
        <v/>
      </c>
    </row>
    <row r="665">
      <c r="A665" s="89"/>
      <c r="B665" s="89"/>
      <c r="C665" s="89"/>
      <c r="D665" s="89"/>
      <c r="E665" s="89"/>
      <c r="F665" s="81"/>
      <c r="G665" s="89"/>
      <c r="H665" s="89"/>
      <c r="I665" s="89"/>
      <c r="J665" s="89" t="str">
        <f t="shared" si="18"/>
        <v/>
      </c>
      <c r="K665" s="89" t="str">
        <f t="shared" si="23"/>
        <v/>
      </c>
      <c r="L665" s="89" t="str">
        <f>IFERROR(__xludf.DUMMYFUNCTION("""COMPUTED_VALUE"""),"")</f>
        <v/>
      </c>
      <c r="M665" s="89" t="str">
        <f>IFERROR(__xludf.DUMMYFUNCTION("""COMPUTED_VALUE"""),"")</f>
        <v/>
      </c>
      <c r="N665" s="89" t="str">
        <f>IFERROR(__xludf.DUMMYFUNCTION("""COMPUTED_VALUE"""),"")</f>
        <v/>
      </c>
      <c r="P665" s="52" t="str">
        <f t="shared" si="22"/>
        <v/>
      </c>
      <c r="R665" s="52" t="str">
        <f t="shared" si="32"/>
        <v/>
      </c>
      <c r="Z665" s="81"/>
      <c r="AA665" s="81"/>
      <c r="AB665" s="81"/>
      <c r="AC665" s="81" t="str">
        <f t="shared" si="5"/>
        <v/>
      </c>
      <c r="AD665" s="82" t="str">
        <f t="shared" si="6"/>
        <v/>
      </c>
    </row>
    <row r="666">
      <c r="A666" s="89"/>
      <c r="B666" s="89"/>
      <c r="C666" s="89"/>
      <c r="D666" s="89"/>
      <c r="E666" s="89"/>
      <c r="F666" s="81"/>
      <c r="G666" s="89"/>
      <c r="H666" s="89"/>
      <c r="I666" s="89"/>
      <c r="J666" s="89" t="str">
        <f t="shared" si="18"/>
        <v/>
      </c>
      <c r="K666" s="89" t="str">
        <f t="shared" si="23"/>
        <v/>
      </c>
      <c r="L666" s="89" t="str">
        <f>IFERROR(__xludf.DUMMYFUNCTION("""COMPUTED_VALUE"""),"")</f>
        <v/>
      </c>
      <c r="M666" s="89" t="str">
        <f>IFERROR(__xludf.DUMMYFUNCTION("""COMPUTED_VALUE"""),"")</f>
        <v/>
      </c>
      <c r="N666" s="89" t="str">
        <f>IFERROR(__xludf.DUMMYFUNCTION("""COMPUTED_VALUE"""),"")</f>
        <v/>
      </c>
      <c r="P666" s="52" t="str">
        <f t="shared" si="22"/>
        <v/>
      </c>
      <c r="R666" s="52" t="str">
        <f t="shared" si="32"/>
        <v/>
      </c>
      <c r="Z666" s="81"/>
      <c r="AA666" s="81"/>
      <c r="AB666" s="81"/>
      <c r="AC666" s="81" t="str">
        <f t="shared" si="5"/>
        <v/>
      </c>
      <c r="AD666" s="82" t="str">
        <f t="shared" si="6"/>
        <v/>
      </c>
    </row>
    <row r="667">
      <c r="A667" s="89"/>
      <c r="B667" s="89"/>
      <c r="C667" s="89"/>
      <c r="D667" s="89"/>
      <c r="E667" s="89"/>
      <c r="F667" s="81"/>
      <c r="G667" s="89"/>
      <c r="H667" s="89"/>
      <c r="I667" s="89"/>
      <c r="J667" s="89" t="str">
        <f t="shared" si="18"/>
        <v/>
      </c>
      <c r="K667" s="89" t="str">
        <f t="shared" si="23"/>
        <v/>
      </c>
      <c r="L667" s="89" t="str">
        <f>IFERROR(__xludf.DUMMYFUNCTION("""COMPUTED_VALUE"""),"")</f>
        <v/>
      </c>
      <c r="M667" s="89" t="str">
        <f>IFERROR(__xludf.DUMMYFUNCTION("""COMPUTED_VALUE"""),"")</f>
        <v/>
      </c>
      <c r="N667" s="89" t="str">
        <f>IFERROR(__xludf.DUMMYFUNCTION("""COMPUTED_VALUE"""),"")</f>
        <v/>
      </c>
      <c r="P667" s="52" t="str">
        <f t="shared" si="22"/>
        <v/>
      </c>
      <c r="R667" s="52" t="str">
        <f t="shared" si="32"/>
        <v/>
      </c>
      <c r="Z667" s="81"/>
      <c r="AA667" s="81"/>
      <c r="AB667" s="81"/>
      <c r="AC667" s="81" t="str">
        <f t="shared" si="5"/>
        <v/>
      </c>
      <c r="AD667" s="82" t="str">
        <f t="shared" si="6"/>
        <v/>
      </c>
    </row>
    <row r="668">
      <c r="A668" s="89"/>
      <c r="B668" s="89"/>
      <c r="C668" s="89"/>
      <c r="D668" s="89"/>
      <c r="E668" s="89"/>
      <c r="F668" s="81"/>
      <c r="G668" s="89"/>
      <c r="H668" s="89"/>
      <c r="I668" s="89"/>
      <c r="J668" s="89" t="str">
        <f t="shared" si="18"/>
        <v/>
      </c>
      <c r="K668" s="89" t="str">
        <f t="shared" si="23"/>
        <v/>
      </c>
      <c r="L668" s="89" t="str">
        <f>IFERROR(__xludf.DUMMYFUNCTION("""COMPUTED_VALUE"""),"")</f>
        <v/>
      </c>
      <c r="M668" s="89" t="str">
        <f>IFERROR(__xludf.DUMMYFUNCTION("""COMPUTED_VALUE"""),"")</f>
        <v/>
      </c>
      <c r="N668" s="89" t="str">
        <f>IFERROR(__xludf.DUMMYFUNCTION("""COMPUTED_VALUE"""),"")</f>
        <v/>
      </c>
      <c r="P668" s="52" t="str">
        <f t="shared" si="22"/>
        <v/>
      </c>
      <c r="R668" s="52" t="str">
        <f t="shared" si="32"/>
        <v/>
      </c>
      <c r="Z668" s="81"/>
      <c r="AA668" s="81"/>
      <c r="AB668" s="81"/>
      <c r="AC668" s="81" t="str">
        <f t="shared" si="5"/>
        <v/>
      </c>
      <c r="AD668" s="82" t="str">
        <f t="shared" si="6"/>
        <v/>
      </c>
    </row>
    <row r="669">
      <c r="A669" s="89"/>
      <c r="B669" s="89"/>
      <c r="C669" s="89"/>
      <c r="D669" s="89"/>
      <c r="E669" s="89"/>
      <c r="F669" s="81"/>
      <c r="G669" s="89"/>
      <c r="H669" s="89"/>
      <c r="I669" s="89"/>
      <c r="J669" s="89" t="str">
        <f t="shared" si="18"/>
        <v/>
      </c>
      <c r="K669" s="89" t="str">
        <f t="shared" si="23"/>
        <v/>
      </c>
      <c r="L669" s="89" t="str">
        <f>IFERROR(__xludf.DUMMYFUNCTION("""COMPUTED_VALUE"""),"")</f>
        <v/>
      </c>
      <c r="M669" s="89" t="str">
        <f>IFERROR(__xludf.DUMMYFUNCTION("""COMPUTED_VALUE"""),"")</f>
        <v/>
      </c>
      <c r="N669" s="89" t="str">
        <f>IFERROR(__xludf.DUMMYFUNCTION("""COMPUTED_VALUE"""),"")</f>
        <v/>
      </c>
      <c r="P669" s="52" t="str">
        <f t="shared" si="22"/>
        <v/>
      </c>
      <c r="R669" s="52" t="str">
        <f t="shared" si="32"/>
        <v/>
      </c>
      <c r="Z669" s="81"/>
      <c r="AA669" s="81"/>
      <c r="AB669" s="81"/>
      <c r="AC669" s="81" t="str">
        <f t="shared" si="5"/>
        <v/>
      </c>
      <c r="AD669" s="82" t="str">
        <f t="shared" si="6"/>
        <v/>
      </c>
    </row>
    <row r="670">
      <c r="A670" s="89"/>
      <c r="B670" s="89"/>
      <c r="C670" s="89"/>
      <c r="D670" s="89"/>
      <c r="E670" s="89"/>
      <c r="F670" s="81"/>
      <c r="G670" s="89"/>
      <c r="H670" s="89"/>
      <c r="I670" s="89"/>
      <c r="J670" s="89" t="str">
        <f t="shared" si="18"/>
        <v/>
      </c>
      <c r="K670" s="89" t="str">
        <f t="shared" si="23"/>
        <v/>
      </c>
      <c r="L670" s="89" t="str">
        <f>IFERROR(__xludf.DUMMYFUNCTION("""COMPUTED_VALUE"""),"")</f>
        <v/>
      </c>
      <c r="M670" s="89" t="str">
        <f>IFERROR(__xludf.DUMMYFUNCTION("""COMPUTED_VALUE"""),"")</f>
        <v/>
      </c>
      <c r="N670" s="89" t="str">
        <f>IFERROR(__xludf.DUMMYFUNCTION("""COMPUTED_VALUE"""),"")</f>
        <v/>
      </c>
      <c r="P670" s="52" t="str">
        <f t="shared" si="22"/>
        <v/>
      </c>
      <c r="R670" s="52" t="str">
        <f t="shared" si="32"/>
        <v/>
      </c>
      <c r="Z670" s="81"/>
      <c r="AA670" s="81"/>
      <c r="AB670" s="81"/>
      <c r="AC670" s="81" t="str">
        <f t="shared" si="5"/>
        <v/>
      </c>
      <c r="AD670" s="82" t="str">
        <f t="shared" si="6"/>
        <v/>
      </c>
    </row>
    <row r="671">
      <c r="A671" s="89"/>
      <c r="B671" s="89"/>
      <c r="C671" s="89"/>
      <c r="D671" s="89"/>
      <c r="E671" s="89"/>
      <c r="F671" s="81"/>
      <c r="G671" s="89"/>
      <c r="H671" s="89"/>
      <c r="I671" s="89"/>
      <c r="J671" s="89" t="str">
        <f t="shared" si="18"/>
        <v/>
      </c>
      <c r="K671" s="89" t="str">
        <f t="shared" si="23"/>
        <v/>
      </c>
      <c r="L671" s="89" t="str">
        <f>IFERROR(__xludf.DUMMYFUNCTION("""COMPUTED_VALUE"""),"")</f>
        <v/>
      </c>
      <c r="M671" s="89" t="str">
        <f>IFERROR(__xludf.DUMMYFUNCTION("""COMPUTED_VALUE"""),"")</f>
        <v/>
      </c>
      <c r="N671" s="89" t="str">
        <f>IFERROR(__xludf.DUMMYFUNCTION("""COMPUTED_VALUE"""),"")</f>
        <v/>
      </c>
      <c r="P671" s="52" t="str">
        <f t="shared" si="22"/>
        <v/>
      </c>
      <c r="R671" s="52" t="str">
        <f t="shared" si="32"/>
        <v/>
      </c>
      <c r="Z671" s="81"/>
      <c r="AA671" s="81"/>
      <c r="AB671" s="81"/>
      <c r="AC671" s="81" t="str">
        <f t="shared" si="5"/>
        <v/>
      </c>
      <c r="AD671" s="82" t="str">
        <f t="shared" si="6"/>
        <v/>
      </c>
    </row>
    <row r="672">
      <c r="A672" s="89"/>
      <c r="B672" s="89"/>
      <c r="C672" s="89"/>
      <c r="D672" s="89"/>
      <c r="E672" s="89"/>
      <c r="F672" s="81"/>
      <c r="G672" s="89"/>
      <c r="H672" s="89"/>
      <c r="I672" s="89"/>
      <c r="J672" s="89" t="str">
        <f t="shared" si="18"/>
        <v/>
      </c>
      <c r="K672" s="89" t="str">
        <f t="shared" si="23"/>
        <v/>
      </c>
      <c r="L672" s="89" t="str">
        <f>IFERROR(__xludf.DUMMYFUNCTION("""COMPUTED_VALUE"""),"")</f>
        <v/>
      </c>
      <c r="M672" s="89" t="str">
        <f>IFERROR(__xludf.DUMMYFUNCTION("""COMPUTED_VALUE"""),"")</f>
        <v/>
      </c>
      <c r="N672" s="89" t="str">
        <f>IFERROR(__xludf.DUMMYFUNCTION("""COMPUTED_VALUE"""),"")</f>
        <v/>
      </c>
      <c r="P672" s="52" t="str">
        <f t="shared" si="22"/>
        <v/>
      </c>
      <c r="R672" s="52" t="str">
        <f t="shared" si="32"/>
        <v/>
      </c>
      <c r="Z672" s="81"/>
      <c r="AA672" s="81"/>
      <c r="AB672" s="81"/>
      <c r="AC672" s="81" t="str">
        <f t="shared" si="5"/>
        <v/>
      </c>
      <c r="AD672" s="82" t="str">
        <f t="shared" si="6"/>
        <v/>
      </c>
    </row>
    <row r="673">
      <c r="A673" s="89"/>
      <c r="B673" s="89"/>
      <c r="C673" s="89"/>
      <c r="D673" s="89"/>
      <c r="E673" s="89"/>
      <c r="F673" s="81"/>
      <c r="G673" s="89"/>
      <c r="H673" s="89"/>
      <c r="I673" s="89"/>
      <c r="J673" s="89" t="str">
        <f t="shared" si="18"/>
        <v/>
      </c>
      <c r="K673" s="89" t="str">
        <f t="shared" si="23"/>
        <v/>
      </c>
      <c r="L673" s="89" t="str">
        <f>IFERROR(__xludf.DUMMYFUNCTION("""COMPUTED_VALUE"""),"")</f>
        <v/>
      </c>
      <c r="M673" s="89" t="str">
        <f>IFERROR(__xludf.DUMMYFUNCTION("""COMPUTED_VALUE"""),"")</f>
        <v/>
      </c>
      <c r="N673" s="89" t="str">
        <f>IFERROR(__xludf.DUMMYFUNCTION("""COMPUTED_VALUE"""),"")</f>
        <v/>
      </c>
      <c r="P673" s="52" t="str">
        <f t="shared" si="22"/>
        <v/>
      </c>
      <c r="R673" s="52" t="str">
        <f t="shared" si="32"/>
        <v/>
      </c>
      <c r="Z673" s="81"/>
      <c r="AA673" s="81"/>
      <c r="AB673" s="81"/>
      <c r="AC673" s="81" t="str">
        <f t="shared" si="5"/>
        <v/>
      </c>
      <c r="AD673" s="82" t="str">
        <f t="shared" si="6"/>
        <v/>
      </c>
    </row>
    <row r="674">
      <c r="A674" s="89"/>
      <c r="B674" s="89"/>
      <c r="C674" s="89"/>
      <c r="D674" s="89"/>
      <c r="E674" s="89"/>
      <c r="F674" s="81"/>
      <c r="G674" s="89"/>
      <c r="H674" s="89"/>
      <c r="I674" s="89"/>
      <c r="J674" s="89" t="str">
        <f t="shared" si="18"/>
        <v/>
      </c>
      <c r="K674" s="89" t="str">
        <f t="shared" si="23"/>
        <v/>
      </c>
      <c r="L674" s="89" t="str">
        <f>IFERROR(__xludf.DUMMYFUNCTION("""COMPUTED_VALUE"""),"")</f>
        <v/>
      </c>
      <c r="M674" s="89" t="str">
        <f>IFERROR(__xludf.DUMMYFUNCTION("""COMPUTED_VALUE"""),"")</f>
        <v/>
      </c>
      <c r="N674" s="89" t="str">
        <f>IFERROR(__xludf.DUMMYFUNCTION("""COMPUTED_VALUE"""),"")</f>
        <v/>
      </c>
      <c r="P674" s="52" t="str">
        <f t="shared" si="22"/>
        <v/>
      </c>
      <c r="R674" s="52" t="str">
        <f t="shared" si="32"/>
        <v/>
      </c>
      <c r="Z674" s="81"/>
      <c r="AA674" s="81"/>
      <c r="AB674" s="81"/>
      <c r="AC674" s="81" t="str">
        <f t="shared" si="5"/>
        <v/>
      </c>
      <c r="AD674" s="82" t="str">
        <f t="shared" si="6"/>
        <v/>
      </c>
    </row>
    <row r="675">
      <c r="A675" s="89"/>
      <c r="B675" s="89"/>
      <c r="C675" s="89"/>
      <c r="D675" s="89"/>
      <c r="E675" s="89"/>
      <c r="F675" s="81"/>
      <c r="G675" s="89"/>
      <c r="H675" s="89"/>
      <c r="I675" s="89"/>
      <c r="J675" s="89" t="str">
        <f t="shared" si="18"/>
        <v/>
      </c>
      <c r="K675" s="89" t="str">
        <f t="shared" si="23"/>
        <v/>
      </c>
      <c r="L675" s="89" t="str">
        <f>IFERROR(__xludf.DUMMYFUNCTION("""COMPUTED_VALUE"""),"")</f>
        <v/>
      </c>
      <c r="M675" s="89" t="str">
        <f>IFERROR(__xludf.DUMMYFUNCTION("""COMPUTED_VALUE"""),"")</f>
        <v/>
      </c>
      <c r="N675" s="89" t="str">
        <f>IFERROR(__xludf.DUMMYFUNCTION("""COMPUTED_VALUE"""),"")</f>
        <v/>
      </c>
      <c r="P675" s="52" t="str">
        <f t="shared" si="22"/>
        <v/>
      </c>
      <c r="R675" s="52" t="str">
        <f t="shared" si="32"/>
        <v/>
      </c>
      <c r="Z675" s="81"/>
      <c r="AA675" s="81"/>
      <c r="AB675" s="81"/>
      <c r="AC675" s="81" t="str">
        <f t="shared" si="5"/>
        <v/>
      </c>
      <c r="AD675" s="82" t="str">
        <f t="shared" si="6"/>
        <v/>
      </c>
    </row>
    <row r="676">
      <c r="A676" s="89"/>
      <c r="B676" s="89"/>
      <c r="C676" s="89"/>
      <c r="D676" s="89"/>
      <c r="E676" s="89"/>
      <c r="F676" s="81"/>
      <c r="G676" s="89"/>
      <c r="H676" s="89"/>
      <c r="I676" s="89"/>
      <c r="J676" s="89" t="str">
        <f t="shared" si="18"/>
        <v/>
      </c>
      <c r="K676" s="89" t="str">
        <f t="shared" si="23"/>
        <v/>
      </c>
      <c r="L676" s="89" t="str">
        <f>IFERROR(__xludf.DUMMYFUNCTION("""COMPUTED_VALUE"""),"")</f>
        <v/>
      </c>
      <c r="M676" s="89" t="str">
        <f>IFERROR(__xludf.DUMMYFUNCTION("""COMPUTED_VALUE"""),"")</f>
        <v/>
      </c>
      <c r="N676" s="89" t="str">
        <f>IFERROR(__xludf.DUMMYFUNCTION("""COMPUTED_VALUE"""),"")</f>
        <v/>
      </c>
      <c r="P676" s="52" t="str">
        <f t="shared" si="22"/>
        <v/>
      </c>
      <c r="R676" s="52" t="str">
        <f t="shared" si="32"/>
        <v/>
      </c>
      <c r="Z676" s="81"/>
      <c r="AA676" s="81"/>
      <c r="AB676" s="81"/>
      <c r="AC676" s="81" t="str">
        <f t="shared" si="5"/>
        <v/>
      </c>
      <c r="AD676" s="82" t="str">
        <f t="shared" si="6"/>
        <v/>
      </c>
    </row>
    <row r="677">
      <c r="A677" s="89"/>
      <c r="B677" s="89"/>
      <c r="C677" s="89"/>
      <c r="D677" s="89"/>
      <c r="E677" s="89"/>
      <c r="F677" s="81"/>
      <c r="G677" s="89"/>
      <c r="H677" s="89"/>
      <c r="I677" s="89"/>
      <c r="J677" s="89" t="str">
        <f t="shared" si="18"/>
        <v/>
      </c>
      <c r="K677" s="89" t="str">
        <f t="shared" si="23"/>
        <v/>
      </c>
      <c r="L677" s="89" t="str">
        <f>IFERROR(__xludf.DUMMYFUNCTION("""COMPUTED_VALUE"""),"")</f>
        <v/>
      </c>
      <c r="M677" s="89" t="str">
        <f>IFERROR(__xludf.DUMMYFUNCTION("""COMPUTED_VALUE"""),"")</f>
        <v/>
      </c>
      <c r="N677" s="89" t="str">
        <f>IFERROR(__xludf.DUMMYFUNCTION("""COMPUTED_VALUE"""),"")</f>
        <v/>
      </c>
      <c r="P677" s="52" t="str">
        <f t="shared" si="22"/>
        <v/>
      </c>
      <c r="R677" s="52" t="str">
        <f t="shared" si="32"/>
        <v/>
      </c>
      <c r="Z677" s="81"/>
      <c r="AA677" s="81"/>
      <c r="AB677" s="81"/>
      <c r="AC677" s="81" t="str">
        <f t="shared" si="5"/>
        <v/>
      </c>
      <c r="AD677" s="82" t="str">
        <f t="shared" si="6"/>
        <v/>
      </c>
    </row>
    <row r="678">
      <c r="A678" s="89"/>
      <c r="B678" s="89"/>
      <c r="C678" s="89"/>
      <c r="D678" s="89"/>
      <c r="E678" s="89"/>
      <c r="F678" s="81"/>
      <c r="G678" s="89"/>
      <c r="H678" s="89"/>
      <c r="I678" s="89"/>
      <c r="J678" s="89" t="str">
        <f t="shared" si="18"/>
        <v/>
      </c>
      <c r="K678" s="89" t="str">
        <f t="shared" si="23"/>
        <v/>
      </c>
      <c r="L678" s="89" t="str">
        <f>IFERROR(__xludf.DUMMYFUNCTION("""COMPUTED_VALUE"""),"")</f>
        <v/>
      </c>
      <c r="M678" s="89" t="str">
        <f>IFERROR(__xludf.DUMMYFUNCTION("""COMPUTED_VALUE"""),"")</f>
        <v/>
      </c>
      <c r="N678" s="89" t="str">
        <f>IFERROR(__xludf.DUMMYFUNCTION("""COMPUTED_VALUE"""),"")</f>
        <v/>
      </c>
      <c r="P678" s="52" t="str">
        <f t="shared" si="22"/>
        <v/>
      </c>
      <c r="R678" s="52" t="str">
        <f t="shared" si="32"/>
        <v/>
      </c>
      <c r="Z678" s="81"/>
      <c r="AA678" s="81"/>
      <c r="AB678" s="81"/>
      <c r="AC678" s="81" t="str">
        <f t="shared" si="5"/>
        <v/>
      </c>
      <c r="AD678" s="82" t="str">
        <f t="shared" si="6"/>
        <v/>
      </c>
    </row>
    <row r="679">
      <c r="A679" s="89"/>
      <c r="B679" s="89"/>
      <c r="C679" s="89"/>
      <c r="D679" s="89"/>
      <c r="E679" s="89"/>
      <c r="F679" s="81"/>
      <c r="G679" s="89"/>
      <c r="H679" s="89"/>
      <c r="I679" s="89"/>
      <c r="J679" s="89" t="str">
        <f t="shared" si="18"/>
        <v/>
      </c>
      <c r="K679" s="89" t="str">
        <f t="shared" si="23"/>
        <v/>
      </c>
      <c r="L679" s="89" t="str">
        <f>IFERROR(__xludf.DUMMYFUNCTION("""COMPUTED_VALUE"""),"")</f>
        <v/>
      </c>
      <c r="M679" s="89" t="str">
        <f>IFERROR(__xludf.DUMMYFUNCTION("""COMPUTED_VALUE"""),"")</f>
        <v/>
      </c>
      <c r="N679" s="89" t="str">
        <f>IFERROR(__xludf.DUMMYFUNCTION("""COMPUTED_VALUE"""),"")</f>
        <v/>
      </c>
      <c r="P679" s="52" t="str">
        <f t="shared" si="22"/>
        <v/>
      </c>
      <c r="R679" s="52" t="str">
        <f t="shared" si="32"/>
        <v/>
      </c>
      <c r="Z679" s="81"/>
      <c r="AA679" s="81"/>
      <c r="AB679" s="81"/>
      <c r="AC679" s="81" t="str">
        <f t="shared" si="5"/>
        <v/>
      </c>
      <c r="AD679" s="82" t="str">
        <f t="shared" si="6"/>
        <v/>
      </c>
    </row>
    <row r="680">
      <c r="A680" s="89"/>
      <c r="B680" s="89"/>
      <c r="C680" s="89"/>
      <c r="D680" s="89"/>
      <c r="E680" s="89"/>
      <c r="F680" s="81"/>
      <c r="G680" s="89"/>
      <c r="H680" s="89"/>
      <c r="I680" s="89"/>
      <c r="J680" s="89" t="str">
        <f t="shared" si="18"/>
        <v/>
      </c>
      <c r="K680" s="89" t="str">
        <f t="shared" si="23"/>
        <v/>
      </c>
      <c r="L680" s="89" t="str">
        <f>IFERROR(__xludf.DUMMYFUNCTION("""COMPUTED_VALUE"""),"")</f>
        <v/>
      </c>
      <c r="M680" s="89" t="str">
        <f>IFERROR(__xludf.DUMMYFUNCTION("""COMPUTED_VALUE"""),"")</f>
        <v/>
      </c>
      <c r="N680" s="89" t="str">
        <f>IFERROR(__xludf.DUMMYFUNCTION("""COMPUTED_VALUE"""),"")</f>
        <v/>
      </c>
      <c r="P680" s="52" t="str">
        <f t="shared" si="22"/>
        <v/>
      </c>
      <c r="R680" s="52" t="str">
        <f t="shared" si="32"/>
        <v/>
      </c>
      <c r="Z680" s="81"/>
      <c r="AA680" s="81"/>
      <c r="AB680" s="81"/>
      <c r="AC680" s="81" t="str">
        <f t="shared" si="5"/>
        <v/>
      </c>
      <c r="AD680" s="82" t="str">
        <f t="shared" si="6"/>
        <v/>
      </c>
    </row>
    <row r="681">
      <c r="A681" s="89"/>
      <c r="B681" s="89"/>
      <c r="C681" s="89"/>
      <c r="D681" s="89"/>
      <c r="E681" s="89"/>
      <c r="F681" s="81"/>
      <c r="G681" s="89"/>
      <c r="H681" s="89"/>
      <c r="I681" s="89"/>
      <c r="J681" s="89" t="str">
        <f t="shared" si="18"/>
        <v/>
      </c>
      <c r="K681" s="89" t="str">
        <f t="shared" si="23"/>
        <v/>
      </c>
      <c r="L681" s="89" t="str">
        <f>IFERROR(__xludf.DUMMYFUNCTION("""COMPUTED_VALUE"""),"")</f>
        <v/>
      </c>
      <c r="M681" s="89" t="str">
        <f>IFERROR(__xludf.DUMMYFUNCTION("""COMPUTED_VALUE"""),"")</f>
        <v/>
      </c>
      <c r="N681" s="89" t="str">
        <f>IFERROR(__xludf.DUMMYFUNCTION("""COMPUTED_VALUE"""),"")</f>
        <v/>
      </c>
      <c r="P681" s="52" t="str">
        <f t="shared" si="22"/>
        <v/>
      </c>
      <c r="R681" s="52" t="str">
        <f t="shared" si="32"/>
        <v/>
      </c>
      <c r="Z681" s="81"/>
      <c r="AA681" s="81"/>
      <c r="AB681" s="81"/>
      <c r="AC681" s="81" t="str">
        <f t="shared" si="5"/>
        <v/>
      </c>
      <c r="AD681" s="82" t="str">
        <f t="shared" si="6"/>
        <v/>
      </c>
    </row>
    <row r="682">
      <c r="A682" s="89"/>
      <c r="B682" s="89"/>
      <c r="C682" s="89"/>
      <c r="D682" s="89"/>
      <c r="E682" s="89"/>
      <c r="F682" s="81"/>
      <c r="G682" s="89"/>
      <c r="H682" s="89"/>
      <c r="I682" s="89"/>
      <c r="J682" s="89" t="str">
        <f t="shared" si="18"/>
        <v/>
      </c>
      <c r="K682" s="89" t="str">
        <f t="shared" si="23"/>
        <v/>
      </c>
      <c r="L682" s="89" t="str">
        <f>IFERROR(__xludf.DUMMYFUNCTION("""COMPUTED_VALUE"""),"")</f>
        <v/>
      </c>
      <c r="M682" s="89" t="str">
        <f>IFERROR(__xludf.DUMMYFUNCTION("""COMPUTED_VALUE"""),"")</f>
        <v/>
      </c>
      <c r="N682" s="89" t="str">
        <f>IFERROR(__xludf.DUMMYFUNCTION("""COMPUTED_VALUE"""),"")</f>
        <v/>
      </c>
      <c r="P682" s="52" t="str">
        <f t="shared" si="22"/>
        <v/>
      </c>
      <c r="R682" s="52" t="str">
        <f t="shared" si="32"/>
        <v/>
      </c>
      <c r="Z682" s="81"/>
      <c r="AA682" s="81"/>
      <c r="AB682" s="81"/>
      <c r="AC682" s="81" t="str">
        <f t="shared" si="5"/>
        <v/>
      </c>
      <c r="AD682" s="82" t="str">
        <f t="shared" si="6"/>
        <v/>
      </c>
    </row>
    <row r="683">
      <c r="A683" s="89"/>
      <c r="B683" s="89"/>
      <c r="C683" s="89"/>
      <c r="D683" s="89"/>
      <c r="E683" s="89"/>
      <c r="F683" s="81"/>
      <c r="G683" s="89"/>
      <c r="H683" s="89"/>
      <c r="I683" s="89"/>
      <c r="J683" s="89" t="str">
        <f t="shared" si="18"/>
        <v/>
      </c>
      <c r="K683" s="89" t="str">
        <f t="shared" si="23"/>
        <v/>
      </c>
      <c r="L683" s="89" t="str">
        <f>IFERROR(__xludf.DUMMYFUNCTION("""COMPUTED_VALUE"""),"")</f>
        <v/>
      </c>
      <c r="M683" s="89" t="str">
        <f>IFERROR(__xludf.DUMMYFUNCTION("""COMPUTED_VALUE"""),"")</f>
        <v/>
      </c>
      <c r="N683" s="89" t="str">
        <f>IFERROR(__xludf.DUMMYFUNCTION("""COMPUTED_VALUE"""),"")</f>
        <v/>
      </c>
      <c r="P683" s="52" t="str">
        <f t="shared" si="22"/>
        <v/>
      </c>
      <c r="R683" s="52" t="str">
        <f t="shared" si="32"/>
        <v/>
      </c>
      <c r="Z683" s="81"/>
      <c r="AA683" s="81"/>
      <c r="AB683" s="81"/>
      <c r="AC683" s="81" t="str">
        <f t="shared" si="5"/>
        <v/>
      </c>
      <c r="AD683" s="82" t="str">
        <f t="shared" si="6"/>
        <v/>
      </c>
    </row>
    <row r="684">
      <c r="A684" s="89"/>
      <c r="B684" s="89"/>
      <c r="C684" s="89"/>
      <c r="D684" s="89"/>
      <c r="E684" s="89"/>
      <c r="F684" s="81"/>
      <c r="G684" s="89"/>
      <c r="H684" s="89"/>
      <c r="I684" s="89"/>
      <c r="J684" s="89" t="str">
        <f t="shared" si="18"/>
        <v/>
      </c>
      <c r="K684" s="89" t="str">
        <f t="shared" si="23"/>
        <v/>
      </c>
      <c r="L684" s="89" t="str">
        <f>IFERROR(__xludf.DUMMYFUNCTION("""COMPUTED_VALUE"""),"")</f>
        <v/>
      </c>
      <c r="M684" s="89" t="str">
        <f>IFERROR(__xludf.DUMMYFUNCTION("""COMPUTED_VALUE"""),"")</f>
        <v/>
      </c>
      <c r="N684" s="89" t="str">
        <f>IFERROR(__xludf.DUMMYFUNCTION("""COMPUTED_VALUE"""),"")</f>
        <v/>
      </c>
      <c r="P684" s="52" t="str">
        <f t="shared" si="22"/>
        <v/>
      </c>
      <c r="R684" s="52" t="str">
        <f t="shared" si="32"/>
        <v/>
      </c>
      <c r="Z684" s="81"/>
      <c r="AA684" s="81"/>
      <c r="AB684" s="81"/>
      <c r="AC684" s="81" t="str">
        <f t="shared" si="5"/>
        <v/>
      </c>
      <c r="AD684" s="82" t="str">
        <f t="shared" si="6"/>
        <v/>
      </c>
    </row>
    <row r="685">
      <c r="A685" s="89"/>
      <c r="B685" s="89"/>
      <c r="C685" s="89"/>
      <c r="D685" s="89"/>
      <c r="E685" s="89"/>
      <c r="F685" s="81"/>
      <c r="G685" s="89"/>
      <c r="H685" s="89"/>
      <c r="I685" s="89"/>
      <c r="J685" s="89" t="str">
        <f t="shared" si="18"/>
        <v/>
      </c>
      <c r="K685" s="89" t="str">
        <f t="shared" si="23"/>
        <v/>
      </c>
      <c r="L685" s="89" t="str">
        <f>IFERROR(__xludf.DUMMYFUNCTION("""COMPUTED_VALUE"""),"")</f>
        <v/>
      </c>
      <c r="M685" s="89" t="str">
        <f>IFERROR(__xludf.DUMMYFUNCTION("""COMPUTED_VALUE"""),"")</f>
        <v/>
      </c>
      <c r="N685" s="89" t="str">
        <f>IFERROR(__xludf.DUMMYFUNCTION("""COMPUTED_VALUE"""),"")</f>
        <v/>
      </c>
      <c r="P685" s="52" t="str">
        <f t="shared" si="22"/>
        <v/>
      </c>
      <c r="R685" s="52" t="str">
        <f t="shared" si="32"/>
        <v/>
      </c>
      <c r="Z685" s="81"/>
      <c r="AA685" s="81"/>
      <c r="AB685" s="81"/>
      <c r="AC685" s="81" t="str">
        <f t="shared" si="5"/>
        <v/>
      </c>
      <c r="AD685" s="82" t="str">
        <f t="shared" si="6"/>
        <v/>
      </c>
    </row>
    <row r="686">
      <c r="A686" s="89"/>
      <c r="B686" s="89"/>
      <c r="C686" s="89"/>
      <c r="D686" s="89"/>
      <c r="E686" s="89"/>
      <c r="F686" s="81"/>
      <c r="G686" s="89"/>
      <c r="H686" s="89"/>
      <c r="I686" s="89"/>
      <c r="J686" s="89" t="str">
        <f t="shared" si="18"/>
        <v/>
      </c>
      <c r="K686" s="89" t="str">
        <f t="shared" si="23"/>
        <v/>
      </c>
      <c r="L686" s="89" t="str">
        <f>IFERROR(__xludf.DUMMYFUNCTION("""COMPUTED_VALUE"""),"")</f>
        <v/>
      </c>
      <c r="M686" s="89" t="str">
        <f>IFERROR(__xludf.DUMMYFUNCTION("""COMPUTED_VALUE"""),"")</f>
        <v/>
      </c>
      <c r="N686" s="89" t="str">
        <f>IFERROR(__xludf.DUMMYFUNCTION("""COMPUTED_VALUE"""),"")</f>
        <v/>
      </c>
      <c r="P686" s="52" t="str">
        <f t="shared" si="22"/>
        <v/>
      </c>
      <c r="R686" s="52" t="str">
        <f t="shared" si="32"/>
        <v/>
      </c>
      <c r="Z686" s="81"/>
      <c r="AA686" s="81"/>
      <c r="AB686" s="81"/>
      <c r="AC686" s="81" t="str">
        <f t="shared" si="5"/>
        <v/>
      </c>
      <c r="AD686" s="82" t="str">
        <f t="shared" si="6"/>
        <v/>
      </c>
    </row>
    <row r="687">
      <c r="A687" s="89"/>
      <c r="B687" s="89"/>
      <c r="C687" s="89"/>
      <c r="D687" s="89"/>
      <c r="E687" s="89"/>
      <c r="F687" s="81"/>
      <c r="G687" s="89"/>
      <c r="H687" s="89"/>
      <c r="I687" s="89"/>
      <c r="J687" s="89" t="str">
        <f t="shared" si="18"/>
        <v/>
      </c>
      <c r="K687" s="89" t="str">
        <f t="shared" si="23"/>
        <v/>
      </c>
      <c r="L687" s="89" t="str">
        <f>IFERROR(__xludf.DUMMYFUNCTION("""COMPUTED_VALUE"""),"")</f>
        <v/>
      </c>
      <c r="M687" s="89" t="str">
        <f>IFERROR(__xludf.DUMMYFUNCTION("""COMPUTED_VALUE"""),"")</f>
        <v/>
      </c>
      <c r="N687" s="89" t="str">
        <f>IFERROR(__xludf.DUMMYFUNCTION("""COMPUTED_VALUE"""),"")</f>
        <v/>
      </c>
      <c r="P687" s="52" t="str">
        <f t="shared" si="22"/>
        <v/>
      </c>
      <c r="R687" s="52" t="str">
        <f t="shared" si="32"/>
        <v/>
      </c>
      <c r="Z687" s="81"/>
      <c r="AA687" s="81"/>
      <c r="AB687" s="81"/>
      <c r="AC687" s="81" t="str">
        <f t="shared" si="5"/>
        <v/>
      </c>
      <c r="AD687" s="82" t="str">
        <f t="shared" si="6"/>
        <v/>
      </c>
    </row>
    <row r="688">
      <c r="A688" s="89"/>
      <c r="B688" s="89"/>
      <c r="C688" s="89"/>
      <c r="D688" s="89"/>
      <c r="E688" s="89"/>
      <c r="F688" s="81"/>
      <c r="G688" s="89"/>
      <c r="H688" s="89"/>
      <c r="I688" s="89"/>
      <c r="J688" s="89" t="str">
        <f t="shared" si="18"/>
        <v/>
      </c>
      <c r="K688" s="89" t="str">
        <f t="shared" si="23"/>
        <v/>
      </c>
      <c r="L688" s="89" t="str">
        <f>IFERROR(__xludf.DUMMYFUNCTION("""COMPUTED_VALUE"""),"")</f>
        <v/>
      </c>
      <c r="M688" s="89" t="str">
        <f>IFERROR(__xludf.DUMMYFUNCTION("""COMPUTED_VALUE"""),"")</f>
        <v/>
      </c>
      <c r="N688" s="89" t="str">
        <f>IFERROR(__xludf.DUMMYFUNCTION("""COMPUTED_VALUE"""),"")</f>
        <v/>
      </c>
      <c r="P688" s="52" t="str">
        <f t="shared" si="22"/>
        <v/>
      </c>
      <c r="R688" s="52" t="str">
        <f t="shared" si="32"/>
        <v/>
      </c>
      <c r="Z688" s="81"/>
      <c r="AA688" s="81"/>
      <c r="AB688" s="81"/>
      <c r="AC688" s="81" t="str">
        <f t="shared" si="5"/>
        <v/>
      </c>
      <c r="AD688" s="82" t="str">
        <f t="shared" si="6"/>
        <v/>
      </c>
    </row>
    <row r="689">
      <c r="A689" s="89"/>
      <c r="B689" s="89"/>
      <c r="C689" s="89"/>
      <c r="D689" s="89"/>
      <c r="E689" s="89"/>
      <c r="F689" s="81"/>
      <c r="G689" s="89"/>
      <c r="H689" s="89"/>
      <c r="I689" s="89"/>
      <c r="J689" s="89" t="str">
        <f t="shared" si="18"/>
        <v/>
      </c>
      <c r="K689" s="89" t="str">
        <f t="shared" si="23"/>
        <v/>
      </c>
      <c r="L689" s="89" t="str">
        <f>IFERROR(__xludf.DUMMYFUNCTION("""COMPUTED_VALUE"""),"")</f>
        <v/>
      </c>
      <c r="M689" s="89" t="str">
        <f>IFERROR(__xludf.DUMMYFUNCTION("""COMPUTED_VALUE"""),"")</f>
        <v/>
      </c>
      <c r="N689" s="89" t="str">
        <f>IFERROR(__xludf.DUMMYFUNCTION("""COMPUTED_VALUE"""),"")</f>
        <v/>
      </c>
      <c r="P689" s="52" t="str">
        <f t="shared" si="22"/>
        <v/>
      </c>
      <c r="R689" s="52" t="str">
        <f t="shared" si="32"/>
        <v/>
      </c>
      <c r="Z689" s="81"/>
      <c r="AA689" s="81"/>
      <c r="AB689" s="81"/>
      <c r="AC689" s="81" t="str">
        <f t="shared" si="5"/>
        <v/>
      </c>
      <c r="AD689" s="82" t="str">
        <f t="shared" si="6"/>
        <v/>
      </c>
    </row>
    <row r="690">
      <c r="A690" s="89"/>
      <c r="B690" s="89"/>
      <c r="C690" s="89"/>
      <c r="D690" s="89"/>
      <c r="E690" s="89"/>
      <c r="F690" s="81"/>
      <c r="G690" s="89"/>
      <c r="H690" s="89"/>
      <c r="I690" s="89"/>
      <c r="J690" s="89" t="str">
        <f t="shared" si="18"/>
        <v/>
      </c>
      <c r="K690" s="89" t="str">
        <f t="shared" si="23"/>
        <v/>
      </c>
      <c r="L690" s="89" t="str">
        <f>IFERROR(__xludf.DUMMYFUNCTION("""COMPUTED_VALUE"""),"")</f>
        <v/>
      </c>
      <c r="M690" s="89" t="str">
        <f>IFERROR(__xludf.DUMMYFUNCTION("""COMPUTED_VALUE"""),"")</f>
        <v/>
      </c>
      <c r="N690" s="89" t="str">
        <f>IFERROR(__xludf.DUMMYFUNCTION("""COMPUTED_VALUE"""),"")</f>
        <v/>
      </c>
      <c r="P690" s="52" t="str">
        <f t="shared" si="22"/>
        <v/>
      </c>
      <c r="R690" s="52" t="str">
        <f t="shared" si="32"/>
        <v/>
      </c>
      <c r="Z690" s="81"/>
      <c r="AA690" s="81"/>
      <c r="AB690" s="81"/>
      <c r="AC690" s="81" t="str">
        <f t="shared" si="5"/>
        <v/>
      </c>
      <c r="AD690" s="82" t="str">
        <f t="shared" si="6"/>
        <v/>
      </c>
    </row>
    <row r="691">
      <c r="A691" s="89"/>
      <c r="B691" s="89"/>
      <c r="C691" s="89"/>
      <c r="D691" s="89"/>
      <c r="E691" s="89"/>
      <c r="F691" s="81"/>
      <c r="G691" s="89"/>
      <c r="H691" s="89"/>
      <c r="I691" s="89"/>
      <c r="J691" s="89" t="str">
        <f t="shared" si="18"/>
        <v/>
      </c>
      <c r="K691" s="89" t="str">
        <f t="shared" si="23"/>
        <v/>
      </c>
      <c r="L691" s="89" t="str">
        <f>IFERROR(__xludf.DUMMYFUNCTION("""COMPUTED_VALUE"""),"")</f>
        <v/>
      </c>
      <c r="M691" s="89" t="str">
        <f>IFERROR(__xludf.DUMMYFUNCTION("""COMPUTED_VALUE"""),"")</f>
        <v/>
      </c>
      <c r="N691" s="89" t="str">
        <f>IFERROR(__xludf.DUMMYFUNCTION("""COMPUTED_VALUE"""),"")</f>
        <v/>
      </c>
      <c r="P691" s="52" t="str">
        <f t="shared" si="22"/>
        <v/>
      </c>
      <c r="R691" s="52" t="str">
        <f t="shared" si="32"/>
        <v/>
      </c>
      <c r="Z691" s="81"/>
      <c r="AA691" s="81"/>
      <c r="AB691" s="81"/>
      <c r="AC691" s="81" t="str">
        <f t="shared" si="5"/>
        <v/>
      </c>
      <c r="AD691" s="82" t="str">
        <f t="shared" si="6"/>
        <v/>
      </c>
    </row>
    <row r="692">
      <c r="A692" s="89"/>
      <c r="B692" s="89"/>
      <c r="C692" s="89"/>
      <c r="D692" s="89"/>
      <c r="E692" s="89"/>
      <c r="F692" s="81"/>
      <c r="G692" s="89"/>
      <c r="H692" s="89"/>
      <c r="I692" s="89"/>
      <c r="J692" s="89" t="str">
        <f t="shared" si="18"/>
        <v/>
      </c>
      <c r="K692" s="89" t="str">
        <f t="shared" si="23"/>
        <v/>
      </c>
      <c r="L692" s="89" t="str">
        <f>IFERROR(__xludf.DUMMYFUNCTION("""COMPUTED_VALUE"""),"")</f>
        <v/>
      </c>
      <c r="M692" s="89" t="str">
        <f>IFERROR(__xludf.DUMMYFUNCTION("""COMPUTED_VALUE"""),"")</f>
        <v/>
      </c>
      <c r="N692" s="89" t="str">
        <f>IFERROR(__xludf.DUMMYFUNCTION("""COMPUTED_VALUE"""),"")</f>
        <v/>
      </c>
      <c r="P692" s="52" t="str">
        <f t="shared" si="22"/>
        <v/>
      </c>
      <c r="R692" s="52" t="str">
        <f t="shared" si="32"/>
        <v/>
      </c>
      <c r="Z692" s="81"/>
      <c r="AA692" s="81"/>
      <c r="AB692" s="81"/>
      <c r="AC692" s="81" t="str">
        <f t="shared" si="5"/>
        <v/>
      </c>
      <c r="AD692" s="82" t="str">
        <f t="shared" si="6"/>
        <v/>
      </c>
    </row>
    <row r="693">
      <c r="A693" s="89"/>
      <c r="B693" s="89"/>
      <c r="C693" s="89"/>
      <c r="D693" s="89"/>
      <c r="E693" s="89"/>
      <c r="F693" s="81"/>
      <c r="G693" s="89"/>
      <c r="H693" s="89"/>
      <c r="I693" s="89"/>
      <c r="J693" s="89" t="str">
        <f t="shared" si="18"/>
        <v/>
      </c>
      <c r="K693" s="89" t="str">
        <f t="shared" si="23"/>
        <v/>
      </c>
      <c r="L693" s="89" t="str">
        <f>IFERROR(__xludf.DUMMYFUNCTION("""COMPUTED_VALUE"""),"")</f>
        <v/>
      </c>
      <c r="M693" s="89" t="str">
        <f>IFERROR(__xludf.DUMMYFUNCTION("""COMPUTED_VALUE"""),"")</f>
        <v/>
      </c>
      <c r="N693" s="89" t="str">
        <f>IFERROR(__xludf.DUMMYFUNCTION("""COMPUTED_VALUE"""),"")</f>
        <v/>
      </c>
      <c r="P693" s="52" t="str">
        <f t="shared" si="22"/>
        <v/>
      </c>
      <c r="R693" s="52" t="str">
        <f t="shared" si="32"/>
        <v/>
      </c>
      <c r="Z693" s="81"/>
      <c r="AA693" s="81"/>
      <c r="AB693" s="81"/>
      <c r="AC693" s="81" t="str">
        <f t="shared" si="5"/>
        <v/>
      </c>
      <c r="AD693" s="82" t="str">
        <f t="shared" si="6"/>
        <v/>
      </c>
    </row>
    <row r="694">
      <c r="A694" s="89"/>
      <c r="B694" s="89"/>
      <c r="C694" s="89"/>
      <c r="D694" s="89"/>
      <c r="E694" s="89"/>
      <c r="F694" s="81"/>
      <c r="G694" s="89"/>
      <c r="H694" s="89"/>
      <c r="I694" s="89"/>
      <c r="J694" s="89" t="str">
        <f t="shared" si="18"/>
        <v/>
      </c>
      <c r="K694" s="89" t="str">
        <f t="shared" si="23"/>
        <v/>
      </c>
      <c r="L694" s="89" t="str">
        <f>IFERROR(__xludf.DUMMYFUNCTION("""COMPUTED_VALUE"""),"")</f>
        <v/>
      </c>
      <c r="M694" s="89" t="str">
        <f>IFERROR(__xludf.DUMMYFUNCTION("""COMPUTED_VALUE"""),"")</f>
        <v/>
      </c>
      <c r="N694" s="89" t="str">
        <f>IFERROR(__xludf.DUMMYFUNCTION("""COMPUTED_VALUE"""),"")</f>
        <v/>
      </c>
      <c r="P694" s="52" t="str">
        <f t="shared" si="22"/>
        <v/>
      </c>
      <c r="R694" s="52" t="str">
        <f t="shared" si="32"/>
        <v/>
      </c>
      <c r="Z694" s="81"/>
      <c r="AA694" s="81"/>
      <c r="AB694" s="81"/>
      <c r="AC694" s="81" t="str">
        <f t="shared" si="5"/>
        <v/>
      </c>
      <c r="AD694" s="82" t="str">
        <f t="shared" si="6"/>
        <v/>
      </c>
    </row>
    <row r="695">
      <c r="A695" s="89"/>
      <c r="B695" s="89"/>
      <c r="C695" s="89"/>
      <c r="D695" s="89"/>
      <c r="E695" s="89"/>
      <c r="F695" s="81"/>
      <c r="G695" s="89"/>
      <c r="H695" s="89"/>
      <c r="I695" s="89"/>
      <c r="J695" s="89" t="str">
        <f t="shared" si="18"/>
        <v/>
      </c>
      <c r="K695" s="89" t="str">
        <f t="shared" si="23"/>
        <v/>
      </c>
      <c r="L695" s="89" t="str">
        <f>IFERROR(__xludf.DUMMYFUNCTION("""COMPUTED_VALUE"""),"")</f>
        <v/>
      </c>
      <c r="M695" s="89" t="str">
        <f>IFERROR(__xludf.DUMMYFUNCTION("""COMPUTED_VALUE"""),"")</f>
        <v/>
      </c>
      <c r="N695" s="89" t="str">
        <f>IFERROR(__xludf.DUMMYFUNCTION("""COMPUTED_VALUE"""),"")</f>
        <v/>
      </c>
      <c r="P695" s="52" t="str">
        <f t="shared" si="22"/>
        <v/>
      </c>
      <c r="R695" s="52" t="str">
        <f t="shared" si="32"/>
        <v/>
      </c>
      <c r="Z695" s="81"/>
      <c r="AA695" s="81"/>
      <c r="AB695" s="81"/>
      <c r="AC695" s="81" t="str">
        <f t="shared" si="5"/>
        <v/>
      </c>
      <c r="AD695" s="82" t="str">
        <f t="shared" si="6"/>
        <v/>
      </c>
    </row>
    <row r="696">
      <c r="A696" s="89"/>
      <c r="B696" s="89"/>
      <c r="C696" s="89"/>
      <c r="D696" s="89"/>
      <c r="E696" s="89"/>
      <c r="F696" s="81"/>
      <c r="G696" s="89"/>
      <c r="H696" s="89"/>
      <c r="I696" s="89"/>
      <c r="J696" s="89" t="str">
        <f t="shared" si="18"/>
        <v/>
      </c>
      <c r="K696" s="89" t="str">
        <f t="shared" si="23"/>
        <v/>
      </c>
      <c r="L696" s="89" t="str">
        <f>IFERROR(__xludf.DUMMYFUNCTION("""COMPUTED_VALUE"""),"")</f>
        <v/>
      </c>
      <c r="M696" s="89" t="str">
        <f>IFERROR(__xludf.DUMMYFUNCTION("""COMPUTED_VALUE"""),"")</f>
        <v/>
      </c>
      <c r="N696" s="89" t="str">
        <f>IFERROR(__xludf.DUMMYFUNCTION("""COMPUTED_VALUE"""),"")</f>
        <v/>
      </c>
      <c r="P696" s="52" t="str">
        <f t="shared" si="22"/>
        <v/>
      </c>
      <c r="R696" s="52" t="str">
        <f t="shared" si="32"/>
        <v/>
      </c>
      <c r="Z696" s="81"/>
      <c r="AA696" s="81"/>
      <c r="AB696" s="81"/>
      <c r="AC696" s="81" t="str">
        <f t="shared" si="5"/>
        <v/>
      </c>
      <c r="AD696" s="82" t="str">
        <f t="shared" si="6"/>
        <v/>
      </c>
    </row>
    <row r="697">
      <c r="A697" s="89"/>
      <c r="B697" s="89"/>
      <c r="C697" s="89"/>
      <c r="D697" s="89"/>
      <c r="E697" s="89"/>
      <c r="F697" s="81"/>
      <c r="G697" s="89"/>
      <c r="H697" s="89"/>
      <c r="I697" s="89"/>
      <c r="J697" s="89" t="str">
        <f t="shared" si="18"/>
        <v/>
      </c>
      <c r="K697" s="89" t="str">
        <f t="shared" si="23"/>
        <v/>
      </c>
      <c r="L697" s="89" t="str">
        <f>IFERROR(__xludf.DUMMYFUNCTION("""COMPUTED_VALUE"""),"")</f>
        <v/>
      </c>
      <c r="M697" s="89" t="str">
        <f>IFERROR(__xludf.DUMMYFUNCTION("""COMPUTED_VALUE"""),"")</f>
        <v/>
      </c>
      <c r="N697" s="89" t="str">
        <f>IFERROR(__xludf.DUMMYFUNCTION("""COMPUTED_VALUE"""),"")</f>
        <v/>
      </c>
      <c r="P697" s="52" t="str">
        <f t="shared" si="22"/>
        <v/>
      </c>
      <c r="R697" s="52" t="str">
        <f t="shared" si="32"/>
        <v/>
      </c>
      <c r="Z697" s="81"/>
      <c r="AA697" s="81"/>
      <c r="AB697" s="81"/>
      <c r="AC697" s="81" t="str">
        <f t="shared" si="5"/>
        <v/>
      </c>
      <c r="AD697" s="82" t="str">
        <f t="shared" si="6"/>
        <v/>
      </c>
    </row>
    <row r="698">
      <c r="A698" s="89"/>
      <c r="B698" s="89"/>
      <c r="C698" s="89"/>
      <c r="D698" s="89"/>
      <c r="E698" s="89"/>
      <c r="F698" s="81"/>
      <c r="G698" s="89"/>
      <c r="H698" s="89"/>
      <c r="I698" s="89"/>
      <c r="J698" s="89" t="str">
        <f t="shared" si="18"/>
        <v/>
      </c>
      <c r="K698" s="89" t="str">
        <f t="shared" si="23"/>
        <v/>
      </c>
      <c r="L698" s="89" t="str">
        <f>IFERROR(__xludf.DUMMYFUNCTION("""COMPUTED_VALUE"""),"")</f>
        <v/>
      </c>
      <c r="M698" s="89" t="str">
        <f>IFERROR(__xludf.DUMMYFUNCTION("""COMPUTED_VALUE"""),"")</f>
        <v/>
      </c>
      <c r="N698" s="89" t="str">
        <f>IFERROR(__xludf.DUMMYFUNCTION("""COMPUTED_VALUE"""),"")</f>
        <v/>
      </c>
      <c r="P698" s="52" t="str">
        <f t="shared" si="22"/>
        <v/>
      </c>
      <c r="R698" s="52" t="str">
        <f t="shared" si="32"/>
        <v/>
      </c>
      <c r="Z698" s="81"/>
      <c r="AA698" s="81"/>
      <c r="AB698" s="81"/>
      <c r="AC698" s="81" t="str">
        <f t="shared" si="5"/>
        <v/>
      </c>
      <c r="AD698" s="82" t="str">
        <f t="shared" si="6"/>
        <v/>
      </c>
    </row>
    <row r="699">
      <c r="A699" s="89"/>
      <c r="B699" s="89"/>
      <c r="C699" s="89"/>
      <c r="D699" s="89"/>
      <c r="E699" s="89"/>
      <c r="F699" s="81"/>
      <c r="G699" s="89"/>
      <c r="H699" s="89"/>
      <c r="I699" s="89"/>
      <c r="J699" s="89" t="str">
        <f t="shared" si="18"/>
        <v/>
      </c>
      <c r="K699" s="89" t="str">
        <f t="shared" si="23"/>
        <v/>
      </c>
      <c r="L699" s="89" t="str">
        <f>IFERROR(__xludf.DUMMYFUNCTION("""COMPUTED_VALUE"""),"")</f>
        <v/>
      </c>
      <c r="M699" s="89" t="str">
        <f>IFERROR(__xludf.DUMMYFUNCTION("""COMPUTED_VALUE"""),"")</f>
        <v/>
      </c>
      <c r="N699" s="89" t="str">
        <f>IFERROR(__xludf.DUMMYFUNCTION("""COMPUTED_VALUE"""),"")</f>
        <v/>
      </c>
      <c r="P699" s="52" t="str">
        <f t="shared" si="22"/>
        <v/>
      </c>
      <c r="R699" s="52" t="str">
        <f t="shared" si="32"/>
        <v/>
      </c>
      <c r="Z699" s="81"/>
      <c r="AA699" s="81"/>
      <c r="AB699" s="81"/>
      <c r="AC699" s="81" t="str">
        <f t="shared" si="5"/>
        <v/>
      </c>
      <c r="AD699" s="82" t="str">
        <f t="shared" si="6"/>
        <v/>
      </c>
    </row>
    <row r="700">
      <c r="A700" s="89"/>
      <c r="B700" s="89"/>
      <c r="C700" s="89"/>
      <c r="D700" s="89"/>
      <c r="E700" s="89"/>
      <c r="F700" s="81"/>
      <c r="G700" s="89"/>
      <c r="H700" s="89"/>
      <c r="I700" s="89"/>
      <c r="J700" s="89" t="str">
        <f t="shared" si="18"/>
        <v/>
      </c>
      <c r="K700" s="89" t="str">
        <f t="shared" si="23"/>
        <v/>
      </c>
      <c r="L700" s="89" t="str">
        <f>IFERROR(__xludf.DUMMYFUNCTION("""COMPUTED_VALUE"""),"")</f>
        <v/>
      </c>
      <c r="M700" s="89" t="str">
        <f>IFERROR(__xludf.DUMMYFUNCTION("""COMPUTED_VALUE"""),"")</f>
        <v/>
      </c>
      <c r="N700" s="89" t="str">
        <f>IFERROR(__xludf.DUMMYFUNCTION("""COMPUTED_VALUE"""),"")</f>
        <v/>
      </c>
      <c r="P700" s="52" t="str">
        <f t="shared" si="22"/>
        <v/>
      </c>
      <c r="R700" s="52" t="str">
        <f t="shared" si="32"/>
        <v/>
      </c>
      <c r="Z700" s="81"/>
      <c r="AA700" s="81"/>
      <c r="AB700" s="81"/>
      <c r="AC700" s="81" t="str">
        <f t="shared" si="5"/>
        <v/>
      </c>
      <c r="AD700" s="82" t="str">
        <f t="shared" si="6"/>
        <v/>
      </c>
    </row>
    <row r="701">
      <c r="A701" s="89"/>
      <c r="B701" s="89"/>
      <c r="C701" s="89"/>
      <c r="D701" s="89"/>
      <c r="E701" s="89"/>
      <c r="F701" s="81"/>
      <c r="G701" s="89"/>
      <c r="H701" s="89"/>
      <c r="I701" s="89"/>
      <c r="J701" s="89" t="str">
        <f t="shared" si="18"/>
        <v/>
      </c>
      <c r="K701" s="89" t="str">
        <f t="shared" si="23"/>
        <v/>
      </c>
      <c r="L701" s="89" t="str">
        <f>IFERROR(__xludf.DUMMYFUNCTION("""COMPUTED_VALUE"""),"")</f>
        <v/>
      </c>
      <c r="M701" s="89" t="str">
        <f>IFERROR(__xludf.DUMMYFUNCTION("""COMPUTED_VALUE"""),"")</f>
        <v/>
      </c>
      <c r="N701" s="89" t="str">
        <f>IFERROR(__xludf.DUMMYFUNCTION("""COMPUTED_VALUE"""),"")</f>
        <v/>
      </c>
      <c r="P701" s="52" t="str">
        <f t="shared" si="22"/>
        <v/>
      </c>
      <c r="R701" s="52" t="str">
        <f t="shared" si="32"/>
        <v/>
      </c>
      <c r="Z701" s="81"/>
      <c r="AA701" s="81"/>
      <c r="AB701" s="81"/>
      <c r="AC701" s="81" t="str">
        <f t="shared" si="5"/>
        <v/>
      </c>
      <c r="AD701" s="82" t="str">
        <f t="shared" si="6"/>
        <v/>
      </c>
    </row>
    <row r="702">
      <c r="A702" s="89"/>
      <c r="B702" s="89"/>
      <c r="C702" s="89"/>
      <c r="D702" s="89"/>
      <c r="E702" s="89"/>
      <c r="F702" s="81"/>
      <c r="G702" s="89"/>
      <c r="H702" s="89"/>
      <c r="I702" s="89"/>
      <c r="J702" s="89" t="str">
        <f t="shared" si="18"/>
        <v/>
      </c>
      <c r="K702" s="89" t="str">
        <f t="shared" si="23"/>
        <v/>
      </c>
      <c r="L702" s="89" t="str">
        <f>IFERROR(__xludf.DUMMYFUNCTION("""COMPUTED_VALUE"""),"")</f>
        <v/>
      </c>
      <c r="M702" s="89" t="str">
        <f>IFERROR(__xludf.DUMMYFUNCTION("""COMPUTED_VALUE"""),"")</f>
        <v/>
      </c>
      <c r="N702" s="89" t="str">
        <f>IFERROR(__xludf.DUMMYFUNCTION("""COMPUTED_VALUE"""),"")</f>
        <v/>
      </c>
      <c r="P702" s="52" t="str">
        <f t="shared" si="22"/>
        <v/>
      </c>
      <c r="R702" s="52" t="str">
        <f t="shared" si="32"/>
        <v/>
      </c>
      <c r="Z702" s="81"/>
      <c r="AA702" s="81"/>
      <c r="AB702" s="81"/>
      <c r="AC702" s="81" t="str">
        <f t="shared" si="5"/>
        <v/>
      </c>
      <c r="AD702" s="82" t="str">
        <f t="shared" si="6"/>
        <v/>
      </c>
    </row>
    <row r="703">
      <c r="A703" s="89"/>
      <c r="B703" s="89"/>
      <c r="C703" s="89"/>
      <c r="D703" s="89"/>
      <c r="E703" s="89"/>
      <c r="F703" s="81"/>
      <c r="G703" s="89"/>
      <c r="H703" s="89"/>
      <c r="I703" s="89"/>
      <c r="J703" s="89" t="str">
        <f t="shared" si="18"/>
        <v/>
      </c>
      <c r="K703" s="89" t="str">
        <f t="shared" si="23"/>
        <v/>
      </c>
      <c r="L703" s="89" t="str">
        <f>IFERROR(__xludf.DUMMYFUNCTION("""COMPUTED_VALUE"""),"")</f>
        <v/>
      </c>
      <c r="M703" s="89" t="str">
        <f>IFERROR(__xludf.DUMMYFUNCTION("""COMPUTED_VALUE"""),"")</f>
        <v/>
      </c>
      <c r="N703" s="89" t="str">
        <f>IFERROR(__xludf.DUMMYFUNCTION("""COMPUTED_VALUE"""),"")</f>
        <v/>
      </c>
      <c r="P703" s="52" t="str">
        <f t="shared" si="22"/>
        <v/>
      </c>
      <c r="R703" s="52" t="str">
        <f t="shared" si="32"/>
        <v/>
      </c>
      <c r="Z703" s="81"/>
      <c r="AA703" s="81"/>
      <c r="AB703" s="81"/>
      <c r="AC703" s="81" t="str">
        <f t="shared" si="5"/>
        <v/>
      </c>
      <c r="AD703" s="82" t="str">
        <f t="shared" si="6"/>
        <v/>
      </c>
    </row>
    <row r="704">
      <c r="A704" s="89"/>
      <c r="B704" s="89"/>
      <c r="C704" s="89"/>
      <c r="D704" s="89"/>
      <c r="E704" s="89"/>
      <c r="F704" s="81"/>
      <c r="G704" s="89"/>
      <c r="H704" s="89"/>
      <c r="I704" s="89"/>
      <c r="J704" s="89" t="str">
        <f t="shared" si="18"/>
        <v/>
      </c>
      <c r="K704" s="89" t="str">
        <f t="shared" si="23"/>
        <v/>
      </c>
      <c r="L704" s="89" t="str">
        <f>IFERROR(__xludf.DUMMYFUNCTION("""COMPUTED_VALUE"""),"")</f>
        <v/>
      </c>
      <c r="M704" s="89" t="str">
        <f>IFERROR(__xludf.DUMMYFUNCTION("""COMPUTED_VALUE"""),"")</f>
        <v/>
      </c>
      <c r="N704" s="89" t="str">
        <f>IFERROR(__xludf.DUMMYFUNCTION("""COMPUTED_VALUE"""),"")</f>
        <v/>
      </c>
      <c r="P704" s="52" t="str">
        <f t="shared" si="22"/>
        <v/>
      </c>
      <c r="R704" s="52" t="str">
        <f t="shared" si="32"/>
        <v/>
      </c>
      <c r="Z704" s="81"/>
      <c r="AA704" s="81"/>
      <c r="AB704" s="81"/>
      <c r="AC704" s="81" t="str">
        <f t="shared" si="5"/>
        <v/>
      </c>
      <c r="AD704" s="82" t="str">
        <f t="shared" si="6"/>
        <v/>
      </c>
    </row>
    <row r="705">
      <c r="A705" s="89"/>
      <c r="B705" s="89"/>
      <c r="C705" s="89"/>
      <c r="D705" s="89"/>
      <c r="E705" s="89"/>
      <c r="F705" s="81"/>
      <c r="G705" s="89"/>
      <c r="H705" s="89"/>
      <c r="I705" s="89"/>
      <c r="J705" s="89" t="str">
        <f t="shared" si="18"/>
        <v/>
      </c>
      <c r="K705" s="89" t="str">
        <f t="shared" si="23"/>
        <v/>
      </c>
      <c r="L705" s="89" t="str">
        <f>IFERROR(__xludf.DUMMYFUNCTION("""COMPUTED_VALUE"""),"")</f>
        <v/>
      </c>
      <c r="M705" s="89" t="str">
        <f>IFERROR(__xludf.DUMMYFUNCTION("""COMPUTED_VALUE"""),"")</f>
        <v/>
      </c>
      <c r="N705" s="89" t="str">
        <f>IFERROR(__xludf.DUMMYFUNCTION("""COMPUTED_VALUE"""),"")</f>
        <v/>
      </c>
      <c r="P705" s="52" t="str">
        <f t="shared" si="22"/>
        <v/>
      </c>
      <c r="R705" s="52" t="str">
        <f t="shared" si="32"/>
        <v/>
      </c>
      <c r="Z705" s="81"/>
      <c r="AA705" s="81"/>
      <c r="AB705" s="81"/>
      <c r="AC705" s="81" t="str">
        <f t="shared" si="5"/>
        <v/>
      </c>
      <c r="AD705" s="82" t="str">
        <f t="shared" si="6"/>
        <v/>
      </c>
    </row>
    <row r="706">
      <c r="A706" s="89"/>
      <c r="B706" s="89"/>
      <c r="C706" s="89"/>
      <c r="D706" s="89"/>
      <c r="E706" s="89"/>
      <c r="F706" s="81"/>
      <c r="G706" s="89"/>
      <c r="H706" s="89"/>
      <c r="I706" s="89"/>
      <c r="J706" s="89" t="str">
        <f t="shared" si="18"/>
        <v/>
      </c>
      <c r="K706" s="89" t="str">
        <f t="shared" si="23"/>
        <v/>
      </c>
      <c r="L706" s="89" t="str">
        <f>IFERROR(__xludf.DUMMYFUNCTION("""COMPUTED_VALUE"""),"")</f>
        <v/>
      </c>
      <c r="M706" s="89" t="str">
        <f>IFERROR(__xludf.DUMMYFUNCTION("""COMPUTED_VALUE"""),"")</f>
        <v/>
      </c>
      <c r="N706" s="89" t="str">
        <f>IFERROR(__xludf.DUMMYFUNCTION("""COMPUTED_VALUE"""),"")</f>
        <v/>
      </c>
      <c r="P706" s="52" t="str">
        <f t="shared" si="22"/>
        <v/>
      </c>
      <c r="R706" s="52" t="str">
        <f t="shared" si="32"/>
        <v/>
      </c>
      <c r="Z706" s="81"/>
      <c r="AA706" s="81"/>
      <c r="AB706" s="81"/>
      <c r="AC706" s="81" t="str">
        <f t="shared" si="5"/>
        <v/>
      </c>
      <c r="AD706" s="82" t="str">
        <f t="shared" si="6"/>
        <v/>
      </c>
    </row>
    <row r="707">
      <c r="A707" s="89"/>
      <c r="B707" s="89"/>
      <c r="C707" s="89"/>
      <c r="D707" s="89"/>
      <c r="E707" s="89"/>
      <c r="F707" s="81"/>
      <c r="G707" s="89"/>
      <c r="H707" s="89"/>
      <c r="I707" s="89"/>
      <c r="J707" s="89" t="str">
        <f t="shared" si="18"/>
        <v/>
      </c>
      <c r="K707" s="89" t="str">
        <f t="shared" si="23"/>
        <v/>
      </c>
      <c r="L707" s="89" t="str">
        <f>IFERROR(__xludf.DUMMYFUNCTION("""COMPUTED_VALUE"""),"")</f>
        <v/>
      </c>
      <c r="M707" s="89" t="str">
        <f>IFERROR(__xludf.DUMMYFUNCTION("""COMPUTED_VALUE"""),"")</f>
        <v/>
      </c>
      <c r="N707" s="89" t="str">
        <f>IFERROR(__xludf.DUMMYFUNCTION("""COMPUTED_VALUE"""),"")</f>
        <v/>
      </c>
      <c r="P707" s="52" t="str">
        <f t="shared" si="22"/>
        <v/>
      </c>
      <c r="R707" s="52" t="str">
        <f t="shared" si="32"/>
        <v/>
      </c>
      <c r="Z707" s="81"/>
      <c r="AA707" s="81"/>
      <c r="AB707" s="81"/>
      <c r="AC707" s="81" t="str">
        <f t="shared" si="5"/>
        <v/>
      </c>
      <c r="AD707" s="82" t="str">
        <f t="shared" si="6"/>
        <v/>
      </c>
    </row>
    <row r="708">
      <c r="A708" s="89"/>
      <c r="B708" s="89"/>
      <c r="C708" s="89"/>
      <c r="D708" s="89"/>
      <c r="E708" s="89"/>
      <c r="F708" s="81"/>
      <c r="G708" s="89"/>
      <c r="H708" s="89"/>
      <c r="I708" s="89"/>
      <c r="J708" s="89" t="str">
        <f t="shared" si="18"/>
        <v/>
      </c>
      <c r="K708" s="89" t="str">
        <f t="shared" si="23"/>
        <v/>
      </c>
      <c r="L708" s="89" t="str">
        <f>IFERROR(__xludf.DUMMYFUNCTION("""COMPUTED_VALUE"""),"")</f>
        <v/>
      </c>
      <c r="M708" s="89" t="str">
        <f>IFERROR(__xludf.DUMMYFUNCTION("""COMPUTED_VALUE"""),"")</f>
        <v/>
      </c>
      <c r="N708" s="89" t="str">
        <f>IFERROR(__xludf.DUMMYFUNCTION("""COMPUTED_VALUE"""),"")</f>
        <v/>
      </c>
      <c r="P708" s="52" t="str">
        <f t="shared" si="22"/>
        <v/>
      </c>
      <c r="R708" s="52" t="str">
        <f t="shared" si="32"/>
        <v/>
      </c>
      <c r="Z708" s="81"/>
      <c r="AA708" s="81"/>
      <c r="AB708" s="81"/>
      <c r="AC708" s="81" t="str">
        <f t="shared" si="5"/>
        <v/>
      </c>
      <c r="AD708" s="82" t="str">
        <f t="shared" si="6"/>
        <v/>
      </c>
    </row>
    <row r="709">
      <c r="A709" s="89"/>
      <c r="B709" s="89"/>
      <c r="C709" s="89"/>
      <c r="D709" s="89"/>
      <c r="E709" s="89"/>
      <c r="F709" s="81"/>
      <c r="G709" s="89"/>
      <c r="H709" s="89"/>
      <c r="I709" s="89"/>
      <c r="J709" s="89" t="str">
        <f t="shared" si="18"/>
        <v/>
      </c>
      <c r="K709" s="89" t="str">
        <f t="shared" si="23"/>
        <v/>
      </c>
      <c r="L709" s="89" t="str">
        <f>IFERROR(__xludf.DUMMYFUNCTION("""COMPUTED_VALUE"""),"")</f>
        <v/>
      </c>
      <c r="M709" s="89" t="str">
        <f>IFERROR(__xludf.DUMMYFUNCTION("""COMPUTED_VALUE"""),"")</f>
        <v/>
      </c>
      <c r="N709" s="89" t="str">
        <f>IFERROR(__xludf.DUMMYFUNCTION("""COMPUTED_VALUE"""),"")</f>
        <v/>
      </c>
      <c r="P709" s="52" t="str">
        <f t="shared" si="22"/>
        <v/>
      </c>
      <c r="R709" s="52" t="str">
        <f t="shared" si="32"/>
        <v/>
      </c>
      <c r="Z709" s="81"/>
      <c r="AA709" s="81"/>
      <c r="AB709" s="81"/>
      <c r="AC709" s="81" t="str">
        <f t="shared" si="5"/>
        <v/>
      </c>
      <c r="AD709" s="82" t="str">
        <f t="shared" si="6"/>
        <v/>
      </c>
    </row>
    <row r="710">
      <c r="A710" s="89"/>
      <c r="B710" s="89"/>
      <c r="C710" s="89"/>
      <c r="D710" s="89"/>
      <c r="E710" s="89"/>
      <c r="F710" s="81"/>
      <c r="G710" s="89"/>
      <c r="H710" s="89"/>
      <c r="I710" s="89"/>
      <c r="J710" s="89" t="str">
        <f t="shared" si="18"/>
        <v/>
      </c>
      <c r="K710" s="89" t="str">
        <f t="shared" si="23"/>
        <v/>
      </c>
      <c r="L710" s="89" t="str">
        <f>IFERROR(__xludf.DUMMYFUNCTION("""COMPUTED_VALUE"""),"")</f>
        <v/>
      </c>
      <c r="M710" s="89" t="str">
        <f>IFERROR(__xludf.DUMMYFUNCTION("""COMPUTED_VALUE"""),"")</f>
        <v/>
      </c>
      <c r="N710" s="89" t="str">
        <f>IFERROR(__xludf.DUMMYFUNCTION("""COMPUTED_VALUE"""),"")</f>
        <v/>
      </c>
      <c r="P710" s="52" t="str">
        <f t="shared" si="22"/>
        <v/>
      </c>
      <c r="R710" s="52" t="str">
        <f t="shared" si="32"/>
        <v/>
      </c>
      <c r="Z710" s="81"/>
      <c r="AA710" s="81"/>
      <c r="AB710" s="81"/>
      <c r="AC710" s="81" t="str">
        <f t="shared" si="5"/>
        <v/>
      </c>
      <c r="AD710" s="82" t="str">
        <f t="shared" si="6"/>
        <v/>
      </c>
    </row>
    <row r="711">
      <c r="A711" s="89"/>
      <c r="B711" s="89"/>
      <c r="C711" s="89"/>
      <c r="D711" s="89"/>
      <c r="E711" s="89"/>
      <c r="F711" s="81"/>
      <c r="G711" s="89"/>
      <c r="H711" s="89"/>
      <c r="I711" s="89"/>
      <c r="J711" s="89" t="str">
        <f t="shared" si="18"/>
        <v/>
      </c>
      <c r="K711" s="89" t="str">
        <f t="shared" si="23"/>
        <v/>
      </c>
      <c r="L711" s="89" t="str">
        <f>IFERROR(__xludf.DUMMYFUNCTION("""COMPUTED_VALUE"""),"")</f>
        <v/>
      </c>
      <c r="M711" s="89" t="str">
        <f>IFERROR(__xludf.DUMMYFUNCTION("""COMPUTED_VALUE"""),"")</f>
        <v/>
      </c>
      <c r="N711" s="89" t="str">
        <f>IFERROR(__xludf.DUMMYFUNCTION("""COMPUTED_VALUE"""),"")</f>
        <v/>
      </c>
      <c r="P711" s="52" t="str">
        <f t="shared" si="22"/>
        <v/>
      </c>
      <c r="R711" s="52" t="str">
        <f t="shared" si="32"/>
        <v/>
      </c>
      <c r="Z711" s="81"/>
      <c r="AA711" s="81"/>
      <c r="AB711" s="81"/>
      <c r="AC711" s="81" t="str">
        <f t="shared" si="5"/>
        <v/>
      </c>
      <c r="AD711" s="82" t="str">
        <f t="shared" si="6"/>
        <v/>
      </c>
    </row>
    <row r="712">
      <c r="A712" s="89"/>
      <c r="B712" s="89"/>
      <c r="C712" s="89"/>
      <c r="D712" s="89"/>
      <c r="E712" s="89"/>
      <c r="F712" s="81"/>
      <c r="G712" s="89"/>
      <c r="H712" s="89"/>
      <c r="I712" s="89"/>
      <c r="J712" s="89" t="str">
        <f t="shared" si="18"/>
        <v/>
      </c>
      <c r="K712" s="89" t="str">
        <f t="shared" si="23"/>
        <v/>
      </c>
      <c r="L712" s="89" t="str">
        <f>IFERROR(__xludf.DUMMYFUNCTION("""COMPUTED_VALUE"""),"")</f>
        <v/>
      </c>
      <c r="M712" s="89" t="str">
        <f>IFERROR(__xludf.DUMMYFUNCTION("""COMPUTED_VALUE"""),"")</f>
        <v/>
      </c>
      <c r="N712" s="89" t="str">
        <f>IFERROR(__xludf.DUMMYFUNCTION("""COMPUTED_VALUE"""),"")</f>
        <v/>
      </c>
      <c r="P712" s="52" t="str">
        <f t="shared" si="22"/>
        <v/>
      </c>
      <c r="R712" s="52" t="str">
        <f t="shared" si="32"/>
        <v/>
      </c>
      <c r="Z712" s="81"/>
      <c r="AA712" s="81"/>
      <c r="AB712" s="81"/>
      <c r="AC712" s="81" t="str">
        <f t="shared" si="5"/>
        <v/>
      </c>
      <c r="AD712" s="82" t="str">
        <f t="shared" si="6"/>
        <v/>
      </c>
    </row>
    <row r="713">
      <c r="A713" s="89"/>
      <c r="B713" s="89"/>
      <c r="C713" s="89"/>
      <c r="D713" s="89"/>
      <c r="E713" s="89"/>
      <c r="F713" s="81"/>
      <c r="G713" s="89"/>
      <c r="H713" s="89"/>
      <c r="I713" s="89"/>
      <c r="J713" s="89" t="str">
        <f t="shared" si="18"/>
        <v/>
      </c>
      <c r="K713" s="89" t="str">
        <f t="shared" si="23"/>
        <v/>
      </c>
      <c r="L713" s="89" t="str">
        <f>IFERROR(__xludf.DUMMYFUNCTION("""COMPUTED_VALUE"""),"")</f>
        <v/>
      </c>
      <c r="M713" s="89" t="str">
        <f>IFERROR(__xludf.DUMMYFUNCTION("""COMPUTED_VALUE"""),"")</f>
        <v/>
      </c>
      <c r="N713" s="89" t="str">
        <f>IFERROR(__xludf.DUMMYFUNCTION("""COMPUTED_VALUE"""),"")</f>
        <v/>
      </c>
      <c r="P713" s="52" t="str">
        <f t="shared" si="22"/>
        <v/>
      </c>
      <c r="R713" s="52" t="str">
        <f t="shared" si="32"/>
        <v/>
      </c>
      <c r="Z713" s="81"/>
      <c r="AA713" s="81"/>
      <c r="AB713" s="81"/>
      <c r="AC713" s="81" t="str">
        <f t="shared" si="5"/>
        <v/>
      </c>
      <c r="AD713" s="82" t="str">
        <f t="shared" si="6"/>
        <v/>
      </c>
    </row>
    <row r="714">
      <c r="A714" s="89"/>
      <c r="B714" s="89"/>
      <c r="C714" s="89"/>
      <c r="D714" s="89"/>
      <c r="E714" s="89"/>
      <c r="F714" s="81"/>
      <c r="G714" s="89"/>
      <c r="H714" s="89"/>
      <c r="I714" s="89"/>
      <c r="J714" s="89" t="str">
        <f t="shared" si="18"/>
        <v/>
      </c>
      <c r="K714" s="89" t="str">
        <f t="shared" si="23"/>
        <v/>
      </c>
      <c r="L714" s="89" t="str">
        <f>IFERROR(__xludf.DUMMYFUNCTION("""COMPUTED_VALUE"""),"")</f>
        <v/>
      </c>
      <c r="M714" s="89" t="str">
        <f>IFERROR(__xludf.DUMMYFUNCTION("""COMPUTED_VALUE"""),"")</f>
        <v/>
      </c>
      <c r="N714" s="89" t="str">
        <f>IFERROR(__xludf.DUMMYFUNCTION("""COMPUTED_VALUE"""),"")</f>
        <v/>
      </c>
      <c r="P714" s="52" t="str">
        <f t="shared" si="22"/>
        <v/>
      </c>
      <c r="R714" s="52" t="str">
        <f t="shared" si="32"/>
        <v/>
      </c>
      <c r="Z714" s="81"/>
      <c r="AA714" s="81"/>
      <c r="AB714" s="81"/>
      <c r="AC714" s="81" t="str">
        <f t="shared" si="5"/>
        <v/>
      </c>
      <c r="AD714" s="82" t="str">
        <f t="shared" si="6"/>
        <v/>
      </c>
    </row>
    <row r="715">
      <c r="A715" s="89"/>
      <c r="B715" s="89"/>
      <c r="C715" s="89"/>
      <c r="D715" s="89"/>
      <c r="E715" s="89"/>
      <c r="F715" s="81"/>
      <c r="G715" s="89"/>
      <c r="H715" s="89"/>
      <c r="I715" s="89"/>
      <c r="J715" s="89" t="str">
        <f t="shared" si="18"/>
        <v/>
      </c>
      <c r="K715" s="89" t="str">
        <f t="shared" si="23"/>
        <v/>
      </c>
      <c r="L715" s="89" t="str">
        <f>IFERROR(__xludf.DUMMYFUNCTION("""COMPUTED_VALUE"""),"")</f>
        <v/>
      </c>
      <c r="M715" s="89" t="str">
        <f>IFERROR(__xludf.DUMMYFUNCTION("""COMPUTED_VALUE"""),"")</f>
        <v/>
      </c>
      <c r="N715" s="89" t="str">
        <f>IFERROR(__xludf.DUMMYFUNCTION("""COMPUTED_VALUE"""),"")</f>
        <v/>
      </c>
      <c r="P715" s="52" t="str">
        <f t="shared" si="22"/>
        <v/>
      </c>
      <c r="R715" s="52" t="str">
        <f t="shared" si="32"/>
        <v/>
      </c>
      <c r="Z715" s="81"/>
      <c r="AA715" s="81"/>
      <c r="AB715" s="81"/>
      <c r="AC715" s="81" t="str">
        <f t="shared" si="5"/>
        <v/>
      </c>
      <c r="AD715" s="82" t="str">
        <f t="shared" si="6"/>
        <v/>
      </c>
    </row>
    <row r="716">
      <c r="A716" s="89"/>
      <c r="B716" s="89"/>
      <c r="C716" s="89"/>
      <c r="D716" s="89"/>
      <c r="E716" s="89"/>
      <c r="F716" s="81"/>
      <c r="G716" s="89"/>
      <c r="H716" s="89"/>
      <c r="I716" s="89"/>
      <c r="J716" s="89" t="str">
        <f t="shared" si="18"/>
        <v/>
      </c>
      <c r="K716" s="89" t="str">
        <f t="shared" si="23"/>
        <v/>
      </c>
      <c r="L716" s="89" t="str">
        <f>IFERROR(__xludf.DUMMYFUNCTION("""COMPUTED_VALUE"""),"")</f>
        <v/>
      </c>
      <c r="M716" s="89" t="str">
        <f>IFERROR(__xludf.DUMMYFUNCTION("""COMPUTED_VALUE"""),"")</f>
        <v/>
      </c>
      <c r="N716" s="89" t="str">
        <f>IFERROR(__xludf.DUMMYFUNCTION("""COMPUTED_VALUE"""),"")</f>
        <v/>
      </c>
      <c r="P716" s="52" t="str">
        <f t="shared" si="22"/>
        <v/>
      </c>
      <c r="R716" s="52" t="str">
        <f t="shared" si="32"/>
        <v/>
      </c>
      <c r="Z716" s="81"/>
      <c r="AA716" s="81"/>
      <c r="AB716" s="81"/>
      <c r="AC716" s="81" t="str">
        <f t="shared" si="5"/>
        <v/>
      </c>
      <c r="AD716" s="82" t="str">
        <f t="shared" si="6"/>
        <v/>
      </c>
    </row>
    <row r="717">
      <c r="A717" s="89"/>
      <c r="B717" s="89"/>
      <c r="C717" s="89"/>
      <c r="D717" s="89"/>
      <c r="E717" s="89"/>
      <c r="F717" s="81"/>
      <c r="G717" s="89"/>
      <c r="H717" s="89"/>
      <c r="I717" s="89"/>
      <c r="J717" s="89" t="str">
        <f t="shared" si="18"/>
        <v/>
      </c>
      <c r="K717" s="89" t="str">
        <f t="shared" si="23"/>
        <v/>
      </c>
      <c r="L717" s="89" t="str">
        <f>IFERROR(__xludf.DUMMYFUNCTION("""COMPUTED_VALUE"""),"")</f>
        <v/>
      </c>
      <c r="M717" s="89" t="str">
        <f>IFERROR(__xludf.DUMMYFUNCTION("""COMPUTED_VALUE"""),"")</f>
        <v/>
      </c>
      <c r="N717" s="89" t="str">
        <f>IFERROR(__xludf.DUMMYFUNCTION("""COMPUTED_VALUE"""),"")</f>
        <v/>
      </c>
      <c r="P717" s="52" t="str">
        <f t="shared" si="22"/>
        <v/>
      </c>
      <c r="R717" s="52" t="str">
        <f t="shared" si="32"/>
        <v/>
      </c>
      <c r="Z717" s="81"/>
      <c r="AA717" s="81"/>
      <c r="AB717" s="81"/>
      <c r="AC717" s="81" t="str">
        <f t="shared" si="5"/>
        <v/>
      </c>
      <c r="AD717" s="82" t="str">
        <f t="shared" si="6"/>
        <v/>
      </c>
    </row>
    <row r="718">
      <c r="A718" s="89"/>
      <c r="B718" s="89"/>
      <c r="C718" s="89"/>
      <c r="D718" s="89"/>
      <c r="E718" s="89"/>
      <c r="F718" s="81"/>
      <c r="G718" s="89"/>
      <c r="H718" s="89"/>
      <c r="I718" s="89"/>
      <c r="J718" s="89" t="str">
        <f t="shared" si="18"/>
        <v/>
      </c>
      <c r="K718" s="89" t="str">
        <f t="shared" si="23"/>
        <v/>
      </c>
      <c r="L718" s="89" t="str">
        <f>IFERROR(__xludf.DUMMYFUNCTION("""COMPUTED_VALUE"""),"")</f>
        <v/>
      </c>
      <c r="M718" s="89" t="str">
        <f>IFERROR(__xludf.DUMMYFUNCTION("""COMPUTED_VALUE"""),"")</f>
        <v/>
      </c>
      <c r="N718" s="89" t="str">
        <f>IFERROR(__xludf.DUMMYFUNCTION("""COMPUTED_VALUE"""),"")</f>
        <v/>
      </c>
      <c r="P718" s="52" t="str">
        <f t="shared" si="22"/>
        <v/>
      </c>
      <c r="R718" s="52" t="str">
        <f t="shared" si="32"/>
        <v/>
      </c>
      <c r="Z718" s="81"/>
      <c r="AA718" s="81"/>
      <c r="AB718" s="81"/>
      <c r="AC718" s="81" t="str">
        <f t="shared" si="5"/>
        <v/>
      </c>
      <c r="AD718" s="82" t="str">
        <f t="shared" si="6"/>
        <v/>
      </c>
    </row>
    <row r="719">
      <c r="A719" s="89"/>
      <c r="B719" s="89"/>
      <c r="C719" s="89"/>
      <c r="D719" s="89"/>
      <c r="E719" s="89"/>
      <c r="F719" s="81"/>
      <c r="G719" s="89"/>
      <c r="H719" s="89"/>
      <c r="I719" s="89"/>
      <c r="J719" s="89" t="str">
        <f t="shared" si="18"/>
        <v/>
      </c>
      <c r="K719" s="89" t="str">
        <f t="shared" si="23"/>
        <v/>
      </c>
      <c r="L719" s="89" t="str">
        <f>IFERROR(__xludf.DUMMYFUNCTION("""COMPUTED_VALUE"""),"")</f>
        <v/>
      </c>
      <c r="M719" s="89" t="str">
        <f>IFERROR(__xludf.DUMMYFUNCTION("""COMPUTED_VALUE"""),"")</f>
        <v/>
      </c>
      <c r="N719" s="89" t="str">
        <f>IFERROR(__xludf.DUMMYFUNCTION("""COMPUTED_VALUE"""),"")</f>
        <v/>
      </c>
      <c r="P719" s="52" t="str">
        <f t="shared" si="22"/>
        <v/>
      </c>
      <c r="R719" s="52" t="str">
        <f t="shared" si="32"/>
        <v/>
      </c>
      <c r="Z719" s="81"/>
      <c r="AA719" s="81"/>
      <c r="AB719" s="81"/>
      <c r="AC719" s="81" t="str">
        <f t="shared" si="5"/>
        <v/>
      </c>
      <c r="AD719" s="82" t="str">
        <f t="shared" si="6"/>
        <v/>
      </c>
    </row>
    <row r="720">
      <c r="A720" s="89"/>
      <c r="B720" s="89"/>
      <c r="C720" s="89"/>
      <c r="D720" s="89"/>
      <c r="E720" s="89"/>
      <c r="F720" s="81"/>
      <c r="G720" s="89"/>
      <c r="H720" s="89"/>
      <c r="I720" s="89"/>
      <c r="J720" s="89" t="str">
        <f t="shared" si="18"/>
        <v/>
      </c>
      <c r="K720" s="89" t="str">
        <f t="shared" si="23"/>
        <v/>
      </c>
      <c r="L720" s="89" t="str">
        <f>IFERROR(__xludf.DUMMYFUNCTION("""COMPUTED_VALUE"""),"")</f>
        <v/>
      </c>
      <c r="M720" s="89" t="str">
        <f>IFERROR(__xludf.DUMMYFUNCTION("""COMPUTED_VALUE"""),"")</f>
        <v/>
      </c>
      <c r="N720" s="89" t="str">
        <f>IFERROR(__xludf.DUMMYFUNCTION("""COMPUTED_VALUE"""),"")</f>
        <v/>
      </c>
      <c r="P720" s="52" t="str">
        <f t="shared" si="22"/>
        <v/>
      </c>
      <c r="R720" s="52" t="str">
        <f t="shared" si="32"/>
        <v/>
      </c>
      <c r="Z720" s="81"/>
      <c r="AA720" s="81"/>
      <c r="AB720" s="81"/>
      <c r="AC720" s="81" t="str">
        <f t="shared" si="5"/>
        <v/>
      </c>
      <c r="AD720" s="82" t="str">
        <f t="shared" si="6"/>
        <v/>
      </c>
    </row>
    <row r="721">
      <c r="A721" s="89"/>
      <c r="B721" s="89"/>
      <c r="C721" s="89"/>
      <c r="D721" s="89"/>
      <c r="E721" s="89"/>
      <c r="F721" s="81"/>
      <c r="G721" s="89"/>
      <c r="H721" s="89"/>
      <c r="I721" s="89"/>
      <c r="J721" s="89" t="str">
        <f t="shared" si="18"/>
        <v/>
      </c>
      <c r="K721" s="89" t="str">
        <f t="shared" si="23"/>
        <v/>
      </c>
      <c r="L721" s="89" t="str">
        <f>IFERROR(__xludf.DUMMYFUNCTION("""COMPUTED_VALUE"""),"")</f>
        <v/>
      </c>
      <c r="M721" s="89" t="str">
        <f>IFERROR(__xludf.DUMMYFUNCTION("""COMPUTED_VALUE"""),"")</f>
        <v/>
      </c>
      <c r="N721" s="89" t="str">
        <f>IFERROR(__xludf.DUMMYFUNCTION("""COMPUTED_VALUE"""),"")</f>
        <v/>
      </c>
      <c r="P721" s="52" t="str">
        <f t="shared" si="22"/>
        <v/>
      </c>
      <c r="R721" s="52" t="str">
        <f t="shared" si="32"/>
        <v/>
      </c>
      <c r="Z721" s="81"/>
      <c r="AA721" s="81"/>
      <c r="AB721" s="81"/>
      <c r="AC721" s="81" t="str">
        <f t="shared" si="5"/>
        <v/>
      </c>
      <c r="AD721" s="82" t="str">
        <f t="shared" si="6"/>
        <v/>
      </c>
    </row>
    <row r="722">
      <c r="A722" s="89"/>
      <c r="B722" s="89"/>
      <c r="C722" s="89"/>
      <c r="D722" s="89"/>
      <c r="E722" s="89"/>
      <c r="F722" s="81"/>
      <c r="G722" s="89"/>
      <c r="H722" s="89"/>
      <c r="I722" s="89"/>
      <c r="J722" s="89" t="str">
        <f t="shared" si="18"/>
        <v/>
      </c>
      <c r="K722" s="89" t="str">
        <f t="shared" si="23"/>
        <v/>
      </c>
      <c r="L722" s="89" t="str">
        <f>IFERROR(__xludf.DUMMYFUNCTION("""COMPUTED_VALUE"""),"")</f>
        <v/>
      </c>
      <c r="M722" s="89" t="str">
        <f>IFERROR(__xludf.DUMMYFUNCTION("""COMPUTED_VALUE"""),"")</f>
        <v/>
      </c>
      <c r="N722" s="89" t="str">
        <f>IFERROR(__xludf.DUMMYFUNCTION("""COMPUTED_VALUE"""),"")</f>
        <v/>
      </c>
      <c r="P722" s="52" t="str">
        <f t="shared" si="22"/>
        <v/>
      </c>
      <c r="R722" s="52" t="str">
        <f t="shared" si="32"/>
        <v/>
      </c>
      <c r="Z722" s="81"/>
      <c r="AA722" s="81"/>
      <c r="AB722" s="81"/>
      <c r="AC722" s="81" t="str">
        <f t="shared" si="5"/>
        <v/>
      </c>
      <c r="AD722" s="82" t="str">
        <f t="shared" si="6"/>
        <v/>
      </c>
    </row>
    <row r="723">
      <c r="A723" s="89"/>
      <c r="B723" s="89"/>
      <c r="C723" s="89"/>
      <c r="D723" s="89"/>
      <c r="E723" s="89"/>
      <c r="F723" s="81"/>
      <c r="G723" s="89"/>
      <c r="H723" s="89"/>
      <c r="I723" s="89"/>
      <c r="J723" s="89" t="str">
        <f t="shared" si="18"/>
        <v/>
      </c>
      <c r="K723" s="89" t="str">
        <f t="shared" si="23"/>
        <v/>
      </c>
      <c r="L723" s="89" t="str">
        <f>IFERROR(__xludf.DUMMYFUNCTION("""COMPUTED_VALUE"""),"")</f>
        <v/>
      </c>
      <c r="M723" s="89" t="str">
        <f>IFERROR(__xludf.DUMMYFUNCTION("""COMPUTED_VALUE"""),"")</f>
        <v/>
      </c>
      <c r="N723" s="89" t="str">
        <f>IFERROR(__xludf.DUMMYFUNCTION("""COMPUTED_VALUE"""),"")</f>
        <v/>
      </c>
      <c r="P723" s="52" t="str">
        <f t="shared" si="22"/>
        <v/>
      </c>
      <c r="R723" s="52" t="str">
        <f t="shared" si="32"/>
        <v/>
      </c>
      <c r="Z723" s="81"/>
      <c r="AA723" s="81"/>
      <c r="AB723" s="81"/>
      <c r="AC723" s="81" t="str">
        <f t="shared" si="5"/>
        <v/>
      </c>
      <c r="AD723" s="82" t="str">
        <f t="shared" si="6"/>
        <v/>
      </c>
    </row>
    <row r="724">
      <c r="A724" s="89"/>
      <c r="B724" s="89"/>
      <c r="C724" s="89"/>
      <c r="D724" s="89"/>
      <c r="E724" s="89"/>
      <c r="F724" s="81"/>
      <c r="G724" s="89"/>
      <c r="H724" s="89"/>
      <c r="I724" s="89"/>
      <c r="J724" s="89" t="str">
        <f t="shared" si="18"/>
        <v/>
      </c>
      <c r="K724" s="89" t="str">
        <f t="shared" si="23"/>
        <v/>
      </c>
      <c r="L724" s="89" t="str">
        <f>IFERROR(__xludf.DUMMYFUNCTION("""COMPUTED_VALUE"""),"")</f>
        <v/>
      </c>
      <c r="M724" s="89" t="str">
        <f>IFERROR(__xludf.DUMMYFUNCTION("""COMPUTED_VALUE"""),"")</f>
        <v/>
      </c>
      <c r="N724" s="89" t="str">
        <f>IFERROR(__xludf.DUMMYFUNCTION("""COMPUTED_VALUE"""),"")</f>
        <v/>
      </c>
      <c r="P724" s="52" t="str">
        <f t="shared" si="22"/>
        <v/>
      </c>
      <c r="R724" s="52" t="str">
        <f t="shared" si="32"/>
        <v/>
      </c>
      <c r="Z724" s="81"/>
      <c r="AA724" s="81"/>
      <c r="AB724" s="81"/>
      <c r="AC724" s="81" t="str">
        <f t="shared" si="5"/>
        <v/>
      </c>
      <c r="AD724" s="82" t="str">
        <f t="shared" si="6"/>
        <v/>
      </c>
    </row>
    <row r="725">
      <c r="A725" s="89"/>
      <c r="B725" s="89"/>
      <c r="C725" s="89"/>
      <c r="D725" s="89"/>
      <c r="E725" s="89"/>
      <c r="F725" s="81"/>
      <c r="G725" s="89"/>
      <c r="H725" s="89"/>
      <c r="I725" s="89"/>
      <c r="J725" s="89" t="str">
        <f t="shared" si="18"/>
        <v/>
      </c>
      <c r="K725" s="89" t="str">
        <f t="shared" si="23"/>
        <v/>
      </c>
      <c r="L725" s="89" t="str">
        <f>IFERROR(__xludf.DUMMYFUNCTION("""COMPUTED_VALUE"""),"")</f>
        <v/>
      </c>
      <c r="M725" s="89" t="str">
        <f>IFERROR(__xludf.DUMMYFUNCTION("""COMPUTED_VALUE"""),"")</f>
        <v/>
      </c>
      <c r="N725" s="89" t="str">
        <f>IFERROR(__xludf.DUMMYFUNCTION("""COMPUTED_VALUE"""),"")</f>
        <v/>
      </c>
      <c r="P725" s="52" t="str">
        <f t="shared" si="22"/>
        <v/>
      </c>
      <c r="R725" s="52" t="str">
        <f t="shared" si="32"/>
        <v/>
      </c>
      <c r="Z725" s="81"/>
      <c r="AA725" s="81"/>
      <c r="AB725" s="81"/>
      <c r="AC725" s="81" t="str">
        <f t="shared" si="5"/>
        <v/>
      </c>
      <c r="AD725" s="82" t="str">
        <f t="shared" si="6"/>
        <v/>
      </c>
    </row>
    <row r="726">
      <c r="A726" s="89"/>
      <c r="B726" s="89"/>
      <c r="C726" s="89"/>
      <c r="D726" s="89"/>
      <c r="E726" s="89"/>
      <c r="F726" s="81"/>
      <c r="G726" s="89"/>
      <c r="H726" s="89"/>
      <c r="I726" s="89"/>
      <c r="J726" s="89" t="str">
        <f t="shared" si="18"/>
        <v/>
      </c>
      <c r="K726" s="89" t="str">
        <f t="shared" si="23"/>
        <v/>
      </c>
      <c r="L726" s="89" t="str">
        <f>IFERROR(__xludf.DUMMYFUNCTION("""COMPUTED_VALUE"""),"")</f>
        <v/>
      </c>
      <c r="M726" s="89" t="str">
        <f>IFERROR(__xludf.DUMMYFUNCTION("""COMPUTED_VALUE"""),"")</f>
        <v/>
      </c>
      <c r="N726" s="89" t="str">
        <f>IFERROR(__xludf.DUMMYFUNCTION("""COMPUTED_VALUE"""),"")</f>
        <v/>
      </c>
      <c r="P726" s="52" t="str">
        <f t="shared" si="22"/>
        <v/>
      </c>
      <c r="R726" s="52" t="str">
        <f t="shared" si="32"/>
        <v/>
      </c>
      <c r="Z726" s="81"/>
      <c r="AA726" s="81"/>
      <c r="AB726" s="81"/>
      <c r="AC726" s="81" t="str">
        <f t="shared" si="5"/>
        <v/>
      </c>
      <c r="AD726" s="82" t="str">
        <f t="shared" si="6"/>
        <v/>
      </c>
    </row>
    <row r="727">
      <c r="A727" s="89"/>
      <c r="B727" s="89"/>
      <c r="C727" s="89"/>
      <c r="D727" s="89"/>
      <c r="E727" s="89"/>
      <c r="F727" s="81"/>
      <c r="G727" s="89"/>
      <c r="H727" s="89"/>
      <c r="I727" s="89"/>
      <c r="J727" s="89" t="str">
        <f t="shared" si="18"/>
        <v/>
      </c>
      <c r="K727" s="89" t="str">
        <f t="shared" si="23"/>
        <v/>
      </c>
      <c r="L727" s="89" t="str">
        <f>IFERROR(__xludf.DUMMYFUNCTION("""COMPUTED_VALUE"""),"")</f>
        <v/>
      </c>
      <c r="M727" s="89" t="str">
        <f>IFERROR(__xludf.DUMMYFUNCTION("""COMPUTED_VALUE"""),"")</f>
        <v/>
      </c>
      <c r="N727" s="89" t="str">
        <f>IFERROR(__xludf.DUMMYFUNCTION("""COMPUTED_VALUE"""),"")</f>
        <v/>
      </c>
      <c r="P727" s="52" t="str">
        <f t="shared" si="22"/>
        <v/>
      </c>
      <c r="R727" s="52" t="str">
        <f t="shared" si="32"/>
        <v/>
      </c>
      <c r="Z727" s="81"/>
      <c r="AA727" s="81"/>
      <c r="AB727" s="81"/>
      <c r="AC727" s="81" t="str">
        <f t="shared" si="5"/>
        <v/>
      </c>
      <c r="AD727" s="82" t="str">
        <f t="shared" si="6"/>
        <v/>
      </c>
    </row>
    <row r="728">
      <c r="A728" s="89"/>
      <c r="B728" s="89"/>
      <c r="C728" s="89"/>
      <c r="D728" s="89"/>
      <c r="E728" s="89"/>
      <c r="F728" s="81"/>
      <c r="G728" s="89"/>
      <c r="H728" s="89"/>
      <c r="I728" s="89"/>
      <c r="J728" s="89" t="str">
        <f t="shared" si="18"/>
        <v/>
      </c>
      <c r="K728" s="89" t="str">
        <f t="shared" si="23"/>
        <v/>
      </c>
      <c r="L728" s="89" t="str">
        <f>IFERROR(__xludf.DUMMYFUNCTION("""COMPUTED_VALUE"""),"")</f>
        <v/>
      </c>
      <c r="M728" s="89" t="str">
        <f>IFERROR(__xludf.DUMMYFUNCTION("""COMPUTED_VALUE"""),"")</f>
        <v/>
      </c>
      <c r="N728" s="89" t="str">
        <f>IFERROR(__xludf.DUMMYFUNCTION("""COMPUTED_VALUE"""),"")</f>
        <v/>
      </c>
      <c r="P728" s="52" t="str">
        <f t="shared" si="22"/>
        <v/>
      </c>
      <c r="R728" s="52" t="str">
        <f t="shared" si="32"/>
        <v/>
      </c>
      <c r="Z728" s="81"/>
      <c r="AA728" s="81"/>
      <c r="AB728" s="81"/>
      <c r="AC728" s="81" t="str">
        <f t="shared" si="5"/>
        <v/>
      </c>
      <c r="AD728" s="82" t="str">
        <f t="shared" si="6"/>
        <v/>
      </c>
    </row>
    <row r="729">
      <c r="A729" s="89"/>
      <c r="B729" s="89"/>
      <c r="C729" s="89"/>
      <c r="D729" s="89"/>
      <c r="E729" s="89"/>
      <c r="F729" s="81"/>
      <c r="G729" s="89"/>
      <c r="H729" s="89"/>
      <c r="I729" s="89"/>
      <c r="J729" s="89" t="str">
        <f t="shared" si="18"/>
        <v/>
      </c>
      <c r="K729" s="89" t="str">
        <f t="shared" si="23"/>
        <v/>
      </c>
      <c r="L729" s="89" t="str">
        <f>IFERROR(__xludf.DUMMYFUNCTION("""COMPUTED_VALUE"""),"")</f>
        <v/>
      </c>
      <c r="M729" s="89" t="str">
        <f>IFERROR(__xludf.DUMMYFUNCTION("""COMPUTED_VALUE"""),"")</f>
        <v/>
      </c>
      <c r="N729" s="89" t="str">
        <f>IFERROR(__xludf.DUMMYFUNCTION("""COMPUTED_VALUE"""),"")</f>
        <v/>
      </c>
      <c r="P729" s="52" t="str">
        <f t="shared" si="22"/>
        <v/>
      </c>
      <c r="R729" s="52" t="str">
        <f t="shared" si="32"/>
        <v/>
      </c>
      <c r="Z729" s="81"/>
      <c r="AA729" s="81"/>
      <c r="AB729" s="81"/>
      <c r="AC729" s="81" t="str">
        <f t="shared" si="5"/>
        <v/>
      </c>
      <c r="AD729" s="82" t="str">
        <f t="shared" si="6"/>
        <v/>
      </c>
    </row>
    <row r="730">
      <c r="A730" s="89"/>
      <c r="B730" s="89"/>
      <c r="C730" s="89"/>
      <c r="D730" s="89"/>
      <c r="E730" s="89"/>
      <c r="F730" s="81"/>
      <c r="G730" s="89"/>
      <c r="H730" s="89"/>
      <c r="I730" s="89"/>
      <c r="J730" s="89" t="str">
        <f t="shared" si="18"/>
        <v/>
      </c>
      <c r="K730" s="89" t="str">
        <f t="shared" si="23"/>
        <v/>
      </c>
      <c r="L730" s="89" t="str">
        <f>IFERROR(__xludf.DUMMYFUNCTION("""COMPUTED_VALUE"""),"")</f>
        <v/>
      </c>
      <c r="M730" s="89" t="str">
        <f>IFERROR(__xludf.DUMMYFUNCTION("""COMPUTED_VALUE"""),"")</f>
        <v/>
      </c>
      <c r="N730" s="89" t="str">
        <f>IFERROR(__xludf.DUMMYFUNCTION("""COMPUTED_VALUE"""),"")</f>
        <v/>
      </c>
      <c r="P730" s="52" t="str">
        <f t="shared" si="22"/>
        <v/>
      </c>
      <c r="R730" s="52" t="str">
        <f t="shared" si="32"/>
        <v/>
      </c>
      <c r="Z730" s="81"/>
      <c r="AA730" s="81"/>
      <c r="AB730" s="81"/>
      <c r="AC730" s="81" t="str">
        <f t="shared" si="5"/>
        <v/>
      </c>
      <c r="AD730" s="82" t="str">
        <f t="shared" si="6"/>
        <v/>
      </c>
    </row>
    <row r="731">
      <c r="A731" s="89"/>
      <c r="B731" s="89"/>
      <c r="C731" s="89"/>
      <c r="D731" s="89"/>
      <c r="E731" s="89"/>
      <c r="F731" s="81"/>
      <c r="G731" s="89"/>
      <c r="H731" s="89"/>
      <c r="I731" s="89"/>
      <c r="J731" s="89" t="str">
        <f t="shared" si="18"/>
        <v/>
      </c>
      <c r="K731" s="89" t="str">
        <f t="shared" si="23"/>
        <v/>
      </c>
      <c r="L731" s="89" t="str">
        <f>IFERROR(__xludf.DUMMYFUNCTION("""COMPUTED_VALUE"""),"")</f>
        <v/>
      </c>
      <c r="M731" s="89" t="str">
        <f>IFERROR(__xludf.DUMMYFUNCTION("""COMPUTED_VALUE"""),"")</f>
        <v/>
      </c>
      <c r="N731" s="89" t="str">
        <f>IFERROR(__xludf.DUMMYFUNCTION("""COMPUTED_VALUE"""),"")</f>
        <v/>
      </c>
      <c r="P731" s="52" t="str">
        <f t="shared" si="22"/>
        <v/>
      </c>
      <c r="R731" s="52" t="str">
        <f t="shared" si="32"/>
        <v/>
      </c>
      <c r="Z731" s="81"/>
      <c r="AA731" s="81"/>
      <c r="AB731" s="81"/>
      <c r="AC731" s="81" t="str">
        <f t="shared" si="5"/>
        <v/>
      </c>
      <c r="AD731" s="82" t="str">
        <f t="shared" si="6"/>
        <v/>
      </c>
    </row>
    <row r="732">
      <c r="A732" s="89"/>
      <c r="B732" s="89"/>
      <c r="C732" s="89"/>
      <c r="D732" s="89"/>
      <c r="E732" s="89"/>
      <c r="F732" s="81"/>
      <c r="G732" s="89"/>
      <c r="H732" s="89"/>
      <c r="I732" s="89"/>
      <c r="J732" s="89" t="str">
        <f t="shared" si="18"/>
        <v/>
      </c>
      <c r="K732" s="89" t="str">
        <f t="shared" si="23"/>
        <v/>
      </c>
      <c r="L732" s="89" t="str">
        <f>IFERROR(__xludf.DUMMYFUNCTION("""COMPUTED_VALUE"""),"")</f>
        <v/>
      </c>
      <c r="M732" s="89" t="str">
        <f>IFERROR(__xludf.DUMMYFUNCTION("""COMPUTED_VALUE"""),"")</f>
        <v/>
      </c>
      <c r="N732" s="89" t="str">
        <f>IFERROR(__xludf.DUMMYFUNCTION("""COMPUTED_VALUE"""),"")</f>
        <v/>
      </c>
      <c r="P732" s="52" t="str">
        <f t="shared" si="22"/>
        <v/>
      </c>
      <c r="R732" s="52" t="str">
        <f t="shared" si="32"/>
        <v/>
      </c>
      <c r="Z732" s="81"/>
      <c r="AA732" s="81"/>
      <c r="AB732" s="81"/>
      <c r="AC732" s="81" t="str">
        <f t="shared" si="5"/>
        <v/>
      </c>
      <c r="AD732" s="82" t="str">
        <f t="shared" si="6"/>
        <v/>
      </c>
    </row>
    <row r="733">
      <c r="A733" s="89"/>
      <c r="B733" s="89"/>
      <c r="C733" s="89"/>
      <c r="D733" s="89"/>
      <c r="E733" s="89"/>
      <c r="F733" s="81"/>
      <c r="G733" s="89"/>
      <c r="H733" s="89"/>
      <c r="I733" s="89"/>
      <c r="J733" s="89" t="str">
        <f t="shared" si="18"/>
        <v/>
      </c>
      <c r="K733" s="89" t="str">
        <f t="shared" si="23"/>
        <v/>
      </c>
      <c r="L733" s="89" t="str">
        <f>IFERROR(__xludf.DUMMYFUNCTION("""COMPUTED_VALUE"""),"")</f>
        <v/>
      </c>
      <c r="M733" s="89" t="str">
        <f>IFERROR(__xludf.DUMMYFUNCTION("""COMPUTED_VALUE"""),"")</f>
        <v/>
      </c>
      <c r="N733" s="89" t="str">
        <f>IFERROR(__xludf.DUMMYFUNCTION("""COMPUTED_VALUE"""),"")</f>
        <v/>
      </c>
      <c r="P733" s="52" t="str">
        <f t="shared" si="22"/>
        <v/>
      </c>
      <c r="R733" s="52" t="str">
        <f t="shared" si="32"/>
        <v/>
      </c>
      <c r="Z733" s="81"/>
      <c r="AA733" s="81"/>
      <c r="AB733" s="81"/>
      <c r="AC733" s="81" t="str">
        <f t="shared" si="5"/>
        <v/>
      </c>
      <c r="AD733" s="82" t="str">
        <f t="shared" si="6"/>
        <v/>
      </c>
    </row>
    <row r="734">
      <c r="A734" s="89"/>
      <c r="B734" s="89"/>
      <c r="C734" s="89"/>
      <c r="D734" s="89"/>
      <c r="E734" s="89"/>
      <c r="F734" s="81"/>
      <c r="G734" s="89"/>
      <c r="H734" s="89"/>
      <c r="I734" s="89"/>
      <c r="J734" s="89" t="str">
        <f t="shared" si="18"/>
        <v/>
      </c>
      <c r="K734" s="89" t="str">
        <f t="shared" si="23"/>
        <v/>
      </c>
      <c r="L734" s="89" t="str">
        <f>IFERROR(__xludf.DUMMYFUNCTION("""COMPUTED_VALUE"""),"")</f>
        <v/>
      </c>
      <c r="M734" s="89" t="str">
        <f>IFERROR(__xludf.DUMMYFUNCTION("""COMPUTED_VALUE"""),"")</f>
        <v/>
      </c>
      <c r="N734" s="89" t="str">
        <f>IFERROR(__xludf.DUMMYFUNCTION("""COMPUTED_VALUE"""),"")</f>
        <v/>
      </c>
      <c r="P734" s="52" t="str">
        <f t="shared" si="22"/>
        <v/>
      </c>
      <c r="R734" s="52" t="str">
        <f t="shared" si="32"/>
        <v/>
      </c>
      <c r="Z734" s="81"/>
      <c r="AA734" s="81"/>
      <c r="AB734" s="81"/>
      <c r="AC734" s="81" t="str">
        <f t="shared" si="5"/>
        <v/>
      </c>
      <c r="AD734" s="82" t="str">
        <f t="shared" si="6"/>
        <v/>
      </c>
    </row>
    <row r="735">
      <c r="A735" s="89"/>
      <c r="B735" s="89"/>
      <c r="C735" s="89"/>
      <c r="D735" s="89"/>
      <c r="E735" s="89"/>
      <c r="F735" s="81"/>
      <c r="G735" s="89"/>
      <c r="H735" s="89"/>
      <c r="I735" s="89"/>
      <c r="J735" s="89" t="str">
        <f t="shared" si="18"/>
        <v/>
      </c>
      <c r="K735" s="89" t="str">
        <f t="shared" si="23"/>
        <v/>
      </c>
      <c r="L735" s="89" t="str">
        <f>IFERROR(__xludf.DUMMYFUNCTION("""COMPUTED_VALUE"""),"")</f>
        <v/>
      </c>
      <c r="M735" s="89" t="str">
        <f>IFERROR(__xludf.DUMMYFUNCTION("""COMPUTED_VALUE"""),"")</f>
        <v/>
      </c>
      <c r="N735" s="89" t="str">
        <f>IFERROR(__xludf.DUMMYFUNCTION("""COMPUTED_VALUE"""),"")</f>
        <v/>
      </c>
      <c r="P735" s="52" t="str">
        <f t="shared" si="22"/>
        <v/>
      </c>
      <c r="R735" s="52" t="str">
        <f t="shared" si="32"/>
        <v/>
      </c>
      <c r="Z735" s="81"/>
      <c r="AA735" s="81"/>
      <c r="AB735" s="81"/>
      <c r="AC735" s="81" t="str">
        <f t="shared" si="5"/>
        <v/>
      </c>
      <c r="AD735" s="82" t="str">
        <f t="shared" si="6"/>
        <v/>
      </c>
    </row>
    <row r="736">
      <c r="A736" s="89"/>
      <c r="B736" s="89"/>
      <c r="C736" s="89"/>
      <c r="D736" s="89"/>
      <c r="E736" s="89"/>
      <c r="F736" s="81"/>
      <c r="G736" s="89"/>
      <c r="H736" s="89"/>
      <c r="I736" s="89"/>
      <c r="J736" s="89" t="str">
        <f t="shared" si="18"/>
        <v/>
      </c>
      <c r="K736" s="89" t="str">
        <f t="shared" si="23"/>
        <v/>
      </c>
      <c r="L736" s="89" t="str">
        <f>IFERROR(__xludf.DUMMYFUNCTION("""COMPUTED_VALUE"""),"")</f>
        <v/>
      </c>
      <c r="M736" s="89" t="str">
        <f>IFERROR(__xludf.DUMMYFUNCTION("""COMPUTED_VALUE"""),"")</f>
        <v/>
      </c>
      <c r="N736" s="89" t="str">
        <f>IFERROR(__xludf.DUMMYFUNCTION("""COMPUTED_VALUE"""),"")</f>
        <v/>
      </c>
      <c r="P736" s="52" t="str">
        <f t="shared" si="22"/>
        <v/>
      </c>
      <c r="R736" s="52" t="str">
        <f t="shared" si="32"/>
        <v/>
      </c>
      <c r="Z736" s="81"/>
      <c r="AA736" s="81"/>
      <c r="AB736" s="81"/>
      <c r="AC736" s="81" t="str">
        <f t="shared" si="5"/>
        <v/>
      </c>
      <c r="AD736" s="82" t="str">
        <f t="shared" si="6"/>
        <v/>
      </c>
    </row>
    <row r="737">
      <c r="A737" s="89"/>
      <c r="B737" s="89"/>
      <c r="C737" s="89"/>
      <c r="D737" s="89"/>
      <c r="E737" s="89"/>
      <c r="F737" s="81"/>
      <c r="G737" s="89"/>
      <c r="H737" s="89"/>
      <c r="I737" s="89"/>
      <c r="J737" s="89" t="str">
        <f t="shared" si="18"/>
        <v/>
      </c>
      <c r="K737" s="89" t="str">
        <f t="shared" si="23"/>
        <v/>
      </c>
      <c r="L737" s="89" t="str">
        <f>IFERROR(__xludf.DUMMYFUNCTION("""COMPUTED_VALUE"""),"")</f>
        <v/>
      </c>
      <c r="M737" s="89" t="str">
        <f>IFERROR(__xludf.DUMMYFUNCTION("""COMPUTED_VALUE"""),"")</f>
        <v/>
      </c>
      <c r="N737" s="89" t="str">
        <f>IFERROR(__xludf.DUMMYFUNCTION("""COMPUTED_VALUE"""),"")</f>
        <v/>
      </c>
      <c r="P737" s="52" t="str">
        <f t="shared" si="22"/>
        <v/>
      </c>
      <c r="R737" s="52" t="str">
        <f t="shared" si="32"/>
        <v/>
      </c>
      <c r="Z737" s="81"/>
      <c r="AA737" s="81"/>
      <c r="AB737" s="81"/>
      <c r="AC737" s="81" t="str">
        <f t="shared" si="5"/>
        <v/>
      </c>
      <c r="AD737" s="82" t="str">
        <f t="shared" si="6"/>
        <v/>
      </c>
    </row>
    <row r="738">
      <c r="A738" s="89"/>
      <c r="B738" s="89"/>
      <c r="C738" s="89"/>
      <c r="D738" s="89"/>
      <c r="E738" s="89"/>
      <c r="F738" s="81"/>
      <c r="G738" s="89"/>
      <c r="H738" s="89"/>
      <c r="I738" s="89"/>
      <c r="J738" s="89" t="str">
        <f t="shared" si="18"/>
        <v/>
      </c>
      <c r="K738" s="89" t="str">
        <f t="shared" si="23"/>
        <v/>
      </c>
      <c r="L738" s="89" t="str">
        <f>IFERROR(__xludf.DUMMYFUNCTION("""COMPUTED_VALUE"""),"")</f>
        <v/>
      </c>
      <c r="M738" s="89" t="str">
        <f>IFERROR(__xludf.DUMMYFUNCTION("""COMPUTED_VALUE"""),"")</f>
        <v/>
      </c>
      <c r="N738" s="89" t="str">
        <f>IFERROR(__xludf.DUMMYFUNCTION("""COMPUTED_VALUE"""),"")</f>
        <v/>
      </c>
      <c r="P738" s="52" t="str">
        <f t="shared" si="22"/>
        <v/>
      </c>
      <c r="R738" s="52" t="str">
        <f t="shared" si="32"/>
        <v/>
      </c>
      <c r="Z738" s="81"/>
      <c r="AA738" s="81"/>
      <c r="AB738" s="81"/>
      <c r="AC738" s="81" t="str">
        <f t="shared" si="5"/>
        <v/>
      </c>
      <c r="AD738" s="82" t="str">
        <f t="shared" si="6"/>
        <v/>
      </c>
    </row>
    <row r="739">
      <c r="A739" s="89"/>
      <c r="B739" s="89"/>
      <c r="C739" s="89"/>
      <c r="D739" s="89"/>
      <c r="E739" s="89"/>
      <c r="F739" s="81"/>
      <c r="G739" s="89"/>
      <c r="H739" s="89"/>
      <c r="I739" s="89"/>
      <c r="J739" s="89" t="str">
        <f t="shared" si="18"/>
        <v/>
      </c>
      <c r="K739" s="89" t="str">
        <f t="shared" si="23"/>
        <v/>
      </c>
      <c r="L739" s="89" t="str">
        <f>IFERROR(__xludf.DUMMYFUNCTION("""COMPUTED_VALUE"""),"")</f>
        <v/>
      </c>
      <c r="M739" s="89" t="str">
        <f>IFERROR(__xludf.DUMMYFUNCTION("""COMPUTED_VALUE"""),"")</f>
        <v/>
      </c>
      <c r="N739" s="89" t="str">
        <f>IFERROR(__xludf.DUMMYFUNCTION("""COMPUTED_VALUE"""),"")</f>
        <v/>
      </c>
      <c r="P739" s="52" t="str">
        <f t="shared" si="22"/>
        <v/>
      </c>
      <c r="R739" s="52" t="str">
        <f t="shared" si="32"/>
        <v/>
      </c>
      <c r="Z739" s="81"/>
      <c r="AA739" s="81"/>
      <c r="AB739" s="81"/>
      <c r="AC739" s="81" t="str">
        <f t="shared" si="5"/>
        <v/>
      </c>
      <c r="AD739" s="82" t="str">
        <f t="shared" si="6"/>
        <v/>
      </c>
    </row>
    <row r="740">
      <c r="A740" s="89"/>
      <c r="B740" s="89"/>
      <c r="C740" s="89"/>
      <c r="D740" s="89"/>
      <c r="E740" s="89"/>
      <c r="F740" s="81"/>
      <c r="G740" s="89"/>
      <c r="H740" s="89"/>
      <c r="I740" s="89"/>
      <c r="J740" s="89" t="str">
        <f t="shared" si="18"/>
        <v/>
      </c>
      <c r="K740" s="89" t="str">
        <f t="shared" si="23"/>
        <v/>
      </c>
      <c r="L740" s="89" t="str">
        <f>IFERROR(__xludf.DUMMYFUNCTION("""COMPUTED_VALUE"""),"")</f>
        <v/>
      </c>
      <c r="M740" s="89" t="str">
        <f>IFERROR(__xludf.DUMMYFUNCTION("""COMPUTED_VALUE"""),"")</f>
        <v/>
      </c>
      <c r="N740" s="89" t="str">
        <f>IFERROR(__xludf.DUMMYFUNCTION("""COMPUTED_VALUE"""),"")</f>
        <v/>
      </c>
      <c r="P740" s="52" t="str">
        <f t="shared" si="22"/>
        <v/>
      </c>
      <c r="R740" s="52" t="str">
        <f t="shared" si="32"/>
        <v/>
      </c>
      <c r="Z740" s="81"/>
      <c r="AA740" s="81"/>
      <c r="AB740" s="81"/>
      <c r="AC740" s="81" t="str">
        <f t="shared" si="5"/>
        <v/>
      </c>
      <c r="AD740" s="82" t="str">
        <f t="shared" si="6"/>
        <v/>
      </c>
    </row>
    <row r="741">
      <c r="A741" s="89"/>
      <c r="B741" s="89"/>
      <c r="C741" s="89"/>
      <c r="D741" s="89"/>
      <c r="E741" s="89"/>
      <c r="F741" s="81"/>
      <c r="G741" s="89"/>
      <c r="H741" s="89"/>
      <c r="I741" s="89"/>
      <c r="J741" s="89" t="str">
        <f t="shared" si="18"/>
        <v/>
      </c>
      <c r="K741" s="89" t="str">
        <f t="shared" si="23"/>
        <v/>
      </c>
      <c r="L741" s="89" t="str">
        <f>IFERROR(__xludf.DUMMYFUNCTION("""COMPUTED_VALUE"""),"")</f>
        <v/>
      </c>
      <c r="M741" s="89" t="str">
        <f>IFERROR(__xludf.DUMMYFUNCTION("""COMPUTED_VALUE"""),"")</f>
        <v/>
      </c>
      <c r="N741" s="89" t="str">
        <f>IFERROR(__xludf.DUMMYFUNCTION("""COMPUTED_VALUE"""),"")</f>
        <v/>
      </c>
      <c r="P741" s="52" t="str">
        <f t="shared" si="22"/>
        <v/>
      </c>
      <c r="R741" s="52" t="str">
        <f t="shared" si="32"/>
        <v/>
      </c>
      <c r="Z741" s="81"/>
      <c r="AA741" s="81"/>
      <c r="AB741" s="81"/>
      <c r="AC741" s="81" t="str">
        <f t="shared" si="5"/>
        <v/>
      </c>
      <c r="AD741" s="82" t="str">
        <f t="shared" si="6"/>
        <v/>
      </c>
    </row>
    <row r="742">
      <c r="A742" s="89"/>
      <c r="B742" s="89"/>
      <c r="C742" s="89"/>
      <c r="D742" s="89"/>
      <c r="E742" s="89"/>
      <c r="F742" s="81"/>
      <c r="G742" s="89"/>
      <c r="H742" s="89"/>
      <c r="I742" s="89"/>
      <c r="J742" s="89" t="str">
        <f t="shared" si="18"/>
        <v/>
      </c>
      <c r="K742" s="89" t="str">
        <f t="shared" si="23"/>
        <v/>
      </c>
      <c r="L742" s="89" t="str">
        <f>IFERROR(__xludf.DUMMYFUNCTION("""COMPUTED_VALUE"""),"")</f>
        <v/>
      </c>
      <c r="M742" s="89" t="str">
        <f>IFERROR(__xludf.DUMMYFUNCTION("""COMPUTED_VALUE"""),"")</f>
        <v/>
      </c>
      <c r="N742" s="89" t="str">
        <f>IFERROR(__xludf.DUMMYFUNCTION("""COMPUTED_VALUE"""),"")</f>
        <v/>
      </c>
      <c r="P742" s="52" t="str">
        <f t="shared" si="22"/>
        <v/>
      </c>
      <c r="R742" s="52" t="str">
        <f t="shared" si="32"/>
        <v/>
      </c>
      <c r="Z742" s="81"/>
      <c r="AA742" s="81"/>
      <c r="AB742" s="81"/>
      <c r="AC742" s="81" t="str">
        <f t="shared" si="5"/>
        <v/>
      </c>
      <c r="AD742" s="82" t="str">
        <f t="shared" si="6"/>
        <v/>
      </c>
    </row>
    <row r="743">
      <c r="A743" s="89"/>
      <c r="B743" s="89"/>
      <c r="C743" s="89"/>
      <c r="D743" s="89"/>
      <c r="E743" s="89"/>
      <c r="F743" s="81"/>
      <c r="G743" s="89"/>
      <c r="H743" s="89"/>
      <c r="I743" s="89"/>
      <c r="J743" s="89" t="str">
        <f t="shared" si="18"/>
        <v/>
      </c>
      <c r="K743" s="89" t="str">
        <f t="shared" si="23"/>
        <v/>
      </c>
      <c r="L743" s="89" t="str">
        <f>IFERROR(__xludf.DUMMYFUNCTION("""COMPUTED_VALUE"""),"")</f>
        <v/>
      </c>
      <c r="M743" s="89" t="str">
        <f>IFERROR(__xludf.DUMMYFUNCTION("""COMPUTED_VALUE"""),"")</f>
        <v/>
      </c>
      <c r="N743" s="89" t="str">
        <f>IFERROR(__xludf.DUMMYFUNCTION("""COMPUTED_VALUE"""),"")</f>
        <v/>
      </c>
      <c r="P743" s="52" t="str">
        <f t="shared" si="22"/>
        <v/>
      </c>
      <c r="R743" s="52" t="str">
        <f t="shared" si="32"/>
        <v/>
      </c>
      <c r="Z743" s="81"/>
      <c r="AA743" s="81"/>
      <c r="AB743" s="81"/>
      <c r="AC743" s="81" t="str">
        <f t="shared" si="5"/>
        <v/>
      </c>
      <c r="AD743" s="82" t="str">
        <f t="shared" si="6"/>
        <v/>
      </c>
    </row>
    <row r="744">
      <c r="A744" s="89"/>
      <c r="B744" s="89"/>
      <c r="C744" s="89"/>
      <c r="D744" s="89"/>
      <c r="E744" s="89"/>
      <c r="F744" s="81"/>
      <c r="G744" s="89"/>
      <c r="H744" s="89"/>
      <c r="I744" s="89"/>
      <c r="J744" s="89" t="str">
        <f t="shared" si="18"/>
        <v/>
      </c>
      <c r="K744" s="89" t="str">
        <f t="shared" si="23"/>
        <v/>
      </c>
      <c r="L744" s="89" t="str">
        <f>IFERROR(__xludf.DUMMYFUNCTION("""COMPUTED_VALUE"""),"")</f>
        <v/>
      </c>
      <c r="M744" s="89" t="str">
        <f>IFERROR(__xludf.DUMMYFUNCTION("""COMPUTED_VALUE"""),"")</f>
        <v/>
      </c>
      <c r="N744" s="89" t="str">
        <f>IFERROR(__xludf.DUMMYFUNCTION("""COMPUTED_VALUE"""),"")</f>
        <v/>
      </c>
      <c r="P744" s="52" t="str">
        <f t="shared" si="22"/>
        <v/>
      </c>
      <c r="R744" s="52" t="str">
        <f t="shared" si="32"/>
        <v/>
      </c>
      <c r="Z744" s="81"/>
      <c r="AA744" s="81"/>
      <c r="AB744" s="81"/>
      <c r="AC744" s="81" t="str">
        <f t="shared" si="5"/>
        <v/>
      </c>
      <c r="AD744" s="82" t="str">
        <f t="shared" si="6"/>
        <v/>
      </c>
    </row>
    <row r="745">
      <c r="A745" s="89"/>
      <c r="B745" s="89"/>
      <c r="C745" s="89"/>
      <c r="D745" s="89"/>
      <c r="E745" s="89"/>
      <c r="F745" s="81"/>
      <c r="G745" s="89"/>
      <c r="H745" s="89"/>
      <c r="I745" s="89"/>
      <c r="J745" s="89" t="str">
        <f t="shared" si="18"/>
        <v/>
      </c>
      <c r="K745" s="89" t="str">
        <f t="shared" si="23"/>
        <v/>
      </c>
      <c r="L745" s="89" t="str">
        <f>IFERROR(__xludf.DUMMYFUNCTION("""COMPUTED_VALUE"""),"")</f>
        <v/>
      </c>
      <c r="M745" s="89" t="str">
        <f>IFERROR(__xludf.DUMMYFUNCTION("""COMPUTED_VALUE"""),"")</f>
        <v/>
      </c>
      <c r="N745" s="89" t="str">
        <f>IFERROR(__xludf.DUMMYFUNCTION("""COMPUTED_VALUE"""),"")</f>
        <v/>
      </c>
      <c r="P745" s="52" t="str">
        <f t="shared" si="22"/>
        <v/>
      </c>
      <c r="R745" s="52" t="str">
        <f t="shared" si="32"/>
        <v/>
      </c>
      <c r="Z745" s="81"/>
      <c r="AA745" s="81"/>
      <c r="AB745" s="81"/>
      <c r="AC745" s="81" t="str">
        <f t="shared" si="5"/>
        <v/>
      </c>
      <c r="AD745" s="82" t="str">
        <f t="shared" si="6"/>
        <v/>
      </c>
    </row>
    <row r="746">
      <c r="A746" s="89"/>
      <c r="B746" s="89"/>
      <c r="C746" s="89"/>
      <c r="D746" s="89"/>
      <c r="E746" s="89"/>
      <c r="F746" s="81"/>
      <c r="G746" s="89"/>
      <c r="H746" s="89"/>
      <c r="I746" s="89"/>
      <c r="J746" s="89" t="str">
        <f t="shared" si="18"/>
        <v/>
      </c>
      <c r="K746" s="89" t="str">
        <f t="shared" si="23"/>
        <v/>
      </c>
      <c r="L746" s="89" t="str">
        <f>IFERROR(__xludf.DUMMYFUNCTION("""COMPUTED_VALUE"""),"")</f>
        <v/>
      </c>
      <c r="M746" s="89" t="str">
        <f>IFERROR(__xludf.DUMMYFUNCTION("""COMPUTED_VALUE"""),"")</f>
        <v/>
      </c>
      <c r="N746" s="89" t="str">
        <f>IFERROR(__xludf.DUMMYFUNCTION("""COMPUTED_VALUE"""),"")</f>
        <v/>
      </c>
      <c r="P746" s="52" t="str">
        <f t="shared" si="22"/>
        <v/>
      </c>
      <c r="R746" s="52" t="str">
        <f t="shared" si="32"/>
        <v/>
      </c>
      <c r="Z746" s="81"/>
      <c r="AA746" s="81"/>
      <c r="AB746" s="81"/>
      <c r="AC746" s="81" t="str">
        <f t="shared" si="5"/>
        <v/>
      </c>
      <c r="AD746" s="82" t="str">
        <f t="shared" si="6"/>
        <v/>
      </c>
    </row>
    <row r="747">
      <c r="A747" s="89"/>
      <c r="B747" s="89"/>
      <c r="C747" s="89"/>
      <c r="D747" s="89"/>
      <c r="E747" s="89"/>
      <c r="F747" s="81"/>
      <c r="G747" s="89"/>
      <c r="H747" s="89"/>
      <c r="I747" s="89"/>
      <c r="J747" s="89" t="str">
        <f t="shared" si="18"/>
        <v/>
      </c>
      <c r="K747" s="89" t="str">
        <f t="shared" si="23"/>
        <v/>
      </c>
      <c r="L747" s="89" t="str">
        <f>IFERROR(__xludf.DUMMYFUNCTION("""COMPUTED_VALUE"""),"")</f>
        <v/>
      </c>
      <c r="M747" s="89" t="str">
        <f>IFERROR(__xludf.DUMMYFUNCTION("""COMPUTED_VALUE"""),"")</f>
        <v/>
      </c>
      <c r="N747" s="89" t="str">
        <f>IFERROR(__xludf.DUMMYFUNCTION("""COMPUTED_VALUE"""),"")</f>
        <v/>
      </c>
      <c r="P747" s="52" t="str">
        <f t="shared" si="22"/>
        <v/>
      </c>
      <c r="R747" s="52" t="str">
        <f t="shared" si="32"/>
        <v/>
      </c>
      <c r="Z747" s="81"/>
      <c r="AA747" s="81"/>
      <c r="AB747" s="81"/>
      <c r="AC747" s="81" t="str">
        <f t="shared" si="5"/>
        <v/>
      </c>
      <c r="AD747" s="82" t="str">
        <f t="shared" si="6"/>
        <v/>
      </c>
    </row>
    <row r="748">
      <c r="A748" s="89"/>
      <c r="B748" s="89"/>
      <c r="C748" s="89"/>
      <c r="D748" s="89"/>
      <c r="E748" s="89"/>
      <c r="F748" s="81"/>
      <c r="G748" s="89"/>
      <c r="H748" s="89"/>
      <c r="I748" s="89"/>
      <c r="J748" s="89" t="str">
        <f t="shared" si="18"/>
        <v/>
      </c>
      <c r="K748" s="89" t="str">
        <f t="shared" si="23"/>
        <v/>
      </c>
      <c r="L748" s="89" t="str">
        <f>IFERROR(__xludf.DUMMYFUNCTION("""COMPUTED_VALUE"""),"")</f>
        <v/>
      </c>
      <c r="M748" s="89" t="str">
        <f>IFERROR(__xludf.DUMMYFUNCTION("""COMPUTED_VALUE"""),"")</f>
        <v/>
      </c>
      <c r="N748" s="89" t="str">
        <f>IFERROR(__xludf.DUMMYFUNCTION("""COMPUTED_VALUE"""),"")</f>
        <v/>
      </c>
      <c r="P748" s="52" t="str">
        <f t="shared" si="22"/>
        <v/>
      </c>
      <c r="R748" s="52" t="str">
        <f t="shared" si="32"/>
        <v/>
      </c>
      <c r="Z748" s="81"/>
      <c r="AA748" s="81"/>
      <c r="AB748" s="81"/>
      <c r="AC748" s="81" t="str">
        <f t="shared" si="5"/>
        <v/>
      </c>
      <c r="AD748" s="82" t="str">
        <f t="shared" si="6"/>
        <v/>
      </c>
    </row>
    <row r="749">
      <c r="A749" s="89"/>
      <c r="B749" s="89"/>
      <c r="C749" s="89"/>
      <c r="D749" s="89"/>
      <c r="E749" s="89"/>
      <c r="F749" s="81"/>
      <c r="G749" s="89"/>
      <c r="H749" s="89"/>
      <c r="I749" s="89"/>
      <c r="J749" s="89" t="str">
        <f t="shared" si="18"/>
        <v/>
      </c>
      <c r="K749" s="89" t="str">
        <f t="shared" si="23"/>
        <v/>
      </c>
      <c r="L749" s="89" t="str">
        <f>IFERROR(__xludf.DUMMYFUNCTION("""COMPUTED_VALUE"""),"")</f>
        <v/>
      </c>
      <c r="M749" s="89" t="str">
        <f>IFERROR(__xludf.DUMMYFUNCTION("""COMPUTED_VALUE"""),"")</f>
        <v/>
      </c>
      <c r="N749" s="89" t="str">
        <f>IFERROR(__xludf.DUMMYFUNCTION("""COMPUTED_VALUE"""),"")</f>
        <v/>
      </c>
      <c r="P749" s="52" t="str">
        <f t="shared" si="22"/>
        <v/>
      </c>
      <c r="R749" s="52" t="str">
        <f t="shared" si="32"/>
        <v/>
      </c>
      <c r="Z749" s="81"/>
      <c r="AA749" s="81"/>
      <c r="AB749" s="81"/>
      <c r="AC749" s="81" t="str">
        <f t="shared" si="5"/>
        <v/>
      </c>
      <c r="AD749" s="82" t="str">
        <f t="shared" si="6"/>
        <v/>
      </c>
    </row>
    <row r="750">
      <c r="A750" s="89"/>
      <c r="B750" s="89"/>
      <c r="C750" s="89"/>
      <c r="D750" s="89"/>
      <c r="E750" s="89"/>
      <c r="F750" s="81"/>
      <c r="G750" s="89"/>
      <c r="H750" s="89"/>
      <c r="I750" s="89"/>
      <c r="J750" s="89" t="str">
        <f t="shared" si="18"/>
        <v/>
      </c>
      <c r="K750" s="89" t="str">
        <f t="shared" si="23"/>
        <v/>
      </c>
      <c r="L750" s="89" t="str">
        <f>IFERROR(__xludf.DUMMYFUNCTION("""COMPUTED_VALUE"""),"")</f>
        <v/>
      </c>
      <c r="M750" s="89" t="str">
        <f>IFERROR(__xludf.DUMMYFUNCTION("""COMPUTED_VALUE"""),"")</f>
        <v/>
      </c>
      <c r="N750" s="89" t="str">
        <f>IFERROR(__xludf.DUMMYFUNCTION("""COMPUTED_VALUE"""),"")</f>
        <v/>
      </c>
      <c r="P750" s="52" t="str">
        <f t="shared" si="22"/>
        <v/>
      </c>
      <c r="R750" s="52" t="str">
        <f t="shared" si="32"/>
        <v/>
      </c>
      <c r="Z750" s="81"/>
      <c r="AA750" s="81"/>
      <c r="AB750" s="81"/>
      <c r="AC750" s="81" t="str">
        <f t="shared" si="5"/>
        <v/>
      </c>
      <c r="AD750" s="82" t="str">
        <f t="shared" si="6"/>
        <v/>
      </c>
    </row>
    <row r="751">
      <c r="A751" s="89"/>
      <c r="B751" s="89"/>
      <c r="C751" s="89"/>
      <c r="D751" s="89"/>
      <c r="E751" s="89"/>
      <c r="F751" s="81"/>
      <c r="G751" s="89"/>
      <c r="H751" s="89"/>
      <c r="I751" s="89"/>
      <c r="J751" s="89" t="str">
        <f t="shared" si="18"/>
        <v/>
      </c>
      <c r="K751" s="89" t="str">
        <f t="shared" si="23"/>
        <v/>
      </c>
      <c r="L751" s="89" t="str">
        <f>IFERROR(__xludf.DUMMYFUNCTION("""COMPUTED_VALUE"""),"")</f>
        <v/>
      </c>
      <c r="M751" s="89" t="str">
        <f>IFERROR(__xludf.DUMMYFUNCTION("""COMPUTED_VALUE"""),"")</f>
        <v/>
      </c>
      <c r="N751" s="89" t="str">
        <f>IFERROR(__xludf.DUMMYFUNCTION("""COMPUTED_VALUE"""),"")</f>
        <v/>
      </c>
      <c r="P751" s="52" t="str">
        <f t="shared" si="22"/>
        <v/>
      </c>
      <c r="R751" s="52" t="str">
        <f t="shared" si="32"/>
        <v/>
      </c>
      <c r="Z751" s="81"/>
      <c r="AA751" s="81"/>
      <c r="AB751" s="81"/>
      <c r="AC751" s="81" t="str">
        <f t="shared" si="5"/>
        <v/>
      </c>
      <c r="AD751" s="82" t="str">
        <f t="shared" si="6"/>
        <v/>
      </c>
    </row>
    <row r="752">
      <c r="A752" s="89"/>
      <c r="B752" s="89"/>
      <c r="C752" s="89"/>
      <c r="D752" s="89"/>
      <c r="E752" s="89"/>
      <c r="F752" s="81"/>
      <c r="G752" s="89"/>
      <c r="H752" s="89"/>
      <c r="I752" s="89"/>
      <c r="J752" s="89" t="str">
        <f t="shared" si="18"/>
        <v/>
      </c>
      <c r="K752" s="89" t="str">
        <f t="shared" si="23"/>
        <v/>
      </c>
      <c r="L752" s="89" t="str">
        <f>IFERROR(__xludf.DUMMYFUNCTION("""COMPUTED_VALUE"""),"")</f>
        <v/>
      </c>
      <c r="M752" s="89" t="str">
        <f>IFERROR(__xludf.DUMMYFUNCTION("""COMPUTED_VALUE"""),"")</f>
        <v/>
      </c>
      <c r="N752" s="89" t="str">
        <f>IFERROR(__xludf.DUMMYFUNCTION("""COMPUTED_VALUE"""),"")</f>
        <v/>
      </c>
      <c r="P752" s="52" t="str">
        <f t="shared" si="22"/>
        <v/>
      </c>
      <c r="R752" s="52" t="str">
        <f t="shared" si="32"/>
        <v/>
      </c>
      <c r="Z752" s="81"/>
      <c r="AA752" s="81"/>
      <c r="AB752" s="81"/>
      <c r="AC752" s="81" t="str">
        <f t="shared" si="5"/>
        <v/>
      </c>
      <c r="AD752" s="82" t="str">
        <f t="shared" si="6"/>
        <v/>
      </c>
    </row>
    <row r="753">
      <c r="A753" s="89"/>
      <c r="B753" s="89"/>
      <c r="C753" s="89"/>
      <c r="D753" s="89"/>
      <c r="E753" s="89"/>
      <c r="F753" s="81"/>
      <c r="G753" s="89"/>
      <c r="H753" s="89"/>
      <c r="I753" s="89"/>
      <c r="J753" s="89" t="str">
        <f t="shared" si="18"/>
        <v/>
      </c>
      <c r="K753" s="89" t="str">
        <f t="shared" si="23"/>
        <v/>
      </c>
      <c r="L753" s="89" t="str">
        <f>IFERROR(__xludf.DUMMYFUNCTION("""COMPUTED_VALUE"""),"")</f>
        <v/>
      </c>
      <c r="M753" s="89" t="str">
        <f>IFERROR(__xludf.DUMMYFUNCTION("""COMPUTED_VALUE"""),"")</f>
        <v/>
      </c>
      <c r="N753" s="89" t="str">
        <f>IFERROR(__xludf.DUMMYFUNCTION("""COMPUTED_VALUE"""),"")</f>
        <v/>
      </c>
      <c r="P753" s="52" t="str">
        <f t="shared" si="22"/>
        <v/>
      </c>
      <c r="R753" s="52" t="str">
        <f t="shared" si="32"/>
        <v/>
      </c>
      <c r="Z753" s="81"/>
      <c r="AA753" s="81"/>
      <c r="AB753" s="81"/>
      <c r="AC753" s="81" t="str">
        <f t="shared" si="5"/>
        <v/>
      </c>
      <c r="AD753" s="82" t="str">
        <f t="shared" si="6"/>
        <v/>
      </c>
    </row>
    <row r="754">
      <c r="A754" s="89"/>
      <c r="B754" s="89"/>
      <c r="C754" s="89"/>
      <c r="D754" s="89"/>
      <c r="E754" s="89"/>
      <c r="F754" s="81"/>
      <c r="G754" s="89"/>
      <c r="H754" s="89"/>
      <c r="I754" s="89"/>
      <c r="J754" s="89" t="str">
        <f t="shared" si="18"/>
        <v/>
      </c>
      <c r="K754" s="89" t="str">
        <f t="shared" si="23"/>
        <v/>
      </c>
      <c r="L754" s="89" t="str">
        <f>IFERROR(__xludf.DUMMYFUNCTION("""COMPUTED_VALUE"""),"")</f>
        <v/>
      </c>
      <c r="M754" s="89" t="str">
        <f>IFERROR(__xludf.DUMMYFUNCTION("""COMPUTED_VALUE"""),"")</f>
        <v/>
      </c>
      <c r="N754" s="89" t="str">
        <f>IFERROR(__xludf.DUMMYFUNCTION("""COMPUTED_VALUE"""),"")</f>
        <v/>
      </c>
      <c r="P754" s="52" t="str">
        <f t="shared" si="22"/>
        <v/>
      </c>
      <c r="R754" s="52" t="str">
        <f t="shared" si="32"/>
        <v/>
      </c>
      <c r="Z754" s="81"/>
      <c r="AA754" s="81"/>
      <c r="AB754" s="81"/>
      <c r="AC754" s="81" t="str">
        <f t="shared" si="5"/>
        <v/>
      </c>
      <c r="AD754" s="82" t="str">
        <f t="shared" si="6"/>
        <v/>
      </c>
    </row>
    <row r="755">
      <c r="A755" s="89"/>
      <c r="B755" s="89"/>
      <c r="C755" s="89"/>
      <c r="D755" s="89"/>
      <c r="E755" s="89"/>
      <c r="F755" s="81"/>
      <c r="G755" s="89"/>
      <c r="H755" s="89"/>
      <c r="I755" s="89"/>
      <c r="J755" s="89" t="str">
        <f t="shared" si="18"/>
        <v/>
      </c>
      <c r="K755" s="89" t="str">
        <f t="shared" si="23"/>
        <v/>
      </c>
      <c r="L755" s="89" t="str">
        <f>IFERROR(__xludf.DUMMYFUNCTION("""COMPUTED_VALUE"""),"")</f>
        <v/>
      </c>
      <c r="M755" s="89" t="str">
        <f>IFERROR(__xludf.DUMMYFUNCTION("""COMPUTED_VALUE"""),"")</f>
        <v/>
      </c>
      <c r="N755" s="89" t="str">
        <f>IFERROR(__xludf.DUMMYFUNCTION("""COMPUTED_VALUE"""),"")</f>
        <v/>
      </c>
      <c r="P755" s="52" t="str">
        <f t="shared" si="22"/>
        <v/>
      </c>
      <c r="R755" s="52" t="str">
        <f t="shared" si="32"/>
        <v/>
      </c>
      <c r="Z755" s="81"/>
      <c r="AA755" s="81"/>
      <c r="AB755" s="81"/>
      <c r="AC755" s="81" t="str">
        <f t="shared" si="5"/>
        <v/>
      </c>
      <c r="AD755" s="82" t="str">
        <f t="shared" si="6"/>
        <v/>
      </c>
    </row>
    <row r="756">
      <c r="A756" s="89"/>
      <c r="B756" s="89"/>
      <c r="C756" s="89"/>
      <c r="D756" s="89"/>
      <c r="E756" s="89"/>
      <c r="F756" s="81"/>
      <c r="G756" s="89"/>
      <c r="H756" s="89"/>
      <c r="I756" s="89"/>
      <c r="J756" s="89" t="str">
        <f t="shared" si="18"/>
        <v/>
      </c>
      <c r="K756" s="89" t="str">
        <f t="shared" si="23"/>
        <v/>
      </c>
      <c r="L756" s="89" t="str">
        <f>IFERROR(__xludf.DUMMYFUNCTION("""COMPUTED_VALUE"""),"")</f>
        <v/>
      </c>
      <c r="M756" s="89" t="str">
        <f>IFERROR(__xludf.DUMMYFUNCTION("""COMPUTED_VALUE"""),"")</f>
        <v/>
      </c>
      <c r="N756" s="89" t="str">
        <f>IFERROR(__xludf.DUMMYFUNCTION("""COMPUTED_VALUE"""),"")</f>
        <v/>
      </c>
      <c r="P756" s="52" t="str">
        <f t="shared" si="22"/>
        <v/>
      </c>
      <c r="R756" s="52" t="str">
        <f t="shared" si="32"/>
        <v/>
      </c>
      <c r="Z756" s="81"/>
      <c r="AA756" s="81"/>
      <c r="AB756" s="81"/>
      <c r="AC756" s="81" t="str">
        <f t="shared" si="5"/>
        <v/>
      </c>
      <c r="AD756" s="82" t="str">
        <f t="shared" si="6"/>
        <v/>
      </c>
    </row>
    <row r="757">
      <c r="A757" s="89"/>
      <c r="B757" s="89"/>
      <c r="C757" s="89"/>
      <c r="D757" s="89"/>
      <c r="E757" s="89"/>
      <c r="F757" s="81"/>
      <c r="G757" s="89"/>
      <c r="H757" s="89"/>
      <c r="I757" s="89"/>
      <c r="J757" s="89" t="str">
        <f t="shared" si="18"/>
        <v/>
      </c>
      <c r="K757" s="89" t="str">
        <f t="shared" si="23"/>
        <v/>
      </c>
      <c r="L757" s="89" t="str">
        <f>IFERROR(__xludf.DUMMYFUNCTION("""COMPUTED_VALUE"""),"")</f>
        <v/>
      </c>
      <c r="M757" s="89" t="str">
        <f>IFERROR(__xludf.DUMMYFUNCTION("""COMPUTED_VALUE"""),"")</f>
        <v/>
      </c>
      <c r="N757" s="89" t="str">
        <f>IFERROR(__xludf.DUMMYFUNCTION("""COMPUTED_VALUE"""),"")</f>
        <v/>
      </c>
      <c r="P757" s="52" t="str">
        <f t="shared" si="22"/>
        <v/>
      </c>
      <c r="R757" s="52" t="str">
        <f t="shared" si="32"/>
        <v/>
      </c>
      <c r="Z757" s="81"/>
      <c r="AA757" s="81"/>
      <c r="AB757" s="81"/>
      <c r="AC757" s="81" t="str">
        <f t="shared" si="5"/>
        <v/>
      </c>
      <c r="AD757" s="82" t="str">
        <f t="shared" si="6"/>
        <v/>
      </c>
    </row>
    <row r="758">
      <c r="A758" s="89"/>
      <c r="B758" s="89"/>
      <c r="C758" s="89"/>
      <c r="D758" s="89"/>
      <c r="E758" s="89"/>
      <c r="F758" s="81"/>
      <c r="G758" s="89"/>
      <c r="H758" s="89"/>
      <c r="I758" s="89"/>
      <c r="J758" s="89" t="str">
        <f t="shared" si="18"/>
        <v/>
      </c>
      <c r="K758" s="89" t="str">
        <f t="shared" si="23"/>
        <v/>
      </c>
      <c r="L758" s="89" t="str">
        <f>IFERROR(__xludf.DUMMYFUNCTION("""COMPUTED_VALUE"""),"")</f>
        <v/>
      </c>
      <c r="M758" s="89" t="str">
        <f>IFERROR(__xludf.DUMMYFUNCTION("""COMPUTED_VALUE"""),"")</f>
        <v/>
      </c>
      <c r="N758" s="89" t="str">
        <f>IFERROR(__xludf.DUMMYFUNCTION("""COMPUTED_VALUE"""),"")</f>
        <v/>
      </c>
      <c r="P758" s="52" t="str">
        <f t="shared" si="22"/>
        <v/>
      </c>
      <c r="R758" s="52" t="str">
        <f t="shared" si="32"/>
        <v/>
      </c>
      <c r="Z758" s="81"/>
      <c r="AA758" s="81"/>
      <c r="AB758" s="81"/>
      <c r="AC758" s="81" t="str">
        <f t="shared" si="5"/>
        <v/>
      </c>
      <c r="AD758" s="82" t="str">
        <f t="shared" si="6"/>
        <v/>
      </c>
    </row>
    <row r="759">
      <c r="A759" s="89"/>
      <c r="B759" s="89"/>
      <c r="C759" s="89"/>
      <c r="D759" s="89"/>
      <c r="E759" s="89"/>
      <c r="F759" s="81"/>
      <c r="G759" s="89"/>
      <c r="H759" s="89"/>
      <c r="I759" s="89"/>
      <c r="J759" s="89" t="str">
        <f t="shared" si="18"/>
        <v/>
      </c>
      <c r="K759" s="89" t="str">
        <f t="shared" si="23"/>
        <v/>
      </c>
      <c r="L759" s="89" t="str">
        <f>IFERROR(__xludf.DUMMYFUNCTION("""COMPUTED_VALUE"""),"")</f>
        <v/>
      </c>
      <c r="M759" s="89" t="str">
        <f>IFERROR(__xludf.DUMMYFUNCTION("""COMPUTED_VALUE"""),"")</f>
        <v/>
      </c>
      <c r="N759" s="89" t="str">
        <f>IFERROR(__xludf.DUMMYFUNCTION("""COMPUTED_VALUE"""),"")</f>
        <v/>
      </c>
      <c r="P759" s="52" t="str">
        <f t="shared" si="22"/>
        <v/>
      </c>
      <c r="R759" s="52" t="str">
        <f t="shared" si="32"/>
        <v/>
      </c>
      <c r="Z759" s="81"/>
      <c r="AA759" s="81"/>
      <c r="AB759" s="81"/>
      <c r="AC759" s="81" t="str">
        <f t="shared" si="5"/>
        <v/>
      </c>
      <c r="AD759" s="82" t="str">
        <f t="shared" si="6"/>
        <v/>
      </c>
    </row>
    <row r="760">
      <c r="A760" s="89"/>
      <c r="B760" s="89"/>
      <c r="C760" s="89"/>
      <c r="D760" s="89"/>
      <c r="E760" s="89"/>
      <c r="F760" s="81"/>
      <c r="G760" s="89"/>
      <c r="H760" s="89"/>
      <c r="I760" s="89"/>
      <c r="J760" s="89" t="str">
        <f t="shared" si="18"/>
        <v/>
      </c>
      <c r="K760" s="89" t="str">
        <f t="shared" si="23"/>
        <v/>
      </c>
      <c r="L760" s="89" t="str">
        <f>IFERROR(__xludf.DUMMYFUNCTION("""COMPUTED_VALUE"""),"")</f>
        <v/>
      </c>
      <c r="M760" s="89" t="str">
        <f>IFERROR(__xludf.DUMMYFUNCTION("""COMPUTED_VALUE"""),"")</f>
        <v/>
      </c>
      <c r="N760" s="89" t="str">
        <f>IFERROR(__xludf.DUMMYFUNCTION("""COMPUTED_VALUE"""),"")</f>
        <v/>
      </c>
      <c r="P760" s="52" t="str">
        <f t="shared" si="22"/>
        <v/>
      </c>
      <c r="R760" s="52" t="str">
        <f t="shared" si="32"/>
        <v/>
      </c>
      <c r="Z760" s="81"/>
      <c r="AA760" s="81"/>
      <c r="AB760" s="81"/>
      <c r="AC760" s="81" t="str">
        <f t="shared" si="5"/>
        <v/>
      </c>
      <c r="AD760" s="82" t="str">
        <f t="shared" si="6"/>
        <v/>
      </c>
    </row>
    <row r="761">
      <c r="A761" s="89"/>
      <c r="B761" s="89"/>
      <c r="C761" s="89"/>
      <c r="D761" s="89"/>
      <c r="E761" s="89"/>
      <c r="F761" s="81"/>
      <c r="G761" s="89"/>
      <c r="H761" s="89"/>
      <c r="I761" s="89"/>
      <c r="J761" s="89" t="str">
        <f t="shared" si="18"/>
        <v/>
      </c>
      <c r="K761" s="89" t="str">
        <f t="shared" si="23"/>
        <v/>
      </c>
      <c r="L761" s="89" t="str">
        <f>IFERROR(__xludf.DUMMYFUNCTION("""COMPUTED_VALUE"""),"")</f>
        <v/>
      </c>
      <c r="M761" s="89" t="str">
        <f>IFERROR(__xludf.DUMMYFUNCTION("""COMPUTED_VALUE"""),"")</f>
        <v/>
      </c>
      <c r="N761" s="89" t="str">
        <f>IFERROR(__xludf.DUMMYFUNCTION("""COMPUTED_VALUE"""),"")</f>
        <v/>
      </c>
      <c r="P761" s="52" t="str">
        <f t="shared" si="22"/>
        <v/>
      </c>
      <c r="R761" s="52" t="str">
        <f t="shared" si="32"/>
        <v/>
      </c>
      <c r="Z761" s="81"/>
      <c r="AA761" s="81"/>
      <c r="AB761" s="81"/>
      <c r="AC761" s="81" t="str">
        <f t="shared" si="5"/>
        <v/>
      </c>
      <c r="AD761" s="82" t="str">
        <f t="shared" si="6"/>
        <v/>
      </c>
    </row>
    <row r="762">
      <c r="A762" s="89"/>
      <c r="B762" s="89"/>
      <c r="C762" s="89"/>
      <c r="D762" s="89"/>
      <c r="E762" s="89"/>
      <c r="F762" s="81"/>
      <c r="G762" s="89"/>
      <c r="H762" s="89"/>
      <c r="I762" s="89"/>
      <c r="J762" s="89" t="str">
        <f t="shared" si="18"/>
        <v/>
      </c>
      <c r="K762" s="89" t="str">
        <f t="shared" si="23"/>
        <v/>
      </c>
      <c r="L762" s="89" t="str">
        <f>IFERROR(__xludf.DUMMYFUNCTION("""COMPUTED_VALUE"""),"")</f>
        <v/>
      </c>
      <c r="M762" s="89" t="str">
        <f>IFERROR(__xludf.DUMMYFUNCTION("""COMPUTED_VALUE"""),"")</f>
        <v/>
      </c>
      <c r="N762" s="89" t="str">
        <f>IFERROR(__xludf.DUMMYFUNCTION("""COMPUTED_VALUE"""),"")</f>
        <v/>
      </c>
      <c r="P762" s="52" t="str">
        <f t="shared" si="22"/>
        <v/>
      </c>
      <c r="R762" s="52" t="str">
        <f t="shared" si="32"/>
        <v/>
      </c>
      <c r="Z762" s="81"/>
      <c r="AA762" s="81"/>
      <c r="AB762" s="81"/>
      <c r="AC762" s="81" t="str">
        <f t="shared" si="5"/>
        <v/>
      </c>
      <c r="AD762" s="82" t="str">
        <f t="shared" si="6"/>
        <v/>
      </c>
    </row>
    <row r="763">
      <c r="A763" s="89"/>
      <c r="B763" s="89"/>
      <c r="C763" s="89"/>
      <c r="D763" s="89"/>
      <c r="E763" s="89"/>
      <c r="F763" s="81"/>
      <c r="G763" s="89"/>
      <c r="H763" s="89"/>
      <c r="I763" s="89"/>
      <c r="J763" s="89" t="str">
        <f t="shared" si="18"/>
        <v/>
      </c>
      <c r="K763" s="89" t="str">
        <f t="shared" si="23"/>
        <v/>
      </c>
      <c r="L763" s="89" t="str">
        <f>IFERROR(__xludf.DUMMYFUNCTION("""COMPUTED_VALUE"""),"")</f>
        <v/>
      </c>
      <c r="M763" s="89" t="str">
        <f>IFERROR(__xludf.DUMMYFUNCTION("""COMPUTED_VALUE"""),"")</f>
        <v/>
      </c>
      <c r="N763" s="89" t="str">
        <f>IFERROR(__xludf.DUMMYFUNCTION("""COMPUTED_VALUE"""),"")</f>
        <v/>
      </c>
      <c r="P763" s="52" t="str">
        <f t="shared" si="22"/>
        <v/>
      </c>
      <c r="R763" s="52" t="str">
        <f t="shared" si="32"/>
        <v/>
      </c>
      <c r="Z763" s="81"/>
      <c r="AA763" s="81"/>
      <c r="AB763" s="81"/>
      <c r="AC763" s="81" t="str">
        <f t="shared" si="5"/>
        <v/>
      </c>
      <c r="AD763" s="82" t="str">
        <f t="shared" si="6"/>
        <v/>
      </c>
    </row>
    <row r="764">
      <c r="A764" s="89"/>
      <c r="B764" s="89"/>
      <c r="C764" s="89"/>
      <c r="D764" s="89"/>
      <c r="E764" s="89"/>
      <c r="F764" s="81"/>
      <c r="G764" s="89"/>
      <c r="H764" s="89"/>
      <c r="I764" s="89"/>
      <c r="J764" s="89" t="str">
        <f t="shared" si="18"/>
        <v/>
      </c>
      <c r="K764" s="89" t="str">
        <f t="shared" si="23"/>
        <v/>
      </c>
      <c r="L764" s="89" t="str">
        <f>IFERROR(__xludf.DUMMYFUNCTION("""COMPUTED_VALUE"""),"")</f>
        <v/>
      </c>
      <c r="M764" s="89" t="str">
        <f>IFERROR(__xludf.DUMMYFUNCTION("""COMPUTED_VALUE"""),"")</f>
        <v/>
      </c>
      <c r="N764" s="89" t="str">
        <f>IFERROR(__xludf.DUMMYFUNCTION("""COMPUTED_VALUE"""),"")</f>
        <v/>
      </c>
      <c r="P764" s="52" t="str">
        <f t="shared" si="22"/>
        <v/>
      </c>
      <c r="R764" s="52" t="str">
        <f t="shared" si="32"/>
        <v/>
      </c>
      <c r="Z764" s="81"/>
      <c r="AA764" s="81"/>
      <c r="AB764" s="81"/>
      <c r="AC764" s="81" t="str">
        <f t="shared" si="5"/>
        <v/>
      </c>
      <c r="AD764" s="82" t="str">
        <f t="shared" si="6"/>
        <v/>
      </c>
    </row>
    <row r="765">
      <c r="A765" s="89"/>
      <c r="B765" s="89"/>
      <c r="C765" s="89"/>
      <c r="D765" s="89"/>
      <c r="E765" s="89"/>
      <c r="F765" s="81"/>
      <c r="G765" s="89"/>
      <c r="H765" s="89"/>
      <c r="I765" s="89"/>
      <c r="J765" s="89" t="str">
        <f t="shared" si="18"/>
        <v/>
      </c>
      <c r="K765" s="89" t="str">
        <f t="shared" si="23"/>
        <v/>
      </c>
      <c r="L765" s="89" t="str">
        <f>IFERROR(__xludf.DUMMYFUNCTION("""COMPUTED_VALUE"""),"")</f>
        <v/>
      </c>
      <c r="M765" s="89" t="str">
        <f>IFERROR(__xludf.DUMMYFUNCTION("""COMPUTED_VALUE"""),"")</f>
        <v/>
      </c>
      <c r="N765" s="89" t="str">
        <f>IFERROR(__xludf.DUMMYFUNCTION("""COMPUTED_VALUE"""),"")</f>
        <v/>
      </c>
      <c r="P765" s="52" t="str">
        <f t="shared" si="22"/>
        <v/>
      </c>
      <c r="R765" s="52" t="str">
        <f t="shared" si="32"/>
        <v/>
      </c>
      <c r="Z765" s="81"/>
      <c r="AA765" s="81"/>
      <c r="AB765" s="81"/>
      <c r="AC765" s="81" t="str">
        <f t="shared" si="5"/>
        <v/>
      </c>
      <c r="AD765" s="82" t="str">
        <f t="shared" si="6"/>
        <v/>
      </c>
    </row>
    <row r="766">
      <c r="A766" s="89"/>
      <c r="B766" s="89"/>
      <c r="C766" s="89"/>
      <c r="D766" s="89"/>
      <c r="E766" s="89"/>
      <c r="F766" s="81"/>
      <c r="G766" s="89"/>
      <c r="H766" s="89"/>
      <c r="I766" s="89"/>
      <c r="J766" s="89" t="str">
        <f t="shared" si="18"/>
        <v/>
      </c>
      <c r="K766" s="89" t="str">
        <f t="shared" si="23"/>
        <v/>
      </c>
      <c r="L766" s="89" t="str">
        <f>IFERROR(__xludf.DUMMYFUNCTION("""COMPUTED_VALUE"""),"")</f>
        <v/>
      </c>
      <c r="M766" s="89" t="str">
        <f>IFERROR(__xludf.DUMMYFUNCTION("""COMPUTED_VALUE"""),"")</f>
        <v/>
      </c>
      <c r="N766" s="89" t="str">
        <f>IFERROR(__xludf.DUMMYFUNCTION("""COMPUTED_VALUE"""),"")</f>
        <v/>
      </c>
      <c r="P766" s="52" t="str">
        <f t="shared" si="22"/>
        <v/>
      </c>
      <c r="R766" s="52" t="str">
        <f t="shared" si="32"/>
        <v/>
      </c>
      <c r="Z766" s="81"/>
      <c r="AA766" s="81"/>
      <c r="AB766" s="81"/>
      <c r="AC766" s="81" t="str">
        <f t="shared" si="5"/>
        <v/>
      </c>
      <c r="AD766" s="82" t="str">
        <f t="shared" si="6"/>
        <v/>
      </c>
    </row>
    <row r="767">
      <c r="A767" s="89"/>
      <c r="B767" s="89"/>
      <c r="C767" s="89"/>
      <c r="D767" s="89"/>
      <c r="E767" s="89"/>
      <c r="F767" s="81"/>
      <c r="G767" s="89"/>
      <c r="H767" s="89"/>
      <c r="I767" s="89"/>
      <c r="J767" s="89" t="str">
        <f t="shared" si="18"/>
        <v/>
      </c>
      <c r="K767" s="89" t="str">
        <f t="shared" si="23"/>
        <v/>
      </c>
      <c r="L767" s="89" t="str">
        <f>IFERROR(__xludf.DUMMYFUNCTION("""COMPUTED_VALUE"""),"")</f>
        <v/>
      </c>
      <c r="M767" s="89" t="str">
        <f>IFERROR(__xludf.DUMMYFUNCTION("""COMPUTED_VALUE"""),"")</f>
        <v/>
      </c>
      <c r="N767" s="89" t="str">
        <f>IFERROR(__xludf.DUMMYFUNCTION("""COMPUTED_VALUE"""),"")</f>
        <v/>
      </c>
      <c r="P767" s="52" t="str">
        <f t="shared" si="22"/>
        <v/>
      </c>
      <c r="R767" s="52" t="str">
        <f t="shared" si="32"/>
        <v/>
      </c>
      <c r="Z767" s="81"/>
      <c r="AA767" s="81"/>
      <c r="AB767" s="81"/>
      <c r="AC767" s="81" t="str">
        <f t="shared" si="5"/>
        <v/>
      </c>
      <c r="AD767" s="82" t="str">
        <f t="shared" si="6"/>
        <v/>
      </c>
    </row>
    <row r="768">
      <c r="A768" s="89"/>
      <c r="B768" s="89"/>
      <c r="C768" s="89"/>
      <c r="D768" s="89"/>
      <c r="E768" s="89"/>
      <c r="F768" s="81"/>
      <c r="G768" s="89"/>
      <c r="H768" s="89"/>
      <c r="I768" s="89"/>
      <c r="J768" s="89" t="str">
        <f t="shared" si="18"/>
        <v/>
      </c>
      <c r="K768" s="89" t="str">
        <f t="shared" si="23"/>
        <v/>
      </c>
      <c r="L768" s="89" t="str">
        <f>IFERROR(__xludf.DUMMYFUNCTION("""COMPUTED_VALUE"""),"")</f>
        <v/>
      </c>
      <c r="M768" s="89" t="str">
        <f>IFERROR(__xludf.DUMMYFUNCTION("""COMPUTED_VALUE"""),"")</f>
        <v/>
      </c>
      <c r="N768" s="89" t="str">
        <f>IFERROR(__xludf.DUMMYFUNCTION("""COMPUTED_VALUE"""),"")</f>
        <v/>
      </c>
      <c r="P768" s="52" t="str">
        <f t="shared" si="22"/>
        <v/>
      </c>
      <c r="R768" s="52" t="str">
        <f t="shared" si="32"/>
        <v/>
      </c>
      <c r="Z768" s="81"/>
      <c r="AA768" s="81"/>
      <c r="AB768" s="81"/>
      <c r="AC768" s="81" t="str">
        <f t="shared" si="5"/>
        <v/>
      </c>
      <c r="AD768" s="82" t="str">
        <f t="shared" si="6"/>
        <v/>
      </c>
    </row>
    <row r="769">
      <c r="A769" s="89"/>
      <c r="B769" s="89"/>
      <c r="C769" s="89"/>
      <c r="D769" s="89"/>
      <c r="E769" s="89"/>
      <c r="F769" s="81"/>
      <c r="G769" s="89"/>
      <c r="H769" s="89"/>
      <c r="I769" s="89"/>
      <c r="J769" s="89" t="str">
        <f t="shared" si="18"/>
        <v/>
      </c>
      <c r="K769" s="89" t="str">
        <f t="shared" si="23"/>
        <v/>
      </c>
      <c r="L769" s="89" t="str">
        <f>IFERROR(__xludf.DUMMYFUNCTION("""COMPUTED_VALUE"""),"")</f>
        <v/>
      </c>
      <c r="M769" s="89" t="str">
        <f>IFERROR(__xludf.DUMMYFUNCTION("""COMPUTED_VALUE"""),"")</f>
        <v/>
      </c>
      <c r="N769" s="89" t="str">
        <f>IFERROR(__xludf.DUMMYFUNCTION("""COMPUTED_VALUE"""),"")</f>
        <v/>
      </c>
      <c r="P769" s="52" t="str">
        <f t="shared" si="22"/>
        <v/>
      </c>
      <c r="R769" s="52" t="str">
        <f t="shared" si="32"/>
        <v/>
      </c>
      <c r="Z769" s="81"/>
      <c r="AA769" s="81"/>
      <c r="AB769" s="81"/>
      <c r="AC769" s="81" t="str">
        <f t="shared" si="5"/>
        <v/>
      </c>
      <c r="AD769" s="82" t="str">
        <f t="shared" si="6"/>
        <v/>
      </c>
    </row>
    <row r="770">
      <c r="A770" s="89"/>
      <c r="B770" s="89"/>
      <c r="C770" s="89"/>
      <c r="D770" s="89"/>
      <c r="E770" s="89"/>
      <c r="F770" s="81"/>
      <c r="G770" s="89"/>
      <c r="H770" s="89"/>
      <c r="I770" s="89"/>
      <c r="J770" s="89" t="str">
        <f t="shared" si="18"/>
        <v/>
      </c>
      <c r="K770" s="89" t="str">
        <f t="shared" si="23"/>
        <v/>
      </c>
      <c r="L770" s="89" t="str">
        <f>IFERROR(__xludf.DUMMYFUNCTION("""COMPUTED_VALUE"""),"")</f>
        <v/>
      </c>
      <c r="M770" s="89" t="str">
        <f>IFERROR(__xludf.DUMMYFUNCTION("""COMPUTED_VALUE"""),"")</f>
        <v/>
      </c>
      <c r="N770" s="89" t="str">
        <f>IFERROR(__xludf.DUMMYFUNCTION("""COMPUTED_VALUE"""),"")</f>
        <v/>
      </c>
      <c r="P770" s="52" t="str">
        <f t="shared" si="22"/>
        <v/>
      </c>
      <c r="R770" s="52" t="str">
        <f t="shared" si="32"/>
        <v/>
      </c>
      <c r="Z770" s="81"/>
      <c r="AA770" s="81"/>
      <c r="AB770" s="81"/>
      <c r="AC770" s="81" t="str">
        <f t="shared" si="5"/>
        <v/>
      </c>
      <c r="AD770" s="82" t="str">
        <f t="shared" si="6"/>
        <v/>
      </c>
    </row>
    <row r="771">
      <c r="A771" s="89"/>
      <c r="B771" s="89"/>
      <c r="C771" s="89"/>
      <c r="D771" s="89"/>
      <c r="E771" s="89"/>
      <c r="F771" s="81"/>
      <c r="G771" s="89"/>
      <c r="H771" s="89"/>
      <c r="I771" s="89"/>
      <c r="J771" s="89" t="str">
        <f t="shared" si="18"/>
        <v/>
      </c>
      <c r="K771" s="89" t="str">
        <f t="shared" si="23"/>
        <v/>
      </c>
      <c r="L771" s="89" t="str">
        <f>IFERROR(__xludf.DUMMYFUNCTION("""COMPUTED_VALUE"""),"")</f>
        <v/>
      </c>
      <c r="M771" s="89" t="str">
        <f>IFERROR(__xludf.DUMMYFUNCTION("""COMPUTED_VALUE"""),"")</f>
        <v/>
      </c>
      <c r="N771" s="89" t="str">
        <f>IFERROR(__xludf.DUMMYFUNCTION("""COMPUTED_VALUE"""),"")</f>
        <v/>
      </c>
      <c r="P771" s="52" t="str">
        <f t="shared" si="22"/>
        <v/>
      </c>
      <c r="R771" s="52" t="str">
        <f t="shared" si="32"/>
        <v/>
      </c>
      <c r="Z771" s="81"/>
      <c r="AA771" s="81"/>
      <c r="AB771" s="81"/>
      <c r="AC771" s="81" t="str">
        <f t="shared" si="5"/>
        <v/>
      </c>
      <c r="AD771" s="82" t="str">
        <f t="shared" si="6"/>
        <v/>
      </c>
    </row>
    <row r="772">
      <c r="A772" s="89"/>
      <c r="B772" s="89"/>
      <c r="C772" s="89"/>
      <c r="D772" s="89"/>
      <c r="E772" s="89"/>
      <c r="F772" s="81"/>
      <c r="G772" s="89"/>
      <c r="H772" s="89"/>
      <c r="I772" s="89"/>
      <c r="J772" s="89" t="str">
        <f t="shared" si="18"/>
        <v/>
      </c>
      <c r="K772" s="89" t="str">
        <f t="shared" si="23"/>
        <v/>
      </c>
      <c r="L772" s="89" t="str">
        <f>IFERROR(__xludf.DUMMYFUNCTION("""COMPUTED_VALUE"""),"")</f>
        <v/>
      </c>
      <c r="M772" s="89" t="str">
        <f>IFERROR(__xludf.DUMMYFUNCTION("""COMPUTED_VALUE"""),"")</f>
        <v/>
      </c>
      <c r="N772" s="89" t="str">
        <f>IFERROR(__xludf.DUMMYFUNCTION("""COMPUTED_VALUE"""),"")</f>
        <v/>
      </c>
      <c r="P772" s="52" t="str">
        <f t="shared" si="22"/>
        <v/>
      </c>
      <c r="R772" s="52" t="str">
        <f t="shared" si="32"/>
        <v/>
      </c>
      <c r="Z772" s="81"/>
      <c r="AA772" s="81"/>
      <c r="AB772" s="81"/>
      <c r="AC772" s="81" t="str">
        <f t="shared" si="5"/>
        <v/>
      </c>
      <c r="AD772" s="82" t="str">
        <f t="shared" si="6"/>
        <v/>
      </c>
    </row>
    <row r="773">
      <c r="A773" s="89"/>
      <c r="B773" s="89"/>
      <c r="C773" s="89"/>
      <c r="D773" s="89"/>
      <c r="E773" s="89"/>
      <c r="F773" s="81"/>
      <c r="G773" s="89"/>
      <c r="H773" s="89"/>
      <c r="I773" s="89"/>
      <c r="J773" s="89" t="str">
        <f t="shared" si="18"/>
        <v/>
      </c>
      <c r="K773" s="89" t="str">
        <f t="shared" si="23"/>
        <v/>
      </c>
      <c r="L773" s="89" t="str">
        <f>IFERROR(__xludf.DUMMYFUNCTION("""COMPUTED_VALUE"""),"")</f>
        <v/>
      </c>
      <c r="M773" s="89" t="str">
        <f>IFERROR(__xludf.DUMMYFUNCTION("""COMPUTED_VALUE"""),"")</f>
        <v/>
      </c>
      <c r="N773" s="89" t="str">
        <f>IFERROR(__xludf.DUMMYFUNCTION("""COMPUTED_VALUE"""),"")</f>
        <v/>
      </c>
      <c r="P773" s="52" t="str">
        <f t="shared" si="22"/>
        <v/>
      </c>
      <c r="R773" s="52" t="str">
        <f t="shared" si="32"/>
        <v/>
      </c>
      <c r="Z773" s="81"/>
      <c r="AA773" s="81"/>
      <c r="AB773" s="81"/>
      <c r="AC773" s="81" t="str">
        <f t="shared" si="5"/>
        <v/>
      </c>
      <c r="AD773" s="82" t="str">
        <f t="shared" si="6"/>
        <v/>
      </c>
    </row>
    <row r="774">
      <c r="A774" s="89"/>
      <c r="B774" s="89"/>
      <c r="C774" s="89"/>
      <c r="D774" s="89"/>
      <c r="E774" s="89"/>
      <c r="F774" s="81"/>
      <c r="G774" s="89"/>
      <c r="H774" s="89"/>
      <c r="I774" s="89"/>
      <c r="J774" s="89" t="str">
        <f t="shared" si="18"/>
        <v/>
      </c>
      <c r="K774" s="89" t="str">
        <f t="shared" si="23"/>
        <v/>
      </c>
      <c r="L774" s="89" t="str">
        <f>IFERROR(__xludf.DUMMYFUNCTION("""COMPUTED_VALUE"""),"")</f>
        <v/>
      </c>
      <c r="M774" s="89" t="str">
        <f>IFERROR(__xludf.DUMMYFUNCTION("""COMPUTED_VALUE"""),"")</f>
        <v/>
      </c>
      <c r="N774" s="89" t="str">
        <f>IFERROR(__xludf.DUMMYFUNCTION("""COMPUTED_VALUE"""),"")</f>
        <v/>
      </c>
      <c r="P774" s="52" t="str">
        <f t="shared" si="22"/>
        <v/>
      </c>
      <c r="R774" s="52" t="str">
        <f t="shared" si="32"/>
        <v/>
      </c>
      <c r="Z774" s="81"/>
      <c r="AA774" s="81"/>
      <c r="AB774" s="81"/>
      <c r="AC774" s="81" t="str">
        <f t="shared" si="5"/>
        <v/>
      </c>
      <c r="AD774" s="82" t="str">
        <f t="shared" si="6"/>
        <v/>
      </c>
    </row>
    <row r="775">
      <c r="A775" s="89"/>
      <c r="B775" s="89"/>
      <c r="C775" s="89"/>
      <c r="D775" s="89"/>
      <c r="E775" s="89"/>
      <c r="F775" s="81"/>
      <c r="G775" s="89"/>
      <c r="H775" s="89"/>
      <c r="I775" s="89"/>
      <c r="J775" s="89" t="str">
        <f t="shared" si="18"/>
        <v/>
      </c>
      <c r="K775" s="89" t="str">
        <f t="shared" si="23"/>
        <v/>
      </c>
      <c r="L775" s="89" t="str">
        <f>IFERROR(__xludf.DUMMYFUNCTION("""COMPUTED_VALUE"""),"")</f>
        <v/>
      </c>
      <c r="M775" s="89" t="str">
        <f>IFERROR(__xludf.DUMMYFUNCTION("""COMPUTED_VALUE"""),"")</f>
        <v/>
      </c>
      <c r="N775" s="89" t="str">
        <f>IFERROR(__xludf.DUMMYFUNCTION("""COMPUTED_VALUE"""),"")</f>
        <v/>
      </c>
      <c r="P775" s="52" t="str">
        <f t="shared" si="22"/>
        <v/>
      </c>
      <c r="R775" s="52" t="str">
        <f t="shared" si="32"/>
        <v/>
      </c>
      <c r="Z775" s="81"/>
      <c r="AA775" s="81"/>
      <c r="AB775" s="81"/>
      <c r="AC775" s="81" t="str">
        <f t="shared" si="5"/>
        <v/>
      </c>
      <c r="AD775" s="82" t="str">
        <f t="shared" si="6"/>
        <v/>
      </c>
    </row>
    <row r="776">
      <c r="A776" s="89"/>
      <c r="B776" s="89"/>
      <c r="C776" s="89"/>
      <c r="D776" s="89"/>
      <c r="E776" s="89"/>
      <c r="F776" s="81"/>
      <c r="G776" s="89"/>
      <c r="H776" s="89"/>
      <c r="I776" s="89"/>
      <c r="J776" s="89" t="str">
        <f t="shared" si="18"/>
        <v/>
      </c>
      <c r="K776" s="89" t="str">
        <f t="shared" si="23"/>
        <v/>
      </c>
      <c r="L776" s="89" t="str">
        <f>IFERROR(__xludf.DUMMYFUNCTION("""COMPUTED_VALUE"""),"")</f>
        <v/>
      </c>
      <c r="M776" s="89" t="str">
        <f>IFERROR(__xludf.DUMMYFUNCTION("""COMPUTED_VALUE"""),"")</f>
        <v/>
      </c>
      <c r="N776" s="89" t="str">
        <f>IFERROR(__xludf.DUMMYFUNCTION("""COMPUTED_VALUE"""),"")</f>
        <v/>
      </c>
      <c r="P776" s="52" t="str">
        <f t="shared" si="22"/>
        <v/>
      </c>
      <c r="R776" s="52" t="str">
        <f t="shared" si="32"/>
        <v/>
      </c>
      <c r="Z776" s="81"/>
      <c r="AA776" s="81"/>
      <c r="AB776" s="81"/>
      <c r="AC776" s="81" t="str">
        <f t="shared" si="5"/>
        <v/>
      </c>
      <c r="AD776" s="82" t="str">
        <f t="shared" si="6"/>
        <v/>
      </c>
    </row>
    <row r="777">
      <c r="A777" s="89"/>
      <c r="B777" s="89"/>
      <c r="C777" s="89"/>
      <c r="D777" s="89"/>
      <c r="E777" s="89"/>
      <c r="F777" s="81"/>
      <c r="G777" s="89"/>
      <c r="H777" s="89"/>
      <c r="I777" s="89"/>
      <c r="J777" s="89" t="str">
        <f t="shared" si="18"/>
        <v/>
      </c>
      <c r="K777" s="89" t="str">
        <f t="shared" si="23"/>
        <v/>
      </c>
      <c r="L777" s="89" t="str">
        <f>IFERROR(__xludf.DUMMYFUNCTION("""COMPUTED_VALUE"""),"")</f>
        <v/>
      </c>
      <c r="M777" s="89" t="str">
        <f>IFERROR(__xludf.DUMMYFUNCTION("""COMPUTED_VALUE"""),"")</f>
        <v/>
      </c>
      <c r="N777" s="89" t="str">
        <f>IFERROR(__xludf.DUMMYFUNCTION("""COMPUTED_VALUE"""),"")</f>
        <v/>
      </c>
      <c r="P777" s="52" t="str">
        <f t="shared" si="22"/>
        <v/>
      </c>
      <c r="R777" s="52" t="str">
        <f t="shared" si="32"/>
        <v/>
      </c>
      <c r="Z777" s="81"/>
      <c r="AA777" s="81"/>
      <c r="AB777" s="81"/>
      <c r="AC777" s="81" t="str">
        <f t="shared" si="5"/>
        <v/>
      </c>
      <c r="AD777" s="82" t="str">
        <f t="shared" si="6"/>
        <v/>
      </c>
    </row>
    <row r="778">
      <c r="A778" s="89"/>
      <c r="B778" s="89"/>
      <c r="C778" s="89"/>
      <c r="D778" s="89"/>
      <c r="E778" s="89"/>
      <c r="F778" s="81"/>
      <c r="G778" s="89"/>
      <c r="H778" s="89"/>
      <c r="I778" s="89"/>
      <c r="J778" s="89" t="str">
        <f t="shared" si="18"/>
        <v/>
      </c>
      <c r="K778" s="89" t="str">
        <f t="shared" si="23"/>
        <v/>
      </c>
      <c r="L778" s="89" t="str">
        <f>IFERROR(__xludf.DUMMYFUNCTION("""COMPUTED_VALUE"""),"")</f>
        <v/>
      </c>
      <c r="M778" s="89" t="str">
        <f>IFERROR(__xludf.DUMMYFUNCTION("""COMPUTED_VALUE"""),"")</f>
        <v/>
      </c>
      <c r="N778" s="89" t="str">
        <f>IFERROR(__xludf.DUMMYFUNCTION("""COMPUTED_VALUE"""),"")</f>
        <v/>
      </c>
      <c r="P778" s="52" t="str">
        <f t="shared" si="22"/>
        <v/>
      </c>
      <c r="R778" s="52" t="str">
        <f t="shared" si="32"/>
        <v/>
      </c>
      <c r="Z778" s="81"/>
      <c r="AA778" s="81"/>
      <c r="AB778" s="81"/>
      <c r="AC778" s="81" t="str">
        <f t="shared" si="5"/>
        <v/>
      </c>
      <c r="AD778" s="82" t="str">
        <f t="shared" si="6"/>
        <v/>
      </c>
    </row>
    <row r="779">
      <c r="A779" s="89"/>
      <c r="B779" s="89"/>
      <c r="C779" s="89"/>
      <c r="D779" s="89"/>
      <c r="E779" s="89"/>
      <c r="F779" s="81"/>
      <c r="G779" s="89"/>
      <c r="H779" s="89"/>
      <c r="I779" s="89"/>
      <c r="J779" s="89" t="str">
        <f t="shared" si="18"/>
        <v/>
      </c>
      <c r="K779" s="89" t="str">
        <f t="shared" si="23"/>
        <v/>
      </c>
      <c r="L779" s="89" t="str">
        <f>IFERROR(__xludf.DUMMYFUNCTION("""COMPUTED_VALUE"""),"")</f>
        <v/>
      </c>
      <c r="M779" s="89" t="str">
        <f>IFERROR(__xludf.DUMMYFUNCTION("""COMPUTED_VALUE"""),"")</f>
        <v/>
      </c>
      <c r="N779" s="89" t="str">
        <f>IFERROR(__xludf.DUMMYFUNCTION("""COMPUTED_VALUE"""),"")</f>
        <v/>
      </c>
      <c r="P779" s="52" t="str">
        <f t="shared" si="22"/>
        <v/>
      </c>
      <c r="R779" s="52" t="str">
        <f t="shared" si="32"/>
        <v/>
      </c>
      <c r="Z779" s="81"/>
      <c r="AA779" s="81"/>
      <c r="AB779" s="81"/>
      <c r="AC779" s="81" t="str">
        <f t="shared" si="5"/>
        <v/>
      </c>
      <c r="AD779" s="82" t="str">
        <f t="shared" si="6"/>
        <v/>
      </c>
    </row>
    <row r="780">
      <c r="A780" s="89"/>
      <c r="B780" s="89"/>
      <c r="C780" s="89"/>
      <c r="D780" s="89"/>
      <c r="E780" s="89"/>
      <c r="F780" s="81"/>
      <c r="G780" s="89"/>
      <c r="H780" s="89"/>
      <c r="I780" s="89"/>
      <c r="J780" s="89" t="str">
        <f t="shared" si="18"/>
        <v/>
      </c>
      <c r="K780" s="89" t="str">
        <f t="shared" si="23"/>
        <v/>
      </c>
      <c r="L780" s="89" t="str">
        <f>IFERROR(__xludf.DUMMYFUNCTION("""COMPUTED_VALUE"""),"")</f>
        <v/>
      </c>
      <c r="M780" s="89" t="str">
        <f>IFERROR(__xludf.DUMMYFUNCTION("""COMPUTED_VALUE"""),"")</f>
        <v/>
      </c>
      <c r="N780" s="89" t="str">
        <f>IFERROR(__xludf.DUMMYFUNCTION("""COMPUTED_VALUE"""),"")</f>
        <v/>
      </c>
      <c r="P780" s="52" t="str">
        <f t="shared" si="22"/>
        <v/>
      </c>
      <c r="R780" s="52" t="str">
        <f t="shared" si="32"/>
        <v/>
      </c>
      <c r="Z780" s="81"/>
      <c r="AA780" s="81"/>
      <c r="AB780" s="81"/>
      <c r="AC780" s="81" t="str">
        <f t="shared" si="5"/>
        <v/>
      </c>
      <c r="AD780" s="82" t="str">
        <f t="shared" si="6"/>
        <v/>
      </c>
    </row>
    <row r="781">
      <c r="A781" s="89"/>
      <c r="B781" s="89"/>
      <c r="C781" s="89"/>
      <c r="D781" s="89"/>
      <c r="E781" s="89"/>
      <c r="F781" s="81"/>
      <c r="G781" s="89"/>
      <c r="H781" s="89"/>
      <c r="I781" s="89"/>
      <c r="J781" s="89" t="str">
        <f t="shared" si="18"/>
        <v/>
      </c>
      <c r="K781" s="89" t="str">
        <f t="shared" si="23"/>
        <v/>
      </c>
      <c r="L781" s="89" t="str">
        <f>IFERROR(__xludf.DUMMYFUNCTION("""COMPUTED_VALUE"""),"")</f>
        <v/>
      </c>
      <c r="M781" s="89" t="str">
        <f>IFERROR(__xludf.DUMMYFUNCTION("""COMPUTED_VALUE"""),"")</f>
        <v/>
      </c>
      <c r="N781" s="89" t="str">
        <f>IFERROR(__xludf.DUMMYFUNCTION("""COMPUTED_VALUE"""),"")</f>
        <v/>
      </c>
      <c r="P781" s="52" t="str">
        <f t="shared" si="22"/>
        <v/>
      </c>
      <c r="R781" s="52" t="str">
        <f t="shared" si="32"/>
        <v/>
      </c>
      <c r="Z781" s="81"/>
      <c r="AA781" s="81"/>
      <c r="AB781" s="81"/>
      <c r="AC781" s="81" t="str">
        <f t="shared" si="5"/>
        <v/>
      </c>
      <c r="AD781" s="82" t="str">
        <f t="shared" si="6"/>
        <v/>
      </c>
    </row>
    <row r="782">
      <c r="A782" s="89"/>
      <c r="B782" s="89"/>
      <c r="C782" s="89"/>
      <c r="D782" s="89"/>
      <c r="E782" s="89"/>
      <c r="F782" s="81"/>
      <c r="G782" s="89"/>
      <c r="H782" s="89"/>
      <c r="I782" s="89"/>
      <c r="J782" s="89" t="str">
        <f t="shared" si="18"/>
        <v/>
      </c>
      <c r="K782" s="89" t="str">
        <f t="shared" si="23"/>
        <v/>
      </c>
      <c r="L782" s="89" t="str">
        <f>IFERROR(__xludf.DUMMYFUNCTION("""COMPUTED_VALUE"""),"")</f>
        <v/>
      </c>
      <c r="M782" s="89" t="str">
        <f>IFERROR(__xludf.DUMMYFUNCTION("""COMPUTED_VALUE"""),"")</f>
        <v/>
      </c>
      <c r="N782" s="89" t="str">
        <f>IFERROR(__xludf.DUMMYFUNCTION("""COMPUTED_VALUE"""),"")</f>
        <v/>
      </c>
      <c r="P782" s="52" t="str">
        <f t="shared" si="22"/>
        <v/>
      </c>
      <c r="R782" s="52" t="str">
        <f t="shared" si="32"/>
        <v/>
      </c>
      <c r="Z782" s="81"/>
      <c r="AA782" s="81"/>
      <c r="AB782" s="81"/>
      <c r="AC782" s="81" t="str">
        <f t="shared" si="5"/>
        <v/>
      </c>
      <c r="AD782" s="82" t="str">
        <f t="shared" si="6"/>
        <v/>
      </c>
    </row>
    <row r="783">
      <c r="A783" s="89"/>
      <c r="B783" s="89"/>
      <c r="C783" s="89"/>
      <c r="D783" s="89"/>
      <c r="E783" s="89"/>
      <c r="F783" s="81"/>
      <c r="G783" s="89"/>
      <c r="H783" s="89"/>
      <c r="I783" s="89"/>
      <c r="J783" s="89" t="str">
        <f t="shared" si="18"/>
        <v/>
      </c>
      <c r="K783" s="89" t="str">
        <f t="shared" si="23"/>
        <v/>
      </c>
      <c r="L783" s="89" t="str">
        <f>IFERROR(__xludf.DUMMYFUNCTION("""COMPUTED_VALUE"""),"")</f>
        <v/>
      </c>
      <c r="M783" s="89" t="str">
        <f>IFERROR(__xludf.DUMMYFUNCTION("""COMPUTED_VALUE"""),"")</f>
        <v/>
      </c>
      <c r="N783" s="89" t="str">
        <f>IFERROR(__xludf.DUMMYFUNCTION("""COMPUTED_VALUE"""),"")</f>
        <v/>
      </c>
      <c r="P783" s="52" t="str">
        <f t="shared" si="22"/>
        <v/>
      </c>
      <c r="R783" s="52" t="str">
        <f t="shared" si="32"/>
        <v/>
      </c>
      <c r="Z783" s="81"/>
      <c r="AA783" s="81"/>
      <c r="AB783" s="81"/>
      <c r="AC783" s="81" t="str">
        <f t="shared" si="5"/>
        <v/>
      </c>
      <c r="AD783" s="82" t="str">
        <f t="shared" si="6"/>
        <v/>
      </c>
    </row>
    <row r="784">
      <c r="A784" s="89"/>
      <c r="B784" s="89"/>
      <c r="C784" s="89"/>
      <c r="D784" s="89"/>
      <c r="E784" s="89"/>
      <c r="F784" s="81"/>
      <c r="G784" s="89"/>
      <c r="H784" s="89"/>
      <c r="I784" s="89"/>
      <c r="J784" s="89" t="str">
        <f t="shared" si="18"/>
        <v/>
      </c>
      <c r="K784" s="89" t="str">
        <f t="shared" si="23"/>
        <v/>
      </c>
      <c r="L784" s="89" t="str">
        <f>IFERROR(__xludf.DUMMYFUNCTION("""COMPUTED_VALUE"""),"")</f>
        <v/>
      </c>
      <c r="M784" s="89" t="str">
        <f>IFERROR(__xludf.DUMMYFUNCTION("""COMPUTED_VALUE"""),"")</f>
        <v/>
      </c>
      <c r="N784" s="89" t="str">
        <f>IFERROR(__xludf.DUMMYFUNCTION("""COMPUTED_VALUE"""),"")</f>
        <v/>
      </c>
      <c r="P784" s="52" t="str">
        <f t="shared" si="22"/>
        <v/>
      </c>
      <c r="R784" s="52" t="str">
        <f t="shared" si="32"/>
        <v/>
      </c>
      <c r="Z784" s="81"/>
      <c r="AA784" s="81"/>
      <c r="AB784" s="81"/>
      <c r="AC784" s="81" t="str">
        <f t="shared" si="5"/>
        <v/>
      </c>
      <c r="AD784" s="82" t="str">
        <f t="shared" si="6"/>
        <v/>
      </c>
    </row>
    <row r="785">
      <c r="A785" s="89"/>
      <c r="B785" s="89"/>
      <c r="C785" s="89"/>
      <c r="D785" s="89"/>
      <c r="E785" s="89"/>
      <c r="F785" s="81"/>
      <c r="G785" s="89"/>
      <c r="H785" s="89"/>
      <c r="I785" s="89"/>
      <c r="J785" s="89" t="str">
        <f t="shared" si="18"/>
        <v/>
      </c>
      <c r="K785" s="89" t="str">
        <f t="shared" si="23"/>
        <v/>
      </c>
      <c r="L785" s="89" t="str">
        <f>IFERROR(__xludf.DUMMYFUNCTION("""COMPUTED_VALUE"""),"")</f>
        <v/>
      </c>
      <c r="M785" s="89" t="str">
        <f>IFERROR(__xludf.DUMMYFUNCTION("""COMPUTED_VALUE"""),"")</f>
        <v/>
      </c>
      <c r="N785" s="89" t="str">
        <f>IFERROR(__xludf.DUMMYFUNCTION("""COMPUTED_VALUE"""),"")</f>
        <v/>
      </c>
      <c r="P785" s="52" t="str">
        <f t="shared" si="22"/>
        <v/>
      </c>
      <c r="R785" s="52" t="str">
        <f t="shared" si="32"/>
        <v/>
      </c>
      <c r="Z785" s="81"/>
      <c r="AA785" s="81"/>
      <c r="AB785" s="81"/>
      <c r="AC785" s="81" t="str">
        <f t="shared" si="5"/>
        <v/>
      </c>
      <c r="AD785" s="82" t="str">
        <f t="shared" si="6"/>
        <v/>
      </c>
    </row>
    <row r="786">
      <c r="A786" s="89"/>
      <c r="B786" s="89"/>
      <c r="C786" s="89"/>
      <c r="D786" s="89"/>
      <c r="E786" s="89"/>
      <c r="F786" s="81"/>
      <c r="G786" s="89"/>
      <c r="H786" s="89"/>
      <c r="I786" s="89"/>
      <c r="J786" s="89" t="str">
        <f t="shared" si="18"/>
        <v/>
      </c>
      <c r="K786" s="89" t="str">
        <f t="shared" si="23"/>
        <v/>
      </c>
      <c r="L786" s="89" t="str">
        <f>IFERROR(__xludf.DUMMYFUNCTION("""COMPUTED_VALUE"""),"")</f>
        <v/>
      </c>
      <c r="M786" s="89" t="str">
        <f>IFERROR(__xludf.DUMMYFUNCTION("""COMPUTED_VALUE"""),"")</f>
        <v/>
      </c>
      <c r="N786" s="89" t="str">
        <f>IFERROR(__xludf.DUMMYFUNCTION("""COMPUTED_VALUE"""),"")</f>
        <v/>
      </c>
      <c r="P786" s="52" t="str">
        <f t="shared" si="22"/>
        <v/>
      </c>
      <c r="R786" s="52" t="str">
        <f t="shared" si="32"/>
        <v/>
      </c>
      <c r="Z786" s="81"/>
      <c r="AA786" s="81"/>
      <c r="AB786" s="81"/>
      <c r="AC786" s="81" t="str">
        <f t="shared" si="5"/>
        <v/>
      </c>
      <c r="AD786" s="82" t="str">
        <f t="shared" si="6"/>
        <v/>
      </c>
    </row>
    <row r="787">
      <c r="A787" s="89"/>
      <c r="B787" s="89"/>
      <c r="C787" s="89"/>
      <c r="D787" s="89"/>
      <c r="E787" s="89"/>
      <c r="F787" s="81"/>
      <c r="G787" s="89"/>
      <c r="H787" s="89"/>
      <c r="I787" s="89"/>
      <c r="J787" s="89" t="str">
        <f t="shared" si="18"/>
        <v/>
      </c>
      <c r="K787" s="89" t="str">
        <f t="shared" si="23"/>
        <v/>
      </c>
      <c r="L787" s="89" t="str">
        <f>IFERROR(__xludf.DUMMYFUNCTION("""COMPUTED_VALUE"""),"")</f>
        <v/>
      </c>
      <c r="M787" s="89" t="str">
        <f>IFERROR(__xludf.DUMMYFUNCTION("""COMPUTED_VALUE"""),"")</f>
        <v/>
      </c>
      <c r="N787" s="89" t="str">
        <f>IFERROR(__xludf.DUMMYFUNCTION("""COMPUTED_VALUE"""),"")</f>
        <v/>
      </c>
      <c r="P787" s="52" t="str">
        <f t="shared" si="22"/>
        <v/>
      </c>
      <c r="R787" s="52" t="str">
        <f t="shared" si="32"/>
        <v/>
      </c>
      <c r="Z787" s="81"/>
      <c r="AA787" s="81"/>
      <c r="AB787" s="81"/>
      <c r="AC787" s="81" t="str">
        <f t="shared" si="5"/>
        <v/>
      </c>
      <c r="AD787" s="82" t="str">
        <f t="shared" si="6"/>
        <v/>
      </c>
    </row>
    <row r="788">
      <c r="A788" s="89"/>
      <c r="B788" s="89"/>
      <c r="C788" s="89"/>
      <c r="D788" s="89"/>
      <c r="E788" s="89"/>
      <c r="F788" s="81"/>
      <c r="G788" s="89"/>
      <c r="H788" s="89"/>
      <c r="I788" s="89"/>
      <c r="J788" s="89" t="str">
        <f t="shared" si="18"/>
        <v/>
      </c>
      <c r="K788" s="89" t="str">
        <f t="shared" si="23"/>
        <v/>
      </c>
      <c r="L788" s="89" t="str">
        <f>IFERROR(__xludf.DUMMYFUNCTION("""COMPUTED_VALUE"""),"")</f>
        <v/>
      </c>
      <c r="M788" s="89" t="str">
        <f>IFERROR(__xludf.DUMMYFUNCTION("""COMPUTED_VALUE"""),"")</f>
        <v/>
      </c>
      <c r="N788" s="89" t="str">
        <f>IFERROR(__xludf.DUMMYFUNCTION("""COMPUTED_VALUE"""),"")</f>
        <v/>
      </c>
      <c r="P788" s="52" t="str">
        <f t="shared" si="22"/>
        <v/>
      </c>
      <c r="R788" s="52" t="str">
        <f t="shared" si="32"/>
        <v/>
      </c>
      <c r="Z788" s="81"/>
      <c r="AA788" s="81"/>
      <c r="AB788" s="81"/>
      <c r="AC788" s="81" t="str">
        <f t="shared" si="5"/>
        <v/>
      </c>
      <c r="AD788" s="82" t="str">
        <f t="shared" si="6"/>
        <v/>
      </c>
    </row>
    <row r="789">
      <c r="A789" s="89"/>
      <c r="B789" s="89"/>
      <c r="C789" s="89"/>
      <c r="D789" s="89"/>
      <c r="E789" s="89"/>
      <c r="F789" s="81"/>
      <c r="G789" s="89"/>
      <c r="H789" s="89"/>
      <c r="I789" s="89"/>
      <c r="J789" s="89" t="str">
        <f t="shared" si="18"/>
        <v/>
      </c>
      <c r="K789" s="89" t="str">
        <f t="shared" si="23"/>
        <v/>
      </c>
      <c r="L789" s="89" t="str">
        <f>IFERROR(__xludf.DUMMYFUNCTION("""COMPUTED_VALUE"""),"")</f>
        <v/>
      </c>
      <c r="M789" s="89" t="str">
        <f>IFERROR(__xludf.DUMMYFUNCTION("""COMPUTED_VALUE"""),"")</f>
        <v/>
      </c>
      <c r="N789" s="89" t="str">
        <f>IFERROR(__xludf.DUMMYFUNCTION("""COMPUTED_VALUE"""),"")</f>
        <v/>
      </c>
      <c r="P789" s="52" t="str">
        <f t="shared" si="22"/>
        <v/>
      </c>
      <c r="R789" s="52" t="str">
        <f t="shared" si="32"/>
        <v/>
      </c>
      <c r="Z789" s="81"/>
      <c r="AA789" s="81"/>
      <c r="AB789" s="81"/>
      <c r="AC789" s="81" t="str">
        <f t="shared" si="5"/>
        <v/>
      </c>
      <c r="AD789" s="82" t="str">
        <f t="shared" si="6"/>
        <v/>
      </c>
    </row>
    <row r="790">
      <c r="A790" s="89"/>
      <c r="B790" s="89"/>
      <c r="C790" s="89"/>
      <c r="D790" s="89"/>
      <c r="E790" s="89"/>
      <c r="F790" s="81"/>
      <c r="G790" s="89"/>
      <c r="H790" s="89"/>
      <c r="I790" s="89"/>
      <c r="J790" s="89" t="str">
        <f t="shared" si="18"/>
        <v/>
      </c>
      <c r="K790" s="89" t="str">
        <f t="shared" si="23"/>
        <v/>
      </c>
      <c r="L790" s="89" t="str">
        <f>IFERROR(__xludf.DUMMYFUNCTION("""COMPUTED_VALUE"""),"")</f>
        <v/>
      </c>
      <c r="M790" s="89" t="str">
        <f>IFERROR(__xludf.DUMMYFUNCTION("""COMPUTED_VALUE"""),"")</f>
        <v/>
      </c>
      <c r="N790" s="89" t="str">
        <f>IFERROR(__xludf.DUMMYFUNCTION("""COMPUTED_VALUE"""),"")</f>
        <v/>
      </c>
      <c r="P790" s="52" t="str">
        <f t="shared" si="22"/>
        <v/>
      </c>
      <c r="R790" s="52" t="str">
        <f t="shared" si="32"/>
        <v/>
      </c>
      <c r="Z790" s="81"/>
      <c r="AA790" s="81"/>
      <c r="AB790" s="81"/>
      <c r="AC790" s="81" t="str">
        <f t="shared" si="5"/>
        <v/>
      </c>
      <c r="AD790" s="82" t="str">
        <f t="shared" si="6"/>
        <v/>
      </c>
    </row>
    <row r="791">
      <c r="A791" s="89"/>
      <c r="B791" s="89"/>
      <c r="C791" s="89"/>
      <c r="D791" s="89"/>
      <c r="E791" s="89"/>
      <c r="F791" s="81"/>
      <c r="G791" s="89"/>
      <c r="H791" s="89"/>
      <c r="I791" s="89"/>
      <c r="J791" s="89" t="str">
        <f t="shared" si="18"/>
        <v/>
      </c>
      <c r="K791" s="89" t="str">
        <f t="shared" si="23"/>
        <v/>
      </c>
      <c r="L791" s="89" t="str">
        <f>IFERROR(__xludf.DUMMYFUNCTION("""COMPUTED_VALUE"""),"")</f>
        <v/>
      </c>
      <c r="M791" s="89" t="str">
        <f>IFERROR(__xludf.DUMMYFUNCTION("""COMPUTED_VALUE"""),"")</f>
        <v/>
      </c>
      <c r="N791" s="89" t="str">
        <f>IFERROR(__xludf.DUMMYFUNCTION("""COMPUTED_VALUE"""),"")</f>
        <v/>
      </c>
      <c r="P791" s="52" t="str">
        <f t="shared" si="22"/>
        <v/>
      </c>
      <c r="R791" s="52" t="str">
        <f t="shared" si="32"/>
        <v/>
      </c>
      <c r="Z791" s="81"/>
      <c r="AA791" s="81"/>
      <c r="AB791" s="81"/>
      <c r="AC791" s="81" t="str">
        <f t="shared" si="5"/>
        <v/>
      </c>
      <c r="AD791" s="82" t="str">
        <f t="shared" si="6"/>
        <v/>
      </c>
    </row>
    <row r="792">
      <c r="A792" s="89"/>
      <c r="B792" s="89"/>
      <c r="C792" s="89"/>
      <c r="D792" s="89"/>
      <c r="E792" s="89"/>
      <c r="F792" s="81"/>
      <c r="G792" s="89"/>
      <c r="H792" s="89"/>
      <c r="I792" s="89"/>
      <c r="J792" s="89" t="str">
        <f t="shared" si="18"/>
        <v/>
      </c>
      <c r="K792" s="89" t="str">
        <f t="shared" si="23"/>
        <v/>
      </c>
      <c r="L792" s="89" t="str">
        <f>IFERROR(__xludf.DUMMYFUNCTION("""COMPUTED_VALUE"""),"")</f>
        <v/>
      </c>
      <c r="M792" s="89" t="str">
        <f>IFERROR(__xludf.DUMMYFUNCTION("""COMPUTED_VALUE"""),"")</f>
        <v/>
      </c>
      <c r="N792" s="89" t="str">
        <f>IFERROR(__xludf.DUMMYFUNCTION("""COMPUTED_VALUE"""),"")</f>
        <v/>
      </c>
      <c r="P792" s="52" t="str">
        <f t="shared" si="22"/>
        <v/>
      </c>
      <c r="R792" s="52" t="str">
        <f t="shared" si="32"/>
        <v/>
      </c>
      <c r="Z792" s="81"/>
      <c r="AA792" s="81"/>
      <c r="AB792" s="81"/>
      <c r="AC792" s="81" t="str">
        <f t="shared" si="5"/>
        <v/>
      </c>
      <c r="AD792" s="82" t="str">
        <f t="shared" si="6"/>
        <v/>
      </c>
    </row>
    <row r="793">
      <c r="A793" s="89"/>
      <c r="B793" s="89"/>
      <c r="C793" s="89"/>
      <c r="D793" s="89"/>
      <c r="E793" s="89"/>
      <c r="F793" s="81"/>
      <c r="G793" s="89"/>
      <c r="H793" s="89"/>
      <c r="I793" s="89"/>
      <c r="J793" s="89" t="str">
        <f t="shared" si="18"/>
        <v/>
      </c>
      <c r="K793" s="89" t="str">
        <f t="shared" si="23"/>
        <v/>
      </c>
      <c r="L793" s="89" t="str">
        <f>IFERROR(__xludf.DUMMYFUNCTION("""COMPUTED_VALUE"""),"")</f>
        <v/>
      </c>
      <c r="M793" s="89" t="str">
        <f>IFERROR(__xludf.DUMMYFUNCTION("""COMPUTED_VALUE"""),"")</f>
        <v/>
      </c>
      <c r="N793" s="89" t="str">
        <f>IFERROR(__xludf.DUMMYFUNCTION("""COMPUTED_VALUE"""),"")</f>
        <v/>
      </c>
      <c r="P793" s="52" t="str">
        <f t="shared" si="22"/>
        <v/>
      </c>
      <c r="R793" s="52" t="str">
        <f t="shared" si="32"/>
        <v/>
      </c>
      <c r="Z793" s="81"/>
      <c r="AA793" s="81"/>
      <c r="AB793" s="81"/>
      <c r="AC793" s="81" t="str">
        <f t="shared" si="5"/>
        <v/>
      </c>
      <c r="AD793" s="82" t="str">
        <f t="shared" si="6"/>
        <v/>
      </c>
    </row>
    <row r="794">
      <c r="A794" s="89"/>
      <c r="B794" s="89"/>
      <c r="C794" s="89"/>
      <c r="D794" s="89"/>
      <c r="E794" s="89"/>
      <c r="F794" s="81"/>
      <c r="G794" s="89"/>
      <c r="H794" s="89"/>
      <c r="I794" s="89"/>
      <c r="J794" s="89" t="str">
        <f t="shared" si="18"/>
        <v/>
      </c>
      <c r="K794" s="89" t="str">
        <f t="shared" si="23"/>
        <v/>
      </c>
      <c r="L794" s="89" t="str">
        <f>IFERROR(__xludf.DUMMYFUNCTION("""COMPUTED_VALUE"""),"")</f>
        <v/>
      </c>
      <c r="M794" s="89" t="str">
        <f>IFERROR(__xludf.DUMMYFUNCTION("""COMPUTED_VALUE"""),"")</f>
        <v/>
      </c>
      <c r="N794" s="89" t="str">
        <f>IFERROR(__xludf.DUMMYFUNCTION("""COMPUTED_VALUE"""),"")</f>
        <v/>
      </c>
      <c r="P794" s="52" t="str">
        <f t="shared" si="22"/>
        <v/>
      </c>
      <c r="R794" s="52" t="str">
        <f t="shared" si="32"/>
        <v/>
      </c>
      <c r="Z794" s="81"/>
      <c r="AA794" s="81"/>
      <c r="AB794" s="81"/>
      <c r="AC794" s="81" t="str">
        <f t="shared" si="5"/>
        <v/>
      </c>
      <c r="AD794" s="82" t="str">
        <f t="shared" si="6"/>
        <v/>
      </c>
    </row>
    <row r="795">
      <c r="A795" s="89"/>
      <c r="B795" s="89"/>
      <c r="C795" s="89"/>
      <c r="D795" s="89"/>
      <c r="E795" s="89"/>
      <c r="F795" s="81"/>
      <c r="G795" s="89"/>
      <c r="H795" s="89"/>
      <c r="I795" s="89"/>
      <c r="J795" s="89" t="str">
        <f t="shared" si="18"/>
        <v/>
      </c>
      <c r="K795" s="89" t="str">
        <f t="shared" si="23"/>
        <v/>
      </c>
      <c r="L795" s="89" t="str">
        <f>IFERROR(__xludf.DUMMYFUNCTION("""COMPUTED_VALUE"""),"")</f>
        <v/>
      </c>
      <c r="M795" s="89" t="str">
        <f>IFERROR(__xludf.DUMMYFUNCTION("""COMPUTED_VALUE"""),"")</f>
        <v/>
      </c>
      <c r="N795" s="89" t="str">
        <f>IFERROR(__xludf.DUMMYFUNCTION("""COMPUTED_VALUE"""),"")</f>
        <v/>
      </c>
      <c r="P795" s="52" t="str">
        <f t="shared" si="22"/>
        <v/>
      </c>
      <c r="R795" s="52" t="str">
        <f t="shared" si="32"/>
        <v/>
      </c>
      <c r="Z795" s="81"/>
      <c r="AA795" s="81"/>
      <c r="AB795" s="81"/>
      <c r="AC795" s="81" t="str">
        <f t="shared" si="5"/>
        <v/>
      </c>
      <c r="AD795" s="82" t="str">
        <f t="shared" si="6"/>
        <v/>
      </c>
    </row>
    <row r="796">
      <c r="A796" s="89"/>
      <c r="B796" s="89"/>
      <c r="C796" s="89"/>
      <c r="D796" s="89"/>
      <c r="E796" s="89"/>
      <c r="F796" s="81"/>
      <c r="G796" s="89"/>
      <c r="H796" s="89"/>
      <c r="I796" s="89"/>
      <c r="J796" s="89" t="str">
        <f t="shared" si="18"/>
        <v/>
      </c>
      <c r="K796" s="89" t="str">
        <f t="shared" si="23"/>
        <v/>
      </c>
      <c r="L796" s="89" t="str">
        <f>IFERROR(__xludf.DUMMYFUNCTION("""COMPUTED_VALUE"""),"")</f>
        <v/>
      </c>
      <c r="M796" s="89" t="str">
        <f>IFERROR(__xludf.DUMMYFUNCTION("""COMPUTED_VALUE"""),"")</f>
        <v/>
      </c>
      <c r="N796" s="89" t="str">
        <f>IFERROR(__xludf.DUMMYFUNCTION("""COMPUTED_VALUE"""),"")</f>
        <v/>
      </c>
      <c r="P796" s="52" t="str">
        <f t="shared" si="22"/>
        <v/>
      </c>
      <c r="R796" s="52" t="str">
        <f t="shared" si="32"/>
        <v/>
      </c>
      <c r="Z796" s="81"/>
      <c r="AA796" s="81"/>
      <c r="AB796" s="81"/>
      <c r="AC796" s="81" t="str">
        <f t="shared" si="5"/>
        <v/>
      </c>
      <c r="AD796" s="82" t="str">
        <f t="shared" si="6"/>
        <v/>
      </c>
    </row>
    <row r="797">
      <c r="A797" s="89"/>
      <c r="B797" s="89"/>
      <c r="C797" s="89"/>
      <c r="D797" s="89"/>
      <c r="E797" s="89"/>
      <c r="F797" s="81"/>
      <c r="G797" s="89"/>
      <c r="H797" s="89"/>
      <c r="I797" s="89"/>
      <c r="J797" s="89" t="str">
        <f t="shared" si="18"/>
        <v/>
      </c>
      <c r="K797" s="89" t="str">
        <f t="shared" si="23"/>
        <v/>
      </c>
      <c r="L797" s="89" t="str">
        <f>IFERROR(__xludf.DUMMYFUNCTION("""COMPUTED_VALUE"""),"")</f>
        <v/>
      </c>
      <c r="M797" s="89" t="str">
        <f>IFERROR(__xludf.DUMMYFUNCTION("""COMPUTED_VALUE"""),"")</f>
        <v/>
      </c>
      <c r="N797" s="89" t="str">
        <f>IFERROR(__xludf.DUMMYFUNCTION("""COMPUTED_VALUE"""),"")</f>
        <v/>
      </c>
      <c r="P797" s="52" t="str">
        <f t="shared" si="22"/>
        <v/>
      </c>
      <c r="R797" s="52" t="str">
        <f t="shared" si="32"/>
        <v/>
      </c>
      <c r="Z797" s="81"/>
      <c r="AA797" s="81"/>
      <c r="AB797" s="81"/>
      <c r="AC797" s="81" t="str">
        <f t="shared" si="5"/>
        <v/>
      </c>
      <c r="AD797" s="82" t="str">
        <f t="shared" si="6"/>
        <v/>
      </c>
    </row>
    <row r="798">
      <c r="A798" s="89"/>
      <c r="B798" s="89"/>
      <c r="C798" s="89"/>
      <c r="D798" s="89"/>
      <c r="E798" s="89"/>
      <c r="F798" s="81"/>
      <c r="G798" s="89"/>
      <c r="H798" s="89"/>
      <c r="I798" s="89"/>
      <c r="J798" s="89" t="str">
        <f t="shared" si="18"/>
        <v/>
      </c>
      <c r="K798" s="89" t="str">
        <f t="shared" si="23"/>
        <v/>
      </c>
      <c r="L798" s="89" t="str">
        <f>IFERROR(__xludf.DUMMYFUNCTION("""COMPUTED_VALUE"""),"")</f>
        <v/>
      </c>
      <c r="M798" s="89" t="str">
        <f>IFERROR(__xludf.DUMMYFUNCTION("""COMPUTED_VALUE"""),"")</f>
        <v/>
      </c>
      <c r="N798" s="89" t="str">
        <f>IFERROR(__xludf.DUMMYFUNCTION("""COMPUTED_VALUE"""),"")</f>
        <v/>
      </c>
      <c r="P798" s="52" t="str">
        <f t="shared" si="22"/>
        <v/>
      </c>
      <c r="R798" s="52" t="str">
        <f t="shared" si="32"/>
        <v/>
      </c>
      <c r="Z798" s="81"/>
      <c r="AA798" s="81"/>
      <c r="AB798" s="81"/>
      <c r="AC798" s="81" t="str">
        <f t="shared" si="5"/>
        <v/>
      </c>
      <c r="AD798" s="82" t="str">
        <f t="shared" si="6"/>
        <v/>
      </c>
    </row>
    <row r="799">
      <c r="A799" s="89"/>
      <c r="B799" s="89"/>
      <c r="C799" s="89"/>
      <c r="D799" s="89"/>
      <c r="E799" s="89"/>
      <c r="F799" s="81"/>
      <c r="G799" s="89"/>
      <c r="H799" s="89"/>
      <c r="I799" s="89"/>
      <c r="J799" s="89" t="str">
        <f t="shared" si="18"/>
        <v/>
      </c>
      <c r="K799" s="89" t="str">
        <f t="shared" si="23"/>
        <v/>
      </c>
      <c r="L799" s="89" t="str">
        <f>IFERROR(__xludf.DUMMYFUNCTION("""COMPUTED_VALUE"""),"")</f>
        <v/>
      </c>
      <c r="M799" s="89" t="str">
        <f>IFERROR(__xludf.DUMMYFUNCTION("""COMPUTED_VALUE"""),"")</f>
        <v/>
      </c>
      <c r="N799" s="89" t="str">
        <f>IFERROR(__xludf.DUMMYFUNCTION("""COMPUTED_VALUE"""),"")</f>
        <v/>
      </c>
      <c r="P799" s="52" t="str">
        <f t="shared" si="22"/>
        <v/>
      </c>
      <c r="R799" s="52" t="str">
        <f t="shared" si="32"/>
        <v/>
      </c>
      <c r="Z799" s="81"/>
      <c r="AA799" s="81"/>
      <c r="AB799" s="81"/>
      <c r="AC799" s="81" t="str">
        <f t="shared" si="5"/>
        <v/>
      </c>
      <c r="AD799" s="82" t="str">
        <f t="shared" si="6"/>
        <v/>
      </c>
    </row>
    <row r="800">
      <c r="A800" s="89"/>
      <c r="B800" s="89"/>
      <c r="C800" s="89"/>
      <c r="D800" s="89"/>
      <c r="E800" s="89"/>
      <c r="F800" s="81"/>
      <c r="G800" s="89"/>
      <c r="H800" s="89"/>
      <c r="I800" s="89"/>
      <c r="J800" s="89" t="str">
        <f t="shared" si="18"/>
        <v/>
      </c>
      <c r="K800" s="89" t="str">
        <f t="shared" si="23"/>
        <v/>
      </c>
      <c r="L800" s="89" t="str">
        <f>IFERROR(__xludf.DUMMYFUNCTION("""COMPUTED_VALUE"""),"")</f>
        <v/>
      </c>
      <c r="M800" s="89" t="str">
        <f>IFERROR(__xludf.DUMMYFUNCTION("""COMPUTED_VALUE"""),"")</f>
        <v/>
      </c>
      <c r="N800" s="89" t="str">
        <f>IFERROR(__xludf.DUMMYFUNCTION("""COMPUTED_VALUE"""),"")</f>
        <v/>
      </c>
      <c r="P800" s="52" t="str">
        <f t="shared" si="22"/>
        <v/>
      </c>
      <c r="R800" s="52" t="str">
        <f t="shared" si="32"/>
        <v/>
      </c>
      <c r="Z800" s="81"/>
      <c r="AA800" s="81"/>
      <c r="AB800" s="81"/>
      <c r="AC800" s="81" t="str">
        <f t="shared" si="5"/>
        <v/>
      </c>
      <c r="AD800" s="82" t="str">
        <f t="shared" si="6"/>
        <v/>
      </c>
    </row>
    <row r="801">
      <c r="A801" s="89"/>
      <c r="B801" s="89"/>
      <c r="C801" s="89"/>
      <c r="D801" s="89"/>
      <c r="E801" s="89"/>
      <c r="F801" s="81"/>
      <c r="G801" s="89"/>
      <c r="H801" s="89"/>
      <c r="I801" s="89"/>
      <c r="J801" s="89" t="str">
        <f t="shared" si="18"/>
        <v/>
      </c>
      <c r="K801" s="89" t="str">
        <f t="shared" si="23"/>
        <v/>
      </c>
      <c r="L801" s="89" t="str">
        <f>IFERROR(__xludf.DUMMYFUNCTION("""COMPUTED_VALUE"""),"")</f>
        <v/>
      </c>
      <c r="M801" s="89" t="str">
        <f>IFERROR(__xludf.DUMMYFUNCTION("""COMPUTED_VALUE"""),"")</f>
        <v/>
      </c>
      <c r="N801" s="89" t="str">
        <f>IFERROR(__xludf.DUMMYFUNCTION("""COMPUTED_VALUE"""),"")</f>
        <v/>
      </c>
      <c r="P801" s="52" t="str">
        <f t="shared" si="22"/>
        <v/>
      </c>
      <c r="R801" s="52" t="str">
        <f t="shared" si="32"/>
        <v/>
      </c>
      <c r="Z801" s="81"/>
      <c r="AA801" s="81"/>
      <c r="AB801" s="81"/>
      <c r="AC801" s="81" t="str">
        <f t="shared" si="5"/>
        <v/>
      </c>
      <c r="AD801" s="82" t="str">
        <f t="shared" si="6"/>
        <v/>
      </c>
    </row>
    <row r="802">
      <c r="A802" s="89"/>
      <c r="B802" s="89"/>
      <c r="C802" s="89"/>
      <c r="D802" s="89"/>
      <c r="E802" s="89"/>
      <c r="F802" s="81"/>
      <c r="G802" s="89"/>
      <c r="H802" s="89"/>
      <c r="I802" s="89"/>
      <c r="J802" s="89" t="str">
        <f t="shared" si="18"/>
        <v/>
      </c>
      <c r="K802" s="89" t="str">
        <f t="shared" si="23"/>
        <v/>
      </c>
      <c r="L802" s="89" t="str">
        <f>IFERROR(__xludf.DUMMYFUNCTION("""COMPUTED_VALUE"""),"")</f>
        <v/>
      </c>
      <c r="M802" s="89" t="str">
        <f>IFERROR(__xludf.DUMMYFUNCTION("""COMPUTED_VALUE"""),"")</f>
        <v/>
      </c>
      <c r="N802" s="89" t="str">
        <f>IFERROR(__xludf.DUMMYFUNCTION("""COMPUTED_VALUE"""),"")</f>
        <v/>
      </c>
      <c r="P802" s="52" t="str">
        <f t="shared" si="22"/>
        <v/>
      </c>
      <c r="R802" s="52" t="str">
        <f t="shared" si="32"/>
        <v/>
      </c>
      <c r="Z802" s="81"/>
      <c r="AA802" s="81"/>
      <c r="AB802" s="81"/>
      <c r="AC802" s="81" t="str">
        <f t="shared" si="5"/>
        <v/>
      </c>
      <c r="AD802" s="82" t="str">
        <f t="shared" si="6"/>
        <v/>
      </c>
    </row>
    <row r="803">
      <c r="A803" s="89"/>
      <c r="B803" s="89"/>
      <c r="C803" s="89"/>
      <c r="D803" s="89"/>
      <c r="E803" s="89"/>
      <c r="F803" s="81"/>
      <c r="G803" s="89"/>
      <c r="H803" s="89"/>
      <c r="I803" s="89"/>
      <c r="J803" s="89" t="str">
        <f t="shared" si="18"/>
        <v/>
      </c>
      <c r="K803" s="89" t="str">
        <f t="shared" si="23"/>
        <v/>
      </c>
      <c r="L803" s="89" t="str">
        <f>IFERROR(__xludf.DUMMYFUNCTION("""COMPUTED_VALUE"""),"")</f>
        <v/>
      </c>
      <c r="M803" s="89" t="str">
        <f>IFERROR(__xludf.DUMMYFUNCTION("""COMPUTED_VALUE"""),"")</f>
        <v/>
      </c>
      <c r="N803" s="89" t="str">
        <f>IFERROR(__xludf.DUMMYFUNCTION("""COMPUTED_VALUE"""),"")</f>
        <v/>
      </c>
      <c r="P803" s="52" t="str">
        <f t="shared" si="22"/>
        <v/>
      </c>
      <c r="R803" s="52" t="str">
        <f t="shared" si="32"/>
        <v/>
      </c>
      <c r="Z803" s="81"/>
      <c r="AA803" s="81"/>
      <c r="AB803" s="81"/>
      <c r="AC803" s="81" t="str">
        <f t="shared" si="5"/>
        <v/>
      </c>
      <c r="AD803" s="82" t="str">
        <f t="shared" si="6"/>
        <v/>
      </c>
    </row>
    <row r="804">
      <c r="A804" s="89"/>
      <c r="B804" s="89"/>
      <c r="C804" s="89"/>
      <c r="D804" s="89"/>
      <c r="E804" s="89"/>
      <c r="F804" s="81"/>
      <c r="G804" s="89"/>
      <c r="H804" s="89"/>
      <c r="I804" s="89"/>
      <c r="J804" s="89" t="str">
        <f t="shared" si="18"/>
        <v/>
      </c>
      <c r="K804" s="89" t="str">
        <f t="shared" si="23"/>
        <v/>
      </c>
      <c r="L804" s="89" t="str">
        <f>IFERROR(__xludf.DUMMYFUNCTION("""COMPUTED_VALUE"""),"")</f>
        <v/>
      </c>
      <c r="M804" s="89" t="str">
        <f>IFERROR(__xludf.DUMMYFUNCTION("""COMPUTED_VALUE"""),"")</f>
        <v/>
      </c>
      <c r="N804" s="89" t="str">
        <f>IFERROR(__xludf.DUMMYFUNCTION("""COMPUTED_VALUE"""),"")</f>
        <v/>
      </c>
      <c r="P804" s="52" t="str">
        <f t="shared" si="22"/>
        <v/>
      </c>
      <c r="R804" s="52" t="str">
        <f t="shared" si="32"/>
        <v/>
      </c>
      <c r="Z804" s="81"/>
      <c r="AA804" s="81"/>
      <c r="AB804" s="81"/>
      <c r="AC804" s="81" t="str">
        <f t="shared" si="5"/>
        <v/>
      </c>
      <c r="AD804" s="82" t="str">
        <f t="shared" si="6"/>
        <v/>
      </c>
    </row>
    <row r="805">
      <c r="A805" s="89"/>
      <c r="B805" s="89"/>
      <c r="C805" s="89"/>
      <c r="D805" s="89"/>
      <c r="E805" s="89"/>
      <c r="F805" s="81"/>
      <c r="G805" s="89"/>
      <c r="H805" s="89"/>
      <c r="I805" s="89"/>
      <c r="J805" s="89" t="str">
        <f t="shared" si="18"/>
        <v/>
      </c>
      <c r="K805" s="89" t="str">
        <f t="shared" si="23"/>
        <v/>
      </c>
      <c r="L805" s="89" t="str">
        <f>IFERROR(__xludf.DUMMYFUNCTION("""COMPUTED_VALUE"""),"")</f>
        <v/>
      </c>
      <c r="M805" s="89" t="str">
        <f>IFERROR(__xludf.DUMMYFUNCTION("""COMPUTED_VALUE"""),"")</f>
        <v/>
      </c>
      <c r="N805" s="89" t="str">
        <f>IFERROR(__xludf.DUMMYFUNCTION("""COMPUTED_VALUE"""),"")</f>
        <v/>
      </c>
      <c r="P805" s="52" t="str">
        <f t="shared" si="22"/>
        <v/>
      </c>
      <c r="R805" s="52" t="str">
        <f t="shared" si="32"/>
        <v/>
      </c>
      <c r="Z805" s="81"/>
      <c r="AA805" s="81"/>
      <c r="AB805" s="81"/>
      <c r="AC805" s="81" t="str">
        <f t="shared" si="5"/>
        <v/>
      </c>
      <c r="AD805" s="82" t="str">
        <f t="shared" si="6"/>
        <v/>
      </c>
    </row>
    <row r="806">
      <c r="A806" s="89"/>
      <c r="B806" s="89"/>
      <c r="C806" s="89"/>
      <c r="D806" s="89"/>
      <c r="E806" s="89"/>
      <c r="F806" s="81"/>
      <c r="G806" s="89"/>
      <c r="H806" s="89"/>
      <c r="I806" s="89"/>
      <c r="J806" s="89" t="str">
        <f t="shared" si="18"/>
        <v/>
      </c>
      <c r="K806" s="89" t="str">
        <f t="shared" si="23"/>
        <v/>
      </c>
      <c r="L806" s="89" t="str">
        <f>IFERROR(__xludf.DUMMYFUNCTION("""COMPUTED_VALUE"""),"")</f>
        <v/>
      </c>
      <c r="M806" s="89" t="str">
        <f>IFERROR(__xludf.DUMMYFUNCTION("""COMPUTED_VALUE"""),"")</f>
        <v/>
      </c>
      <c r="N806" s="89" t="str">
        <f>IFERROR(__xludf.DUMMYFUNCTION("""COMPUTED_VALUE"""),"")</f>
        <v/>
      </c>
      <c r="P806" s="52" t="str">
        <f t="shared" si="22"/>
        <v/>
      </c>
      <c r="R806" s="52" t="str">
        <f t="shared" si="32"/>
        <v/>
      </c>
      <c r="Z806" s="81"/>
      <c r="AA806" s="81"/>
      <c r="AB806" s="81"/>
      <c r="AC806" s="81" t="str">
        <f t="shared" si="5"/>
        <v/>
      </c>
      <c r="AD806" s="82" t="str">
        <f t="shared" si="6"/>
        <v/>
      </c>
    </row>
    <row r="807">
      <c r="A807" s="89"/>
      <c r="B807" s="89"/>
      <c r="C807" s="89"/>
      <c r="D807" s="89"/>
      <c r="E807" s="89"/>
      <c r="F807" s="81"/>
      <c r="G807" s="89"/>
      <c r="H807" s="89"/>
      <c r="I807" s="89"/>
      <c r="J807" s="89" t="str">
        <f t="shared" si="18"/>
        <v/>
      </c>
      <c r="K807" s="89" t="str">
        <f t="shared" si="23"/>
        <v/>
      </c>
      <c r="L807" s="89" t="str">
        <f>IFERROR(__xludf.DUMMYFUNCTION("""COMPUTED_VALUE"""),"")</f>
        <v/>
      </c>
      <c r="M807" s="89" t="str">
        <f>IFERROR(__xludf.DUMMYFUNCTION("""COMPUTED_VALUE"""),"")</f>
        <v/>
      </c>
      <c r="N807" s="89" t="str">
        <f>IFERROR(__xludf.DUMMYFUNCTION("""COMPUTED_VALUE"""),"")</f>
        <v/>
      </c>
      <c r="P807" s="52" t="str">
        <f t="shared" si="22"/>
        <v/>
      </c>
      <c r="R807" s="52" t="str">
        <f t="shared" si="32"/>
        <v/>
      </c>
      <c r="Z807" s="81"/>
      <c r="AA807" s="81"/>
      <c r="AB807" s="81"/>
      <c r="AC807" s="81" t="str">
        <f t="shared" si="5"/>
        <v/>
      </c>
      <c r="AD807" s="82" t="str">
        <f t="shared" si="6"/>
        <v/>
      </c>
    </row>
    <row r="808">
      <c r="A808" s="89"/>
      <c r="B808" s="89"/>
      <c r="C808" s="89"/>
      <c r="D808" s="89"/>
      <c r="E808" s="89"/>
      <c r="F808" s="81"/>
      <c r="G808" s="89"/>
      <c r="H808" s="89"/>
      <c r="I808" s="89"/>
      <c r="J808" s="89" t="str">
        <f t="shared" si="18"/>
        <v/>
      </c>
      <c r="K808" s="89" t="str">
        <f t="shared" si="23"/>
        <v/>
      </c>
      <c r="L808" s="89" t="str">
        <f>IFERROR(__xludf.DUMMYFUNCTION("""COMPUTED_VALUE"""),"")</f>
        <v/>
      </c>
      <c r="M808" s="89" t="str">
        <f>IFERROR(__xludf.DUMMYFUNCTION("""COMPUTED_VALUE"""),"")</f>
        <v/>
      </c>
      <c r="N808" s="89" t="str">
        <f>IFERROR(__xludf.DUMMYFUNCTION("""COMPUTED_VALUE"""),"")</f>
        <v/>
      </c>
      <c r="P808" s="52" t="str">
        <f t="shared" si="22"/>
        <v/>
      </c>
      <c r="R808" s="52" t="str">
        <f t="shared" si="32"/>
        <v/>
      </c>
      <c r="Z808" s="81"/>
      <c r="AA808" s="81"/>
      <c r="AB808" s="81"/>
      <c r="AC808" s="81" t="str">
        <f t="shared" si="5"/>
        <v/>
      </c>
      <c r="AD808" s="82" t="str">
        <f t="shared" si="6"/>
        <v/>
      </c>
    </row>
    <row r="809">
      <c r="A809" s="89"/>
      <c r="B809" s="89"/>
      <c r="C809" s="89"/>
      <c r="D809" s="89"/>
      <c r="E809" s="89"/>
      <c r="F809" s="81"/>
      <c r="G809" s="89"/>
      <c r="H809" s="89"/>
      <c r="I809" s="89"/>
      <c r="J809" s="89" t="str">
        <f t="shared" si="18"/>
        <v/>
      </c>
      <c r="K809" s="89" t="str">
        <f t="shared" si="23"/>
        <v/>
      </c>
      <c r="L809" s="89" t="str">
        <f>IFERROR(__xludf.DUMMYFUNCTION("""COMPUTED_VALUE"""),"")</f>
        <v/>
      </c>
      <c r="M809" s="89" t="str">
        <f>IFERROR(__xludf.DUMMYFUNCTION("""COMPUTED_VALUE"""),"")</f>
        <v/>
      </c>
      <c r="N809" s="89" t="str">
        <f>IFERROR(__xludf.DUMMYFUNCTION("""COMPUTED_VALUE"""),"")</f>
        <v/>
      </c>
      <c r="P809" s="52" t="str">
        <f t="shared" si="22"/>
        <v/>
      </c>
      <c r="R809" s="52" t="str">
        <f t="shared" si="32"/>
        <v/>
      </c>
      <c r="Z809" s="81"/>
      <c r="AA809" s="81"/>
      <c r="AB809" s="81"/>
      <c r="AC809" s="81" t="str">
        <f t="shared" si="5"/>
        <v/>
      </c>
      <c r="AD809" s="82" t="str">
        <f t="shared" si="6"/>
        <v/>
      </c>
    </row>
    <row r="810">
      <c r="A810" s="89"/>
      <c r="B810" s="89"/>
      <c r="C810" s="89"/>
      <c r="D810" s="89"/>
      <c r="E810" s="89"/>
      <c r="F810" s="81"/>
      <c r="G810" s="89"/>
      <c r="H810" s="89"/>
      <c r="I810" s="89"/>
      <c r="J810" s="89" t="str">
        <f t="shared" si="18"/>
        <v/>
      </c>
      <c r="K810" s="89" t="str">
        <f t="shared" si="23"/>
        <v/>
      </c>
      <c r="L810" s="89" t="str">
        <f>IFERROR(__xludf.DUMMYFUNCTION("""COMPUTED_VALUE"""),"")</f>
        <v/>
      </c>
      <c r="M810" s="89" t="str">
        <f>IFERROR(__xludf.DUMMYFUNCTION("""COMPUTED_VALUE"""),"")</f>
        <v/>
      </c>
      <c r="N810" s="89" t="str">
        <f>IFERROR(__xludf.DUMMYFUNCTION("""COMPUTED_VALUE"""),"")</f>
        <v/>
      </c>
      <c r="P810" s="52" t="str">
        <f t="shared" si="22"/>
        <v/>
      </c>
      <c r="R810" s="52" t="str">
        <f t="shared" si="32"/>
        <v/>
      </c>
      <c r="Z810" s="81"/>
      <c r="AA810" s="81"/>
      <c r="AB810" s="81"/>
      <c r="AC810" s="81" t="str">
        <f t="shared" si="5"/>
        <v/>
      </c>
      <c r="AD810" s="82" t="str">
        <f t="shared" si="6"/>
        <v/>
      </c>
    </row>
    <row r="811">
      <c r="A811" s="89"/>
      <c r="B811" s="89"/>
      <c r="C811" s="89"/>
      <c r="D811" s="89"/>
      <c r="E811" s="89"/>
      <c r="F811" s="81"/>
      <c r="G811" s="89"/>
      <c r="H811" s="89"/>
      <c r="I811" s="89"/>
      <c r="J811" s="89" t="str">
        <f t="shared" si="18"/>
        <v/>
      </c>
      <c r="K811" s="89" t="str">
        <f t="shared" si="23"/>
        <v/>
      </c>
      <c r="L811" s="89" t="str">
        <f>IFERROR(__xludf.DUMMYFUNCTION("""COMPUTED_VALUE"""),"")</f>
        <v/>
      </c>
      <c r="M811" s="89" t="str">
        <f>IFERROR(__xludf.DUMMYFUNCTION("""COMPUTED_VALUE"""),"")</f>
        <v/>
      </c>
      <c r="N811" s="89" t="str">
        <f>IFERROR(__xludf.DUMMYFUNCTION("""COMPUTED_VALUE"""),"")</f>
        <v/>
      </c>
      <c r="P811" s="52" t="str">
        <f t="shared" si="22"/>
        <v/>
      </c>
      <c r="R811" s="52" t="str">
        <f t="shared" si="32"/>
        <v/>
      </c>
      <c r="Z811" s="81"/>
      <c r="AA811" s="81"/>
      <c r="AB811" s="81"/>
      <c r="AC811" s="81" t="str">
        <f t="shared" si="5"/>
        <v/>
      </c>
      <c r="AD811" s="82" t="str">
        <f t="shared" si="6"/>
        <v/>
      </c>
    </row>
    <row r="812">
      <c r="A812" s="89"/>
      <c r="B812" s="89"/>
      <c r="C812" s="89"/>
      <c r="D812" s="89"/>
      <c r="E812" s="89"/>
      <c r="F812" s="81"/>
      <c r="G812" s="89"/>
      <c r="H812" s="89"/>
      <c r="I812" s="89"/>
      <c r="J812" s="89" t="str">
        <f t="shared" si="18"/>
        <v/>
      </c>
      <c r="K812" s="89" t="str">
        <f t="shared" si="23"/>
        <v/>
      </c>
      <c r="L812" s="89" t="str">
        <f>IFERROR(__xludf.DUMMYFUNCTION("""COMPUTED_VALUE"""),"")</f>
        <v/>
      </c>
      <c r="M812" s="89" t="str">
        <f>IFERROR(__xludf.DUMMYFUNCTION("""COMPUTED_VALUE"""),"")</f>
        <v/>
      </c>
      <c r="N812" s="89" t="str">
        <f>IFERROR(__xludf.DUMMYFUNCTION("""COMPUTED_VALUE"""),"")</f>
        <v/>
      </c>
      <c r="P812" s="52" t="str">
        <f t="shared" si="22"/>
        <v/>
      </c>
      <c r="R812" s="52" t="str">
        <f t="shared" si="32"/>
        <v/>
      </c>
      <c r="Z812" s="81"/>
      <c r="AA812" s="81"/>
      <c r="AB812" s="81"/>
      <c r="AC812" s="81" t="str">
        <f t="shared" si="5"/>
        <v/>
      </c>
      <c r="AD812" s="82" t="str">
        <f t="shared" si="6"/>
        <v/>
      </c>
    </row>
    <row r="813">
      <c r="A813" s="89"/>
      <c r="B813" s="89"/>
      <c r="C813" s="89"/>
      <c r="D813" s="89"/>
      <c r="E813" s="89"/>
      <c r="F813" s="81"/>
      <c r="G813" s="89"/>
      <c r="H813" s="89"/>
      <c r="I813" s="89"/>
      <c r="J813" s="89" t="str">
        <f t="shared" si="18"/>
        <v/>
      </c>
      <c r="K813" s="89" t="str">
        <f t="shared" si="23"/>
        <v/>
      </c>
      <c r="L813" s="89" t="str">
        <f>IFERROR(__xludf.DUMMYFUNCTION("""COMPUTED_VALUE"""),"")</f>
        <v/>
      </c>
      <c r="M813" s="89" t="str">
        <f>IFERROR(__xludf.DUMMYFUNCTION("""COMPUTED_VALUE"""),"")</f>
        <v/>
      </c>
      <c r="N813" s="89" t="str">
        <f>IFERROR(__xludf.DUMMYFUNCTION("""COMPUTED_VALUE"""),"")</f>
        <v/>
      </c>
      <c r="P813" s="52" t="str">
        <f t="shared" si="22"/>
        <v/>
      </c>
      <c r="R813" s="52" t="str">
        <f t="shared" si="32"/>
        <v/>
      </c>
      <c r="Z813" s="81"/>
      <c r="AA813" s="81"/>
      <c r="AB813" s="81"/>
      <c r="AC813" s="81" t="str">
        <f t="shared" si="5"/>
        <v/>
      </c>
      <c r="AD813" s="82" t="str">
        <f t="shared" si="6"/>
        <v/>
      </c>
    </row>
    <row r="814">
      <c r="A814" s="89"/>
      <c r="B814" s="89"/>
      <c r="C814" s="89"/>
      <c r="D814" s="89"/>
      <c r="E814" s="89"/>
      <c r="F814" s="81"/>
      <c r="G814" s="89"/>
      <c r="H814" s="89"/>
      <c r="I814" s="89"/>
      <c r="J814" s="89" t="str">
        <f t="shared" si="18"/>
        <v/>
      </c>
      <c r="K814" s="89" t="str">
        <f t="shared" si="23"/>
        <v/>
      </c>
      <c r="L814" s="89" t="str">
        <f>IFERROR(__xludf.DUMMYFUNCTION("""COMPUTED_VALUE"""),"")</f>
        <v/>
      </c>
      <c r="M814" s="89" t="str">
        <f>IFERROR(__xludf.DUMMYFUNCTION("""COMPUTED_VALUE"""),"")</f>
        <v/>
      </c>
      <c r="N814" s="89" t="str">
        <f>IFERROR(__xludf.DUMMYFUNCTION("""COMPUTED_VALUE"""),"")</f>
        <v/>
      </c>
      <c r="P814" s="52" t="str">
        <f t="shared" si="22"/>
        <v/>
      </c>
      <c r="R814" s="52" t="str">
        <f t="shared" si="32"/>
        <v/>
      </c>
      <c r="Z814" s="81"/>
      <c r="AA814" s="81"/>
      <c r="AB814" s="81"/>
      <c r="AC814" s="81" t="str">
        <f t="shared" si="5"/>
        <v/>
      </c>
      <c r="AD814" s="82" t="str">
        <f t="shared" si="6"/>
        <v/>
      </c>
    </row>
    <row r="815">
      <c r="A815" s="89"/>
      <c r="B815" s="89"/>
      <c r="C815" s="89"/>
      <c r="D815" s="89"/>
      <c r="E815" s="89"/>
      <c r="F815" s="81"/>
      <c r="G815" s="89"/>
      <c r="H815" s="89"/>
      <c r="I815" s="89"/>
      <c r="J815" s="89" t="str">
        <f t="shared" si="18"/>
        <v/>
      </c>
      <c r="K815" s="89" t="str">
        <f t="shared" si="23"/>
        <v/>
      </c>
      <c r="L815" s="89" t="str">
        <f>IFERROR(__xludf.DUMMYFUNCTION("""COMPUTED_VALUE"""),"")</f>
        <v/>
      </c>
      <c r="M815" s="89" t="str">
        <f>IFERROR(__xludf.DUMMYFUNCTION("""COMPUTED_VALUE"""),"")</f>
        <v/>
      </c>
      <c r="N815" s="89" t="str">
        <f>IFERROR(__xludf.DUMMYFUNCTION("""COMPUTED_VALUE"""),"")</f>
        <v/>
      </c>
      <c r="P815" s="52" t="str">
        <f t="shared" si="22"/>
        <v/>
      </c>
      <c r="R815" s="52" t="str">
        <f t="shared" si="32"/>
        <v/>
      </c>
      <c r="Z815" s="81"/>
      <c r="AA815" s="81"/>
      <c r="AB815" s="81"/>
      <c r="AC815" s="81" t="str">
        <f t="shared" si="5"/>
        <v/>
      </c>
      <c r="AD815" s="82" t="str">
        <f t="shared" si="6"/>
        <v/>
      </c>
    </row>
    <row r="816">
      <c r="A816" s="89"/>
      <c r="B816" s="89"/>
      <c r="C816" s="89"/>
      <c r="D816" s="89"/>
      <c r="E816" s="89"/>
      <c r="F816" s="81"/>
      <c r="G816" s="89"/>
      <c r="H816" s="89"/>
      <c r="I816" s="89"/>
      <c r="J816" s="89" t="str">
        <f t="shared" si="18"/>
        <v/>
      </c>
      <c r="K816" s="89" t="str">
        <f t="shared" si="23"/>
        <v/>
      </c>
      <c r="L816" s="89" t="str">
        <f>IFERROR(__xludf.DUMMYFUNCTION("""COMPUTED_VALUE"""),"")</f>
        <v/>
      </c>
      <c r="M816" s="89" t="str">
        <f>IFERROR(__xludf.DUMMYFUNCTION("""COMPUTED_VALUE"""),"")</f>
        <v/>
      </c>
      <c r="N816" s="89" t="str">
        <f>IFERROR(__xludf.DUMMYFUNCTION("""COMPUTED_VALUE"""),"")</f>
        <v/>
      </c>
      <c r="P816" s="52" t="str">
        <f t="shared" si="22"/>
        <v/>
      </c>
      <c r="R816" s="52" t="str">
        <f t="shared" si="32"/>
        <v/>
      </c>
      <c r="Z816" s="81"/>
      <c r="AA816" s="81"/>
      <c r="AB816" s="81"/>
      <c r="AC816" s="81" t="str">
        <f t="shared" si="5"/>
        <v/>
      </c>
      <c r="AD816" s="82" t="str">
        <f t="shared" si="6"/>
        <v/>
      </c>
    </row>
    <row r="817">
      <c r="A817" s="89"/>
      <c r="B817" s="89"/>
      <c r="C817" s="89"/>
      <c r="D817" s="89"/>
      <c r="E817" s="89"/>
      <c r="F817" s="81"/>
      <c r="G817" s="89"/>
      <c r="H817" s="89"/>
      <c r="I817" s="89"/>
      <c r="J817" s="89" t="str">
        <f t="shared" si="18"/>
        <v/>
      </c>
      <c r="K817" s="89" t="str">
        <f t="shared" si="23"/>
        <v/>
      </c>
      <c r="L817" s="89" t="str">
        <f>IFERROR(__xludf.DUMMYFUNCTION("""COMPUTED_VALUE"""),"")</f>
        <v/>
      </c>
      <c r="M817" s="89" t="str">
        <f>IFERROR(__xludf.DUMMYFUNCTION("""COMPUTED_VALUE"""),"")</f>
        <v/>
      </c>
      <c r="N817" s="89" t="str">
        <f>IFERROR(__xludf.DUMMYFUNCTION("""COMPUTED_VALUE"""),"")</f>
        <v/>
      </c>
      <c r="P817" s="52" t="str">
        <f t="shared" si="22"/>
        <v/>
      </c>
      <c r="R817" s="52" t="str">
        <f t="shared" si="32"/>
        <v/>
      </c>
      <c r="Z817" s="81"/>
      <c r="AA817" s="81"/>
      <c r="AB817" s="81"/>
      <c r="AC817" s="81" t="str">
        <f t="shared" si="5"/>
        <v/>
      </c>
      <c r="AD817" s="82" t="str">
        <f t="shared" si="6"/>
        <v/>
      </c>
    </row>
    <row r="818">
      <c r="A818" s="89"/>
      <c r="B818" s="89"/>
      <c r="C818" s="89"/>
      <c r="D818" s="89"/>
      <c r="E818" s="89"/>
      <c r="F818" s="81"/>
      <c r="G818" s="89"/>
      <c r="H818" s="89"/>
      <c r="I818" s="89"/>
      <c r="J818" s="89" t="str">
        <f t="shared" si="18"/>
        <v/>
      </c>
      <c r="K818" s="89" t="str">
        <f t="shared" si="23"/>
        <v/>
      </c>
      <c r="L818" s="89" t="str">
        <f>IFERROR(__xludf.DUMMYFUNCTION("""COMPUTED_VALUE"""),"")</f>
        <v/>
      </c>
      <c r="M818" s="89" t="str">
        <f>IFERROR(__xludf.DUMMYFUNCTION("""COMPUTED_VALUE"""),"")</f>
        <v/>
      </c>
      <c r="N818" s="89" t="str">
        <f>IFERROR(__xludf.DUMMYFUNCTION("""COMPUTED_VALUE"""),"")</f>
        <v/>
      </c>
      <c r="P818" s="52" t="str">
        <f t="shared" si="22"/>
        <v/>
      </c>
      <c r="R818" s="52" t="str">
        <f t="shared" si="32"/>
        <v/>
      </c>
      <c r="Z818" s="81"/>
      <c r="AA818" s="81"/>
      <c r="AB818" s="81"/>
      <c r="AC818" s="81" t="str">
        <f t="shared" si="5"/>
        <v/>
      </c>
      <c r="AD818" s="82" t="str">
        <f t="shared" si="6"/>
        <v/>
      </c>
    </row>
    <row r="819">
      <c r="A819" s="89"/>
      <c r="B819" s="89"/>
      <c r="C819" s="89"/>
      <c r="D819" s="89"/>
      <c r="E819" s="89"/>
      <c r="F819" s="81"/>
      <c r="G819" s="89"/>
      <c r="H819" s="89"/>
      <c r="I819" s="89"/>
      <c r="J819" s="89" t="str">
        <f t="shared" si="18"/>
        <v/>
      </c>
      <c r="K819" s="89" t="str">
        <f t="shared" si="23"/>
        <v/>
      </c>
      <c r="L819" s="89" t="str">
        <f>IFERROR(__xludf.DUMMYFUNCTION("""COMPUTED_VALUE"""),"")</f>
        <v/>
      </c>
      <c r="M819" s="89" t="str">
        <f>IFERROR(__xludf.DUMMYFUNCTION("""COMPUTED_VALUE"""),"")</f>
        <v/>
      </c>
      <c r="N819" s="89" t="str">
        <f>IFERROR(__xludf.DUMMYFUNCTION("""COMPUTED_VALUE"""),"")</f>
        <v/>
      </c>
      <c r="P819" s="52" t="str">
        <f t="shared" si="22"/>
        <v/>
      </c>
      <c r="R819" s="52" t="str">
        <f t="shared" si="32"/>
        <v/>
      </c>
      <c r="Z819" s="81"/>
      <c r="AA819" s="81"/>
      <c r="AB819" s="81"/>
      <c r="AC819" s="81" t="str">
        <f t="shared" si="5"/>
        <v/>
      </c>
      <c r="AD819" s="82" t="str">
        <f t="shared" si="6"/>
        <v/>
      </c>
    </row>
    <row r="820">
      <c r="A820" s="89"/>
      <c r="B820" s="89"/>
      <c r="C820" s="89"/>
      <c r="D820" s="89"/>
      <c r="E820" s="89"/>
      <c r="F820" s="81"/>
      <c r="G820" s="89"/>
      <c r="H820" s="89"/>
      <c r="I820" s="89"/>
      <c r="J820" s="89" t="str">
        <f t="shared" si="18"/>
        <v/>
      </c>
      <c r="K820" s="89" t="str">
        <f t="shared" si="23"/>
        <v/>
      </c>
      <c r="L820" s="89" t="str">
        <f>IFERROR(__xludf.DUMMYFUNCTION("""COMPUTED_VALUE"""),"")</f>
        <v/>
      </c>
      <c r="M820" s="89" t="str">
        <f>IFERROR(__xludf.DUMMYFUNCTION("""COMPUTED_VALUE"""),"")</f>
        <v/>
      </c>
      <c r="N820" s="89" t="str">
        <f>IFERROR(__xludf.DUMMYFUNCTION("""COMPUTED_VALUE"""),"")</f>
        <v/>
      </c>
      <c r="P820" s="52" t="str">
        <f t="shared" si="22"/>
        <v/>
      </c>
      <c r="R820" s="52" t="str">
        <f t="shared" si="32"/>
        <v/>
      </c>
      <c r="Z820" s="81"/>
      <c r="AA820" s="81"/>
      <c r="AB820" s="81"/>
      <c r="AC820" s="81" t="str">
        <f t="shared" si="5"/>
        <v/>
      </c>
      <c r="AD820" s="82" t="str">
        <f t="shared" si="6"/>
        <v/>
      </c>
    </row>
    <row r="821">
      <c r="A821" s="89"/>
      <c r="B821" s="89"/>
      <c r="C821" s="89"/>
      <c r="D821" s="89"/>
      <c r="E821" s="89"/>
      <c r="F821" s="81"/>
      <c r="G821" s="89"/>
      <c r="H821" s="89"/>
      <c r="I821" s="89"/>
      <c r="J821" s="89" t="str">
        <f t="shared" si="18"/>
        <v/>
      </c>
      <c r="K821" s="89" t="str">
        <f t="shared" si="23"/>
        <v/>
      </c>
      <c r="L821" s="89" t="str">
        <f>IFERROR(__xludf.DUMMYFUNCTION("""COMPUTED_VALUE"""),"")</f>
        <v/>
      </c>
      <c r="M821" s="89" t="str">
        <f>IFERROR(__xludf.DUMMYFUNCTION("""COMPUTED_VALUE"""),"")</f>
        <v/>
      </c>
      <c r="N821" s="89" t="str">
        <f>IFERROR(__xludf.DUMMYFUNCTION("""COMPUTED_VALUE"""),"")</f>
        <v/>
      </c>
      <c r="P821" s="52" t="str">
        <f t="shared" si="22"/>
        <v/>
      </c>
      <c r="R821" s="52" t="str">
        <f t="shared" si="32"/>
        <v/>
      </c>
      <c r="Z821" s="81"/>
      <c r="AA821" s="81"/>
      <c r="AB821" s="81"/>
      <c r="AC821" s="81" t="str">
        <f t="shared" si="5"/>
        <v/>
      </c>
      <c r="AD821" s="82" t="str">
        <f t="shared" si="6"/>
        <v/>
      </c>
    </row>
    <row r="822">
      <c r="A822" s="89"/>
      <c r="B822" s="89"/>
      <c r="C822" s="89"/>
      <c r="D822" s="89"/>
      <c r="E822" s="89"/>
      <c r="F822" s="81"/>
      <c r="G822" s="89"/>
      <c r="H822" s="89"/>
      <c r="I822" s="89"/>
      <c r="J822" s="89" t="str">
        <f t="shared" si="18"/>
        <v/>
      </c>
      <c r="K822" s="89" t="str">
        <f t="shared" si="23"/>
        <v/>
      </c>
      <c r="L822" s="89" t="str">
        <f>IFERROR(__xludf.DUMMYFUNCTION("""COMPUTED_VALUE"""),"")</f>
        <v/>
      </c>
      <c r="M822" s="89" t="str">
        <f>IFERROR(__xludf.DUMMYFUNCTION("""COMPUTED_VALUE"""),"")</f>
        <v/>
      </c>
      <c r="N822" s="89" t="str">
        <f>IFERROR(__xludf.DUMMYFUNCTION("""COMPUTED_VALUE"""),"")</f>
        <v/>
      </c>
      <c r="P822" s="52" t="str">
        <f t="shared" si="22"/>
        <v/>
      </c>
      <c r="R822" s="52" t="str">
        <f t="shared" si="32"/>
        <v/>
      </c>
      <c r="Z822" s="81"/>
      <c r="AA822" s="81"/>
      <c r="AB822" s="81"/>
      <c r="AC822" s="81" t="str">
        <f t="shared" si="5"/>
        <v/>
      </c>
      <c r="AD822" s="82" t="str">
        <f t="shared" si="6"/>
        <v/>
      </c>
    </row>
    <row r="823">
      <c r="A823" s="89"/>
      <c r="B823" s="89"/>
      <c r="C823" s="89"/>
      <c r="D823" s="89"/>
      <c r="E823" s="89"/>
      <c r="F823" s="81"/>
      <c r="G823" s="89"/>
      <c r="H823" s="89"/>
      <c r="I823" s="89"/>
      <c r="J823" s="89" t="str">
        <f t="shared" si="18"/>
        <v/>
      </c>
      <c r="K823" s="89" t="str">
        <f t="shared" si="23"/>
        <v/>
      </c>
      <c r="L823" s="89" t="str">
        <f>IFERROR(__xludf.DUMMYFUNCTION("""COMPUTED_VALUE"""),"")</f>
        <v/>
      </c>
      <c r="M823" s="89" t="str">
        <f>IFERROR(__xludf.DUMMYFUNCTION("""COMPUTED_VALUE"""),"")</f>
        <v/>
      </c>
      <c r="N823" s="89" t="str">
        <f>IFERROR(__xludf.DUMMYFUNCTION("""COMPUTED_VALUE"""),"")</f>
        <v/>
      </c>
      <c r="P823" s="52" t="str">
        <f t="shared" si="22"/>
        <v/>
      </c>
      <c r="R823" s="52" t="str">
        <f t="shared" si="32"/>
        <v/>
      </c>
      <c r="Z823" s="81"/>
      <c r="AA823" s="81"/>
      <c r="AB823" s="81"/>
      <c r="AC823" s="81" t="str">
        <f t="shared" si="5"/>
        <v/>
      </c>
      <c r="AD823" s="82" t="str">
        <f t="shared" si="6"/>
        <v/>
      </c>
    </row>
    <row r="824">
      <c r="A824" s="89"/>
      <c r="B824" s="89"/>
      <c r="C824" s="89"/>
      <c r="D824" s="89"/>
      <c r="E824" s="89"/>
      <c r="F824" s="81"/>
      <c r="G824" s="89"/>
      <c r="H824" s="89"/>
      <c r="I824" s="89"/>
      <c r="J824" s="89" t="str">
        <f t="shared" si="18"/>
        <v/>
      </c>
      <c r="K824" s="89" t="str">
        <f t="shared" si="23"/>
        <v/>
      </c>
      <c r="L824" s="89" t="str">
        <f>IFERROR(__xludf.DUMMYFUNCTION("""COMPUTED_VALUE"""),"")</f>
        <v/>
      </c>
      <c r="M824" s="89" t="str">
        <f>IFERROR(__xludf.DUMMYFUNCTION("""COMPUTED_VALUE"""),"")</f>
        <v/>
      </c>
      <c r="N824" s="89" t="str">
        <f>IFERROR(__xludf.DUMMYFUNCTION("""COMPUTED_VALUE"""),"")</f>
        <v/>
      </c>
      <c r="P824" s="52" t="str">
        <f t="shared" si="22"/>
        <v/>
      </c>
      <c r="R824" s="52" t="str">
        <f t="shared" si="32"/>
        <v/>
      </c>
      <c r="Z824" s="81"/>
      <c r="AA824" s="81"/>
      <c r="AB824" s="81"/>
      <c r="AC824" s="81" t="str">
        <f t="shared" si="5"/>
        <v/>
      </c>
      <c r="AD824" s="82" t="str">
        <f t="shared" si="6"/>
        <v/>
      </c>
    </row>
    <row r="825">
      <c r="A825" s="89"/>
      <c r="B825" s="89"/>
      <c r="C825" s="89"/>
      <c r="D825" s="89"/>
      <c r="E825" s="89"/>
      <c r="F825" s="81"/>
      <c r="G825" s="89"/>
      <c r="H825" s="89"/>
      <c r="I825" s="89"/>
      <c r="J825" s="89" t="str">
        <f t="shared" si="18"/>
        <v/>
      </c>
      <c r="K825" s="89" t="str">
        <f t="shared" si="23"/>
        <v/>
      </c>
      <c r="L825" s="89" t="str">
        <f>IFERROR(__xludf.DUMMYFUNCTION("""COMPUTED_VALUE"""),"")</f>
        <v/>
      </c>
      <c r="M825" s="89" t="str">
        <f>IFERROR(__xludf.DUMMYFUNCTION("""COMPUTED_VALUE"""),"")</f>
        <v/>
      </c>
      <c r="N825" s="89" t="str">
        <f>IFERROR(__xludf.DUMMYFUNCTION("""COMPUTED_VALUE"""),"")</f>
        <v/>
      </c>
      <c r="P825" s="52" t="str">
        <f t="shared" si="22"/>
        <v/>
      </c>
      <c r="R825" s="52" t="str">
        <f t="shared" si="32"/>
        <v/>
      </c>
      <c r="Z825" s="81"/>
      <c r="AA825" s="81"/>
      <c r="AB825" s="81"/>
      <c r="AC825" s="81" t="str">
        <f t="shared" si="5"/>
        <v/>
      </c>
      <c r="AD825" s="82" t="str">
        <f t="shared" si="6"/>
        <v/>
      </c>
    </row>
    <row r="826">
      <c r="A826" s="89"/>
      <c r="B826" s="89"/>
      <c r="C826" s="89"/>
      <c r="D826" s="89"/>
      <c r="E826" s="89"/>
      <c r="F826" s="81"/>
      <c r="G826" s="89"/>
      <c r="H826" s="89"/>
      <c r="I826" s="89"/>
      <c r="J826" s="89" t="str">
        <f t="shared" si="18"/>
        <v/>
      </c>
      <c r="K826" s="89" t="str">
        <f t="shared" si="23"/>
        <v/>
      </c>
      <c r="L826" s="89" t="str">
        <f>IFERROR(__xludf.DUMMYFUNCTION("""COMPUTED_VALUE"""),"")</f>
        <v/>
      </c>
      <c r="M826" s="89" t="str">
        <f>IFERROR(__xludf.DUMMYFUNCTION("""COMPUTED_VALUE"""),"")</f>
        <v/>
      </c>
      <c r="N826" s="89" t="str">
        <f>IFERROR(__xludf.DUMMYFUNCTION("""COMPUTED_VALUE"""),"")</f>
        <v/>
      </c>
      <c r="P826" s="52" t="str">
        <f t="shared" si="22"/>
        <v/>
      </c>
      <c r="R826" s="52" t="str">
        <f t="shared" si="32"/>
        <v/>
      </c>
      <c r="Z826" s="81"/>
      <c r="AA826" s="81"/>
      <c r="AB826" s="81"/>
      <c r="AC826" s="81" t="str">
        <f t="shared" si="5"/>
        <v/>
      </c>
      <c r="AD826" s="82" t="str">
        <f t="shared" si="6"/>
        <v/>
      </c>
    </row>
    <row r="827">
      <c r="A827" s="89"/>
      <c r="B827" s="89"/>
      <c r="C827" s="89"/>
      <c r="D827" s="89"/>
      <c r="E827" s="89"/>
      <c r="F827" s="81"/>
      <c r="G827" s="89"/>
      <c r="H827" s="89"/>
      <c r="I827" s="89"/>
      <c r="J827" s="89" t="str">
        <f t="shared" si="18"/>
        <v/>
      </c>
      <c r="K827" s="89" t="str">
        <f t="shared" si="23"/>
        <v/>
      </c>
      <c r="L827" s="89" t="str">
        <f>IFERROR(__xludf.DUMMYFUNCTION("""COMPUTED_VALUE"""),"")</f>
        <v/>
      </c>
      <c r="M827" s="89" t="str">
        <f>IFERROR(__xludf.DUMMYFUNCTION("""COMPUTED_VALUE"""),"")</f>
        <v/>
      </c>
      <c r="N827" s="89" t="str">
        <f>IFERROR(__xludf.DUMMYFUNCTION("""COMPUTED_VALUE"""),"")</f>
        <v/>
      </c>
      <c r="P827" s="52" t="str">
        <f t="shared" si="22"/>
        <v/>
      </c>
      <c r="R827" s="52" t="str">
        <f t="shared" si="32"/>
        <v/>
      </c>
      <c r="Z827" s="81"/>
      <c r="AA827" s="81"/>
      <c r="AB827" s="81"/>
      <c r="AC827" s="81" t="str">
        <f t="shared" si="5"/>
        <v/>
      </c>
      <c r="AD827" s="82" t="str">
        <f t="shared" si="6"/>
        <v/>
      </c>
    </row>
    <row r="828">
      <c r="A828" s="89"/>
      <c r="B828" s="89"/>
      <c r="C828" s="89"/>
      <c r="D828" s="89"/>
      <c r="E828" s="89"/>
      <c r="F828" s="81"/>
      <c r="G828" s="89"/>
      <c r="H828" s="89"/>
      <c r="I828" s="89"/>
      <c r="J828" s="89" t="str">
        <f t="shared" si="18"/>
        <v/>
      </c>
      <c r="K828" s="89" t="str">
        <f t="shared" si="23"/>
        <v/>
      </c>
      <c r="L828" s="89" t="str">
        <f>IFERROR(__xludf.DUMMYFUNCTION("""COMPUTED_VALUE"""),"")</f>
        <v/>
      </c>
      <c r="M828" s="89" t="str">
        <f>IFERROR(__xludf.DUMMYFUNCTION("""COMPUTED_VALUE"""),"")</f>
        <v/>
      </c>
      <c r="N828" s="89" t="str">
        <f>IFERROR(__xludf.DUMMYFUNCTION("""COMPUTED_VALUE"""),"")</f>
        <v/>
      </c>
      <c r="P828" s="52" t="str">
        <f t="shared" si="22"/>
        <v/>
      </c>
      <c r="R828" s="52" t="str">
        <f t="shared" si="32"/>
        <v/>
      </c>
      <c r="Z828" s="81"/>
      <c r="AA828" s="81"/>
      <c r="AB828" s="81"/>
      <c r="AC828" s="81" t="str">
        <f t="shared" si="5"/>
        <v/>
      </c>
      <c r="AD828" s="82" t="str">
        <f t="shared" si="6"/>
        <v/>
      </c>
    </row>
    <row r="829">
      <c r="A829" s="89"/>
      <c r="B829" s="89"/>
      <c r="C829" s="89"/>
      <c r="D829" s="89"/>
      <c r="E829" s="89"/>
      <c r="F829" s="81"/>
      <c r="G829" s="89"/>
      <c r="H829" s="89"/>
      <c r="I829" s="89"/>
      <c r="J829" s="89" t="str">
        <f t="shared" si="18"/>
        <v/>
      </c>
      <c r="K829" s="89" t="str">
        <f t="shared" si="23"/>
        <v/>
      </c>
      <c r="L829" s="89" t="str">
        <f>IFERROR(__xludf.DUMMYFUNCTION("""COMPUTED_VALUE"""),"")</f>
        <v/>
      </c>
      <c r="M829" s="89" t="str">
        <f>IFERROR(__xludf.DUMMYFUNCTION("""COMPUTED_VALUE"""),"")</f>
        <v/>
      </c>
      <c r="N829" s="89" t="str">
        <f>IFERROR(__xludf.DUMMYFUNCTION("""COMPUTED_VALUE"""),"")</f>
        <v/>
      </c>
      <c r="P829" s="52" t="str">
        <f t="shared" si="22"/>
        <v/>
      </c>
      <c r="R829" s="52" t="str">
        <f t="shared" si="32"/>
        <v/>
      </c>
      <c r="Z829" s="81"/>
      <c r="AA829" s="81"/>
      <c r="AB829" s="81"/>
      <c r="AC829" s="81" t="str">
        <f t="shared" si="5"/>
        <v/>
      </c>
      <c r="AD829" s="82" t="str">
        <f t="shared" si="6"/>
        <v/>
      </c>
    </row>
    <row r="830">
      <c r="A830" s="89"/>
      <c r="B830" s="89"/>
      <c r="C830" s="89"/>
      <c r="D830" s="89"/>
      <c r="E830" s="89"/>
      <c r="F830" s="81"/>
      <c r="G830" s="89"/>
      <c r="H830" s="89"/>
      <c r="I830" s="89"/>
      <c r="J830" s="89" t="str">
        <f t="shared" si="18"/>
        <v/>
      </c>
      <c r="K830" s="89" t="str">
        <f t="shared" si="23"/>
        <v/>
      </c>
      <c r="L830" s="89" t="str">
        <f>IFERROR(__xludf.DUMMYFUNCTION("""COMPUTED_VALUE"""),"")</f>
        <v/>
      </c>
      <c r="M830" s="89" t="str">
        <f>IFERROR(__xludf.DUMMYFUNCTION("""COMPUTED_VALUE"""),"")</f>
        <v/>
      </c>
      <c r="N830" s="89" t="str">
        <f>IFERROR(__xludf.DUMMYFUNCTION("""COMPUTED_VALUE"""),"")</f>
        <v/>
      </c>
      <c r="P830" s="52" t="str">
        <f t="shared" si="22"/>
        <v/>
      </c>
      <c r="R830" s="52" t="str">
        <f t="shared" si="32"/>
        <v/>
      </c>
      <c r="Z830" s="81"/>
      <c r="AA830" s="81"/>
      <c r="AB830" s="81"/>
      <c r="AC830" s="81" t="str">
        <f t="shared" si="5"/>
        <v/>
      </c>
      <c r="AD830" s="82" t="str">
        <f t="shared" si="6"/>
        <v/>
      </c>
    </row>
    <row r="831">
      <c r="A831" s="89"/>
      <c r="B831" s="89"/>
      <c r="C831" s="89"/>
      <c r="D831" s="89"/>
      <c r="E831" s="89"/>
      <c r="F831" s="81"/>
      <c r="G831" s="89"/>
      <c r="H831" s="89"/>
      <c r="I831" s="89"/>
      <c r="J831" s="89" t="str">
        <f t="shared" si="18"/>
        <v/>
      </c>
      <c r="K831" s="89" t="str">
        <f t="shared" si="23"/>
        <v/>
      </c>
      <c r="L831" s="89" t="str">
        <f>IFERROR(__xludf.DUMMYFUNCTION("""COMPUTED_VALUE"""),"")</f>
        <v/>
      </c>
      <c r="M831" s="89" t="str">
        <f>IFERROR(__xludf.DUMMYFUNCTION("""COMPUTED_VALUE"""),"")</f>
        <v/>
      </c>
      <c r="N831" s="89" t="str">
        <f>IFERROR(__xludf.DUMMYFUNCTION("""COMPUTED_VALUE"""),"")</f>
        <v/>
      </c>
      <c r="P831" s="52" t="str">
        <f t="shared" si="22"/>
        <v/>
      </c>
      <c r="R831" s="52" t="str">
        <f t="shared" si="32"/>
        <v/>
      </c>
      <c r="Z831" s="81"/>
      <c r="AA831" s="81"/>
      <c r="AB831" s="81"/>
      <c r="AC831" s="81" t="str">
        <f t="shared" si="5"/>
        <v/>
      </c>
      <c r="AD831" s="82" t="str">
        <f t="shared" si="6"/>
        <v/>
      </c>
    </row>
    <row r="832">
      <c r="A832" s="89"/>
      <c r="B832" s="89"/>
      <c r="C832" s="89"/>
      <c r="D832" s="89"/>
      <c r="E832" s="89"/>
      <c r="F832" s="81"/>
      <c r="G832" s="89"/>
      <c r="H832" s="89"/>
      <c r="I832" s="89"/>
      <c r="J832" s="89" t="str">
        <f t="shared" si="18"/>
        <v/>
      </c>
      <c r="K832" s="89" t="str">
        <f t="shared" si="23"/>
        <v/>
      </c>
      <c r="L832" s="89" t="str">
        <f>IFERROR(__xludf.DUMMYFUNCTION("""COMPUTED_VALUE"""),"")</f>
        <v/>
      </c>
      <c r="M832" s="89" t="str">
        <f>IFERROR(__xludf.DUMMYFUNCTION("""COMPUTED_VALUE"""),"")</f>
        <v/>
      </c>
      <c r="N832" s="89" t="str">
        <f>IFERROR(__xludf.DUMMYFUNCTION("""COMPUTED_VALUE"""),"")</f>
        <v/>
      </c>
      <c r="P832" s="52" t="str">
        <f t="shared" si="22"/>
        <v/>
      </c>
      <c r="R832" s="52" t="str">
        <f t="shared" si="32"/>
        <v/>
      </c>
      <c r="Z832" s="81"/>
      <c r="AA832" s="81"/>
      <c r="AB832" s="81"/>
      <c r="AC832" s="81" t="str">
        <f t="shared" si="5"/>
        <v/>
      </c>
      <c r="AD832" s="82" t="str">
        <f t="shared" si="6"/>
        <v/>
      </c>
    </row>
    <row r="833">
      <c r="A833" s="89"/>
      <c r="B833" s="89"/>
      <c r="C833" s="89"/>
      <c r="D833" s="89"/>
      <c r="E833" s="89"/>
      <c r="F833" s="81"/>
      <c r="G833" s="89"/>
      <c r="H833" s="89"/>
      <c r="I833" s="89"/>
      <c r="J833" s="89" t="str">
        <f t="shared" si="18"/>
        <v/>
      </c>
      <c r="K833" s="89" t="str">
        <f t="shared" si="23"/>
        <v/>
      </c>
      <c r="L833" s="89" t="str">
        <f>IFERROR(__xludf.DUMMYFUNCTION("""COMPUTED_VALUE"""),"")</f>
        <v/>
      </c>
      <c r="M833" s="89" t="str">
        <f>IFERROR(__xludf.DUMMYFUNCTION("""COMPUTED_VALUE"""),"")</f>
        <v/>
      </c>
      <c r="N833" s="89" t="str">
        <f>IFERROR(__xludf.DUMMYFUNCTION("""COMPUTED_VALUE"""),"")</f>
        <v/>
      </c>
      <c r="P833" s="52" t="str">
        <f t="shared" si="22"/>
        <v/>
      </c>
      <c r="R833" s="52" t="str">
        <f t="shared" si="32"/>
        <v/>
      </c>
      <c r="Z833" s="81"/>
      <c r="AA833" s="81"/>
      <c r="AB833" s="81"/>
      <c r="AC833" s="81" t="str">
        <f t="shared" si="5"/>
        <v/>
      </c>
      <c r="AD833" s="82" t="str">
        <f t="shared" si="6"/>
        <v/>
      </c>
    </row>
    <row r="834">
      <c r="A834" s="89"/>
      <c r="B834" s="89"/>
      <c r="C834" s="89"/>
      <c r="D834" s="89"/>
      <c r="E834" s="89"/>
      <c r="F834" s="81"/>
      <c r="G834" s="89"/>
      <c r="H834" s="89"/>
      <c r="I834" s="89"/>
      <c r="J834" s="89" t="str">
        <f t="shared" si="18"/>
        <v/>
      </c>
      <c r="K834" s="89" t="str">
        <f t="shared" si="23"/>
        <v/>
      </c>
      <c r="L834" s="89" t="str">
        <f>IFERROR(__xludf.DUMMYFUNCTION("""COMPUTED_VALUE"""),"")</f>
        <v/>
      </c>
      <c r="M834" s="89" t="str">
        <f>IFERROR(__xludf.DUMMYFUNCTION("""COMPUTED_VALUE"""),"")</f>
        <v/>
      </c>
      <c r="N834" s="89" t="str">
        <f>IFERROR(__xludf.DUMMYFUNCTION("""COMPUTED_VALUE"""),"")</f>
        <v/>
      </c>
      <c r="P834" s="52" t="str">
        <f t="shared" si="22"/>
        <v/>
      </c>
      <c r="R834" s="52" t="str">
        <f t="shared" si="32"/>
        <v/>
      </c>
      <c r="Z834" s="81"/>
      <c r="AA834" s="81"/>
      <c r="AB834" s="81"/>
      <c r="AC834" s="81" t="str">
        <f t="shared" si="5"/>
        <v/>
      </c>
      <c r="AD834" s="82" t="str">
        <f t="shared" si="6"/>
        <v/>
      </c>
    </row>
    <row r="835">
      <c r="A835" s="89"/>
      <c r="B835" s="89"/>
      <c r="C835" s="89"/>
      <c r="D835" s="89"/>
      <c r="E835" s="89"/>
      <c r="F835" s="81"/>
      <c r="G835" s="89"/>
      <c r="H835" s="89"/>
      <c r="I835" s="89"/>
      <c r="J835" s="89" t="str">
        <f t="shared" si="18"/>
        <v/>
      </c>
      <c r="K835" s="89" t="str">
        <f t="shared" si="23"/>
        <v/>
      </c>
      <c r="L835" s="89" t="str">
        <f>IFERROR(__xludf.DUMMYFUNCTION("""COMPUTED_VALUE"""),"")</f>
        <v/>
      </c>
      <c r="M835" s="89" t="str">
        <f>IFERROR(__xludf.DUMMYFUNCTION("""COMPUTED_VALUE"""),"")</f>
        <v/>
      </c>
      <c r="N835" s="89" t="str">
        <f>IFERROR(__xludf.DUMMYFUNCTION("""COMPUTED_VALUE"""),"")</f>
        <v/>
      </c>
      <c r="P835" s="52" t="str">
        <f t="shared" si="22"/>
        <v/>
      </c>
      <c r="R835" s="52" t="str">
        <f t="shared" si="32"/>
        <v/>
      </c>
      <c r="Z835" s="81"/>
      <c r="AA835" s="81"/>
      <c r="AB835" s="81"/>
      <c r="AC835" s="81" t="str">
        <f t="shared" si="5"/>
        <v/>
      </c>
      <c r="AD835" s="82" t="str">
        <f t="shared" si="6"/>
        <v/>
      </c>
    </row>
    <row r="836">
      <c r="A836" s="89"/>
      <c r="B836" s="89"/>
      <c r="C836" s="89"/>
      <c r="D836" s="89"/>
      <c r="E836" s="89"/>
      <c r="F836" s="81"/>
      <c r="G836" s="89"/>
      <c r="H836" s="89"/>
      <c r="I836" s="89"/>
      <c r="J836" s="89" t="str">
        <f t="shared" si="18"/>
        <v/>
      </c>
      <c r="K836" s="89" t="str">
        <f t="shared" si="23"/>
        <v/>
      </c>
      <c r="L836" s="89" t="str">
        <f>IFERROR(__xludf.DUMMYFUNCTION("""COMPUTED_VALUE"""),"")</f>
        <v/>
      </c>
      <c r="M836" s="89" t="str">
        <f>IFERROR(__xludf.DUMMYFUNCTION("""COMPUTED_VALUE"""),"")</f>
        <v/>
      </c>
      <c r="N836" s="89" t="str">
        <f>IFERROR(__xludf.DUMMYFUNCTION("""COMPUTED_VALUE"""),"")</f>
        <v/>
      </c>
      <c r="P836" s="52" t="str">
        <f t="shared" si="22"/>
        <v/>
      </c>
      <c r="R836" s="52" t="str">
        <f t="shared" si="32"/>
        <v/>
      </c>
      <c r="Z836" s="81"/>
      <c r="AA836" s="81"/>
      <c r="AB836" s="81"/>
      <c r="AC836" s="81" t="str">
        <f t="shared" si="5"/>
        <v/>
      </c>
      <c r="AD836" s="82" t="str">
        <f t="shared" si="6"/>
        <v/>
      </c>
    </row>
    <row r="837">
      <c r="A837" s="89"/>
      <c r="B837" s="89"/>
      <c r="C837" s="89"/>
      <c r="D837" s="89"/>
      <c r="E837" s="89"/>
      <c r="F837" s="81"/>
      <c r="G837" s="89"/>
      <c r="H837" s="89"/>
      <c r="I837" s="89"/>
      <c r="J837" s="89" t="str">
        <f t="shared" si="18"/>
        <v/>
      </c>
      <c r="K837" s="89" t="str">
        <f t="shared" si="23"/>
        <v/>
      </c>
      <c r="L837" s="89" t="str">
        <f>IFERROR(__xludf.DUMMYFUNCTION("""COMPUTED_VALUE"""),"")</f>
        <v/>
      </c>
      <c r="M837" s="89" t="str">
        <f>IFERROR(__xludf.DUMMYFUNCTION("""COMPUTED_VALUE"""),"")</f>
        <v/>
      </c>
      <c r="N837" s="89" t="str">
        <f>IFERROR(__xludf.DUMMYFUNCTION("""COMPUTED_VALUE"""),"")</f>
        <v/>
      </c>
      <c r="P837" s="52" t="str">
        <f t="shared" si="22"/>
        <v/>
      </c>
      <c r="R837" s="52" t="str">
        <f t="shared" si="32"/>
        <v/>
      </c>
      <c r="Z837" s="81"/>
      <c r="AA837" s="81"/>
      <c r="AB837" s="81"/>
      <c r="AC837" s="81" t="str">
        <f t="shared" si="5"/>
        <v/>
      </c>
      <c r="AD837" s="82" t="str">
        <f t="shared" si="6"/>
        <v/>
      </c>
    </row>
    <row r="838">
      <c r="A838" s="89"/>
      <c r="B838" s="89"/>
      <c r="C838" s="89"/>
      <c r="D838" s="89"/>
      <c r="E838" s="89"/>
      <c r="F838" s="81"/>
      <c r="G838" s="89"/>
      <c r="H838" s="89"/>
      <c r="I838" s="89"/>
      <c r="J838" s="89" t="str">
        <f t="shared" si="18"/>
        <v/>
      </c>
      <c r="K838" s="89" t="str">
        <f t="shared" si="23"/>
        <v/>
      </c>
      <c r="L838" s="89" t="str">
        <f>IFERROR(__xludf.DUMMYFUNCTION("""COMPUTED_VALUE"""),"")</f>
        <v/>
      </c>
      <c r="M838" s="89" t="str">
        <f>IFERROR(__xludf.DUMMYFUNCTION("""COMPUTED_VALUE"""),"")</f>
        <v/>
      </c>
      <c r="N838" s="89" t="str">
        <f>IFERROR(__xludf.DUMMYFUNCTION("""COMPUTED_VALUE"""),"")</f>
        <v/>
      </c>
      <c r="P838" s="52" t="str">
        <f t="shared" si="22"/>
        <v/>
      </c>
      <c r="R838" s="52" t="str">
        <f t="shared" si="32"/>
        <v/>
      </c>
      <c r="Z838" s="81"/>
      <c r="AA838" s="81"/>
      <c r="AB838" s="81"/>
      <c r="AC838" s="81" t="str">
        <f t="shared" si="5"/>
        <v/>
      </c>
      <c r="AD838" s="82" t="str">
        <f t="shared" si="6"/>
        <v/>
      </c>
    </row>
    <row r="839">
      <c r="A839" s="89"/>
      <c r="B839" s="89"/>
      <c r="C839" s="89"/>
      <c r="D839" s="89"/>
      <c r="E839" s="89"/>
      <c r="F839" s="81"/>
      <c r="G839" s="89"/>
      <c r="H839" s="89"/>
      <c r="I839" s="89"/>
      <c r="J839" s="89" t="str">
        <f t="shared" si="18"/>
        <v/>
      </c>
      <c r="K839" s="89" t="str">
        <f t="shared" si="23"/>
        <v/>
      </c>
      <c r="L839" s="89" t="str">
        <f>IFERROR(__xludf.DUMMYFUNCTION("""COMPUTED_VALUE"""),"")</f>
        <v/>
      </c>
      <c r="M839" s="89" t="str">
        <f>IFERROR(__xludf.DUMMYFUNCTION("""COMPUTED_VALUE"""),"")</f>
        <v/>
      </c>
      <c r="N839" s="89" t="str">
        <f>IFERROR(__xludf.DUMMYFUNCTION("""COMPUTED_VALUE"""),"")</f>
        <v/>
      </c>
      <c r="P839" s="52" t="str">
        <f t="shared" si="22"/>
        <v/>
      </c>
      <c r="R839" s="52" t="str">
        <f t="shared" si="32"/>
        <v/>
      </c>
      <c r="Z839" s="81"/>
      <c r="AA839" s="81"/>
      <c r="AB839" s="81"/>
      <c r="AC839" s="81" t="str">
        <f t="shared" si="5"/>
        <v/>
      </c>
      <c r="AD839" s="82" t="str">
        <f t="shared" si="6"/>
        <v/>
      </c>
    </row>
    <row r="840">
      <c r="A840" s="89"/>
      <c r="B840" s="89"/>
      <c r="C840" s="89"/>
      <c r="D840" s="89"/>
      <c r="E840" s="89"/>
      <c r="F840" s="81"/>
      <c r="G840" s="89"/>
      <c r="H840" s="89"/>
      <c r="I840" s="89"/>
      <c r="J840" s="89" t="str">
        <f t="shared" si="18"/>
        <v/>
      </c>
      <c r="K840" s="89" t="str">
        <f t="shared" si="23"/>
        <v/>
      </c>
      <c r="L840" s="89" t="str">
        <f>IFERROR(__xludf.DUMMYFUNCTION("""COMPUTED_VALUE"""),"")</f>
        <v/>
      </c>
      <c r="M840" s="89" t="str">
        <f>IFERROR(__xludf.DUMMYFUNCTION("""COMPUTED_VALUE"""),"")</f>
        <v/>
      </c>
      <c r="N840" s="89" t="str">
        <f>IFERROR(__xludf.DUMMYFUNCTION("""COMPUTED_VALUE"""),"")</f>
        <v/>
      </c>
      <c r="P840" s="52" t="str">
        <f t="shared" si="22"/>
        <v/>
      </c>
      <c r="R840" s="52" t="str">
        <f t="shared" si="32"/>
        <v/>
      </c>
      <c r="Z840" s="81"/>
      <c r="AA840" s="81"/>
      <c r="AB840" s="81"/>
      <c r="AC840" s="81" t="str">
        <f t="shared" si="5"/>
        <v/>
      </c>
      <c r="AD840" s="82" t="str">
        <f t="shared" si="6"/>
        <v/>
      </c>
    </row>
    <row r="841">
      <c r="A841" s="89"/>
      <c r="B841" s="89"/>
      <c r="C841" s="89"/>
      <c r="D841" s="89"/>
      <c r="E841" s="89"/>
      <c r="F841" s="81"/>
      <c r="G841" s="89"/>
      <c r="H841" s="89"/>
      <c r="I841" s="89"/>
      <c r="J841" s="89" t="str">
        <f t="shared" si="18"/>
        <v/>
      </c>
      <c r="K841" s="89" t="str">
        <f t="shared" si="23"/>
        <v/>
      </c>
      <c r="L841" s="89" t="str">
        <f>IFERROR(__xludf.DUMMYFUNCTION("""COMPUTED_VALUE"""),"")</f>
        <v/>
      </c>
      <c r="M841" s="89" t="str">
        <f>IFERROR(__xludf.DUMMYFUNCTION("""COMPUTED_VALUE"""),"")</f>
        <v/>
      </c>
      <c r="N841" s="89" t="str">
        <f>IFERROR(__xludf.DUMMYFUNCTION("""COMPUTED_VALUE"""),"")</f>
        <v/>
      </c>
      <c r="P841" s="52" t="str">
        <f t="shared" si="22"/>
        <v/>
      </c>
      <c r="R841" s="52" t="str">
        <f t="shared" si="32"/>
        <v/>
      </c>
      <c r="Z841" s="81"/>
      <c r="AA841" s="81"/>
      <c r="AB841" s="81"/>
      <c r="AC841" s="81" t="str">
        <f t="shared" si="5"/>
        <v/>
      </c>
      <c r="AD841" s="82" t="str">
        <f t="shared" si="6"/>
        <v/>
      </c>
    </row>
    <row r="842">
      <c r="A842" s="89"/>
      <c r="B842" s="89"/>
      <c r="C842" s="89"/>
      <c r="D842" s="89"/>
      <c r="E842" s="89"/>
      <c r="F842" s="81"/>
      <c r="G842" s="89"/>
      <c r="H842" s="89"/>
      <c r="I842" s="89"/>
      <c r="J842" s="89" t="str">
        <f t="shared" si="18"/>
        <v/>
      </c>
      <c r="K842" s="89" t="str">
        <f t="shared" si="23"/>
        <v/>
      </c>
      <c r="L842" s="89" t="str">
        <f>IFERROR(__xludf.DUMMYFUNCTION("""COMPUTED_VALUE"""),"")</f>
        <v/>
      </c>
      <c r="M842" s="89" t="str">
        <f>IFERROR(__xludf.DUMMYFUNCTION("""COMPUTED_VALUE"""),"")</f>
        <v/>
      </c>
      <c r="N842" s="89" t="str">
        <f>IFERROR(__xludf.DUMMYFUNCTION("""COMPUTED_VALUE"""),"")</f>
        <v/>
      </c>
      <c r="P842" s="52" t="str">
        <f t="shared" si="22"/>
        <v/>
      </c>
      <c r="R842" s="52" t="str">
        <f t="shared" si="32"/>
        <v/>
      </c>
      <c r="Z842" s="81"/>
      <c r="AA842" s="81"/>
      <c r="AB842" s="81"/>
      <c r="AC842" s="81" t="str">
        <f t="shared" si="5"/>
        <v/>
      </c>
      <c r="AD842" s="82" t="str">
        <f t="shared" si="6"/>
        <v/>
      </c>
    </row>
    <row r="843">
      <c r="A843" s="89"/>
      <c r="B843" s="89"/>
      <c r="C843" s="89"/>
      <c r="D843" s="89"/>
      <c r="E843" s="89"/>
      <c r="F843" s="81"/>
      <c r="G843" s="89"/>
      <c r="H843" s="89"/>
      <c r="I843" s="89"/>
      <c r="J843" s="89" t="str">
        <f t="shared" si="18"/>
        <v/>
      </c>
      <c r="K843" s="89" t="str">
        <f t="shared" si="23"/>
        <v/>
      </c>
      <c r="L843" s="89" t="str">
        <f>IFERROR(__xludf.DUMMYFUNCTION("""COMPUTED_VALUE"""),"")</f>
        <v/>
      </c>
      <c r="M843" s="89" t="str">
        <f>IFERROR(__xludf.DUMMYFUNCTION("""COMPUTED_VALUE"""),"")</f>
        <v/>
      </c>
      <c r="N843" s="89" t="str">
        <f>IFERROR(__xludf.DUMMYFUNCTION("""COMPUTED_VALUE"""),"")</f>
        <v/>
      </c>
      <c r="P843" s="52" t="str">
        <f t="shared" si="22"/>
        <v/>
      </c>
      <c r="R843" s="52" t="str">
        <f t="shared" si="32"/>
        <v/>
      </c>
      <c r="Z843" s="81"/>
      <c r="AA843" s="81"/>
      <c r="AB843" s="81"/>
      <c r="AC843" s="81" t="str">
        <f t="shared" si="5"/>
        <v/>
      </c>
      <c r="AD843" s="82" t="str">
        <f t="shared" si="6"/>
        <v/>
      </c>
    </row>
    <row r="844">
      <c r="A844" s="89"/>
      <c r="B844" s="89"/>
      <c r="C844" s="89"/>
      <c r="D844" s="89"/>
      <c r="E844" s="89"/>
      <c r="F844" s="81"/>
      <c r="G844" s="89"/>
      <c r="H844" s="89"/>
      <c r="I844" s="89"/>
      <c r="J844" s="89" t="str">
        <f t="shared" si="18"/>
        <v/>
      </c>
      <c r="K844" s="89" t="str">
        <f t="shared" si="23"/>
        <v/>
      </c>
      <c r="L844" s="89" t="str">
        <f>IFERROR(__xludf.DUMMYFUNCTION("""COMPUTED_VALUE"""),"")</f>
        <v/>
      </c>
      <c r="M844" s="89" t="str">
        <f>IFERROR(__xludf.DUMMYFUNCTION("""COMPUTED_VALUE"""),"")</f>
        <v/>
      </c>
      <c r="N844" s="89" t="str">
        <f>IFERROR(__xludf.DUMMYFUNCTION("""COMPUTED_VALUE"""),"")</f>
        <v/>
      </c>
      <c r="P844" s="52" t="str">
        <f t="shared" si="22"/>
        <v/>
      </c>
      <c r="R844" s="52" t="str">
        <f t="shared" si="32"/>
        <v/>
      </c>
      <c r="Z844" s="81"/>
      <c r="AA844" s="81"/>
      <c r="AB844" s="81"/>
      <c r="AC844" s="81" t="str">
        <f t="shared" si="5"/>
        <v/>
      </c>
      <c r="AD844" s="82" t="str">
        <f t="shared" si="6"/>
        <v/>
      </c>
    </row>
    <row r="845">
      <c r="A845" s="89"/>
      <c r="B845" s="89"/>
      <c r="C845" s="89"/>
      <c r="D845" s="89"/>
      <c r="E845" s="89"/>
      <c r="F845" s="81"/>
      <c r="G845" s="89"/>
      <c r="H845" s="89"/>
      <c r="I845" s="89"/>
      <c r="J845" s="89" t="str">
        <f t="shared" si="18"/>
        <v/>
      </c>
      <c r="K845" s="89" t="str">
        <f t="shared" si="23"/>
        <v/>
      </c>
      <c r="L845" s="89" t="str">
        <f>IFERROR(__xludf.DUMMYFUNCTION("""COMPUTED_VALUE"""),"")</f>
        <v/>
      </c>
      <c r="M845" s="89" t="str">
        <f>IFERROR(__xludf.DUMMYFUNCTION("""COMPUTED_VALUE"""),"")</f>
        <v/>
      </c>
      <c r="N845" s="89" t="str">
        <f>IFERROR(__xludf.DUMMYFUNCTION("""COMPUTED_VALUE"""),"")</f>
        <v/>
      </c>
      <c r="P845" s="52" t="str">
        <f t="shared" si="22"/>
        <v/>
      </c>
      <c r="R845" s="52" t="str">
        <f t="shared" si="32"/>
        <v/>
      </c>
      <c r="Z845" s="81"/>
      <c r="AA845" s="81"/>
      <c r="AB845" s="81"/>
      <c r="AC845" s="81" t="str">
        <f t="shared" si="5"/>
        <v/>
      </c>
      <c r="AD845" s="82" t="str">
        <f t="shared" si="6"/>
        <v/>
      </c>
    </row>
    <row r="846">
      <c r="A846" s="89"/>
      <c r="B846" s="89"/>
      <c r="C846" s="89"/>
      <c r="D846" s="89"/>
      <c r="E846" s="89"/>
      <c r="F846" s="81"/>
      <c r="G846" s="89"/>
      <c r="H846" s="89"/>
      <c r="I846" s="89"/>
      <c r="J846" s="89" t="str">
        <f t="shared" si="18"/>
        <v/>
      </c>
      <c r="K846" s="89" t="str">
        <f t="shared" si="23"/>
        <v/>
      </c>
      <c r="L846" s="89" t="str">
        <f>IFERROR(__xludf.DUMMYFUNCTION("""COMPUTED_VALUE"""),"")</f>
        <v/>
      </c>
      <c r="M846" s="89" t="str">
        <f>IFERROR(__xludf.DUMMYFUNCTION("""COMPUTED_VALUE"""),"")</f>
        <v/>
      </c>
      <c r="N846" s="89" t="str">
        <f>IFERROR(__xludf.DUMMYFUNCTION("""COMPUTED_VALUE"""),"")</f>
        <v/>
      </c>
      <c r="P846" s="52" t="str">
        <f t="shared" si="22"/>
        <v/>
      </c>
      <c r="R846" s="52" t="str">
        <f t="shared" si="32"/>
        <v/>
      </c>
      <c r="Z846" s="81"/>
      <c r="AA846" s="81"/>
      <c r="AB846" s="81"/>
      <c r="AC846" s="81" t="str">
        <f t="shared" si="5"/>
        <v/>
      </c>
      <c r="AD846" s="82" t="str">
        <f t="shared" si="6"/>
        <v/>
      </c>
    </row>
    <row r="847">
      <c r="A847" s="89"/>
      <c r="B847" s="89"/>
      <c r="C847" s="89"/>
      <c r="D847" s="89"/>
      <c r="E847" s="89"/>
      <c r="F847" s="81"/>
      <c r="G847" s="89"/>
      <c r="H847" s="89"/>
      <c r="I847" s="89"/>
      <c r="J847" s="89" t="str">
        <f t="shared" si="18"/>
        <v/>
      </c>
      <c r="K847" s="89" t="str">
        <f t="shared" si="23"/>
        <v/>
      </c>
      <c r="L847" s="89" t="str">
        <f>IFERROR(__xludf.DUMMYFUNCTION("""COMPUTED_VALUE"""),"")</f>
        <v/>
      </c>
      <c r="M847" s="89" t="str">
        <f>IFERROR(__xludf.DUMMYFUNCTION("""COMPUTED_VALUE"""),"")</f>
        <v/>
      </c>
      <c r="N847" s="89" t="str">
        <f>IFERROR(__xludf.DUMMYFUNCTION("""COMPUTED_VALUE"""),"")</f>
        <v/>
      </c>
      <c r="P847" s="52" t="str">
        <f t="shared" si="22"/>
        <v/>
      </c>
      <c r="R847" s="52" t="str">
        <f t="shared" si="32"/>
        <v/>
      </c>
      <c r="Z847" s="81"/>
      <c r="AA847" s="81"/>
      <c r="AB847" s="81"/>
      <c r="AC847" s="81" t="str">
        <f t="shared" si="5"/>
        <v/>
      </c>
      <c r="AD847" s="82" t="str">
        <f t="shared" si="6"/>
        <v/>
      </c>
    </row>
    <row r="848">
      <c r="A848" s="89"/>
      <c r="B848" s="89"/>
      <c r="C848" s="89"/>
      <c r="D848" s="89"/>
      <c r="E848" s="89"/>
      <c r="F848" s="81"/>
      <c r="G848" s="89"/>
      <c r="H848" s="89"/>
      <c r="I848" s="89"/>
      <c r="J848" s="89" t="str">
        <f t="shared" si="18"/>
        <v/>
      </c>
      <c r="K848" s="89" t="str">
        <f t="shared" si="23"/>
        <v/>
      </c>
      <c r="L848" s="89" t="str">
        <f>IFERROR(__xludf.DUMMYFUNCTION("""COMPUTED_VALUE"""),"")</f>
        <v/>
      </c>
      <c r="M848" s="89" t="str">
        <f>IFERROR(__xludf.DUMMYFUNCTION("""COMPUTED_VALUE"""),"")</f>
        <v/>
      </c>
      <c r="N848" s="89" t="str">
        <f>IFERROR(__xludf.DUMMYFUNCTION("""COMPUTED_VALUE"""),"")</f>
        <v/>
      </c>
      <c r="P848" s="52" t="str">
        <f t="shared" si="22"/>
        <v/>
      </c>
      <c r="R848" s="52" t="str">
        <f t="shared" si="32"/>
        <v/>
      </c>
      <c r="Z848" s="81"/>
      <c r="AA848" s="81"/>
      <c r="AB848" s="81"/>
      <c r="AC848" s="81" t="str">
        <f t="shared" si="5"/>
        <v/>
      </c>
      <c r="AD848" s="82" t="str">
        <f t="shared" si="6"/>
        <v/>
      </c>
    </row>
    <row r="849">
      <c r="A849" s="89"/>
      <c r="B849" s="89"/>
      <c r="C849" s="89"/>
      <c r="D849" s="89"/>
      <c r="E849" s="89"/>
      <c r="F849" s="81"/>
      <c r="G849" s="89"/>
      <c r="H849" s="89"/>
      <c r="I849" s="89"/>
      <c r="J849" s="89" t="str">
        <f t="shared" si="18"/>
        <v/>
      </c>
      <c r="K849" s="89" t="str">
        <f t="shared" si="23"/>
        <v/>
      </c>
      <c r="L849" s="89" t="str">
        <f>IFERROR(__xludf.DUMMYFUNCTION("""COMPUTED_VALUE"""),"")</f>
        <v/>
      </c>
      <c r="M849" s="89" t="str">
        <f>IFERROR(__xludf.DUMMYFUNCTION("""COMPUTED_VALUE"""),"")</f>
        <v/>
      </c>
      <c r="N849" s="89" t="str">
        <f>IFERROR(__xludf.DUMMYFUNCTION("""COMPUTED_VALUE"""),"")</f>
        <v/>
      </c>
      <c r="P849" s="52" t="str">
        <f t="shared" si="22"/>
        <v/>
      </c>
      <c r="R849" s="52" t="str">
        <f t="shared" si="32"/>
        <v/>
      </c>
      <c r="Z849" s="81"/>
      <c r="AA849" s="81"/>
      <c r="AB849" s="81"/>
      <c r="AC849" s="81" t="str">
        <f t="shared" si="5"/>
        <v/>
      </c>
      <c r="AD849" s="82" t="str">
        <f t="shared" si="6"/>
        <v/>
      </c>
    </row>
    <row r="850">
      <c r="A850" s="89"/>
      <c r="B850" s="89"/>
      <c r="C850" s="89"/>
      <c r="D850" s="89"/>
      <c r="E850" s="89"/>
      <c r="F850" s="81"/>
      <c r="G850" s="89"/>
      <c r="H850" s="89"/>
      <c r="I850" s="89"/>
      <c r="J850" s="89" t="str">
        <f t="shared" si="18"/>
        <v/>
      </c>
      <c r="K850" s="89" t="str">
        <f t="shared" si="23"/>
        <v/>
      </c>
      <c r="L850" s="89" t="str">
        <f>IFERROR(__xludf.DUMMYFUNCTION("""COMPUTED_VALUE"""),"")</f>
        <v/>
      </c>
      <c r="M850" s="89" t="str">
        <f>IFERROR(__xludf.DUMMYFUNCTION("""COMPUTED_VALUE"""),"")</f>
        <v/>
      </c>
      <c r="N850" s="89" t="str">
        <f>IFERROR(__xludf.DUMMYFUNCTION("""COMPUTED_VALUE"""),"")</f>
        <v/>
      </c>
      <c r="P850" s="52" t="str">
        <f t="shared" si="22"/>
        <v/>
      </c>
      <c r="R850" s="52" t="str">
        <f t="shared" si="32"/>
        <v/>
      </c>
      <c r="Z850" s="81"/>
      <c r="AA850" s="81"/>
      <c r="AB850" s="81"/>
      <c r="AC850" s="81" t="str">
        <f t="shared" si="5"/>
        <v/>
      </c>
      <c r="AD850" s="82" t="str">
        <f t="shared" si="6"/>
        <v/>
      </c>
    </row>
    <row r="851">
      <c r="A851" s="89"/>
      <c r="B851" s="89"/>
      <c r="C851" s="89"/>
      <c r="D851" s="89"/>
      <c r="E851" s="89"/>
      <c r="F851" s="81"/>
      <c r="G851" s="89"/>
      <c r="H851" s="89"/>
      <c r="I851" s="89"/>
      <c r="J851" s="89" t="str">
        <f t="shared" si="18"/>
        <v/>
      </c>
      <c r="K851" s="89" t="str">
        <f t="shared" si="23"/>
        <v/>
      </c>
      <c r="L851" s="89" t="str">
        <f>IFERROR(__xludf.DUMMYFUNCTION("""COMPUTED_VALUE"""),"")</f>
        <v/>
      </c>
      <c r="M851" s="89" t="str">
        <f>IFERROR(__xludf.DUMMYFUNCTION("""COMPUTED_VALUE"""),"")</f>
        <v/>
      </c>
      <c r="N851" s="89" t="str">
        <f>IFERROR(__xludf.DUMMYFUNCTION("""COMPUTED_VALUE"""),"")</f>
        <v/>
      </c>
      <c r="P851" s="52" t="str">
        <f t="shared" si="22"/>
        <v/>
      </c>
      <c r="R851" s="52" t="str">
        <f t="shared" si="32"/>
        <v/>
      </c>
      <c r="Z851" s="81"/>
      <c r="AA851" s="81"/>
      <c r="AB851" s="81"/>
      <c r="AC851" s="81" t="str">
        <f t="shared" si="5"/>
        <v/>
      </c>
      <c r="AD851" s="82" t="str">
        <f t="shared" si="6"/>
        <v/>
      </c>
    </row>
    <row r="852">
      <c r="A852" s="89"/>
      <c r="B852" s="89"/>
      <c r="C852" s="89"/>
      <c r="D852" s="89"/>
      <c r="E852" s="89"/>
      <c r="F852" s="81"/>
      <c r="G852" s="89"/>
      <c r="H852" s="89"/>
      <c r="I852" s="89"/>
      <c r="J852" s="89" t="str">
        <f t="shared" si="18"/>
        <v/>
      </c>
      <c r="K852" s="89" t="str">
        <f t="shared" si="23"/>
        <v/>
      </c>
      <c r="L852" s="89" t="str">
        <f>IFERROR(__xludf.DUMMYFUNCTION("""COMPUTED_VALUE"""),"")</f>
        <v/>
      </c>
      <c r="M852" s="89" t="str">
        <f>IFERROR(__xludf.DUMMYFUNCTION("""COMPUTED_VALUE"""),"")</f>
        <v/>
      </c>
      <c r="N852" s="89" t="str">
        <f>IFERROR(__xludf.DUMMYFUNCTION("""COMPUTED_VALUE"""),"")</f>
        <v/>
      </c>
      <c r="P852" s="52" t="str">
        <f t="shared" si="22"/>
        <v/>
      </c>
      <c r="R852" s="52" t="str">
        <f t="shared" si="32"/>
        <v/>
      </c>
      <c r="Z852" s="81"/>
      <c r="AA852" s="81"/>
      <c r="AB852" s="81"/>
      <c r="AC852" s="81" t="str">
        <f t="shared" si="5"/>
        <v/>
      </c>
      <c r="AD852" s="82" t="str">
        <f t="shared" si="6"/>
        <v/>
      </c>
    </row>
    <row r="853">
      <c r="A853" s="89"/>
      <c r="B853" s="89"/>
      <c r="C853" s="89"/>
      <c r="D853" s="89"/>
      <c r="E853" s="89"/>
      <c r="F853" s="81"/>
      <c r="G853" s="89"/>
      <c r="H853" s="89"/>
      <c r="I853" s="89"/>
      <c r="J853" s="89" t="str">
        <f t="shared" si="18"/>
        <v/>
      </c>
      <c r="K853" s="89" t="str">
        <f t="shared" si="23"/>
        <v/>
      </c>
      <c r="L853" s="89" t="str">
        <f>IFERROR(__xludf.DUMMYFUNCTION("""COMPUTED_VALUE"""),"")</f>
        <v/>
      </c>
      <c r="M853" s="89" t="str">
        <f>IFERROR(__xludf.DUMMYFUNCTION("""COMPUTED_VALUE"""),"")</f>
        <v/>
      </c>
      <c r="N853" s="89" t="str">
        <f>IFERROR(__xludf.DUMMYFUNCTION("""COMPUTED_VALUE"""),"")</f>
        <v/>
      </c>
      <c r="P853" s="52" t="str">
        <f t="shared" si="22"/>
        <v/>
      </c>
      <c r="R853" s="52" t="str">
        <f t="shared" si="32"/>
        <v/>
      </c>
      <c r="Z853" s="81"/>
      <c r="AA853" s="81"/>
      <c r="AB853" s="81"/>
      <c r="AC853" s="81" t="str">
        <f t="shared" si="5"/>
        <v/>
      </c>
      <c r="AD853" s="82" t="str">
        <f t="shared" si="6"/>
        <v/>
      </c>
    </row>
    <row r="854">
      <c r="A854" s="89"/>
      <c r="B854" s="89"/>
      <c r="C854" s="89"/>
      <c r="D854" s="89"/>
      <c r="E854" s="89"/>
      <c r="F854" s="81"/>
      <c r="G854" s="89"/>
      <c r="H854" s="89"/>
      <c r="I854" s="89"/>
      <c r="J854" s="89" t="str">
        <f t="shared" si="18"/>
        <v/>
      </c>
      <c r="K854" s="89" t="str">
        <f t="shared" si="23"/>
        <v/>
      </c>
      <c r="L854" s="89" t="str">
        <f>IFERROR(__xludf.DUMMYFUNCTION("""COMPUTED_VALUE"""),"")</f>
        <v/>
      </c>
      <c r="M854" s="89" t="str">
        <f>IFERROR(__xludf.DUMMYFUNCTION("""COMPUTED_VALUE"""),"")</f>
        <v/>
      </c>
      <c r="N854" s="89" t="str">
        <f>IFERROR(__xludf.DUMMYFUNCTION("""COMPUTED_VALUE"""),"")</f>
        <v/>
      </c>
      <c r="P854" s="52" t="str">
        <f t="shared" si="22"/>
        <v/>
      </c>
      <c r="R854" s="52" t="str">
        <f t="shared" si="32"/>
        <v/>
      </c>
      <c r="Z854" s="81"/>
      <c r="AA854" s="81"/>
      <c r="AB854" s="81"/>
      <c r="AC854" s="81" t="str">
        <f t="shared" si="5"/>
        <v/>
      </c>
      <c r="AD854" s="82" t="str">
        <f t="shared" si="6"/>
        <v/>
      </c>
    </row>
    <row r="855">
      <c r="A855" s="89"/>
      <c r="B855" s="89"/>
      <c r="C855" s="89"/>
      <c r="D855" s="89"/>
      <c r="E855" s="89"/>
      <c r="F855" s="81"/>
      <c r="G855" s="89"/>
      <c r="H855" s="89"/>
      <c r="I855" s="89"/>
      <c r="J855" s="89" t="str">
        <f t="shared" si="18"/>
        <v/>
      </c>
      <c r="K855" s="89" t="str">
        <f t="shared" si="23"/>
        <v/>
      </c>
      <c r="L855" s="89" t="str">
        <f>IFERROR(__xludf.DUMMYFUNCTION("""COMPUTED_VALUE"""),"")</f>
        <v/>
      </c>
      <c r="M855" s="89" t="str">
        <f>IFERROR(__xludf.DUMMYFUNCTION("""COMPUTED_VALUE"""),"")</f>
        <v/>
      </c>
      <c r="N855" s="89" t="str">
        <f>IFERROR(__xludf.DUMMYFUNCTION("""COMPUTED_VALUE"""),"")</f>
        <v/>
      </c>
      <c r="P855" s="52" t="str">
        <f t="shared" si="22"/>
        <v/>
      </c>
      <c r="R855" s="52" t="str">
        <f t="shared" si="32"/>
        <v/>
      </c>
      <c r="Z855" s="81"/>
      <c r="AA855" s="81"/>
      <c r="AB855" s="81"/>
      <c r="AC855" s="81" t="str">
        <f t="shared" si="5"/>
        <v/>
      </c>
      <c r="AD855" s="82" t="str">
        <f t="shared" si="6"/>
        <v/>
      </c>
    </row>
    <row r="856">
      <c r="A856" s="89"/>
      <c r="B856" s="89"/>
      <c r="C856" s="89"/>
      <c r="D856" s="89"/>
      <c r="E856" s="89"/>
      <c r="F856" s="81"/>
      <c r="G856" s="89"/>
      <c r="H856" s="89"/>
      <c r="I856" s="89"/>
      <c r="J856" s="89" t="str">
        <f t="shared" si="18"/>
        <v/>
      </c>
      <c r="K856" s="89" t="str">
        <f t="shared" si="23"/>
        <v/>
      </c>
      <c r="L856" s="89" t="str">
        <f>IFERROR(__xludf.DUMMYFUNCTION("""COMPUTED_VALUE"""),"")</f>
        <v/>
      </c>
      <c r="M856" s="89" t="str">
        <f>IFERROR(__xludf.DUMMYFUNCTION("""COMPUTED_VALUE"""),"")</f>
        <v/>
      </c>
      <c r="N856" s="89" t="str">
        <f>IFERROR(__xludf.DUMMYFUNCTION("""COMPUTED_VALUE"""),"")</f>
        <v/>
      </c>
      <c r="P856" s="52" t="str">
        <f t="shared" si="22"/>
        <v/>
      </c>
      <c r="R856" s="52" t="str">
        <f t="shared" si="32"/>
        <v/>
      </c>
      <c r="Z856" s="81"/>
      <c r="AA856" s="81"/>
      <c r="AB856" s="81"/>
      <c r="AC856" s="81" t="str">
        <f t="shared" si="5"/>
        <v/>
      </c>
      <c r="AD856" s="82" t="str">
        <f t="shared" si="6"/>
        <v/>
      </c>
    </row>
    <row r="857">
      <c r="A857" s="89"/>
      <c r="B857" s="89"/>
      <c r="C857" s="89"/>
      <c r="D857" s="89"/>
      <c r="E857" s="89"/>
      <c r="F857" s="81"/>
      <c r="G857" s="89"/>
      <c r="H857" s="89"/>
      <c r="I857" s="89"/>
      <c r="J857" s="89" t="str">
        <f t="shared" si="18"/>
        <v/>
      </c>
      <c r="K857" s="89" t="str">
        <f t="shared" si="23"/>
        <v/>
      </c>
      <c r="L857" s="89" t="str">
        <f>IFERROR(__xludf.DUMMYFUNCTION("""COMPUTED_VALUE"""),"")</f>
        <v/>
      </c>
      <c r="M857" s="89" t="str">
        <f>IFERROR(__xludf.DUMMYFUNCTION("""COMPUTED_VALUE"""),"")</f>
        <v/>
      </c>
      <c r="N857" s="89" t="str">
        <f>IFERROR(__xludf.DUMMYFUNCTION("""COMPUTED_VALUE"""),"")</f>
        <v/>
      </c>
      <c r="P857" s="52" t="str">
        <f t="shared" si="22"/>
        <v/>
      </c>
      <c r="R857" s="52" t="str">
        <f t="shared" si="32"/>
        <v/>
      </c>
      <c r="Z857" s="81"/>
      <c r="AA857" s="81"/>
      <c r="AB857" s="81"/>
      <c r="AC857" s="81" t="str">
        <f t="shared" si="5"/>
        <v/>
      </c>
      <c r="AD857" s="82" t="str">
        <f t="shared" si="6"/>
        <v/>
      </c>
    </row>
    <row r="858">
      <c r="A858" s="89"/>
      <c r="B858" s="89"/>
      <c r="C858" s="89"/>
      <c r="D858" s="89"/>
      <c r="E858" s="89"/>
      <c r="F858" s="81"/>
      <c r="G858" s="89"/>
      <c r="H858" s="89"/>
      <c r="I858" s="89"/>
      <c r="J858" s="89" t="str">
        <f t="shared" si="18"/>
        <v/>
      </c>
      <c r="K858" s="89" t="str">
        <f t="shared" si="23"/>
        <v/>
      </c>
      <c r="L858" s="89" t="str">
        <f>IFERROR(__xludf.DUMMYFUNCTION("""COMPUTED_VALUE"""),"")</f>
        <v/>
      </c>
      <c r="M858" s="89" t="str">
        <f>IFERROR(__xludf.DUMMYFUNCTION("""COMPUTED_VALUE"""),"")</f>
        <v/>
      </c>
      <c r="N858" s="89" t="str">
        <f>IFERROR(__xludf.DUMMYFUNCTION("""COMPUTED_VALUE"""),"")</f>
        <v/>
      </c>
      <c r="P858" s="52" t="str">
        <f t="shared" si="22"/>
        <v/>
      </c>
      <c r="R858" s="52" t="str">
        <f t="shared" si="32"/>
        <v/>
      </c>
      <c r="Z858" s="81"/>
      <c r="AA858" s="81"/>
      <c r="AB858" s="81"/>
      <c r="AC858" s="81" t="str">
        <f t="shared" si="5"/>
        <v/>
      </c>
      <c r="AD858" s="82" t="str">
        <f t="shared" si="6"/>
        <v/>
      </c>
    </row>
    <row r="859">
      <c r="A859" s="89"/>
      <c r="B859" s="89"/>
      <c r="C859" s="89"/>
      <c r="D859" s="89"/>
      <c r="E859" s="89"/>
      <c r="F859" s="81"/>
      <c r="G859" s="89"/>
      <c r="H859" s="89"/>
      <c r="I859" s="89"/>
      <c r="J859" s="89" t="str">
        <f t="shared" si="18"/>
        <v/>
      </c>
      <c r="K859" s="89" t="str">
        <f t="shared" si="23"/>
        <v/>
      </c>
      <c r="L859" s="89" t="str">
        <f>IFERROR(__xludf.DUMMYFUNCTION("""COMPUTED_VALUE"""),"")</f>
        <v/>
      </c>
      <c r="M859" s="89" t="str">
        <f>IFERROR(__xludf.DUMMYFUNCTION("""COMPUTED_VALUE"""),"")</f>
        <v/>
      </c>
      <c r="N859" s="89" t="str">
        <f>IFERROR(__xludf.DUMMYFUNCTION("""COMPUTED_VALUE"""),"")</f>
        <v/>
      </c>
      <c r="P859" s="52" t="str">
        <f t="shared" si="22"/>
        <v/>
      </c>
      <c r="R859" s="52" t="str">
        <f t="shared" si="32"/>
        <v/>
      </c>
      <c r="Z859" s="81"/>
      <c r="AA859" s="81"/>
      <c r="AB859" s="81"/>
      <c r="AC859" s="81" t="str">
        <f t="shared" si="5"/>
        <v/>
      </c>
      <c r="AD859" s="82" t="str">
        <f t="shared" si="6"/>
        <v/>
      </c>
    </row>
    <row r="860">
      <c r="A860" s="89"/>
      <c r="B860" s="89"/>
      <c r="C860" s="89"/>
      <c r="D860" s="89"/>
      <c r="E860" s="89"/>
      <c r="F860" s="81"/>
      <c r="G860" s="89"/>
      <c r="H860" s="89"/>
      <c r="I860" s="89"/>
      <c r="J860" s="89" t="str">
        <f t="shared" si="18"/>
        <v/>
      </c>
      <c r="K860" s="89" t="str">
        <f t="shared" si="23"/>
        <v/>
      </c>
      <c r="L860" s="89" t="str">
        <f>IFERROR(__xludf.DUMMYFUNCTION("""COMPUTED_VALUE"""),"")</f>
        <v/>
      </c>
      <c r="M860" s="89" t="str">
        <f>IFERROR(__xludf.DUMMYFUNCTION("""COMPUTED_VALUE"""),"")</f>
        <v/>
      </c>
      <c r="N860" s="89" t="str">
        <f>IFERROR(__xludf.DUMMYFUNCTION("""COMPUTED_VALUE"""),"")</f>
        <v/>
      </c>
      <c r="P860" s="52" t="str">
        <f t="shared" si="22"/>
        <v/>
      </c>
      <c r="R860" s="52" t="str">
        <f t="shared" si="32"/>
        <v/>
      </c>
      <c r="Z860" s="81"/>
      <c r="AA860" s="81"/>
      <c r="AB860" s="81"/>
      <c r="AC860" s="81" t="str">
        <f t="shared" si="5"/>
        <v/>
      </c>
      <c r="AD860" s="82" t="str">
        <f t="shared" si="6"/>
        <v/>
      </c>
    </row>
    <row r="861">
      <c r="A861" s="89"/>
      <c r="B861" s="89"/>
      <c r="C861" s="89"/>
      <c r="D861" s="89"/>
      <c r="E861" s="89"/>
      <c r="F861" s="81"/>
      <c r="G861" s="89"/>
      <c r="H861" s="89"/>
      <c r="I861" s="89"/>
      <c r="J861" s="89" t="str">
        <f t="shared" si="18"/>
        <v/>
      </c>
      <c r="K861" s="89" t="str">
        <f t="shared" si="23"/>
        <v/>
      </c>
      <c r="L861" s="89" t="str">
        <f>IFERROR(__xludf.DUMMYFUNCTION("""COMPUTED_VALUE"""),"")</f>
        <v/>
      </c>
      <c r="M861" s="89" t="str">
        <f>IFERROR(__xludf.DUMMYFUNCTION("""COMPUTED_VALUE"""),"")</f>
        <v/>
      </c>
      <c r="N861" s="89" t="str">
        <f>IFERROR(__xludf.DUMMYFUNCTION("""COMPUTED_VALUE"""),"")</f>
        <v/>
      </c>
      <c r="P861" s="52" t="str">
        <f t="shared" si="22"/>
        <v/>
      </c>
      <c r="R861" s="52" t="str">
        <f t="shared" si="32"/>
        <v/>
      </c>
      <c r="Z861" s="81"/>
      <c r="AA861" s="81"/>
      <c r="AB861" s="81"/>
      <c r="AC861" s="81" t="str">
        <f t="shared" si="5"/>
        <v/>
      </c>
      <c r="AD861" s="82" t="str">
        <f t="shared" si="6"/>
        <v/>
      </c>
    </row>
    <row r="862">
      <c r="A862" s="89"/>
      <c r="B862" s="89"/>
      <c r="C862" s="89"/>
      <c r="D862" s="89"/>
      <c r="E862" s="89"/>
      <c r="F862" s="81"/>
      <c r="G862" s="89"/>
      <c r="H862" s="89"/>
      <c r="I862" s="89"/>
      <c r="J862" s="89" t="str">
        <f t="shared" si="18"/>
        <v/>
      </c>
      <c r="K862" s="89" t="str">
        <f t="shared" si="23"/>
        <v/>
      </c>
      <c r="L862" s="89" t="str">
        <f>IFERROR(__xludf.DUMMYFUNCTION("""COMPUTED_VALUE"""),"")</f>
        <v/>
      </c>
      <c r="M862" s="89" t="str">
        <f>IFERROR(__xludf.DUMMYFUNCTION("""COMPUTED_VALUE"""),"")</f>
        <v/>
      </c>
      <c r="N862" s="89" t="str">
        <f>IFERROR(__xludf.DUMMYFUNCTION("""COMPUTED_VALUE"""),"")</f>
        <v/>
      </c>
      <c r="P862" s="52" t="str">
        <f t="shared" si="22"/>
        <v/>
      </c>
      <c r="R862" s="52" t="str">
        <f t="shared" si="32"/>
        <v/>
      </c>
      <c r="Z862" s="81"/>
      <c r="AA862" s="81"/>
      <c r="AB862" s="81"/>
      <c r="AC862" s="81" t="str">
        <f t="shared" si="5"/>
        <v/>
      </c>
      <c r="AD862" s="82" t="str">
        <f t="shared" si="6"/>
        <v/>
      </c>
    </row>
    <row r="863">
      <c r="A863" s="89"/>
      <c r="B863" s="89"/>
      <c r="C863" s="89"/>
      <c r="D863" s="89"/>
      <c r="E863" s="89"/>
      <c r="F863" s="81"/>
      <c r="G863" s="89"/>
      <c r="H863" s="89"/>
      <c r="I863" s="89"/>
      <c r="J863" s="89" t="str">
        <f t="shared" si="18"/>
        <v/>
      </c>
      <c r="K863" s="89" t="str">
        <f t="shared" si="23"/>
        <v/>
      </c>
      <c r="L863" s="89" t="str">
        <f>IFERROR(__xludf.DUMMYFUNCTION("""COMPUTED_VALUE"""),"")</f>
        <v/>
      </c>
      <c r="M863" s="89" t="str">
        <f>IFERROR(__xludf.DUMMYFUNCTION("""COMPUTED_VALUE"""),"")</f>
        <v/>
      </c>
      <c r="N863" s="89" t="str">
        <f>IFERROR(__xludf.DUMMYFUNCTION("""COMPUTED_VALUE"""),"")</f>
        <v/>
      </c>
      <c r="P863" s="52" t="str">
        <f t="shared" si="22"/>
        <v/>
      </c>
      <c r="R863" s="52" t="str">
        <f t="shared" si="32"/>
        <v/>
      </c>
      <c r="Z863" s="81"/>
      <c r="AA863" s="81"/>
      <c r="AB863" s="81"/>
      <c r="AC863" s="81" t="str">
        <f t="shared" si="5"/>
        <v/>
      </c>
      <c r="AD863" s="82" t="str">
        <f t="shared" si="6"/>
        <v/>
      </c>
    </row>
    <row r="864">
      <c r="A864" s="89"/>
      <c r="B864" s="89"/>
      <c r="C864" s="89"/>
      <c r="D864" s="89"/>
      <c r="E864" s="89"/>
      <c r="F864" s="81"/>
      <c r="G864" s="89"/>
      <c r="H864" s="89"/>
      <c r="I864" s="89"/>
      <c r="J864" s="89" t="str">
        <f t="shared" si="18"/>
        <v/>
      </c>
      <c r="K864" s="89" t="str">
        <f t="shared" si="23"/>
        <v/>
      </c>
      <c r="L864" s="89" t="str">
        <f>IFERROR(__xludf.DUMMYFUNCTION("""COMPUTED_VALUE"""),"")</f>
        <v/>
      </c>
      <c r="M864" s="89" t="str">
        <f>IFERROR(__xludf.DUMMYFUNCTION("""COMPUTED_VALUE"""),"")</f>
        <v/>
      </c>
      <c r="N864" s="89" t="str">
        <f>IFERROR(__xludf.DUMMYFUNCTION("""COMPUTED_VALUE"""),"")</f>
        <v/>
      </c>
      <c r="P864" s="52" t="str">
        <f t="shared" si="22"/>
        <v/>
      </c>
      <c r="R864" s="52" t="str">
        <f t="shared" si="32"/>
        <v/>
      </c>
      <c r="Z864" s="81"/>
      <c r="AA864" s="81"/>
      <c r="AB864" s="81"/>
      <c r="AC864" s="81" t="str">
        <f t="shared" si="5"/>
        <v/>
      </c>
      <c r="AD864" s="82" t="str">
        <f t="shared" si="6"/>
        <v/>
      </c>
    </row>
    <row r="865">
      <c r="A865" s="89"/>
      <c r="B865" s="89"/>
      <c r="C865" s="89"/>
      <c r="D865" s="89"/>
      <c r="E865" s="89"/>
      <c r="F865" s="81"/>
      <c r="G865" s="89"/>
      <c r="H865" s="89"/>
      <c r="I865" s="89"/>
      <c r="J865" s="89" t="str">
        <f t="shared" si="18"/>
        <v/>
      </c>
      <c r="K865" s="89" t="str">
        <f t="shared" si="23"/>
        <v/>
      </c>
      <c r="L865" s="89" t="str">
        <f>IFERROR(__xludf.DUMMYFUNCTION("""COMPUTED_VALUE"""),"")</f>
        <v/>
      </c>
      <c r="M865" s="89" t="str">
        <f>IFERROR(__xludf.DUMMYFUNCTION("""COMPUTED_VALUE"""),"")</f>
        <v/>
      </c>
      <c r="N865" s="89" t="str">
        <f>IFERROR(__xludf.DUMMYFUNCTION("""COMPUTED_VALUE"""),"")</f>
        <v/>
      </c>
      <c r="P865" s="52" t="str">
        <f t="shared" si="22"/>
        <v/>
      </c>
      <c r="R865" s="52" t="str">
        <f t="shared" si="32"/>
        <v/>
      </c>
      <c r="Z865" s="81"/>
      <c r="AA865" s="81"/>
      <c r="AB865" s="81"/>
      <c r="AC865" s="81" t="str">
        <f t="shared" si="5"/>
        <v/>
      </c>
      <c r="AD865" s="82" t="str">
        <f t="shared" si="6"/>
        <v/>
      </c>
    </row>
    <row r="866">
      <c r="A866" s="89"/>
      <c r="B866" s="89"/>
      <c r="C866" s="89"/>
      <c r="D866" s="89"/>
      <c r="E866" s="89"/>
      <c r="F866" s="81"/>
      <c r="G866" s="89"/>
      <c r="H866" s="89"/>
      <c r="I866" s="89"/>
      <c r="J866" s="89" t="str">
        <f t="shared" si="18"/>
        <v/>
      </c>
      <c r="K866" s="89" t="str">
        <f t="shared" si="23"/>
        <v/>
      </c>
      <c r="L866" s="89" t="str">
        <f>IFERROR(__xludf.DUMMYFUNCTION("""COMPUTED_VALUE"""),"")</f>
        <v/>
      </c>
      <c r="M866" s="89" t="str">
        <f>IFERROR(__xludf.DUMMYFUNCTION("""COMPUTED_VALUE"""),"")</f>
        <v/>
      </c>
      <c r="N866" s="89" t="str">
        <f>IFERROR(__xludf.DUMMYFUNCTION("""COMPUTED_VALUE"""),"")</f>
        <v/>
      </c>
      <c r="P866" s="52" t="str">
        <f t="shared" si="22"/>
        <v/>
      </c>
      <c r="R866" s="52" t="str">
        <f t="shared" si="32"/>
        <v/>
      </c>
      <c r="Z866" s="81"/>
      <c r="AA866" s="81"/>
      <c r="AB866" s="81"/>
      <c r="AC866" s="81" t="str">
        <f t="shared" si="5"/>
        <v/>
      </c>
      <c r="AD866" s="82" t="str">
        <f t="shared" si="6"/>
        <v/>
      </c>
    </row>
    <row r="867">
      <c r="A867" s="89"/>
      <c r="B867" s="89"/>
      <c r="C867" s="89"/>
      <c r="D867" s="89"/>
      <c r="E867" s="89"/>
      <c r="F867" s="81"/>
      <c r="G867" s="89"/>
      <c r="H867" s="89"/>
      <c r="I867" s="89"/>
      <c r="J867" s="89" t="str">
        <f t="shared" si="18"/>
        <v/>
      </c>
      <c r="K867" s="89" t="str">
        <f t="shared" si="23"/>
        <v/>
      </c>
      <c r="L867" s="89" t="str">
        <f>IFERROR(__xludf.DUMMYFUNCTION("""COMPUTED_VALUE"""),"")</f>
        <v/>
      </c>
      <c r="M867" s="89" t="str">
        <f>IFERROR(__xludf.DUMMYFUNCTION("""COMPUTED_VALUE"""),"")</f>
        <v/>
      </c>
      <c r="N867" s="89" t="str">
        <f>IFERROR(__xludf.DUMMYFUNCTION("""COMPUTED_VALUE"""),"")</f>
        <v/>
      </c>
      <c r="P867" s="52" t="str">
        <f t="shared" si="22"/>
        <v/>
      </c>
      <c r="R867" s="52" t="str">
        <f t="shared" si="32"/>
        <v/>
      </c>
      <c r="Z867" s="81"/>
      <c r="AA867" s="81"/>
      <c r="AB867" s="81"/>
      <c r="AC867" s="81" t="str">
        <f t="shared" si="5"/>
        <v/>
      </c>
      <c r="AD867" s="82" t="str">
        <f t="shared" si="6"/>
        <v/>
      </c>
    </row>
    <row r="868">
      <c r="A868" s="89"/>
      <c r="B868" s="89"/>
      <c r="C868" s="89"/>
      <c r="D868" s="89"/>
      <c r="E868" s="89"/>
      <c r="F868" s="81"/>
      <c r="G868" s="89"/>
      <c r="H868" s="89"/>
      <c r="I868" s="89"/>
      <c r="J868" s="89" t="str">
        <f t="shared" si="18"/>
        <v/>
      </c>
      <c r="K868" s="89" t="str">
        <f t="shared" si="23"/>
        <v/>
      </c>
      <c r="L868" s="89" t="str">
        <f>IFERROR(__xludf.DUMMYFUNCTION("""COMPUTED_VALUE"""),"")</f>
        <v/>
      </c>
      <c r="M868" s="89" t="str">
        <f>IFERROR(__xludf.DUMMYFUNCTION("""COMPUTED_VALUE"""),"")</f>
        <v/>
      </c>
      <c r="N868" s="89" t="str">
        <f>IFERROR(__xludf.DUMMYFUNCTION("""COMPUTED_VALUE"""),"")</f>
        <v/>
      </c>
      <c r="P868" s="52" t="str">
        <f t="shared" si="22"/>
        <v/>
      </c>
      <c r="R868" s="52" t="str">
        <f t="shared" si="32"/>
        <v/>
      </c>
      <c r="Z868" s="81"/>
      <c r="AA868" s="81"/>
      <c r="AB868" s="81"/>
      <c r="AC868" s="81" t="str">
        <f t="shared" si="5"/>
        <v/>
      </c>
      <c r="AD868" s="82" t="str">
        <f t="shared" si="6"/>
        <v/>
      </c>
    </row>
    <row r="869">
      <c r="A869" s="89"/>
      <c r="B869" s="89"/>
      <c r="C869" s="89"/>
      <c r="D869" s="89"/>
      <c r="E869" s="89"/>
      <c r="F869" s="81"/>
      <c r="G869" s="89"/>
      <c r="H869" s="89"/>
      <c r="I869" s="89"/>
      <c r="J869" s="89" t="str">
        <f t="shared" si="18"/>
        <v/>
      </c>
      <c r="K869" s="89" t="str">
        <f t="shared" si="23"/>
        <v/>
      </c>
      <c r="L869" s="89" t="str">
        <f>IFERROR(__xludf.DUMMYFUNCTION("""COMPUTED_VALUE"""),"")</f>
        <v/>
      </c>
      <c r="M869" s="89" t="str">
        <f>IFERROR(__xludf.DUMMYFUNCTION("""COMPUTED_VALUE"""),"")</f>
        <v/>
      </c>
      <c r="N869" s="89" t="str">
        <f>IFERROR(__xludf.DUMMYFUNCTION("""COMPUTED_VALUE"""),"")</f>
        <v/>
      </c>
      <c r="P869" s="52" t="str">
        <f t="shared" si="22"/>
        <v/>
      </c>
      <c r="R869" s="52" t="str">
        <f t="shared" si="32"/>
        <v/>
      </c>
      <c r="Z869" s="81"/>
      <c r="AA869" s="81"/>
      <c r="AB869" s="81"/>
      <c r="AC869" s="81" t="str">
        <f t="shared" si="5"/>
        <v/>
      </c>
      <c r="AD869" s="82" t="str">
        <f t="shared" si="6"/>
        <v/>
      </c>
    </row>
    <row r="870">
      <c r="A870" s="89"/>
      <c r="B870" s="89"/>
      <c r="C870" s="89"/>
      <c r="D870" s="89"/>
      <c r="E870" s="89"/>
      <c r="F870" s="81"/>
      <c r="G870" s="89"/>
      <c r="H870" s="89"/>
      <c r="I870" s="89"/>
      <c r="J870" s="89" t="str">
        <f t="shared" si="18"/>
        <v/>
      </c>
      <c r="K870" s="89" t="str">
        <f t="shared" si="23"/>
        <v/>
      </c>
      <c r="L870" s="89" t="str">
        <f>IFERROR(__xludf.DUMMYFUNCTION("""COMPUTED_VALUE"""),"")</f>
        <v/>
      </c>
      <c r="M870" s="89" t="str">
        <f>IFERROR(__xludf.DUMMYFUNCTION("""COMPUTED_VALUE"""),"")</f>
        <v/>
      </c>
      <c r="N870" s="89" t="str">
        <f>IFERROR(__xludf.DUMMYFUNCTION("""COMPUTED_VALUE"""),"")</f>
        <v/>
      </c>
      <c r="P870" s="52" t="str">
        <f t="shared" si="22"/>
        <v/>
      </c>
      <c r="R870" s="52" t="str">
        <f t="shared" si="32"/>
        <v/>
      </c>
      <c r="Z870" s="81"/>
      <c r="AA870" s="81"/>
      <c r="AB870" s="81"/>
      <c r="AC870" s="81" t="str">
        <f t="shared" si="5"/>
        <v/>
      </c>
      <c r="AD870" s="82" t="str">
        <f t="shared" si="6"/>
        <v/>
      </c>
    </row>
    <row r="871">
      <c r="A871" s="89"/>
      <c r="B871" s="89"/>
      <c r="C871" s="89"/>
      <c r="D871" s="89"/>
      <c r="E871" s="89"/>
      <c r="F871" s="81"/>
      <c r="G871" s="89"/>
      <c r="H871" s="89"/>
      <c r="I871" s="89"/>
      <c r="J871" s="89" t="str">
        <f t="shared" si="18"/>
        <v/>
      </c>
      <c r="K871" s="89" t="str">
        <f t="shared" si="23"/>
        <v/>
      </c>
      <c r="L871" s="89" t="str">
        <f>IFERROR(__xludf.DUMMYFUNCTION("""COMPUTED_VALUE"""),"")</f>
        <v/>
      </c>
      <c r="M871" s="89" t="str">
        <f>IFERROR(__xludf.DUMMYFUNCTION("""COMPUTED_VALUE"""),"")</f>
        <v/>
      </c>
      <c r="N871" s="89" t="str">
        <f>IFERROR(__xludf.DUMMYFUNCTION("""COMPUTED_VALUE"""),"")</f>
        <v/>
      </c>
      <c r="P871" s="52" t="str">
        <f t="shared" si="22"/>
        <v/>
      </c>
      <c r="R871" s="52" t="str">
        <f t="shared" si="32"/>
        <v/>
      </c>
      <c r="Z871" s="81"/>
      <c r="AA871" s="81"/>
      <c r="AB871" s="81"/>
      <c r="AC871" s="81" t="str">
        <f t="shared" si="5"/>
        <v/>
      </c>
      <c r="AD871" s="82" t="str">
        <f t="shared" si="6"/>
        <v/>
      </c>
    </row>
    <row r="872">
      <c r="A872" s="89"/>
      <c r="B872" s="89"/>
      <c r="C872" s="89"/>
      <c r="D872" s="89"/>
      <c r="E872" s="89"/>
      <c r="F872" s="81"/>
      <c r="G872" s="89"/>
      <c r="H872" s="89"/>
      <c r="I872" s="89"/>
      <c r="J872" s="89" t="str">
        <f t="shared" si="18"/>
        <v/>
      </c>
      <c r="K872" s="89" t="str">
        <f t="shared" si="23"/>
        <v/>
      </c>
      <c r="L872" s="89" t="str">
        <f>IFERROR(__xludf.DUMMYFUNCTION("""COMPUTED_VALUE"""),"")</f>
        <v/>
      </c>
      <c r="M872" s="89" t="str">
        <f>IFERROR(__xludf.DUMMYFUNCTION("""COMPUTED_VALUE"""),"")</f>
        <v/>
      </c>
      <c r="N872" s="89" t="str">
        <f>IFERROR(__xludf.DUMMYFUNCTION("""COMPUTED_VALUE"""),"")</f>
        <v/>
      </c>
      <c r="P872" s="52" t="str">
        <f t="shared" si="22"/>
        <v/>
      </c>
      <c r="R872" s="52" t="str">
        <f t="shared" si="32"/>
        <v/>
      </c>
      <c r="Z872" s="81"/>
      <c r="AA872" s="81"/>
      <c r="AB872" s="81"/>
      <c r="AC872" s="81" t="str">
        <f t="shared" si="5"/>
        <v/>
      </c>
      <c r="AD872" s="82" t="str">
        <f t="shared" si="6"/>
        <v/>
      </c>
    </row>
    <row r="873">
      <c r="A873" s="89"/>
      <c r="B873" s="89"/>
      <c r="C873" s="89"/>
      <c r="D873" s="89"/>
      <c r="E873" s="89"/>
      <c r="F873" s="81"/>
      <c r="G873" s="89"/>
      <c r="H873" s="89"/>
      <c r="I873" s="89"/>
      <c r="J873" s="89" t="str">
        <f t="shared" si="18"/>
        <v/>
      </c>
      <c r="K873" s="89" t="str">
        <f t="shared" si="23"/>
        <v/>
      </c>
      <c r="L873" s="89" t="str">
        <f>IFERROR(__xludf.DUMMYFUNCTION("""COMPUTED_VALUE"""),"")</f>
        <v/>
      </c>
      <c r="M873" s="89" t="str">
        <f>IFERROR(__xludf.DUMMYFUNCTION("""COMPUTED_VALUE"""),"")</f>
        <v/>
      </c>
      <c r="N873" s="89" t="str">
        <f>IFERROR(__xludf.DUMMYFUNCTION("""COMPUTED_VALUE"""),"")</f>
        <v/>
      </c>
      <c r="P873" s="52" t="str">
        <f t="shared" si="22"/>
        <v/>
      </c>
      <c r="R873" s="52" t="str">
        <f t="shared" si="32"/>
        <v/>
      </c>
      <c r="Z873" s="81"/>
      <c r="AA873" s="81"/>
      <c r="AB873" s="81"/>
      <c r="AC873" s="81" t="str">
        <f t="shared" si="5"/>
        <v/>
      </c>
      <c r="AD873" s="82" t="str">
        <f t="shared" si="6"/>
        <v/>
      </c>
    </row>
    <row r="874">
      <c r="A874" s="89"/>
      <c r="B874" s="89"/>
      <c r="C874" s="89"/>
      <c r="D874" s="89"/>
      <c r="E874" s="89"/>
      <c r="F874" s="81"/>
      <c r="G874" s="89"/>
      <c r="H874" s="89"/>
      <c r="I874" s="89"/>
      <c r="J874" s="89" t="str">
        <f t="shared" si="18"/>
        <v/>
      </c>
      <c r="K874" s="89" t="str">
        <f t="shared" si="23"/>
        <v/>
      </c>
      <c r="L874" s="89" t="str">
        <f>IFERROR(__xludf.DUMMYFUNCTION("""COMPUTED_VALUE"""),"")</f>
        <v/>
      </c>
      <c r="M874" s="89" t="str">
        <f>IFERROR(__xludf.DUMMYFUNCTION("""COMPUTED_VALUE"""),"")</f>
        <v/>
      </c>
      <c r="N874" s="89" t="str">
        <f>IFERROR(__xludf.DUMMYFUNCTION("""COMPUTED_VALUE"""),"")</f>
        <v/>
      </c>
      <c r="P874" s="52" t="str">
        <f t="shared" si="22"/>
        <v/>
      </c>
      <c r="R874" s="52" t="str">
        <f t="shared" si="32"/>
        <v/>
      </c>
      <c r="Z874" s="81"/>
      <c r="AA874" s="81"/>
      <c r="AB874" s="81"/>
      <c r="AC874" s="81" t="str">
        <f t="shared" si="5"/>
        <v/>
      </c>
      <c r="AD874" s="82" t="str">
        <f t="shared" si="6"/>
        <v/>
      </c>
    </row>
    <row r="875">
      <c r="A875" s="89"/>
      <c r="B875" s="89"/>
      <c r="C875" s="89"/>
      <c r="D875" s="89"/>
      <c r="E875" s="89"/>
      <c r="F875" s="81"/>
      <c r="G875" s="89"/>
      <c r="H875" s="89"/>
      <c r="I875" s="89"/>
      <c r="J875" s="89" t="str">
        <f t="shared" si="18"/>
        <v/>
      </c>
      <c r="K875" s="89" t="str">
        <f t="shared" si="23"/>
        <v/>
      </c>
      <c r="L875" s="89" t="str">
        <f>IFERROR(__xludf.DUMMYFUNCTION("""COMPUTED_VALUE"""),"")</f>
        <v/>
      </c>
      <c r="M875" s="89" t="str">
        <f>IFERROR(__xludf.DUMMYFUNCTION("""COMPUTED_VALUE"""),"")</f>
        <v/>
      </c>
      <c r="N875" s="89" t="str">
        <f>IFERROR(__xludf.DUMMYFUNCTION("""COMPUTED_VALUE"""),"")</f>
        <v/>
      </c>
      <c r="P875" s="52" t="str">
        <f t="shared" si="22"/>
        <v/>
      </c>
      <c r="R875" s="52" t="str">
        <f t="shared" si="32"/>
        <v/>
      </c>
      <c r="Z875" s="81"/>
      <c r="AA875" s="81"/>
      <c r="AB875" s="81"/>
      <c r="AC875" s="81" t="str">
        <f t="shared" si="5"/>
        <v/>
      </c>
      <c r="AD875" s="82" t="str">
        <f t="shared" si="6"/>
        <v/>
      </c>
    </row>
    <row r="876">
      <c r="A876" s="89"/>
      <c r="B876" s="89"/>
      <c r="C876" s="89"/>
      <c r="D876" s="89"/>
      <c r="E876" s="89"/>
      <c r="F876" s="81"/>
      <c r="G876" s="89"/>
      <c r="H876" s="89"/>
      <c r="I876" s="89"/>
      <c r="J876" s="89" t="str">
        <f t="shared" si="18"/>
        <v/>
      </c>
      <c r="K876" s="89" t="str">
        <f t="shared" si="23"/>
        <v/>
      </c>
      <c r="L876" s="89" t="str">
        <f>IFERROR(__xludf.DUMMYFUNCTION("""COMPUTED_VALUE"""),"")</f>
        <v/>
      </c>
      <c r="M876" s="89" t="str">
        <f>IFERROR(__xludf.DUMMYFUNCTION("""COMPUTED_VALUE"""),"")</f>
        <v/>
      </c>
      <c r="N876" s="89" t="str">
        <f>IFERROR(__xludf.DUMMYFUNCTION("""COMPUTED_VALUE"""),"")</f>
        <v/>
      </c>
      <c r="P876" s="52" t="str">
        <f t="shared" si="22"/>
        <v/>
      </c>
      <c r="R876" s="52" t="str">
        <f t="shared" si="32"/>
        <v/>
      </c>
      <c r="Z876" s="81"/>
      <c r="AA876" s="81"/>
      <c r="AB876" s="81"/>
      <c r="AC876" s="81" t="str">
        <f t="shared" si="5"/>
        <v/>
      </c>
      <c r="AD876" s="82" t="str">
        <f t="shared" si="6"/>
        <v/>
      </c>
    </row>
    <row r="877">
      <c r="A877" s="89"/>
      <c r="B877" s="89"/>
      <c r="C877" s="89"/>
      <c r="D877" s="89"/>
      <c r="E877" s="89"/>
      <c r="F877" s="81"/>
      <c r="G877" s="89"/>
      <c r="H877" s="89"/>
      <c r="I877" s="89"/>
      <c r="J877" s="89" t="str">
        <f t="shared" si="18"/>
        <v/>
      </c>
      <c r="K877" s="89" t="str">
        <f t="shared" si="23"/>
        <v/>
      </c>
      <c r="L877" s="89" t="str">
        <f>IFERROR(__xludf.DUMMYFUNCTION("""COMPUTED_VALUE"""),"")</f>
        <v/>
      </c>
      <c r="M877" s="89" t="str">
        <f>IFERROR(__xludf.DUMMYFUNCTION("""COMPUTED_VALUE"""),"")</f>
        <v/>
      </c>
      <c r="N877" s="89" t="str">
        <f>IFERROR(__xludf.DUMMYFUNCTION("""COMPUTED_VALUE"""),"")</f>
        <v/>
      </c>
      <c r="P877" s="52" t="str">
        <f t="shared" si="22"/>
        <v/>
      </c>
      <c r="R877" s="52" t="str">
        <f t="shared" si="32"/>
        <v/>
      </c>
      <c r="Z877" s="81"/>
      <c r="AA877" s="81"/>
      <c r="AB877" s="81"/>
      <c r="AC877" s="81" t="str">
        <f t="shared" si="5"/>
        <v/>
      </c>
      <c r="AD877" s="82" t="str">
        <f t="shared" si="6"/>
        <v/>
      </c>
    </row>
    <row r="878">
      <c r="A878" s="89"/>
      <c r="B878" s="89"/>
      <c r="C878" s="89"/>
      <c r="D878" s="89"/>
      <c r="E878" s="89"/>
      <c r="F878" s="81"/>
      <c r="G878" s="89"/>
      <c r="H878" s="89"/>
      <c r="I878" s="89"/>
      <c r="J878" s="89" t="str">
        <f t="shared" si="18"/>
        <v/>
      </c>
      <c r="K878" s="89" t="str">
        <f t="shared" si="23"/>
        <v/>
      </c>
      <c r="L878" s="89" t="str">
        <f>IFERROR(__xludf.DUMMYFUNCTION("""COMPUTED_VALUE"""),"")</f>
        <v/>
      </c>
      <c r="M878" s="89" t="str">
        <f>IFERROR(__xludf.DUMMYFUNCTION("""COMPUTED_VALUE"""),"")</f>
        <v/>
      </c>
      <c r="N878" s="89" t="str">
        <f>IFERROR(__xludf.DUMMYFUNCTION("""COMPUTED_VALUE"""),"")</f>
        <v/>
      </c>
      <c r="P878" s="52" t="str">
        <f t="shared" si="22"/>
        <v/>
      </c>
      <c r="R878" s="52" t="str">
        <f t="shared" si="32"/>
        <v/>
      </c>
      <c r="Z878" s="81"/>
      <c r="AA878" s="81"/>
      <c r="AB878" s="81"/>
      <c r="AC878" s="81" t="str">
        <f t="shared" si="5"/>
        <v/>
      </c>
      <c r="AD878" s="82" t="str">
        <f t="shared" si="6"/>
        <v/>
      </c>
    </row>
    <row r="879">
      <c r="A879" s="89"/>
      <c r="B879" s="89"/>
      <c r="C879" s="89"/>
      <c r="D879" s="89"/>
      <c r="E879" s="89"/>
      <c r="F879" s="81"/>
      <c r="G879" s="89"/>
      <c r="H879" s="89"/>
      <c r="I879" s="89"/>
      <c r="J879" s="89" t="str">
        <f t="shared" si="18"/>
        <v/>
      </c>
      <c r="K879" s="89" t="str">
        <f t="shared" si="23"/>
        <v/>
      </c>
      <c r="L879" s="89" t="str">
        <f>IFERROR(__xludf.DUMMYFUNCTION("""COMPUTED_VALUE"""),"")</f>
        <v/>
      </c>
      <c r="M879" s="89" t="str">
        <f>IFERROR(__xludf.DUMMYFUNCTION("""COMPUTED_VALUE"""),"")</f>
        <v/>
      </c>
      <c r="N879" s="89" t="str">
        <f>IFERROR(__xludf.DUMMYFUNCTION("""COMPUTED_VALUE"""),"")</f>
        <v/>
      </c>
      <c r="P879" s="52" t="str">
        <f t="shared" si="22"/>
        <v/>
      </c>
      <c r="R879" s="52" t="str">
        <f t="shared" si="32"/>
        <v/>
      </c>
      <c r="Z879" s="81"/>
      <c r="AA879" s="81"/>
      <c r="AB879" s="81"/>
      <c r="AC879" s="81" t="str">
        <f t="shared" si="5"/>
        <v/>
      </c>
      <c r="AD879" s="82" t="str">
        <f t="shared" si="6"/>
        <v/>
      </c>
    </row>
    <row r="880">
      <c r="A880" s="89"/>
      <c r="B880" s="89"/>
      <c r="C880" s="89"/>
      <c r="D880" s="89"/>
      <c r="E880" s="89"/>
      <c r="F880" s="81"/>
      <c r="G880" s="89"/>
      <c r="H880" s="89"/>
      <c r="I880" s="89"/>
      <c r="J880" s="89" t="str">
        <f t="shared" si="18"/>
        <v/>
      </c>
      <c r="K880" s="89" t="str">
        <f t="shared" si="23"/>
        <v/>
      </c>
      <c r="L880" s="89" t="str">
        <f>IFERROR(__xludf.DUMMYFUNCTION("""COMPUTED_VALUE"""),"")</f>
        <v/>
      </c>
      <c r="M880" s="89" t="str">
        <f>IFERROR(__xludf.DUMMYFUNCTION("""COMPUTED_VALUE"""),"")</f>
        <v/>
      </c>
      <c r="N880" s="89" t="str">
        <f>IFERROR(__xludf.DUMMYFUNCTION("""COMPUTED_VALUE"""),"")</f>
        <v/>
      </c>
      <c r="P880" s="52" t="str">
        <f t="shared" si="22"/>
        <v/>
      </c>
      <c r="R880" s="52" t="str">
        <f t="shared" si="32"/>
        <v/>
      </c>
      <c r="Z880" s="81"/>
      <c r="AA880" s="81"/>
      <c r="AB880" s="81"/>
      <c r="AC880" s="81" t="str">
        <f t="shared" si="5"/>
        <v/>
      </c>
      <c r="AD880" s="82" t="str">
        <f t="shared" si="6"/>
        <v/>
      </c>
    </row>
    <row r="881">
      <c r="A881" s="89"/>
      <c r="B881" s="89"/>
      <c r="C881" s="89"/>
      <c r="D881" s="89"/>
      <c r="E881" s="89"/>
      <c r="F881" s="81"/>
      <c r="G881" s="89"/>
      <c r="H881" s="89"/>
      <c r="I881" s="89"/>
      <c r="J881" s="89" t="str">
        <f t="shared" si="18"/>
        <v/>
      </c>
      <c r="K881" s="89" t="str">
        <f t="shared" si="23"/>
        <v/>
      </c>
      <c r="L881" s="89" t="str">
        <f>IFERROR(__xludf.DUMMYFUNCTION("""COMPUTED_VALUE"""),"")</f>
        <v/>
      </c>
      <c r="M881" s="89" t="str">
        <f>IFERROR(__xludf.DUMMYFUNCTION("""COMPUTED_VALUE"""),"")</f>
        <v/>
      </c>
      <c r="N881" s="89" t="str">
        <f>IFERROR(__xludf.DUMMYFUNCTION("""COMPUTED_VALUE"""),"")</f>
        <v/>
      </c>
      <c r="P881" s="52" t="str">
        <f t="shared" si="22"/>
        <v/>
      </c>
      <c r="R881" s="52" t="str">
        <f t="shared" si="32"/>
        <v/>
      </c>
      <c r="Z881" s="81"/>
      <c r="AA881" s="81"/>
      <c r="AB881" s="81"/>
      <c r="AC881" s="81" t="str">
        <f t="shared" si="5"/>
        <v/>
      </c>
      <c r="AD881" s="82" t="str">
        <f t="shared" si="6"/>
        <v/>
      </c>
    </row>
    <row r="882">
      <c r="A882" s="89"/>
      <c r="B882" s="89"/>
      <c r="C882" s="89"/>
      <c r="D882" s="89"/>
      <c r="E882" s="89"/>
      <c r="F882" s="81"/>
      <c r="G882" s="89"/>
      <c r="H882" s="89"/>
      <c r="I882" s="89"/>
      <c r="J882" s="89" t="str">
        <f t="shared" si="18"/>
        <v/>
      </c>
      <c r="K882" s="89" t="str">
        <f t="shared" si="23"/>
        <v/>
      </c>
      <c r="L882" s="89" t="str">
        <f>IFERROR(__xludf.DUMMYFUNCTION("""COMPUTED_VALUE"""),"")</f>
        <v/>
      </c>
      <c r="M882" s="89" t="str">
        <f>IFERROR(__xludf.DUMMYFUNCTION("""COMPUTED_VALUE"""),"")</f>
        <v/>
      </c>
      <c r="N882" s="89" t="str">
        <f>IFERROR(__xludf.DUMMYFUNCTION("""COMPUTED_VALUE"""),"")</f>
        <v/>
      </c>
      <c r="P882" s="52" t="str">
        <f t="shared" si="22"/>
        <v/>
      </c>
      <c r="R882" s="52" t="str">
        <f t="shared" si="32"/>
        <v/>
      </c>
      <c r="Z882" s="81"/>
      <c r="AA882" s="81"/>
      <c r="AB882" s="81"/>
      <c r="AC882" s="81" t="str">
        <f t="shared" si="5"/>
        <v/>
      </c>
      <c r="AD882" s="82" t="str">
        <f t="shared" si="6"/>
        <v/>
      </c>
    </row>
    <row r="883">
      <c r="A883" s="89"/>
      <c r="B883" s="89"/>
      <c r="C883" s="89"/>
      <c r="D883" s="89"/>
      <c r="E883" s="89"/>
      <c r="F883" s="81"/>
      <c r="G883" s="89"/>
      <c r="H883" s="89"/>
      <c r="I883" s="89"/>
      <c r="J883" s="89" t="str">
        <f t="shared" si="18"/>
        <v/>
      </c>
      <c r="K883" s="89" t="str">
        <f t="shared" si="23"/>
        <v/>
      </c>
      <c r="L883" s="89" t="str">
        <f>IFERROR(__xludf.DUMMYFUNCTION("""COMPUTED_VALUE"""),"")</f>
        <v/>
      </c>
      <c r="M883" s="89" t="str">
        <f>IFERROR(__xludf.DUMMYFUNCTION("""COMPUTED_VALUE"""),"")</f>
        <v/>
      </c>
      <c r="N883" s="89" t="str">
        <f>IFERROR(__xludf.DUMMYFUNCTION("""COMPUTED_VALUE"""),"")</f>
        <v/>
      </c>
      <c r="P883" s="52" t="str">
        <f t="shared" si="22"/>
        <v/>
      </c>
      <c r="R883" s="52" t="str">
        <f t="shared" si="32"/>
        <v/>
      </c>
      <c r="Z883" s="81"/>
      <c r="AA883" s="81"/>
      <c r="AB883" s="81"/>
      <c r="AC883" s="81" t="str">
        <f t="shared" si="5"/>
        <v/>
      </c>
      <c r="AD883" s="82" t="str">
        <f t="shared" si="6"/>
        <v/>
      </c>
    </row>
    <row r="884">
      <c r="A884" s="89"/>
      <c r="B884" s="89"/>
      <c r="C884" s="89"/>
      <c r="D884" s="89"/>
      <c r="E884" s="89"/>
      <c r="F884" s="81"/>
      <c r="G884" s="89"/>
      <c r="H884" s="89"/>
      <c r="I884" s="89"/>
      <c r="J884" s="89" t="str">
        <f t="shared" si="18"/>
        <v/>
      </c>
      <c r="K884" s="89" t="str">
        <f t="shared" si="23"/>
        <v/>
      </c>
      <c r="L884" s="89" t="str">
        <f>IFERROR(__xludf.DUMMYFUNCTION("""COMPUTED_VALUE"""),"")</f>
        <v/>
      </c>
      <c r="M884" s="89" t="str">
        <f>IFERROR(__xludf.DUMMYFUNCTION("""COMPUTED_VALUE"""),"")</f>
        <v/>
      </c>
      <c r="N884" s="89" t="str">
        <f>IFERROR(__xludf.DUMMYFUNCTION("""COMPUTED_VALUE"""),"")</f>
        <v/>
      </c>
      <c r="P884" s="52" t="str">
        <f t="shared" si="22"/>
        <v/>
      </c>
      <c r="R884" s="52" t="str">
        <f t="shared" si="32"/>
        <v/>
      </c>
      <c r="Z884" s="81"/>
      <c r="AA884" s="81"/>
      <c r="AB884" s="81"/>
      <c r="AC884" s="81" t="str">
        <f t="shared" si="5"/>
        <v/>
      </c>
      <c r="AD884" s="82" t="str">
        <f t="shared" si="6"/>
        <v/>
      </c>
    </row>
    <row r="885">
      <c r="A885" s="89"/>
      <c r="B885" s="89"/>
      <c r="C885" s="89"/>
      <c r="D885" s="89"/>
      <c r="E885" s="89"/>
      <c r="F885" s="81"/>
      <c r="G885" s="89"/>
      <c r="H885" s="89"/>
      <c r="I885" s="89"/>
      <c r="J885" s="89" t="str">
        <f t="shared" si="18"/>
        <v/>
      </c>
      <c r="K885" s="89" t="str">
        <f t="shared" si="23"/>
        <v/>
      </c>
      <c r="L885" s="89" t="str">
        <f>IFERROR(__xludf.DUMMYFUNCTION("""COMPUTED_VALUE"""),"")</f>
        <v/>
      </c>
      <c r="M885" s="89" t="str">
        <f>IFERROR(__xludf.DUMMYFUNCTION("""COMPUTED_VALUE"""),"")</f>
        <v/>
      </c>
      <c r="N885" s="89" t="str">
        <f>IFERROR(__xludf.DUMMYFUNCTION("""COMPUTED_VALUE"""),"")</f>
        <v/>
      </c>
      <c r="P885" s="52" t="str">
        <f t="shared" si="22"/>
        <v/>
      </c>
      <c r="R885" s="52" t="str">
        <f t="shared" si="32"/>
        <v/>
      </c>
      <c r="Z885" s="81"/>
      <c r="AA885" s="81"/>
      <c r="AB885" s="81"/>
      <c r="AC885" s="81" t="str">
        <f t="shared" si="5"/>
        <v/>
      </c>
      <c r="AD885" s="82" t="str">
        <f t="shared" si="6"/>
        <v/>
      </c>
    </row>
    <row r="886">
      <c r="A886" s="89"/>
      <c r="B886" s="89"/>
      <c r="C886" s="89"/>
      <c r="D886" s="89"/>
      <c r="E886" s="89"/>
      <c r="F886" s="81"/>
      <c r="G886" s="89"/>
      <c r="H886" s="89"/>
      <c r="I886" s="89"/>
      <c r="J886" s="89" t="str">
        <f t="shared" si="18"/>
        <v/>
      </c>
      <c r="K886" s="89" t="str">
        <f t="shared" si="23"/>
        <v/>
      </c>
      <c r="L886" s="89" t="str">
        <f>IFERROR(__xludf.DUMMYFUNCTION("""COMPUTED_VALUE"""),"")</f>
        <v/>
      </c>
      <c r="M886" s="89" t="str">
        <f>IFERROR(__xludf.DUMMYFUNCTION("""COMPUTED_VALUE"""),"")</f>
        <v/>
      </c>
      <c r="N886" s="89" t="str">
        <f>IFERROR(__xludf.DUMMYFUNCTION("""COMPUTED_VALUE"""),"")</f>
        <v/>
      </c>
      <c r="P886" s="52" t="str">
        <f t="shared" si="22"/>
        <v/>
      </c>
      <c r="R886" s="52" t="str">
        <f t="shared" si="32"/>
        <v/>
      </c>
      <c r="Z886" s="81"/>
      <c r="AA886" s="81"/>
      <c r="AB886" s="81"/>
      <c r="AC886" s="81" t="str">
        <f t="shared" si="5"/>
        <v/>
      </c>
      <c r="AD886" s="82" t="str">
        <f t="shared" si="6"/>
        <v/>
      </c>
    </row>
    <row r="887">
      <c r="A887" s="89"/>
      <c r="B887" s="89"/>
      <c r="C887" s="89"/>
      <c r="D887" s="89"/>
      <c r="E887" s="89"/>
      <c r="F887" s="81"/>
      <c r="G887" s="89"/>
      <c r="H887" s="89"/>
      <c r="I887" s="89"/>
      <c r="J887" s="89" t="str">
        <f t="shared" si="18"/>
        <v/>
      </c>
      <c r="K887" s="89" t="str">
        <f t="shared" si="23"/>
        <v/>
      </c>
      <c r="L887" s="89" t="str">
        <f>IFERROR(__xludf.DUMMYFUNCTION("""COMPUTED_VALUE"""),"")</f>
        <v/>
      </c>
      <c r="M887" s="89" t="str">
        <f>IFERROR(__xludf.DUMMYFUNCTION("""COMPUTED_VALUE"""),"")</f>
        <v/>
      </c>
      <c r="N887" s="89" t="str">
        <f>IFERROR(__xludf.DUMMYFUNCTION("""COMPUTED_VALUE"""),"")</f>
        <v/>
      </c>
      <c r="P887" s="52" t="str">
        <f t="shared" si="22"/>
        <v/>
      </c>
      <c r="R887" s="52" t="str">
        <f t="shared" si="32"/>
        <v/>
      </c>
      <c r="Z887" s="81"/>
      <c r="AA887" s="81"/>
      <c r="AB887" s="81"/>
      <c r="AC887" s="81" t="str">
        <f t="shared" si="5"/>
        <v/>
      </c>
      <c r="AD887" s="82" t="str">
        <f t="shared" si="6"/>
        <v/>
      </c>
    </row>
    <row r="888">
      <c r="A888" s="89"/>
      <c r="B888" s="89"/>
      <c r="C888" s="89"/>
      <c r="D888" s="89"/>
      <c r="E888" s="89"/>
      <c r="F888" s="81"/>
      <c r="G888" s="89"/>
      <c r="H888" s="89"/>
      <c r="I888" s="89"/>
      <c r="J888" s="89" t="str">
        <f t="shared" si="18"/>
        <v/>
      </c>
      <c r="K888" s="89" t="str">
        <f t="shared" si="23"/>
        <v/>
      </c>
      <c r="L888" s="89" t="str">
        <f>IFERROR(__xludf.DUMMYFUNCTION("""COMPUTED_VALUE"""),"")</f>
        <v/>
      </c>
      <c r="M888" s="89" t="str">
        <f>IFERROR(__xludf.DUMMYFUNCTION("""COMPUTED_VALUE"""),"")</f>
        <v/>
      </c>
      <c r="N888" s="89" t="str">
        <f>IFERROR(__xludf.DUMMYFUNCTION("""COMPUTED_VALUE"""),"")</f>
        <v/>
      </c>
      <c r="P888" s="52" t="str">
        <f t="shared" si="22"/>
        <v/>
      </c>
      <c r="R888" s="52" t="str">
        <f t="shared" si="32"/>
        <v/>
      </c>
      <c r="Z888" s="81"/>
      <c r="AA888" s="81"/>
      <c r="AB888" s="81"/>
      <c r="AC888" s="81" t="str">
        <f t="shared" si="5"/>
        <v/>
      </c>
      <c r="AD888" s="82" t="str">
        <f t="shared" si="6"/>
        <v/>
      </c>
    </row>
    <row r="889">
      <c r="A889" s="89"/>
      <c r="B889" s="89"/>
      <c r="C889" s="89"/>
      <c r="D889" s="89"/>
      <c r="E889" s="89"/>
      <c r="F889" s="81"/>
      <c r="G889" s="89"/>
      <c r="H889" s="89"/>
      <c r="I889" s="89"/>
      <c r="J889" s="89" t="str">
        <f t="shared" si="18"/>
        <v/>
      </c>
      <c r="K889" s="89" t="str">
        <f t="shared" si="23"/>
        <v/>
      </c>
      <c r="L889" s="89" t="str">
        <f>IFERROR(__xludf.DUMMYFUNCTION("""COMPUTED_VALUE"""),"")</f>
        <v/>
      </c>
      <c r="M889" s="89" t="str">
        <f>IFERROR(__xludf.DUMMYFUNCTION("""COMPUTED_VALUE"""),"")</f>
        <v/>
      </c>
      <c r="N889" s="89" t="str">
        <f>IFERROR(__xludf.DUMMYFUNCTION("""COMPUTED_VALUE"""),"")</f>
        <v/>
      </c>
      <c r="P889" s="52" t="str">
        <f t="shared" si="22"/>
        <v/>
      </c>
      <c r="R889" s="52" t="str">
        <f t="shared" si="32"/>
        <v/>
      </c>
      <c r="Z889" s="81"/>
      <c r="AA889" s="81"/>
      <c r="AB889" s="81"/>
      <c r="AC889" s="81" t="str">
        <f t="shared" si="5"/>
        <v/>
      </c>
      <c r="AD889" s="82" t="str">
        <f t="shared" si="6"/>
        <v/>
      </c>
    </row>
    <row r="890">
      <c r="A890" s="89"/>
      <c r="B890" s="89"/>
      <c r="C890" s="89"/>
      <c r="D890" s="89"/>
      <c r="E890" s="89"/>
      <c r="F890" s="81"/>
      <c r="G890" s="89"/>
      <c r="H890" s="89"/>
      <c r="I890" s="89"/>
      <c r="J890" s="89" t="str">
        <f t="shared" si="18"/>
        <v/>
      </c>
      <c r="K890" s="89" t="str">
        <f t="shared" si="23"/>
        <v/>
      </c>
      <c r="L890" s="89" t="str">
        <f>IFERROR(__xludf.DUMMYFUNCTION("""COMPUTED_VALUE"""),"")</f>
        <v/>
      </c>
      <c r="M890" s="89" t="str">
        <f>IFERROR(__xludf.DUMMYFUNCTION("""COMPUTED_VALUE"""),"")</f>
        <v/>
      </c>
      <c r="N890" s="89" t="str">
        <f>IFERROR(__xludf.DUMMYFUNCTION("""COMPUTED_VALUE"""),"")</f>
        <v/>
      </c>
      <c r="P890" s="52" t="str">
        <f t="shared" si="22"/>
        <v/>
      </c>
      <c r="R890" s="52" t="str">
        <f t="shared" si="32"/>
        <v/>
      </c>
      <c r="Z890" s="81"/>
      <c r="AA890" s="81"/>
      <c r="AB890" s="81"/>
      <c r="AC890" s="81" t="str">
        <f t="shared" si="5"/>
        <v/>
      </c>
      <c r="AD890" s="82" t="str">
        <f t="shared" si="6"/>
        <v/>
      </c>
    </row>
    <row r="891">
      <c r="A891" s="89"/>
      <c r="B891" s="89"/>
      <c r="C891" s="89"/>
      <c r="D891" s="89"/>
      <c r="E891" s="89"/>
      <c r="F891" s="81"/>
      <c r="G891" s="89"/>
      <c r="H891" s="89"/>
      <c r="I891" s="89"/>
      <c r="J891" s="89" t="str">
        <f t="shared" si="18"/>
        <v/>
      </c>
      <c r="K891" s="89" t="str">
        <f t="shared" si="23"/>
        <v/>
      </c>
      <c r="L891" s="89" t="str">
        <f>IFERROR(__xludf.DUMMYFUNCTION("""COMPUTED_VALUE"""),"")</f>
        <v/>
      </c>
      <c r="M891" s="89" t="str">
        <f>IFERROR(__xludf.DUMMYFUNCTION("""COMPUTED_VALUE"""),"")</f>
        <v/>
      </c>
      <c r="N891" s="89" t="str">
        <f>IFERROR(__xludf.DUMMYFUNCTION("""COMPUTED_VALUE"""),"")</f>
        <v/>
      </c>
      <c r="P891" s="52" t="str">
        <f t="shared" si="22"/>
        <v/>
      </c>
      <c r="R891" s="52" t="str">
        <f t="shared" si="32"/>
        <v/>
      </c>
      <c r="Z891" s="81"/>
      <c r="AA891" s="81"/>
      <c r="AB891" s="81"/>
      <c r="AC891" s="81" t="str">
        <f t="shared" si="5"/>
        <v/>
      </c>
      <c r="AD891" s="82" t="str">
        <f t="shared" si="6"/>
        <v/>
      </c>
    </row>
    <row r="892">
      <c r="A892" s="89"/>
      <c r="B892" s="89"/>
      <c r="C892" s="89"/>
      <c r="D892" s="89"/>
      <c r="E892" s="89"/>
      <c r="F892" s="81"/>
      <c r="G892" s="89"/>
      <c r="H892" s="89"/>
      <c r="I892" s="89"/>
      <c r="J892" s="89" t="str">
        <f t="shared" si="18"/>
        <v/>
      </c>
      <c r="K892" s="89" t="str">
        <f t="shared" si="23"/>
        <v/>
      </c>
      <c r="L892" s="89" t="str">
        <f>IFERROR(__xludf.DUMMYFUNCTION("""COMPUTED_VALUE"""),"")</f>
        <v/>
      </c>
      <c r="M892" s="89" t="str">
        <f>IFERROR(__xludf.DUMMYFUNCTION("""COMPUTED_VALUE"""),"")</f>
        <v/>
      </c>
      <c r="N892" s="89" t="str">
        <f>IFERROR(__xludf.DUMMYFUNCTION("""COMPUTED_VALUE"""),"")</f>
        <v/>
      </c>
      <c r="P892" s="52" t="str">
        <f t="shared" si="22"/>
        <v/>
      </c>
      <c r="R892" s="52" t="str">
        <f t="shared" si="32"/>
        <v/>
      </c>
      <c r="Z892" s="81"/>
      <c r="AA892" s="81"/>
      <c r="AB892" s="81"/>
      <c r="AC892" s="81" t="str">
        <f t="shared" si="5"/>
        <v/>
      </c>
      <c r="AD892" s="82" t="str">
        <f t="shared" si="6"/>
        <v/>
      </c>
    </row>
    <row r="893">
      <c r="A893" s="89"/>
      <c r="B893" s="89"/>
      <c r="C893" s="89"/>
      <c r="D893" s="89"/>
      <c r="E893" s="89"/>
      <c r="F893" s="81"/>
      <c r="G893" s="89"/>
      <c r="H893" s="89"/>
      <c r="I893" s="89"/>
      <c r="J893" s="89" t="str">
        <f t="shared" si="18"/>
        <v/>
      </c>
      <c r="K893" s="89" t="str">
        <f t="shared" si="23"/>
        <v/>
      </c>
      <c r="L893" s="89" t="str">
        <f>IFERROR(__xludf.DUMMYFUNCTION("""COMPUTED_VALUE"""),"")</f>
        <v/>
      </c>
      <c r="M893" s="89" t="str">
        <f>IFERROR(__xludf.DUMMYFUNCTION("""COMPUTED_VALUE"""),"")</f>
        <v/>
      </c>
      <c r="N893" s="89" t="str">
        <f>IFERROR(__xludf.DUMMYFUNCTION("""COMPUTED_VALUE"""),"")</f>
        <v/>
      </c>
      <c r="P893" s="52" t="str">
        <f t="shared" si="22"/>
        <v/>
      </c>
      <c r="R893" s="52" t="str">
        <f t="shared" si="32"/>
        <v/>
      </c>
      <c r="Z893" s="81"/>
      <c r="AA893" s="81"/>
      <c r="AB893" s="81"/>
      <c r="AC893" s="81" t="str">
        <f t="shared" si="5"/>
        <v/>
      </c>
      <c r="AD893" s="82" t="str">
        <f t="shared" si="6"/>
        <v/>
      </c>
    </row>
    <row r="894">
      <c r="A894" s="89"/>
      <c r="B894" s="89"/>
      <c r="C894" s="89"/>
      <c r="D894" s="89"/>
      <c r="E894" s="89"/>
      <c r="F894" s="81"/>
      <c r="G894" s="89"/>
      <c r="H894" s="89"/>
      <c r="I894" s="89"/>
      <c r="J894" s="89" t="str">
        <f t="shared" si="18"/>
        <v/>
      </c>
      <c r="K894" s="89" t="str">
        <f t="shared" si="23"/>
        <v/>
      </c>
      <c r="L894" s="89" t="str">
        <f>IFERROR(__xludf.DUMMYFUNCTION("""COMPUTED_VALUE"""),"")</f>
        <v/>
      </c>
      <c r="M894" s="89" t="str">
        <f>IFERROR(__xludf.DUMMYFUNCTION("""COMPUTED_VALUE"""),"")</f>
        <v/>
      </c>
      <c r="N894" s="89" t="str">
        <f>IFERROR(__xludf.DUMMYFUNCTION("""COMPUTED_VALUE"""),"")</f>
        <v/>
      </c>
      <c r="P894" s="52" t="str">
        <f t="shared" si="22"/>
        <v/>
      </c>
      <c r="R894" s="52" t="str">
        <f t="shared" si="32"/>
        <v/>
      </c>
      <c r="Z894" s="81"/>
      <c r="AA894" s="81"/>
      <c r="AB894" s="81"/>
      <c r="AC894" s="81" t="str">
        <f t="shared" si="5"/>
        <v/>
      </c>
      <c r="AD894" s="82" t="str">
        <f t="shared" si="6"/>
        <v/>
      </c>
    </row>
    <row r="895">
      <c r="A895" s="89"/>
      <c r="B895" s="89"/>
      <c r="C895" s="89"/>
      <c r="D895" s="89"/>
      <c r="E895" s="89"/>
      <c r="F895" s="81"/>
      <c r="G895" s="89"/>
      <c r="H895" s="89"/>
      <c r="I895" s="89"/>
      <c r="J895" s="89" t="str">
        <f t="shared" si="18"/>
        <v/>
      </c>
      <c r="K895" s="89" t="str">
        <f t="shared" si="23"/>
        <v/>
      </c>
      <c r="L895" s="89" t="str">
        <f>IFERROR(__xludf.DUMMYFUNCTION("""COMPUTED_VALUE"""),"")</f>
        <v/>
      </c>
      <c r="M895" s="89" t="str">
        <f>IFERROR(__xludf.DUMMYFUNCTION("""COMPUTED_VALUE"""),"")</f>
        <v/>
      </c>
      <c r="N895" s="89" t="str">
        <f>IFERROR(__xludf.DUMMYFUNCTION("""COMPUTED_VALUE"""),"")</f>
        <v/>
      </c>
      <c r="P895" s="52" t="str">
        <f t="shared" si="22"/>
        <v/>
      </c>
      <c r="R895" s="52" t="str">
        <f t="shared" si="32"/>
        <v/>
      </c>
      <c r="Z895" s="81"/>
      <c r="AA895" s="81"/>
      <c r="AB895" s="81"/>
      <c r="AC895" s="81" t="str">
        <f t="shared" si="5"/>
        <v/>
      </c>
      <c r="AD895" s="82" t="str">
        <f t="shared" si="6"/>
        <v/>
      </c>
    </row>
    <row r="896">
      <c r="A896" s="89"/>
      <c r="B896" s="89"/>
      <c r="C896" s="89"/>
      <c r="D896" s="89"/>
      <c r="E896" s="89"/>
      <c r="F896" s="81"/>
      <c r="G896" s="89"/>
      <c r="H896" s="89"/>
      <c r="I896" s="89"/>
      <c r="J896" s="89" t="str">
        <f t="shared" si="18"/>
        <v/>
      </c>
      <c r="K896" s="89" t="str">
        <f t="shared" si="23"/>
        <v/>
      </c>
      <c r="L896" s="89" t="str">
        <f>IFERROR(__xludf.DUMMYFUNCTION("""COMPUTED_VALUE"""),"")</f>
        <v/>
      </c>
      <c r="M896" s="89" t="str">
        <f>IFERROR(__xludf.DUMMYFUNCTION("""COMPUTED_VALUE"""),"")</f>
        <v/>
      </c>
      <c r="N896" s="89" t="str">
        <f>IFERROR(__xludf.DUMMYFUNCTION("""COMPUTED_VALUE"""),"")</f>
        <v/>
      </c>
      <c r="P896" s="52" t="str">
        <f t="shared" si="22"/>
        <v/>
      </c>
      <c r="R896" s="52" t="str">
        <f t="shared" si="32"/>
        <v/>
      </c>
      <c r="Z896" s="81"/>
      <c r="AA896" s="81"/>
      <c r="AB896" s="81"/>
      <c r="AC896" s="81" t="str">
        <f t="shared" si="5"/>
        <v/>
      </c>
      <c r="AD896" s="82" t="str">
        <f t="shared" si="6"/>
        <v/>
      </c>
    </row>
    <row r="897">
      <c r="A897" s="89"/>
      <c r="B897" s="89"/>
      <c r="C897" s="89"/>
      <c r="D897" s="89"/>
      <c r="E897" s="89"/>
      <c r="F897" s="81"/>
      <c r="G897" s="89"/>
      <c r="H897" s="89"/>
      <c r="I897" s="89"/>
      <c r="J897" s="89" t="str">
        <f t="shared" si="18"/>
        <v/>
      </c>
      <c r="K897" s="89" t="str">
        <f t="shared" si="23"/>
        <v/>
      </c>
      <c r="L897" s="89" t="str">
        <f>IFERROR(__xludf.DUMMYFUNCTION("""COMPUTED_VALUE"""),"")</f>
        <v/>
      </c>
      <c r="M897" s="89" t="str">
        <f>IFERROR(__xludf.DUMMYFUNCTION("""COMPUTED_VALUE"""),"")</f>
        <v/>
      </c>
      <c r="N897" s="89" t="str">
        <f>IFERROR(__xludf.DUMMYFUNCTION("""COMPUTED_VALUE"""),"")</f>
        <v/>
      </c>
      <c r="P897" s="52" t="str">
        <f t="shared" si="22"/>
        <v/>
      </c>
      <c r="R897" s="52" t="str">
        <f t="shared" si="32"/>
        <v/>
      </c>
      <c r="Z897" s="81"/>
      <c r="AA897" s="81"/>
      <c r="AB897" s="81"/>
      <c r="AC897" s="81" t="str">
        <f t="shared" si="5"/>
        <v/>
      </c>
      <c r="AD897" s="82" t="str">
        <f t="shared" si="6"/>
        <v/>
      </c>
    </row>
    <row r="898">
      <c r="A898" s="89"/>
      <c r="B898" s="89"/>
      <c r="C898" s="89"/>
      <c r="D898" s="89"/>
      <c r="E898" s="89"/>
      <c r="F898" s="81"/>
      <c r="G898" s="89"/>
      <c r="H898" s="89"/>
      <c r="I898" s="89"/>
      <c r="J898" s="89" t="str">
        <f t="shared" si="18"/>
        <v/>
      </c>
      <c r="K898" s="89" t="str">
        <f t="shared" si="23"/>
        <v/>
      </c>
      <c r="L898" s="89" t="str">
        <f>IFERROR(__xludf.DUMMYFUNCTION("""COMPUTED_VALUE"""),"")</f>
        <v/>
      </c>
      <c r="M898" s="89" t="str">
        <f>IFERROR(__xludf.DUMMYFUNCTION("""COMPUTED_VALUE"""),"")</f>
        <v/>
      </c>
      <c r="N898" s="89" t="str">
        <f>IFERROR(__xludf.DUMMYFUNCTION("""COMPUTED_VALUE"""),"")</f>
        <v/>
      </c>
      <c r="P898" s="52" t="str">
        <f t="shared" si="22"/>
        <v/>
      </c>
      <c r="R898" s="52" t="str">
        <f t="shared" si="32"/>
        <v/>
      </c>
      <c r="Z898" s="81"/>
      <c r="AA898" s="81"/>
      <c r="AB898" s="81"/>
      <c r="AC898" s="81" t="str">
        <f t="shared" si="5"/>
        <v/>
      </c>
      <c r="AD898" s="82" t="str">
        <f t="shared" si="6"/>
        <v/>
      </c>
    </row>
    <row r="899">
      <c r="A899" s="89"/>
      <c r="B899" s="89"/>
      <c r="C899" s="89"/>
      <c r="D899" s="89"/>
      <c r="E899" s="89"/>
      <c r="F899" s="81"/>
      <c r="G899" s="89"/>
      <c r="H899" s="89"/>
      <c r="I899" s="89"/>
      <c r="J899" s="89" t="str">
        <f t="shared" si="18"/>
        <v/>
      </c>
      <c r="K899" s="89" t="str">
        <f t="shared" si="23"/>
        <v/>
      </c>
      <c r="L899" s="89" t="str">
        <f>IFERROR(__xludf.DUMMYFUNCTION("""COMPUTED_VALUE"""),"")</f>
        <v/>
      </c>
      <c r="M899" s="89" t="str">
        <f>IFERROR(__xludf.DUMMYFUNCTION("""COMPUTED_VALUE"""),"")</f>
        <v/>
      </c>
      <c r="N899" s="89" t="str">
        <f>IFERROR(__xludf.DUMMYFUNCTION("""COMPUTED_VALUE"""),"")</f>
        <v/>
      </c>
      <c r="P899" s="52" t="str">
        <f t="shared" si="22"/>
        <v/>
      </c>
      <c r="R899" s="52" t="str">
        <f t="shared" si="32"/>
        <v/>
      </c>
      <c r="Z899" s="81"/>
      <c r="AA899" s="81"/>
      <c r="AB899" s="81"/>
      <c r="AC899" s="81" t="str">
        <f t="shared" si="5"/>
        <v/>
      </c>
      <c r="AD899" s="82" t="str">
        <f t="shared" si="6"/>
        <v/>
      </c>
    </row>
    <row r="900">
      <c r="A900" s="89"/>
      <c r="B900" s="89"/>
      <c r="C900" s="89"/>
      <c r="D900" s="89"/>
      <c r="E900" s="89"/>
      <c r="F900" s="81"/>
      <c r="G900" s="89"/>
      <c r="H900" s="89"/>
      <c r="I900" s="89"/>
      <c r="J900" s="89" t="str">
        <f t="shared" si="18"/>
        <v/>
      </c>
      <c r="K900" s="89" t="str">
        <f t="shared" si="23"/>
        <v/>
      </c>
      <c r="L900" s="89" t="str">
        <f>IFERROR(__xludf.DUMMYFUNCTION("""COMPUTED_VALUE"""),"")</f>
        <v/>
      </c>
      <c r="M900" s="89" t="str">
        <f>IFERROR(__xludf.DUMMYFUNCTION("""COMPUTED_VALUE"""),"")</f>
        <v/>
      </c>
      <c r="N900" s="89" t="str">
        <f>IFERROR(__xludf.DUMMYFUNCTION("""COMPUTED_VALUE"""),"")</f>
        <v/>
      </c>
      <c r="P900" s="52" t="str">
        <f t="shared" si="22"/>
        <v/>
      </c>
      <c r="R900" s="52" t="str">
        <f t="shared" si="32"/>
        <v/>
      </c>
      <c r="Z900" s="81"/>
      <c r="AA900" s="81"/>
      <c r="AB900" s="81"/>
      <c r="AC900" s="81" t="str">
        <f t="shared" si="5"/>
        <v/>
      </c>
      <c r="AD900" s="82" t="str">
        <f t="shared" si="6"/>
        <v/>
      </c>
    </row>
    <row r="901">
      <c r="A901" s="89"/>
      <c r="B901" s="89"/>
      <c r="C901" s="89"/>
      <c r="D901" s="89"/>
      <c r="E901" s="89"/>
      <c r="F901" s="81"/>
      <c r="G901" s="89"/>
      <c r="H901" s="89"/>
      <c r="I901" s="89"/>
      <c r="J901" s="89" t="str">
        <f t="shared" si="18"/>
        <v/>
      </c>
      <c r="K901" s="89" t="str">
        <f t="shared" si="23"/>
        <v/>
      </c>
      <c r="L901" s="89" t="str">
        <f>IFERROR(__xludf.DUMMYFUNCTION("""COMPUTED_VALUE"""),"")</f>
        <v/>
      </c>
      <c r="M901" s="89" t="str">
        <f>IFERROR(__xludf.DUMMYFUNCTION("""COMPUTED_VALUE"""),"")</f>
        <v/>
      </c>
      <c r="N901" s="89" t="str">
        <f>IFERROR(__xludf.DUMMYFUNCTION("""COMPUTED_VALUE"""),"")</f>
        <v/>
      </c>
      <c r="P901" s="52" t="str">
        <f t="shared" si="22"/>
        <v/>
      </c>
      <c r="R901" s="52" t="str">
        <f t="shared" si="32"/>
        <v/>
      </c>
      <c r="Z901" s="81"/>
      <c r="AA901" s="81"/>
      <c r="AB901" s="81"/>
      <c r="AC901" s="81" t="str">
        <f t="shared" si="5"/>
        <v/>
      </c>
      <c r="AD901" s="82" t="str">
        <f t="shared" si="6"/>
        <v/>
      </c>
    </row>
    <row r="902">
      <c r="A902" s="89"/>
      <c r="B902" s="89"/>
      <c r="C902" s="89"/>
      <c r="D902" s="89"/>
      <c r="E902" s="89"/>
      <c r="F902" s="81"/>
      <c r="G902" s="89"/>
      <c r="H902" s="89"/>
      <c r="I902" s="89"/>
      <c r="J902" s="89" t="str">
        <f t="shared" si="18"/>
        <v/>
      </c>
      <c r="K902" s="89" t="str">
        <f t="shared" si="23"/>
        <v/>
      </c>
      <c r="L902" s="89" t="str">
        <f>IFERROR(__xludf.DUMMYFUNCTION("""COMPUTED_VALUE"""),"")</f>
        <v/>
      </c>
      <c r="M902" s="89" t="str">
        <f>IFERROR(__xludf.DUMMYFUNCTION("""COMPUTED_VALUE"""),"")</f>
        <v/>
      </c>
      <c r="N902" s="89" t="str">
        <f>IFERROR(__xludf.DUMMYFUNCTION("""COMPUTED_VALUE"""),"")</f>
        <v/>
      </c>
      <c r="P902" s="52" t="str">
        <f t="shared" si="22"/>
        <v/>
      </c>
      <c r="R902" s="52" t="str">
        <f t="shared" si="32"/>
        <v/>
      </c>
      <c r="Z902" s="81"/>
      <c r="AA902" s="81"/>
      <c r="AB902" s="81"/>
      <c r="AC902" s="81" t="str">
        <f t="shared" si="5"/>
        <v/>
      </c>
      <c r="AD902" s="82" t="str">
        <f t="shared" si="6"/>
        <v/>
      </c>
    </row>
    <row r="903">
      <c r="A903" s="89"/>
      <c r="B903" s="89"/>
      <c r="C903" s="89"/>
      <c r="D903" s="89"/>
      <c r="E903" s="89"/>
      <c r="F903" s="81"/>
      <c r="G903" s="89"/>
      <c r="H903" s="89"/>
      <c r="I903" s="89"/>
      <c r="J903" s="89" t="str">
        <f t="shared" si="18"/>
        <v/>
      </c>
      <c r="K903" s="89" t="str">
        <f t="shared" si="23"/>
        <v/>
      </c>
      <c r="L903" s="89" t="str">
        <f>IFERROR(__xludf.DUMMYFUNCTION("""COMPUTED_VALUE"""),"")</f>
        <v/>
      </c>
      <c r="M903" s="89" t="str">
        <f>IFERROR(__xludf.DUMMYFUNCTION("""COMPUTED_VALUE"""),"")</f>
        <v/>
      </c>
      <c r="N903" s="89" t="str">
        <f>IFERROR(__xludf.DUMMYFUNCTION("""COMPUTED_VALUE"""),"")</f>
        <v/>
      </c>
      <c r="P903" s="52" t="str">
        <f t="shared" si="22"/>
        <v/>
      </c>
      <c r="R903" s="52" t="str">
        <f t="shared" si="32"/>
        <v/>
      </c>
      <c r="Z903" s="81"/>
      <c r="AA903" s="81"/>
      <c r="AB903" s="81"/>
      <c r="AC903" s="81" t="str">
        <f t="shared" si="5"/>
        <v/>
      </c>
      <c r="AD903" s="82" t="str">
        <f t="shared" si="6"/>
        <v/>
      </c>
    </row>
    <row r="904">
      <c r="A904" s="89"/>
      <c r="B904" s="89"/>
      <c r="C904" s="89"/>
      <c r="D904" s="89"/>
      <c r="E904" s="89"/>
      <c r="F904" s="81"/>
      <c r="G904" s="89"/>
      <c r="H904" s="89"/>
      <c r="I904" s="89"/>
      <c r="J904" s="89" t="str">
        <f t="shared" si="18"/>
        <v/>
      </c>
      <c r="K904" s="89" t="str">
        <f t="shared" si="23"/>
        <v/>
      </c>
      <c r="L904" s="89" t="str">
        <f>IFERROR(__xludf.DUMMYFUNCTION("""COMPUTED_VALUE"""),"")</f>
        <v/>
      </c>
      <c r="M904" s="89" t="str">
        <f>IFERROR(__xludf.DUMMYFUNCTION("""COMPUTED_VALUE"""),"")</f>
        <v/>
      </c>
      <c r="N904" s="89" t="str">
        <f>IFERROR(__xludf.DUMMYFUNCTION("""COMPUTED_VALUE"""),"")</f>
        <v/>
      </c>
      <c r="P904" s="52" t="str">
        <f t="shared" si="22"/>
        <v/>
      </c>
      <c r="R904" s="52" t="str">
        <f t="shared" si="32"/>
        <v/>
      </c>
      <c r="Z904" s="81"/>
      <c r="AA904" s="81"/>
      <c r="AB904" s="81"/>
      <c r="AC904" s="81" t="str">
        <f t="shared" si="5"/>
        <v/>
      </c>
      <c r="AD904" s="82" t="str">
        <f t="shared" si="6"/>
        <v/>
      </c>
    </row>
    <row r="905">
      <c r="A905" s="89"/>
      <c r="B905" s="89"/>
      <c r="C905" s="89"/>
      <c r="D905" s="89"/>
      <c r="E905" s="89"/>
      <c r="F905" s="81"/>
      <c r="G905" s="89"/>
      <c r="H905" s="89"/>
      <c r="I905" s="89"/>
      <c r="J905" s="89" t="str">
        <f t="shared" si="18"/>
        <v/>
      </c>
      <c r="K905" s="89" t="str">
        <f t="shared" si="23"/>
        <v/>
      </c>
      <c r="L905" s="89" t="str">
        <f>IFERROR(__xludf.DUMMYFUNCTION("""COMPUTED_VALUE"""),"")</f>
        <v/>
      </c>
      <c r="M905" s="89" t="str">
        <f>IFERROR(__xludf.DUMMYFUNCTION("""COMPUTED_VALUE"""),"")</f>
        <v/>
      </c>
      <c r="N905" s="89" t="str">
        <f>IFERROR(__xludf.DUMMYFUNCTION("""COMPUTED_VALUE"""),"")</f>
        <v/>
      </c>
      <c r="P905" s="52" t="str">
        <f t="shared" si="22"/>
        <v/>
      </c>
      <c r="R905" s="52" t="str">
        <f t="shared" si="32"/>
        <v/>
      </c>
      <c r="Z905" s="81"/>
      <c r="AA905" s="81"/>
      <c r="AB905" s="81"/>
      <c r="AC905" s="81" t="str">
        <f t="shared" si="5"/>
        <v/>
      </c>
      <c r="AD905" s="82" t="str">
        <f t="shared" si="6"/>
        <v/>
      </c>
    </row>
    <row r="906">
      <c r="A906" s="89"/>
      <c r="B906" s="89"/>
      <c r="C906" s="89"/>
      <c r="D906" s="89"/>
      <c r="E906" s="89"/>
      <c r="F906" s="81"/>
      <c r="G906" s="89"/>
      <c r="H906" s="89"/>
      <c r="I906" s="89"/>
      <c r="J906" s="89" t="str">
        <f t="shared" si="18"/>
        <v/>
      </c>
      <c r="K906" s="89" t="str">
        <f t="shared" si="23"/>
        <v/>
      </c>
      <c r="L906" s="89" t="str">
        <f>IFERROR(__xludf.DUMMYFUNCTION("""COMPUTED_VALUE"""),"")</f>
        <v/>
      </c>
      <c r="M906" s="89" t="str">
        <f>IFERROR(__xludf.DUMMYFUNCTION("""COMPUTED_VALUE"""),"")</f>
        <v/>
      </c>
      <c r="N906" s="89" t="str">
        <f>IFERROR(__xludf.DUMMYFUNCTION("""COMPUTED_VALUE"""),"")</f>
        <v/>
      </c>
      <c r="P906" s="52" t="str">
        <f t="shared" si="22"/>
        <v/>
      </c>
      <c r="R906" s="52" t="str">
        <f t="shared" si="32"/>
        <v/>
      </c>
      <c r="Z906" s="81"/>
      <c r="AA906" s="81"/>
      <c r="AB906" s="81"/>
      <c r="AC906" s="81" t="str">
        <f t="shared" si="5"/>
        <v/>
      </c>
      <c r="AD906" s="82" t="str">
        <f t="shared" si="6"/>
        <v/>
      </c>
    </row>
    <row r="907">
      <c r="A907" s="89"/>
      <c r="B907" s="89"/>
      <c r="C907" s="89"/>
      <c r="D907" s="89"/>
      <c r="E907" s="89"/>
      <c r="F907" s="81"/>
      <c r="G907" s="89"/>
      <c r="H907" s="89"/>
      <c r="I907" s="89"/>
      <c r="J907" s="89" t="str">
        <f t="shared" si="18"/>
        <v/>
      </c>
      <c r="K907" s="89" t="str">
        <f t="shared" si="23"/>
        <v/>
      </c>
      <c r="L907" s="89" t="str">
        <f>IFERROR(__xludf.DUMMYFUNCTION("""COMPUTED_VALUE"""),"")</f>
        <v/>
      </c>
      <c r="M907" s="89" t="str">
        <f>IFERROR(__xludf.DUMMYFUNCTION("""COMPUTED_VALUE"""),"")</f>
        <v/>
      </c>
      <c r="N907" s="89" t="str">
        <f>IFERROR(__xludf.DUMMYFUNCTION("""COMPUTED_VALUE"""),"")</f>
        <v/>
      </c>
      <c r="P907" s="52" t="str">
        <f t="shared" si="22"/>
        <v/>
      </c>
      <c r="R907" s="52" t="str">
        <f t="shared" si="32"/>
        <v/>
      </c>
      <c r="Z907" s="81"/>
      <c r="AA907" s="81"/>
      <c r="AB907" s="81"/>
      <c r="AC907" s="81" t="str">
        <f t="shared" si="5"/>
        <v/>
      </c>
      <c r="AD907" s="82" t="str">
        <f t="shared" si="6"/>
        <v/>
      </c>
    </row>
    <row r="908">
      <c r="A908" s="89"/>
      <c r="B908" s="89"/>
      <c r="C908" s="89"/>
      <c r="D908" s="89"/>
      <c r="E908" s="89"/>
      <c r="F908" s="81"/>
      <c r="G908" s="89"/>
      <c r="H908" s="89"/>
      <c r="I908" s="89"/>
      <c r="J908" s="89" t="str">
        <f t="shared" si="18"/>
        <v/>
      </c>
      <c r="K908" s="89" t="str">
        <f t="shared" si="23"/>
        <v/>
      </c>
      <c r="L908" s="89" t="str">
        <f>IFERROR(__xludf.DUMMYFUNCTION("""COMPUTED_VALUE"""),"")</f>
        <v/>
      </c>
      <c r="M908" s="89" t="str">
        <f>IFERROR(__xludf.DUMMYFUNCTION("""COMPUTED_VALUE"""),"")</f>
        <v/>
      </c>
      <c r="N908" s="89" t="str">
        <f>IFERROR(__xludf.DUMMYFUNCTION("""COMPUTED_VALUE"""),"")</f>
        <v/>
      </c>
      <c r="P908" s="52" t="str">
        <f t="shared" si="22"/>
        <v/>
      </c>
      <c r="R908" s="52" t="str">
        <f t="shared" si="32"/>
        <v/>
      </c>
      <c r="Z908" s="81"/>
      <c r="AA908" s="81"/>
      <c r="AB908" s="81"/>
      <c r="AC908" s="81" t="str">
        <f t="shared" si="5"/>
        <v/>
      </c>
      <c r="AD908" s="82" t="str">
        <f t="shared" si="6"/>
        <v/>
      </c>
    </row>
    <row r="909">
      <c r="A909" s="89"/>
      <c r="B909" s="89"/>
      <c r="C909" s="89"/>
      <c r="D909" s="89"/>
      <c r="E909" s="89"/>
      <c r="F909" s="81"/>
      <c r="G909" s="89"/>
      <c r="H909" s="89"/>
      <c r="I909" s="89"/>
      <c r="J909" s="89" t="str">
        <f t="shared" si="18"/>
        <v/>
      </c>
      <c r="K909" s="89" t="str">
        <f t="shared" si="23"/>
        <v/>
      </c>
      <c r="L909" s="89" t="str">
        <f>IFERROR(__xludf.DUMMYFUNCTION("""COMPUTED_VALUE"""),"")</f>
        <v/>
      </c>
      <c r="M909" s="89" t="str">
        <f>IFERROR(__xludf.DUMMYFUNCTION("""COMPUTED_VALUE"""),"")</f>
        <v/>
      </c>
      <c r="N909" s="89" t="str">
        <f>IFERROR(__xludf.DUMMYFUNCTION("""COMPUTED_VALUE"""),"")</f>
        <v/>
      </c>
      <c r="P909" s="52" t="str">
        <f t="shared" si="22"/>
        <v/>
      </c>
      <c r="R909" s="52" t="str">
        <f t="shared" si="32"/>
        <v/>
      </c>
      <c r="Z909" s="81"/>
      <c r="AA909" s="81"/>
      <c r="AB909" s="81"/>
      <c r="AC909" s="81" t="str">
        <f t="shared" si="5"/>
        <v/>
      </c>
      <c r="AD909" s="82" t="str">
        <f t="shared" si="6"/>
        <v/>
      </c>
    </row>
    <row r="910">
      <c r="A910" s="89"/>
      <c r="B910" s="89"/>
      <c r="C910" s="89"/>
      <c r="D910" s="89"/>
      <c r="E910" s="89"/>
      <c r="F910" s="81"/>
      <c r="G910" s="89"/>
      <c r="H910" s="89"/>
      <c r="I910" s="89"/>
      <c r="J910" s="89" t="str">
        <f t="shared" si="18"/>
        <v/>
      </c>
      <c r="K910" s="89" t="str">
        <f t="shared" si="23"/>
        <v/>
      </c>
      <c r="L910" s="89" t="str">
        <f>IFERROR(__xludf.DUMMYFUNCTION("""COMPUTED_VALUE"""),"")</f>
        <v/>
      </c>
      <c r="M910" s="89" t="str">
        <f>IFERROR(__xludf.DUMMYFUNCTION("""COMPUTED_VALUE"""),"")</f>
        <v/>
      </c>
      <c r="N910" s="89" t="str">
        <f>IFERROR(__xludf.DUMMYFUNCTION("""COMPUTED_VALUE"""),"")</f>
        <v/>
      </c>
      <c r="P910" s="52" t="str">
        <f t="shared" si="22"/>
        <v/>
      </c>
      <c r="R910" s="52" t="str">
        <f t="shared" si="32"/>
        <v/>
      </c>
      <c r="Z910" s="81"/>
      <c r="AA910" s="81"/>
      <c r="AB910" s="81"/>
      <c r="AC910" s="81" t="str">
        <f t="shared" si="5"/>
        <v/>
      </c>
      <c r="AD910" s="82" t="str">
        <f t="shared" si="6"/>
        <v/>
      </c>
    </row>
    <row r="911">
      <c r="A911" s="89"/>
      <c r="B911" s="89"/>
      <c r="C911" s="89"/>
      <c r="D911" s="89"/>
      <c r="E911" s="89"/>
      <c r="F911" s="81"/>
      <c r="G911" s="89"/>
      <c r="H911" s="89"/>
      <c r="I911" s="89"/>
      <c r="J911" s="89" t="str">
        <f t="shared" si="18"/>
        <v/>
      </c>
      <c r="K911" s="89" t="str">
        <f t="shared" si="23"/>
        <v/>
      </c>
      <c r="L911" s="89" t="str">
        <f>IFERROR(__xludf.DUMMYFUNCTION("""COMPUTED_VALUE"""),"")</f>
        <v/>
      </c>
      <c r="M911" s="89" t="str">
        <f>IFERROR(__xludf.DUMMYFUNCTION("""COMPUTED_VALUE"""),"")</f>
        <v/>
      </c>
      <c r="N911" s="89" t="str">
        <f>IFERROR(__xludf.DUMMYFUNCTION("""COMPUTED_VALUE"""),"")</f>
        <v/>
      </c>
      <c r="P911" s="52" t="str">
        <f t="shared" si="22"/>
        <v/>
      </c>
      <c r="R911" s="52" t="str">
        <f t="shared" si="32"/>
        <v/>
      </c>
      <c r="Z911" s="81"/>
      <c r="AA911" s="81"/>
      <c r="AB911" s="81"/>
      <c r="AC911" s="81" t="str">
        <f t="shared" si="5"/>
        <v/>
      </c>
      <c r="AD911" s="82" t="str">
        <f t="shared" si="6"/>
        <v/>
      </c>
    </row>
    <row r="912">
      <c r="A912" s="89"/>
      <c r="B912" s="89"/>
      <c r="C912" s="89"/>
      <c r="D912" s="89"/>
      <c r="E912" s="89"/>
      <c r="F912" s="81"/>
      <c r="G912" s="89"/>
      <c r="H912" s="89"/>
      <c r="I912" s="89"/>
      <c r="J912" s="89" t="str">
        <f t="shared" si="18"/>
        <v/>
      </c>
      <c r="K912" s="89" t="str">
        <f t="shared" si="23"/>
        <v/>
      </c>
      <c r="L912" s="89" t="str">
        <f>IFERROR(__xludf.DUMMYFUNCTION("""COMPUTED_VALUE"""),"")</f>
        <v/>
      </c>
      <c r="M912" s="89" t="str">
        <f>IFERROR(__xludf.DUMMYFUNCTION("""COMPUTED_VALUE"""),"")</f>
        <v/>
      </c>
      <c r="N912" s="89" t="str">
        <f>IFERROR(__xludf.DUMMYFUNCTION("""COMPUTED_VALUE"""),"")</f>
        <v/>
      </c>
      <c r="P912" s="52" t="str">
        <f t="shared" si="22"/>
        <v/>
      </c>
      <c r="R912" s="52" t="str">
        <f t="shared" si="32"/>
        <v/>
      </c>
      <c r="Z912" s="81"/>
      <c r="AA912" s="81"/>
      <c r="AB912" s="81"/>
      <c r="AC912" s="81" t="str">
        <f t="shared" si="5"/>
        <v/>
      </c>
      <c r="AD912" s="82" t="str">
        <f t="shared" si="6"/>
        <v/>
      </c>
    </row>
    <row r="913">
      <c r="A913" s="89"/>
      <c r="B913" s="89"/>
      <c r="C913" s="89"/>
      <c r="D913" s="89"/>
      <c r="E913" s="89"/>
      <c r="F913" s="81"/>
      <c r="G913" s="89"/>
      <c r="H913" s="89"/>
      <c r="I913" s="89"/>
      <c r="J913" s="89" t="str">
        <f t="shared" si="18"/>
        <v/>
      </c>
      <c r="K913" s="89" t="str">
        <f t="shared" si="23"/>
        <v/>
      </c>
      <c r="L913" s="89" t="str">
        <f>IFERROR(__xludf.DUMMYFUNCTION("""COMPUTED_VALUE"""),"")</f>
        <v/>
      </c>
      <c r="M913" s="89" t="str">
        <f>IFERROR(__xludf.DUMMYFUNCTION("""COMPUTED_VALUE"""),"")</f>
        <v/>
      </c>
      <c r="N913" s="89" t="str">
        <f>IFERROR(__xludf.DUMMYFUNCTION("""COMPUTED_VALUE"""),"")</f>
        <v/>
      </c>
      <c r="P913" s="52" t="str">
        <f t="shared" si="22"/>
        <v/>
      </c>
      <c r="R913" s="52" t="str">
        <f t="shared" si="32"/>
        <v/>
      </c>
      <c r="Z913" s="81"/>
      <c r="AA913" s="81"/>
      <c r="AB913" s="81"/>
      <c r="AC913" s="81" t="str">
        <f t="shared" si="5"/>
        <v/>
      </c>
      <c r="AD913" s="82" t="str">
        <f t="shared" si="6"/>
        <v/>
      </c>
    </row>
    <row r="914">
      <c r="A914" s="89"/>
      <c r="B914" s="89"/>
      <c r="C914" s="89"/>
      <c r="D914" s="89"/>
      <c r="E914" s="89"/>
      <c r="F914" s="81"/>
      <c r="G914" s="89"/>
      <c r="H914" s="89"/>
      <c r="I914" s="89"/>
      <c r="J914" s="89" t="str">
        <f t="shared" si="18"/>
        <v/>
      </c>
      <c r="K914" s="89" t="str">
        <f t="shared" si="23"/>
        <v/>
      </c>
      <c r="L914" s="89" t="str">
        <f>IFERROR(__xludf.DUMMYFUNCTION("""COMPUTED_VALUE"""),"")</f>
        <v/>
      </c>
      <c r="M914" s="89" t="str">
        <f>IFERROR(__xludf.DUMMYFUNCTION("""COMPUTED_VALUE"""),"")</f>
        <v/>
      </c>
      <c r="N914" s="89" t="str">
        <f>IFERROR(__xludf.DUMMYFUNCTION("""COMPUTED_VALUE"""),"")</f>
        <v/>
      </c>
      <c r="P914" s="52" t="str">
        <f t="shared" si="22"/>
        <v/>
      </c>
      <c r="R914" s="52" t="str">
        <f t="shared" si="32"/>
        <v/>
      </c>
      <c r="Z914" s="81"/>
      <c r="AA914" s="81"/>
      <c r="AB914" s="81"/>
      <c r="AC914" s="81" t="str">
        <f t="shared" si="5"/>
        <v/>
      </c>
      <c r="AD914" s="82" t="str">
        <f t="shared" si="6"/>
        <v/>
      </c>
    </row>
    <row r="915">
      <c r="A915" s="89"/>
      <c r="B915" s="89"/>
      <c r="C915" s="89"/>
      <c r="D915" s="89"/>
      <c r="E915" s="89"/>
      <c r="F915" s="81"/>
      <c r="G915" s="89"/>
      <c r="H915" s="89"/>
      <c r="I915" s="89"/>
      <c r="J915" s="89" t="str">
        <f t="shared" si="18"/>
        <v/>
      </c>
      <c r="K915" s="89" t="str">
        <f t="shared" si="23"/>
        <v/>
      </c>
      <c r="L915" s="89" t="str">
        <f>IFERROR(__xludf.DUMMYFUNCTION("""COMPUTED_VALUE"""),"")</f>
        <v/>
      </c>
      <c r="M915" s="89" t="str">
        <f>IFERROR(__xludf.DUMMYFUNCTION("""COMPUTED_VALUE"""),"")</f>
        <v/>
      </c>
      <c r="N915" s="89" t="str">
        <f>IFERROR(__xludf.DUMMYFUNCTION("""COMPUTED_VALUE"""),"")</f>
        <v/>
      </c>
      <c r="P915" s="52" t="str">
        <f t="shared" si="22"/>
        <v/>
      </c>
      <c r="R915" s="52" t="str">
        <f t="shared" si="32"/>
        <v/>
      </c>
      <c r="Z915" s="81"/>
      <c r="AA915" s="81"/>
      <c r="AB915" s="81"/>
      <c r="AC915" s="81" t="str">
        <f t="shared" si="5"/>
        <v/>
      </c>
      <c r="AD915" s="82" t="str">
        <f t="shared" si="6"/>
        <v/>
      </c>
    </row>
    <row r="916">
      <c r="A916" s="89"/>
      <c r="B916" s="89"/>
      <c r="C916" s="89"/>
      <c r="D916" s="89"/>
      <c r="E916" s="89"/>
      <c r="F916" s="81"/>
      <c r="G916" s="89"/>
      <c r="H916" s="89"/>
      <c r="I916" s="89"/>
      <c r="J916" s="89" t="str">
        <f t="shared" si="18"/>
        <v/>
      </c>
      <c r="K916" s="89" t="str">
        <f t="shared" si="23"/>
        <v/>
      </c>
      <c r="L916" s="89" t="str">
        <f>IFERROR(__xludf.DUMMYFUNCTION("""COMPUTED_VALUE"""),"")</f>
        <v/>
      </c>
      <c r="M916" s="89" t="str">
        <f>IFERROR(__xludf.DUMMYFUNCTION("""COMPUTED_VALUE"""),"")</f>
        <v/>
      </c>
      <c r="N916" s="89" t="str">
        <f>IFERROR(__xludf.DUMMYFUNCTION("""COMPUTED_VALUE"""),"")</f>
        <v/>
      </c>
      <c r="P916" s="52" t="str">
        <f t="shared" si="22"/>
        <v/>
      </c>
      <c r="R916" s="52" t="str">
        <f t="shared" si="32"/>
        <v/>
      </c>
      <c r="Z916" s="81"/>
      <c r="AA916" s="81"/>
      <c r="AB916" s="81"/>
      <c r="AC916" s="81" t="str">
        <f t="shared" si="5"/>
        <v/>
      </c>
      <c r="AD916" s="82" t="str">
        <f t="shared" si="6"/>
        <v/>
      </c>
    </row>
    <row r="917">
      <c r="A917" s="89"/>
      <c r="B917" s="89"/>
      <c r="C917" s="89"/>
      <c r="D917" s="89"/>
      <c r="E917" s="89"/>
      <c r="F917" s="81"/>
      <c r="G917" s="89"/>
      <c r="H917" s="89"/>
      <c r="I917" s="89"/>
      <c r="J917" s="89" t="str">
        <f t="shared" si="18"/>
        <v/>
      </c>
      <c r="K917" s="89" t="str">
        <f t="shared" si="23"/>
        <v/>
      </c>
      <c r="L917" s="89" t="str">
        <f>IFERROR(__xludf.DUMMYFUNCTION("""COMPUTED_VALUE"""),"")</f>
        <v/>
      </c>
      <c r="M917" s="89" t="str">
        <f>IFERROR(__xludf.DUMMYFUNCTION("""COMPUTED_VALUE"""),"")</f>
        <v/>
      </c>
      <c r="N917" s="89" t="str">
        <f>IFERROR(__xludf.DUMMYFUNCTION("""COMPUTED_VALUE"""),"")</f>
        <v/>
      </c>
      <c r="P917" s="52" t="str">
        <f t="shared" si="22"/>
        <v/>
      </c>
      <c r="R917" s="52" t="str">
        <f t="shared" si="32"/>
        <v/>
      </c>
      <c r="Z917" s="81"/>
      <c r="AA917" s="81"/>
      <c r="AB917" s="81"/>
      <c r="AC917" s="81" t="str">
        <f t="shared" si="5"/>
        <v/>
      </c>
      <c r="AD917" s="82" t="str">
        <f t="shared" si="6"/>
        <v/>
      </c>
    </row>
    <row r="918">
      <c r="A918" s="89"/>
      <c r="B918" s="89"/>
      <c r="C918" s="89"/>
      <c r="D918" s="89"/>
      <c r="E918" s="89"/>
      <c r="F918" s="81"/>
      <c r="G918" s="89"/>
      <c r="H918" s="89"/>
      <c r="I918" s="89"/>
      <c r="J918" s="89" t="str">
        <f t="shared" si="18"/>
        <v/>
      </c>
      <c r="K918" s="89" t="str">
        <f t="shared" si="23"/>
        <v/>
      </c>
      <c r="L918" s="89" t="str">
        <f>IFERROR(__xludf.DUMMYFUNCTION("""COMPUTED_VALUE"""),"")</f>
        <v/>
      </c>
      <c r="M918" s="89" t="str">
        <f>IFERROR(__xludf.DUMMYFUNCTION("""COMPUTED_VALUE"""),"")</f>
        <v/>
      </c>
      <c r="N918" s="89" t="str">
        <f>IFERROR(__xludf.DUMMYFUNCTION("""COMPUTED_VALUE"""),"")</f>
        <v/>
      </c>
      <c r="P918" s="52" t="str">
        <f t="shared" si="22"/>
        <v/>
      </c>
      <c r="R918" s="52" t="str">
        <f t="shared" si="32"/>
        <v/>
      </c>
      <c r="Z918" s="81"/>
      <c r="AA918" s="81"/>
      <c r="AB918" s="81"/>
      <c r="AC918" s="81" t="str">
        <f t="shared" si="5"/>
        <v/>
      </c>
      <c r="AD918" s="82" t="str">
        <f t="shared" si="6"/>
        <v/>
      </c>
    </row>
    <row r="919">
      <c r="A919" s="89"/>
      <c r="B919" s="89"/>
      <c r="C919" s="89"/>
      <c r="D919" s="89"/>
      <c r="E919" s="89"/>
      <c r="F919" s="81"/>
      <c r="G919" s="89"/>
      <c r="H919" s="89"/>
      <c r="I919" s="89"/>
      <c r="J919" s="89" t="str">
        <f t="shared" si="18"/>
        <v/>
      </c>
      <c r="K919" s="89" t="str">
        <f t="shared" si="23"/>
        <v/>
      </c>
      <c r="L919" s="89" t="str">
        <f>IFERROR(__xludf.DUMMYFUNCTION("""COMPUTED_VALUE"""),"")</f>
        <v/>
      </c>
      <c r="M919" s="89" t="str">
        <f>IFERROR(__xludf.DUMMYFUNCTION("""COMPUTED_VALUE"""),"")</f>
        <v/>
      </c>
      <c r="N919" s="89" t="str">
        <f>IFERROR(__xludf.DUMMYFUNCTION("""COMPUTED_VALUE"""),"")</f>
        <v/>
      </c>
      <c r="P919" s="52" t="str">
        <f t="shared" si="22"/>
        <v/>
      </c>
      <c r="R919" s="52" t="str">
        <f t="shared" si="32"/>
        <v/>
      </c>
      <c r="Z919" s="81"/>
      <c r="AA919" s="81"/>
      <c r="AB919" s="81"/>
      <c r="AC919" s="81" t="str">
        <f t="shared" si="5"/>
        <v/>
      </c>
      <c r="AD919" s="82" t="str">
        <f t="shared" si="6"/>
        <v/>
      </c>
    </row>
    <row r="920">
      <c r="A920" s="89"/>
      <c r="B920" s="89"/>
      <c r="C920" s="89"/>
      <c r="D920" s="89"/>
      <c r="E920" s="89"/>
      <c r="F920" s="81"/>
      <c r="G920" s="89"/>
      <c r="H920" s="89"/>
      <c r="I920" s="89"/>
      <c r="J920" s="89" t="str">
        <f t="shared" si="18"/>
        <v/>
      </c>
      <c r="K920" s="89" t="str">
        <f t="shared" si="23"/>
        <v/>
      </c>
      <c r="L920" s="89" t="str">
        <f>IFERROR(__xludf.DUMMYFUNCTION("""COMPUTED_VALUE"""),"")</f>
        <v/>
      </c>
      <c r="M920" s="89" t="str">
        <f>IFERROR(__xludf.DUMMYFUNCTION("""COMPUTED_VALUE"""),"")</f>
        <v/>
      </c>
      <c r="N920" s="89" t="str">
        <f>IFERROR(__xludf.DUMMYFUNCTION("""COMPUTED_VALUE"""),"")</f>
        <v/>
      </c>
      <c r="P920" s="52" t="str">
        <f t="shared" si="22"/>
        <v/>
      </c>
      <c r="R920" s="52" t="str">
        <f t="shared" si="32"/>
        <v/>
      </c>
      <c r="Z920" s="81"/>
      <c r="AA920" s="81"/>
      <c r="AB920" s="81"/>
      <c r="AC920" s="81" t="str">
        <f t="shared" si="5"/>
        <v/>
      </c>
      <c r="AD920" s="82" t="str">
        <f t="shared" si="6"/>
        <v/>
      </c>
    </row>
    <row r="921">
      <c r="A921" s="89"/>
      <c r="B921" s="89"/>
      <c r="C921" s="89"/>
      <c r="D921" s="89"/>
      <c r="E921" s="89"/>
      <c r="F921" s="81"/>
      <c r="G921" s="89"/>
      <c r="H921" s="89"/>
      <c r="I921" s="89"/>
      <c r="J921" s="89" t="str">
        <f t="shared" si="18"/>
        <v/>
      </c>
      <c r="K921" s="89" t="str">
        <f t="shared" si="23"/>
        <v/>
      </c>
      <c r="L921" s="89" t="str">
        <f>IFERROR(__xludf.DUMMYFUNCTION("""COMPUTED_VALUE"""),"")</f>
        <v/>
      </c>
      <c r="M921" s="89" t="str">
        <f>IFERROR(__xludf.DUMMYFUNCTION("""COMPUTED_VALUE"""),"")</f>
        <v/>
      </c>
      <c r="N921" s="89" t="str">
        <f>IFERROR(__xludf.DUMMYFUNCTION("""COMPUTED_VALUE"""),"")</f>
        <v/>
      </c>
      <c r="P921" s="52" t="str">
        <f t="shared" si="22"/>
        <v/>
      </c>
      <c r="R921" s="52" t="str">
        <f t="shared" si="32"/>
        <v/>
      </c>
      <c r="Z921" s="81"/>
      <c r="AA921" s="81"/>
      <c r="AB921" s="81"/>
      <c r="AC921" s="81" t="str">
        <f t="shared" si="5"/>
        <v/>
      </c>
      <c r="AD921" s="82" t="str">
        <f t="shared" si="6"/>
        <v/>
      </c>
    </row>
    <row r="922">
      <c r="A922" s="89"/>
      <c r="B922" s="89"/>
      <c r="C922" s="89"/>
      <c r="D922" s="89"/>
      <c r="E922" s="89"/>
      <c r="F922" s="81"/>
      <c r="G922" s="89"/>
      <c r="H922" s="89"/>
      <c r="I922" s="89"/>
      <c r="J922" s="89" t="str">
        <f t="shared" si="18"/>
        <v/>
      </c>
      <c r="K922" s="89" t="str">
        <f t="shared" si="23"/>
        <v/>
      </c>
      <c r="L922" s="89" t="str">
        <f>IFERROR(__xludf.DUMMYFUNCTION("""COMPUTED_VALUE"""),"")</f>
        <v/>
      </c>
      <c r="M922" s="89" t="str">
        <f>IFERROR(__xludf.DUMMYFUNCTION("""COMPUTED_VALUE"""),"")</f>
        <v/>
      </c>
      <c r="N922" s="89" t="str">
        <f>IFERROR(__xludf.DUMMYFUNCTION("""COMPUTED_VALUE"""),"")</f>
        <v/>
      </c>
      <c r="P922" s="52" t="str">
        <f t="shared" si="22"/>
        <v/>
      </c>
      <c r="R922" s="52" t="str">
        <f t="shared" si="32"/>
        <v/>
      </c>
      <c r="Z922" s="81"/>
      <c r="AA922" s="81"/>
      <c r="AB922" s="81"/>
      <c r="AC922" s="81" t="str">
        <f t="shared" si="5"/>
        <v/>
      </c>
      <c r="AD922" s="82" t="str">
        <f t="shared" si="6"/>
        <v/>
      </c>
    </row>
    <row r="923">
      <c r="A923" s="89"/>
      <c r="B923" s="89"/>
      <c r="C923" s="89"/>
      <c r="D923" s="89"/>
      <c r="E923" s="89"/>
      <c r="F923" s="81"/>
      <c r="G923" s="89"/>
      <c r="H923" s="89"/>
      <c r="I923" s="89"/>
      <c r="J923" s="89" t="str">
        <f t="shared" si="18"/>
        <v/>
      </c>
      <c r="K923" s="89" t="str">
        <f t="shared" si="23"/>
        <v/>
      </c>
      <c r="L923" s="89" t="str">
        <f>IFERROR(__xludf.DUMMYFUNCTION("""COMPUTED_VALUE"""),"")</f>
        <v/>
      </c>
      <c r="M923" s="89" t="str">
        <f>IFERROR(__xludf.DUMMYFUNCTION("""COMPUTED_VALUE"""),"")</f>
        <v/>
      </c>
      <c r="N923" s="89" t="str">
        <f>IFERROR(__xludf.DUMMYFUNCTION("""COMPUTED_VALUE"""),"")</f>
        <v/>
      </c>
      <c r="P923" s="52" t="str">
        <f t="shared" si="22"/>
        <v/>
      </c>
      <c r="R923" s="52" t="str">
        <f t="shared" si="32"/>
        <v/>
      </c>
      <c r="Z923" s="81"/>
      <c r="AA923" s="81"/>
      <c r="AB923" s="81"/>
      <c r="AC923" s="81" t="str">
        <f t="shared" si="5"/>
        <v/>
      </c>
      <c r="AD923" s="82" t="str">
        <f t="shared" si="6"/>
        <v/>
      </c>
    </row>
    <row r="924">
      <c r="A924" s="89"/>
      <c r="B924" s="89"/>
      <c r="C924" s="89"/>
      <c r="D924" s="89"/>
      <c r="E924" s="89"/>
      <c r="F924" s="81"/>
      <c r="G924" s="89"/>
      <c r="H924" s="89"/>
      <c r="I924" s="89"/>
      <c r="J924" s="89" t="str">
        <f t="shared" si="18"/>
        <v/>
      </c>
      <c r="K924" s="89" t="str">
        <f t="shared" si="23"/>
        <v/>
      </c>
      <c r="L924" s="89" t="str">
        <f>IFERROR(__xludf.DUMMYFUNCTION("""COMPUTED_VALUE"""),"")</f>
        <v/>
      </c>
      <c r="M924" s="89" t="str">
        <f>IFERROR(__xludf.DUMMYFUNCTION("""COMPUTED_VALUE"""),"")</f>
        <v/>
      </c>
      <c r="N924" s="89" t="str">
        <f>IFERROR(__xludf.DUMMYFUNCTION("""COMPUTED_VALUE"""),"")</f>
        <v/>
      </c>
      <c r="P924" s="52" t="str">
        <f t="shared" si="22"/>
        <v/>
      </c>
      <c r="R924" s="52" t="str">
        <f t="shared" si="32"/>
        <v/>
      </c>
      <c r="Z924" s="81"/>
      <c r="AA924" s="81"/>
      <c r="AB924" s="81"/>
      <c r="AC924" s="81" t="str">
        <f t="shared" si="5"/>
        <v/>
      </c>
      <c r="AD924" s="82" t="str">
        <f t="shared" si="6"/>
        <v/>
      </c>
    </row>
    <row r="925">
      <c r="A925" s="89"/>
      <c r="B925" s="89"/>
      <c r="C925" s="89"/>
      <c r="D925" s="89"/>
      <c r="E925" s="89"/>
      <c r="F925" s="81"/>
      <c r="G925" s="89"/>
      <c r="H925" s="89"/>
      <c r="I925" s="89"/>
      <c r="J925" s="89" t="str">
        <f t="shared" si="18"/>
        <v/>
      </c>
      <c r="K925" s="89" t="str">
        <f t="shared" si="23"/>
        <v/>
      </c>
      <c r="L925" s="89" t="str">
        <f>IFERROR(__xludf.DUMMYFUNCTION("""COMPUTED_VALUE"""),"")</f>
        <v/>
      </c>
      <c r="M925" s="89" t="str">
        <f>IFERROR(__xludf.DUMMYFUNCTION("""COMPUTED_VALUE"""),"")</f>
        <v/>
      </c>
      <c r="N925" s="89" t="str">
        <f>IFERROR(__xludf.DUMMYFUNCTION("""COMPUTED_VALUE"""),"")</f>
        <v/>
      </c>
      <c r="P925" s="52" t="str">
        <f t="shared" si="22"/>
        <v/>
      </c>
      <c r="R925" s="52" t="str">
        <f t="shared" si="32"/>
        <v/>
      </c>
      <c r="Z925" s="81"/>
      <c r="AA925" s="81"/>
      <c r="AB925" s="81"/>
      <c r="AC925" s="81" t="str">
        <f t="shared" si="5"/>
        <v/>
      </c>
      <c r="AD925" s="82" t="str">
        <f t="shared" si="6"/>
        <v/>
      </c>
    </row>
    <row r="926">
      <c r="A926" s="89"/>
      <c r="B926" s="89"/>
      <c r="C926" s="89"/>
      <c r="D926" s="89"/>
      <c r="E926" s="89"/>
      <c r="F926" s="81"/>
      <c r="G926" s="89"/>
      <c r="H926" s="89"/>
      <c r="I926" s="89"/>
      <c r="J926" s="89" t="str">
        <f t="shared" si="18"/>
        <v/>
      </c>
      <c r="K926" s="89" t="str">
        <f t="shared" si="23"/>
        <v/>
      </c>
      <c r="L926" s="89" t="str">
        <f>IFERROR(__xludf.DUMMYFUNCTION("""COMPUTED_VALUE"""),"")</f>
        <v/>
      </c>
      <c r="M926" s="89" t="str">
        <f>IFERROR(__xludf.DUMMYFUNCTION("""COMPUTED_VALUE"""),"")</f>
        <v/>
      </c>
      <c r="N926" s="89" t="str">
        <f>IFERROR(__xludf.DUMMYFUNCTION("""COMPUTED_VALUE"""),"")</f>
        <v/>
      </c>
      <c r="P926" s="52" t="str">
        <f t="shared" si="22"/>
        <v/>
      </c>
      <c r="R926" s="52" t="str">
        <f t="shared" si="32"/>
        <v/>
      </c>
      <c r="Z926" s="81"/>
      <c r="AA926" s="81"/>
      <c r="AB926" s="81"/>
      <c r="AC926" s="81" t="str">
        <f t="shared" si="5"/>
        <v/>
      </c>
      <c r="AD926" s="82" t="str">
        <f t="shared" si="6"/>
        <v/>
      </c>
    </row>
    <row r="927">
      <c r="A927" s="89"/>
      <c r="B927" s="89"/>
      <c r="C927" s="89"/>
      <c r="D927" s="89"/>
      <c r="E927" s="89"/>
      <c r="F927" s="81"/>
      <c r="G927" s="89"/>
      <c r="H927" s="89"/>
      <c r="I927" s="89"/>
      <c r="J927" s="89" t="str">
        <f t="shared" si="18"/>
        <v/>
      </c>
      <c r="K927" s="89" t="str">
        <f t="shared" si="23"/>
        <v/>
      </c>
      <c r="L927" s="89" t="str">
        <f>IFERROR(__xludf.DUMMYFUNCTION("""COMPUTED_VALUE"""),"")</f>
        <v/>
      </c>
      <c r="M927" s="89" t="str">
        <f>IFERROR(__xludf.DUMMYFUNCTION("""COMPUTED_VALUE"""),"")</f>
        <v/>
      </c>
      <c r="N927" s="89" t="str">
        <f>IFERROR(__xludf.DUMMYFUNCTION("""COMPUTED_VALUE"""),"")</f>
        <v/>
      </c>
      <c r="P927" s="52" t="str">
        <f t="shared" si="22"/>
        <v/>
      </c>
      <c r="R927" s="52" t="str">
        <f t="shared" si="32"/>
        <v/>
      </c>
      <c r="Z927" s="81"/>
      <c r="AA927" s="81"/>
      <c r="AB927" s="81"/>
      <c r="AC927" s="81" t="str">
        <f t="shared" si="5"/>
        <v/>
      </c>
      <c r="AD927" s="82" t="str">
        <f t="shared" si="6"/>
        <v/>
      </c>
    </row>
    <row r="928">
      <c r="A928" s="89"/>
      <c r="B928" s="89"/>
      <c r="C928" s="89"/>
      <c r="D928" s="89"/>
      <c r="E928" s="89"/>
      <c r="F928" s="81"/>
      <c r="G928" s="89"/>
      <c r="H928" s="89"/>
      <c r="I928" s="89"/>
      <c r="J928" s="89" t="str">
        <f t="shared" si="18"/>
        <v/>
      </c>
      <c r="K928" s="89" t="str">
        <f t="shared" si="23"/>
        <v/>
      </c>
      <c r="L928" s="89" t="str">
        <f>IFERROR(__xludf.DUMMYFUNCTION("""COMPUTED_VALUE"""),"")</f>
        <v/>
      </c>
      <c r="M928" s="89" t="str">
        <f>IFERROR(__xludf.DUMMYFUNCTION("""COMPUTED_VALUE"""),"")</f>
        <v/>
      </c>
      <c r="N928" s="89" t="str">
        <f>IFERROR(__xludf.DUMMYFUNCTION("""COMPUTED_VALUE"""),"")</f>
        <v/>
      </c>
      <c r="P928" s="52" t="str">
        <f t="shared" si="22"/>
        <v/>
      </c>
      <c r="R928" s="52" t="str">
        <f t="shared" si="32"/>
        <v/>
      </c>
      <c r="Z928" s="81"/>
      <c r="AA928" s="81"/>
      <c r="AB928" s="81"/>
      <c r="AC928" s="81" t="str">
        <f t="shared" si="5"/>
        <v/>
      </c>
      <c r="AD928" s="82" t="str">
        <f t="shared" si="6"/>
        <v/>
      </c>
    </row>
    <row r="929">
      <c r="A929" s="89"/>
      <c r="B929" s="89"/>
      <c r="C929" s="89"/>
      <c r="D929" s="89"/>
      <c r="E929" s="89"/>
      <c r="F929" s="81"/>
      <c r="G929" s="89"/>
      <c r="H929" s="89"/>
      <c r="I929" s="89"/>
      <c r="J929" s="89" t="str">
        <f t="shared" si="18"/>
        <v/>
      </c>
      <c r="K929" s="89" t="str">
        <f t="shared" si="23"/>
        <v/>
      </c>
      <c r="L929" s="89" t="str">
        <f>IFERROR(__xludf.DUMMYFUNCTION("""COMPUTED_VALUE"""),"")</f>
        <v/>
      </c>
      <c r="M929" s="89" t="str">
        <f>IFERROR(__xludf.DUMMYFUNCTION("""COMPUTED_VALUE"""),"")</f>
        <v/>
      </c>
      <c r="N929" s="89" t="str">
        <f>IFERROR(__xludf.DUMMYFUNCTION("""COMPUTED_VALUE"""),"")</f>
        <v/>
      </c>
      <c r="P929" s="52" t="str">
        <f t="shared" si="22"/>
        <v/>
      </c>
      <c r="R929" s="52" t="str">
        <f t="shared" si="32"/>
        <v/>
      </c>
      <c r="Z929" s="81"/>
      <c r="AA929" s="81"/>
      <c r="AB929" s="81"/>
      <c r="AC929" s="81" t="str">
        <f t="shared" si="5"/>
        <v/>
      </c>
      <c r="AD929" s="82" t="str">
        <f t="shared" si="6"/>
        <v/>
      </c>
    </row>
    <row r="930">
      <c r="A930" s="89"/>
      <c r="B930" s="89"/>
      <c r="C930" s="89"/>
      <c r="D930" s="89"/>
      <c r="E930" s="89"/>
      <c r="F930" s="81"/>
      <c r="G930" s="89"/>
      <c r="H930" s="89"/>
      <c r="I930" s="89"/>
      <c r="J930" s="89" t="str">
        <f t="shared" si="18"/>
        <v/>
      </c>
      <c r="K930" s="89" t="str">
        <f t="shared" si="23"/>
        <v/>
      </c>
      <c r="L930" s="89" t="str">
        <f>IFERROR(__xludf.DUMMYFUNCTION("""COMPUTED_VALUE"""),"")</f>
        <v/>
      </c>
      <c r="M930" s="89" t="str">
        <f>IFERROR(__xludf.DUMMYFUNCTION("""COMPUTED_VALUE"""),"")</f>
        <v/>
      </c>
      <c r="N930" s="89" t="str">
        <f>IFERROR(__xludf.DUMMYFUNCTION("""COMPUTED_VALUE"""),"")</f>
        <v/>
      </c>
      <c r="P930" s="52" t="str">
        <f t="shared" si="22"/>
        <v/>
      </c>
      <c r="R930" s="52" t="str">
        <f t="shared" si="32"/>
        <v/>
      </c>
      <c r="Z930" s="81"/>
      <c r="AA930" s="81"/>
      <c r="AB930" s="81"/>
      <c r="AC930" s="81" t="str">
        <f t="shared" si="5"/>
        <v/>
      </c>
      <c r="AD930" s="82" t="str">
        <f t="shared" si="6"/>
        <v/>
      </c>
    </row>
    <row r="931">
      <c r="A931" s="89"/>
      <c r="B931" s="89"/>
      <c r="C931" s="89"/>
      <c r="D931" s="89"/>
      <c r="E931" s="89"/>
      <c r="F931" s="81"/>
      <c r="G931" s="89"/>
      <c r="H931" s="89"/>
      <c r="I931" s="89"/>
      <c r="J931" s="89" t="str">
        <f t="shared" si="18"/>
        <v/>
      </c>
      <c r="K931" s="89" t="str">
        <f t="shared" si="23"/>
        <v/>
      </c>
      <c r="L931" s="89" t="str">
        <f>IFERROR(__xludf.DUMMYFUNCTION("""COMPUTED_VALUE"""),"")</f>
        <v/>
      </c>
      <c r="M931" s="89" t="str">
        <f>IFERROR(__xludf.DUMMYFUNCTION("""COMPUTED_VALUE"""),"")</f>
        <v/>
      </c>
      <c r="N931" s="89" t="str">
        <f>IFERROR(__xludf.DUMMYFUNCTION("""COMPUTED_VALUE"""),"")</f>
        <v/>
      </c>
      <c r="P931" s="52" t="str">
        <f t="shared" si="22"/>
        <v/>
      </c>
      <c r="R931" s="52" t="str">
        <f t="shared" si="32"/>
        <v/>
      </c>
      <c r="Z931" s="81"/>
      <c r="AA931" s="81"/>
      <c r="AB931" s="81"/>
      <c r="AC931" s="81" t="str">
        <f t="shared" si="5"/>
        <v/>
      </c>
      <c r="AD931" s="82" t="str">
        <f t="shared" si="6"/>
        <v/>
      </c>
    </row>
    <row r="932">
      <c r="A932" s="89"/>
      <c r="B932" s="89"/>
      <c r="C932" s="89"/>
      <c r="D932" s="89"/>
      <c r="E932" s="89"/>
      <c r="F932" s="81"/>
      <c r="G932" s="89"/>
      <c r="H932" s="89"/>
      <c r="I932" s="89"/>
      <c r="J932" s="89" t="str">
        <f t="shared" si="18"/>
        <v/>
      </c>
      <c r="K932" s="89" t="str">
        <f t="shared" si="23"/>
        <v/>
      </c>
      <c r="L932" s="89" t="str">
        <f>IFERROR(__xludf.DUMMYFUNCTION("""COMPUTED_VALUE"""),"")</f>
        <v/>
      </c>
      <c r="M932" s="89" t="str">
        <f>IFERROR(__xludf.DUMMYFUNCTION("""COMPUTED_VALUE"""),"")</f>
        <v/>
      </c>
      <c r="N932" s="89" t="str">
        <f>IFERROR(__xludf.DUMMYFUNCTION("""COMPUTED_VALUE"""),"")</f>
        <v/>
      </c>
      <c r="P932" s="52" t="str">
        <f t="shared" si="22"/>
        <v/>
      </c>
      <c r="R932" s="52" t="str">
        <f t="shared" si="32"/>
        <v/>
      </c>
      <c r="Z932" s="81"/>
      <c r="AA932" s="81"/>
      <c r="AB932" s="81"/>
      <c r="AC932" s="81" t="str">
        <f t="shared" si="5"/>
        <v/>
      </c>
      <c r="AD932" s="82" t="str">
        <f t="shared" si="6"/>
        <v/>
      </c>
    </row>
    <row r="933">
      <c r="A933" s="89"/>
      <c r="B933" s="89"/>
      <c r="C933" s="89"/>
      <c r="D933" s="89"/>
      <c r="E933" s="89"/>
      <c r="F933" s="81"/>
      <c r="G933" s="89"/>
      <c r="H933" s="89"/>
      <c r="I933" s="89"/>
      <c r="J933" s="89" t="str">
        <f t="shared" si="18"/>
        <v/>
      </c>
      <c r="K933" s="89" t="str">
        <f t="shared" si="23"/>
        <v/>
      </c>
      <c r="L933" s="89" t="str">
        <f>IFERROR(__xludf.DUMMYFUNCTION("""COMPUTED_VALUE"""),"")</f>
        <v/>
      </c>
      <c r="M933" s="89" t="str">
        <f>IFERROR(__xludf.DUMMYFUNCTION("""COMPUTED_VALUE"""),"")</f>
        <v/>
      </c>
      <c r="N933" s="89" t="str">
        <f>IFERROR(__xludf.DUMMYFUNCTION("""COMPUTED_VALUE"""),"")</f>
        <v/>
      </c>
      <c r="P933" s="52" t="str">
        <f t="shared" si="22"/>
        <v/>
      </c>
      <c r="R933" s="52" t="str">
        <f t="shared" si="32"/>
        <v/>
      </c>
      <c r="Z933" s="81"/>
      <c r="AA933" s="81"/>
      <c r="AB933" s="81"/>
      <c r="AC933" s="81" t="str">
        <f t="shared" si="5"/>
        <v/>
      </c>
      <c r="AD933" s="82" t="str">
        <f t="shared" si="6"/>
        <v/>
      </c>
    </row>
    <row r="934">
      <c r="A934" s="89"/>
      <c r="B934" s="89"/>
      <c r="C934" s="89"/>
      <c r="D934" s="89"/>
      <c r="E934" s="89"/>
      <c r="F934" s="81"/>
      <c r="G934" s="89"/>
      <c r="H934" s="89"/>
      <c r="I934" s="89"/>
      <c r="J934" s="89" t="str">
        <f t="shared" si="18"/>
        <v/>
      </c>
      <c r="K934" s="89" t="str">
        <f t="shared" si="23"/>
        <v/>
      </c>
      <c r="L934" s="89" t="str">
        <f>IFERROR(__xludf.DUMMYFUNCTION("""COMPUTED_VALUE"""),"")</f>
        <v/>
      </c>
      <c r="M934" s="89" t="str">
        <f>IFERROR(__xludf.DUMMYFUNCTION("""COMPUTED_VALUE"""),"")</f>
        <v/>
      </c>
      <c r="N934" s="89" t="str">
        <f>IFERROR(__xludf.DUMMYFUNCTION("""COMPUTED_VALUE"""),"")</f>
        <v/>
      </c>
      <c r="P934" s="52" t="str">
        <f t="shared" si="22"/>
        <v/>
      </c>
      <c r="R934" s="52" t="str">
        <f t="shared" si="32"/>
        <v/>
      </c>
      <c r="Z934" s="81"/>
      <c r="AA934" s="81"/>
      <c r="AB934" s="81"/>
      <c r="AC934" s="81" t="str">
        <f t="shared" si="5"/>
        <v/>
      </c>
      <c r="AD934" s="82" t="str">
        <f t="shared" si="6"/>
        <v/>
      </c>
    </row>
    <row r="935">
      <c r="A935" s="89"/>
      <c r="B935" s="89"/>
      <c r="C935" s="89"/>
      <c r="D935" s="89"/>
      <c r="E935" s="89"/>
      <c r="F935" s="81"/>
      <c r="G935" s="89"/>
      <c r="H935" s="89"/>
      <c r="I935" s="89"/>
      <c r="J935" s="89" t="str">
        <f t="shared" si="18"/>
        <v/>
      </c>
      <c r="K935" s="89" t="str">
        <f t="shared" si="23"/>
        <v/>
      </c>
      <c r="L935" s="89" t="str">
        <f>IFERROR(__xludf.DUMMYFUNCTION("""COMPUTED_VALUE"""),"")</f>
        <v/>
      </c>
      <c r="M935" s="89" t="str">
        <f>IFERROR(__xludf.DUMMYFUNCTION("""COMPUTED_VALUE"""),"")</f>
        <v/>
      </c>
      <c r="N935" s="89" t="str">
        <f>IFERROR(__xludf.DUMMYFUNCTION("""COMPUTED_VALUE"""),"")</f>
        <v/>
      </c>
      <c r="P935" s="52" t="str">
        <f t="shared" si="22"/>
        <v/>
      </c>
      <c r="R935" s="52" t="str">
        <f t="shared" si="32"/>
        <v/>
      </c>
      <c r="Z935" s="81"/>
      <c r="AA935" s="81"/>
      <c r="AB935" s="81"/>
      <c r="AC935" s="81" t="str">
        <f t="shared" si="5"/>
        <v/>
      </c>
      <c r="AD935" s="82" t="str">
        <f t="shared" si="6"/>
        <v/>
      </c>
    </row>
    <row r="936">
      <c r="A936" s="89"/>
      <c r="B936" s="89"/>
      <c r="C936" s="89"/>
      <c r="D936" s="89"/>
      <c r="E936" s="89"/>
      <c r="F936" s="81"/>
      <c r="G936" s="89"/>
      <c r="H936" s="89"/>
      <c r="I936" s="89"/>
      <c r="J936" s="89" t="str">
        <f t="shared" si="18"/>
        <v/>
      </c>
      <c r="K936" s="89" t="str">
        <f t="shared" si="23"/>
        <v/>
      </c>
      <c r="L936" s="89" t="str">
        <f>IFERROR(__xludf.DUMMYFUNCTION("""COMPUTED_VALUE"""),"")</f>
        <v/>
      </c>
      <c r="M936" s="89" t="str">
        <f>IFERROR(__xludf.DUMMYFUNCTION("""COMPUTED_VALUE"""),"")</f>
        <v/>
      </c>
      <c r="N936" s="89" t="str">
        <f>IFERROR(__xludf.DUMMYFUNCTION("""COMPUTED_VALUE"""),"")</f>
        <v/>
      </c>
      <c r="P936" s="52" t="str">
        <f t="shared" si="22"/>
        <v/>
      </c>
      <c r="R936" s="52" t="str">
        <f t="shared" si="32"/>
        <v/>
      </c>
      <c r="Z936" s="81"/>
      <c r="AA936" s="81"/>
      <c r="AB936" s="81"/>
      <c r="AC936" s="81" t="str">
        <f t="shared" si="5"/>
        <v/>
      </c>
      <c r="AD936" s="82" t="str">
        <f t="shared" si="6"/>
        <v/>
      </c>
    </row>
    <row r="937">
      <c r="A937" s="89"/>
      <c r="B937" s="89"/>
      <c r="C937" s="89"/>
      <c r="D937" s="89"/>
      <c r="E937" s="89"/>
      <c r="F937" s="81"/>
      <c r="G937" s="89"/>
      <c r="H937" s="89"/>
      <c r="I937" s="89"/>
      <c r="J937" s="89" t="str">
        <f t="shared" si="18"/>
        <v/>
      </c>
      <c r="K937" s="89" t="str">
        <f t="shared" si="23"/>
        <v/>
      </c>
      <c r="L937" s="89" t="str">
        <f>IFERROR(__xludf.DUMMYFUNCTION("""COMPUTED_VALUE"""),"")</f>
        <v/>
      </c>
      <c r="M937" s="89" t="str">
        <f>IFERROR(__xludf.DUMMYFUNCTION("""COMPUTED_VALUE"""),"")</f>
        <v/>
      </c>
      <c r="N937" s="89" t="str">
        <f>IFERROR(__xludf.DUMMYFUNCTION("""COMPUTED_VALUE"""),"")</f>
        <v/>
      </c>
      <c r="P937" s="52" t="str">
        <f t="shared" si="22"/>
        <v/>
      </c>
      <c r="R937" s="52" t="str">
        <f t="shared" si="32"/>
        <v/>
      </c>
      <c r="Z937" s="81"/>
      <c r="AA937" s="81"/>
      <c r="AB937" s="81"/>
      <c r="AC937" s="81" t="str">
        <f t="shared" si="5"/>
        <v/>
      </c>
      <c r="AD937" s="82" t="str">
        <f t="shared" si="6"/>
        <v/>
      </c>
    </row>
    <row r="938">
      <c r="A938" s="89"/>
      <c r="B938" s="89"/>
      <c r="C938" s="89"/>
      <c r="D938" s="89"/>
      <c r="E938" s="89"/>
      <c r="F938" s="81"/>
      <c r="G938" s="89"/>
      <c r="H938" s="89"/>
      <c r="I938" s="89"/>
      <c r="J938" s="89" t="str">
        <f t="shared" si="18"/>
        <v/>
      </c>
      <c r="K938" s="89" t="str">
        <f t="shared" si="23"/>
        <v/>
      </c>
      <c r="L938" s="89" t="str">
        <f>IFERROR(__xludf.DUMMYFUNCTION("""COMPUTED_VALUE"""),"")</f>
        <v/>
      </c>
      <c r="M938" s="89" t="str">
        <f>IFERROR(__xludf.DUMMYFUNCTION("""COMPUTED_VALUE"""),"")</f>
        <v/>
      </c>
      <c r="N938" s="89" t="str">
        <f>IFERROR(__xludf.DUMMYFUNCTION("""COMPUTED_VALUE"""),"")</f>
        <v/>
      </c>
      <c r="P938" s="52" t="str">
        <f t="shared" si="22"/>
        <v/>
      </c>
      <c r="R938" s="52" t="str">
        <f t="shared" si="32"/>
        <v/>
      </c>
      <c r="Z938" s="81"/>
      <c r="AA938" s="81"/>
      <c r="AB938" s="81"/>
      <c r="AC938" s="81" t="str">
        <f t="shared" si="5"/>
        <v/>
      </c>
      <c r="AD938" s="82" t="str">
        <f t="shared" si="6"/>
        <v/>
      </c>
    </row>
    <row r="939">
      <c r="A939" s="89"/>
      <c r="B939" s="89"/>
      <c r="C939" s="89"/>
      <c r="D939" s="89"/>
      <c r="E939" s="89"/>
      <c r="F939" s="81"/>
      <c r="G939" s="89"/>
      <c r="H939" s="89"/>
      <c r="I939" s="89"/>
      <c r="J939" s="89" t="str">
        <f t="shared" si="18"/>
        <v/>
      </c>
      <c r="K939" s="89" t="str">
        <f t="shared" si="23"/>
        <v/>
      </c>
      <c r="L939" s="89" t="str">
        <f>IFERROR(__xludf.DUMMYFUNCTION("""COMPUTED_VALUE"""),"")</f>
        <v/>
      </c>
      <c r="M939" s="89" t="str">
        <f>IFERROR(__xludf.DUMMYFUNCTION("""COMPUTED_VALUE"""),"")</f>
        <v/>
      </c>
      <c r="N939" s="89" t="str">
        <f>IFERROR(__xludf.DUMMYFUNCTION("""COMPUTED_VALUE"""),"")</f>
        <v/>
      </c>
      <c r="P939" s="52" t="str">
        <f t="shared" si="22"/>
        <v/>
      </c>
      <c r="R939" s="52" t="str">
        <f t="shared" si="32"/>
        <v/>
      </c>
      <c r="Z939" s="81"/>
      <c r="AA939" s="81"/>
      <c r="AB939" s="81"/>
      <c r="AC939" s="81" t="str">
        <f t="shared" si="5"/>
        <v/>
      </c>
      <c r="AD939" s="82" t="str">
        <f t="shared" si="6"/>
        <v/>
      </c>
    </row>
    <row r="940">
      <c r="A940" s="89"/>
      <c r="B940" s="89"/>
      <c r="C940" s="89"/>
      <c r="D940" s="89"/>
      <c r="E940" s="89"/>
      <c r="F940" s="81"/>
      <c r="G940" s="89"/>
      <c r="H940" s="89"/>
      <c r="I940" s="89"/>
      <c r="J940" s="89" t="str">
        <f t="shared" si="18"/>
        <v/>
      </c>
      <c r="K940" s="89" t="str">
        <f t="shared" si="23"/>
        <v/>
      </c>
      <c r="L940" s="89" t="str">
        <f>IFERROR(__xludf.DUMMYFUNCTION("""COMPUTED_VALUE"""),"")</f>
        <v/>
      </c>
      <c r="M940" s="89" t="str">
        <f>IFERROR(__xludf.DUMMYFUNCTION("""COMPUTED_VALUE"""),"")</f>
        <v/>
      </c>
      <c r="N940" s="89" t="str">
        <f>IFERROR(__xludf.DUMMYFUNCTION("""COMPUTED_VALUE"""),"")</f>
        <v/>
      </c>
      <c r="P940" s="52" t="str">
        <f t="shared" si="22"/>
        <v/>
      </c>
      <c r="R940" s="52" t="str">
        <f t="shared" si="32"/>
        <v/>
      </c>
      <c r="Z940" s="81"/>
      <c r="AA940" s="81"/>
      <c r="AB940" s="81"/>
      <c r="AC940" s="81" t="str">
        <f t="shared" si="5"/>
        <v/>
      </c>
      <c r="AD940" s="82" t="str">
        <f t="shared" si="6"/>
        <v/>
      </c>
    </row>
    <row r="941">
      <c r="A941" s="89"/>
      <c r="B941" s="89"/>
      <c r="C941" s="89"/>
      <c r="D941" s="89"/>
      <c r="E941" s="89"/>
      <c r="F941" s="81"/>
      <c r="G941" s="89"/>
      <c r="H941" s="89"/>
      <c r="I941" s="89"/>
      <c r="J941" s="89" t="str">
        <f t="shared" si="18"/>
        <v/>
      </c>
      <c r="K941" s="89" t="str">
        <f t="shared" si="23"/>
        <v/>
      </c>
      <c r="L941" s="89" t="str">
        <f>IFERROR(__xludf.DUMMYFUNCTION("""COMPUTED_VALUE"""),"")</f>
        <v/>
      </c>
      <c r="M941" s="89" t="str">
        <f>IFERROR(__xludf.DUMMYFUNCTION("""COMPUTED_VALUE"""),"")</f>
        <v/>
      </c>
      <c r="N941" s="89" t="str">
        <f>IFERROR(__xludf.DUMMYFUNCTION("""COMPUTED_VALUE"""),"")</f>
        <v/>
      </c>
      <c r="P941" s="52" t="str">
        <f t="shared" si="22"/>
        <v/>
      </c>
      <c r="R941" s="52" t="str">
        <f t="shared" si="32"/>
        <v/>
      </c>
      <c r="Z941" s="81"/>
      <c r="AA941" s="81"/>
      <c r="AB941" s="81"/>
      <c r="AC941" s="81" t="str">
        <f t="shared" si="5"/>
        <v/>
      </c>
      <c r="AD941" s="82" t="str">
        <f t="shared" si="6"/>
        <v/>
      </c>
    </row>
    <row r="942">
      <c r="A942" s="89"/>
      <c r="B942" s="89"/>
      <c r="C942" s="89"/>
      <c r="D942" s="89"/>
      <c r="E942" s="89"/>
      <c r="F942" s="81"/>
      <c r="G942" s="89"/>
      <c r="H942" s="89"/>
      <c r="I942" s="89"/>
      <c r="J942" s="89" t="str">
        <f t="shared" si="18"/>
        <v/>
      </c>
      <c r="K942" s="89" t="str">
        <f t="shared" si="23"/>
        <v/>
      </c>
      <c r="L942" s="89" t="str">
        <f>IFERROR(__xludf.DUMMYFUNCTION("""COMPUTED_VALUE"""),"")</f>
        <v/>
      </c>
      <c r="M942" s="89" t="str">
        <f>IFERROR(__xludf.DUMMYFUNCTION("""COMPUTED_VALUE"""),"")</f>
        <v/>
      </c>
      <c r="N942" s="89" t="str">
        <f>IFERROR(__xludf.DUMMYFUNCTION("""COMPUTED_VALUE"""),"")</f>
        <v/>
      </c>
      <c r="P942" s="52" t="str">
        <f t="shared" si="22"/>
        <v/>
      </c>
      <c r="R942" s="52" t="str">
        <f t="shared" si="32"/>
        <v/>
      </c>
      <c r="Z942" s="81"/>
      <c r="AA942" s="81"/>
      <c r="AB942" s="81"/>
      <c r="AC942" s="81" t="str">
        <f t="shared" si="5"/>
        <v/>
      </c>
      <c r="AD942" s="82" t="str">
        <f t="shared" si="6"/>
        <v/>
      </c>
    </row>
    <row r="943">
      <c r="A943" s="89"/>
      <c r="B943" s="89"/>
      <c r="C943" s="89"/>
      <c r="D943" s="89"/>
      <c r="E943" s="89"/>
      <c r="F943" s="81"/>
      <c r="G943" s="89"/>
      <c r="H943" s="89"/>
      <c r="I943" s="89"/>
      <c r="J943" s="89" t="str">
        <f t="shared" si="18"/>
        <v/>
      </c>
      <c r="K943" s="89" t="str">
        <f t="shared" si="23"/>
        <v/>
      </c>
      <c r="L943" s="89" t="str">
        <f>IFERROR(__xludf.DUMMYFUNCTION("""COMPUTED_VALUE"""),"")</f>
        <v/>
      </c>
      <c r="M943" s="89" t="str">
        <f>IFERROR(__xludf.DUMMYFUNCTION("""COMPUTED_VALUE"""),"")</f>
        <v/>
      </c>
      <c r="N943" s="89" t="str">
        <f>IFERROR(__xludf.DUMMYFUNCTION("""COMPUTED_VALUE"""),"")</f>
        <v/>
      </c>
      <c r="P943" s="52" t="str">
        <f t="shared" si="22"/>
        <v/>
      </c>
      <c r="R943" s="52" t="str">
        <f t="shared" si="32"/>
        <v/>
      </c>
      <c r="Z943" s="81"/>
      <c r="AA943" s="81"/>
      <c r="AB943" s="81"/>
      <c r="AC943" s="81" t="str">
        <f t="shared" si="5"/>
        <v/>
      </c>
      <c r="AD943" s="82" t="str">
        <f t="shared" si="6"/>
        <v/>
      </c>
    </row>
    <row r="944">
      <c r="A944" s="89"/>
      <c r="B944" s="89"/>
      <c r="C944" s="89"/>
      <c r="D944" s="89"/>
      <c r="E944" s="89"/>
      <c r="F944" s="81"/>
      <c r="G944" s="89"/>
      <c r="H944" s="89"/>
      <c r="I944" s="89"/>
      <c r="J944" s="89" t="str">
        <f t="shared" si="18"/>
        <v/>
      </c>
      <c r="K944" s="89" t="str">
        <f t="shared" si="23"/>
        <v/>
      </c>
      <c r="L944" s="89" t="str">
        <f>IFERROR(__xludf.DUMMYFUNCTION("""COMPUTED_VALUE"""),"")</f>
        <v/>
      </c>
      <c r="M944" s="89" t="str">
        <f>IFERROR(__xludf.DUMMYFUNCTION("""COMPUTED_VALUE"""),"")</f>
        <v/>
      </c>
      <c r="N944" s="89" t="str">
        <f>IFERROR(__xludf.DUMMYFUNCTION("""COMPUTED_VALUE"""),"")</f>
        <v/>
      </c>
      <c r="P944" s="52" t="str">
        <f t="shared" si="22"/>
        <v/>
      </c>
      <c r="R944" s="52" t="str">
        <f t="shared" si="32"/>
        <v/>
      </c>
      <c r="Z944" s="81"/>
      <c r="AA944" s="81"/>
      <c r="AB944" s="81"/>
      <c r="AC944" s="81" t="str">
        <f t="shared" si="5"/>
        <v/>
      </c>
      <c r="AD944" s="82" t="str">
        <f t="shared" si="6"/>
        <v/>
      </c>
    </row>
    <row r="945">
      <c r="A945" s="89"/>
      <c r="B945" s="89"/>
      <c r="C945" s="89"/>
      <c r="D945" s="89"/>
      <c r="E945" s="89"/>
      <c r="F945" s="81"/>
      <c r="G945" s="89"/>
      <c r="H945" s="89"/>
      <c r="I945" s="89"/>
      <c r="J945" s="89" t="str">
        <f t="shared" si="18"/>
        <v/>
      </c>
      <c r="K945" s="89" t="str">
        <f t="shared" si="23"/>
        <v/>
      </c>
      <c r="L945" s="89" t="str">
        <f>IFERROR(__xludf.DUMMYFUNCTION("""COMPUTED_VALUE"""),"")</f>
        <v/>
      </c>
      <c r="M945" s="89" t="str">
        <f>IFERROR(__xludf.DUMMYFUNCTION("""COMPUTED_VALUE"""),"")</f>
        <v/>
      </c>
      <c r="N945" s="89" t="str">
        <f>IFERROR(__xludf.DUMMYFUNCTION("""COMPUTED_VALUE"""),"")</f>
        <v/>
      </c>
      <c r="P945" s="52" t="str">
        <f t="shared" si="22"/>
        <v/>
      </c>
      <c r="R945" s="52" t="str">
        <f t="shared" si="32"/>
        <v/>
      </c>
      <c r="Z945" s="81"/>
      <c r="AA945" s="81"/>
      <c r="AB945" s="81"/>
      <c r="AC945" s="81" t="str">
        <f t="shared" si="5"/>
        <v/>
      </c>
      <c r="AD945" s="82" t="str">
        <f t="shared" si="6"/>
        <v/>
      </c>
    </row>
    <row r="946">
      <c r="A946" s="89"/>
      <c r="B946" s="89"/>
      <c r="C946" s="89"/>
      <c r="D946" s="89"/>
      <c r="E946" s="89"/>
      <c r="F946" s="81"/>
      <c r="G946" s="89"/>
      <c r="H946" s="89"/>
      <c r="I946" s="89"/>
      <c r="J946" s="89" t="str">
        <f t="shared" si="18"/>
        <v/>
      </c>
      <c r="K946" s="89" t="str">
        <f t="shared" si="23"/>
        <v/>
      </c>
      <c r="L946" s="89" t="str">
        <f>IFERROR(__xludf.DUMMYFUNCTION("""COMPUTED_VALUE"""),"")</f>
        <v/>
      </c>
      <c r="M946" s="89" t="str">
        <f>IFERROR(__xludf.DUMMYFUNCTION("""COMPUTED_VALUE"""),"")</f>
        <v/>
      </c>
      <c r="N946" s="89" t="str">
        <f>IFERROR(__xludf.DUMMYFUNCTION("""COMPUTED_VALUE"""),"")</f>
        <v/>
      </c>
      <c r="P946" s="52" t="str">
        <f t="shared" si="22"/>
        <v/>
      </c>
      <c r="R946" s="52" t="str">
        <f t="shared" si="32"/>
        <v/>
      </c>
      <c r="Z946" s="81"/>
      <c r="AA946" s="81"/>
      <c r="AB946" s="81"/>
      <c r="AC946" s="81" t="str">
        <f t="shared" si="5"/>
        <v/>
      </c>
      <c r="AD946" s="82" t="str">
        <f t="shared" si="6"/>
        <v/>
      </c>
    </row>
    <row r="947">
      <c r="A947" s="89"/>
      <c r="B947" s="89"/>
      <c r="C947" s="89"/>
      <c r="D947" s="89"/>
      <c r="E947" s="89"/>
      <c r="F947" s="81"/>
      <c r="G947" s="89"/>
      <c r="H947" s="89"/>
      <c r="I947" s="89"/>
      <c r="J947" s="89" t="str">
        <f t="shared" si="18"/>
        <v/>
      </c>
      <c r="K947" s="89" t="str">
        <f t="shared" si="23"/>
        <v/>
      </c>
      <c r="L947" s="89" t="str">
        <f>IFERROR(__xludf.DUMMYFUNCTION("""COMPUTED_VALUE"""),"")</f>
        <v/>
      </c>
      <c r="M947" s="89" t="str">
        <f>IFERROR(__xludf.DUMMYFUNCTION("""COMPUTED_VALUE"""),"")</f>
        <v/>
      </c>
      <c r="N947" s="89" t="str">
        <f>IFERROR(__xludf.DUMMYFUNCTION("""COMPUTED_VALUE"""),"")</f>
        <v/>
      </c>
      <c r="P947" s="52" t="str">
        <f t="shared" si="22"/>
        <v/>
      </c>
      <c r="R947" s="52" t="str">
        <f t="shared" si="32"/>
        <v/>
      </c>
      <c r="Z947" s="81"/>
      <c r="AA947" s="81"/>
      <c r="AB947" s="81"/>
      <c r="AC947" s="81" t="str">
        <f t="shared" si="5"/>
        <v/>
      </c>
      <c r="AD947" s="82" t="str">
        <f t="shared" si="6"/>
        <v/>
      </c>
    </row>
    <row r="948">
      <c r="A948" s="89"/>
      <c r="B948" s="89"/>
      <c r="C948" s="89"/>
      <c r="D948" s="89"/>
      <c r="E948" s="89"/>
      <c r="F948" s="81"/>
      <c r="G948" s="89"/>
      <c r="H948" s="89"/>
      <c r="I948" s="89"/>
      <c r="J948" s="89" t="str">
        <f t="shared" si="18"/>
        <v/>
      </c>
      <c r="K948" s="89" t="str">
        <f t="shared" si="23"/>
        <v/>
      </c>
      <c r="L948" s="89" t="str">
        <f>IFERROR(__xludf.DUMMYFUNCTION("""COMPUTED_VALUE"""),"")</f>
        <v/>
      </c>
      <c r="M948" s="89" t="str">
        <f>IFERROR(__xludf.DUMMYFUNCTION("""COMPUTED_VALUE"""),"")</f>
        <v/>
      </c>
      <c r="N948" s="89" t="str">
        <f>IFERROR(__xludf.DUMMYFUNCTION("""COMPUTED_VALUE"""),"")</f>
        <v/>
      </c>
      <c r="P948" s="52" t="str">
        <f t="shared" si="22"/>
        <v/>
      </c>
      <c r="R948" s="52" t="str">
        <f t="shared" si="32"/>
        <v/>
      </c>
      <c r="Z948" s="81"/>
      <c r="AA948" s="81"/>
      <c r="AB948" s="81"/>
      <c r="AC948" s="81" t="str">
        <f t="shared" si="5"/>
        <v/>
      </c>
      <c r="AD948" s="82" t="str">
        <f t="shared" si="6"/>
        <v/>
      </c>
    </row>
    <row r="949">
      <c r="A949" s="89"/>
      <c r="B949" s="89"/>
      <c r="C949" s="89"/>
      <c r="D949" s="89"/>
      <c r="E949" s="89"/>
      <c r="F949" s="81"/>
      <c r="G949" s="89"/>
      <c r="H949" s="89"/>
      <c r="I949" s="89"/>
      <c r="J949" s="89" t="str">
        <f t="shared" si="18"/>
        <v/>
      </c>
      <c r="K949" s="89" t="str">
        <f t="shared" si="23"/>
        <v/>
      </c>
      <c r="L949" s="89" t="str">
        <f>IFERROR(__xludf.DUMMYFUNCTION("""COMPUTED_VALUE"""),"")</f>
        <v/>
      </c>
      <c r="M949" s="89" t="str">
        <f>IFERROR(__xludf.DUMMYFUNCTION("""COMPUTED_VALUE"""),"")</f>
        <v/>
      </c>
      <c r="N949" s="89" t="str">
        <f>IFERROR(__xludf.DUMMYFUNCTION("""COMPUTED_VALUE"""),"")</f>
        <v/>
      </c>
      <c r="P949" s="52" t="str">
        <f t="shared" si="22"/>
        <v/>
      </c>
      <c r="R949" s="52" t="str">
        <f t="shared" si="32"/>
        <v/>
      </c>
      <c r="Z949" s="81"/>
      <c r="AA949" s="81"/>
      <c r="AB949" s="81"/>
      <c r="AC949" s="81" t="str">
        <f t="shared" si="5"/>
        <v/>
      </c>
      <c r="AD949" s="82" t="str">
        <f t="shared" si="6"/>
        <v/>
      </c>
    </row>
    <row r="950">
      <c r="A950" s="89"/>
      <c r="B950" s="89"/>
      <c r="C950" s="89"/>
      <c r="D950" s="89"/>
      <c r="E950" s="89"/>
      <c r="F950" s="81"/>
      <c r="G950" s="89"/>
      <c r="H950" s="89"/>
      <c r="I950" s="89"/>
      <c r="J950" s="89" t="str">
        <f t="shared" si="18"/>
        <v/>
      </c>
      <c r="K950" s="89" t="str">
        <f t="shared" si="23"/>
        <v/>
      </c>
      <c r="L950" s="89" t="str">
        <f>IFERROR(__xludf.DUMMYFUNCTION("""COMPUTED_VALUE"""),"")</f>
        <v/>
      </c>
      <c r="M950" s="89" t="str">
        <f>IFERROR(__xludf.DUMMYFUNCTION("""COMPUTED_VALUE"""),"")</f>
        <v/>
      </c>
      <c r="N950" s="89" t="str">
        <f>IFERROR(__xludf.DUMMYFUNCTION("""COMPUTED_VALUE"""),"")</f>
        <v/>
      </c>
      <c r="P950" s="52" t="str">
        <f t="shared" si="22"/>
        <v/>
      </c>
      <c r="R950" s="52" t="str">
        <f t="shared" si="32"/>
        <v/>
      </c>
      <c r="Z950" s="81"/>
      <c r="AA950" s="81"/>
      <c r="AB950" s="81"/>
      <c r="AC950" s="81" t="str">
        <f t="shared" si="5"/>
        <v/>
      </c>
      <c r="AD950" s="82" t="str">
        <f t="shared" si="6"/>
        <v/>
      </c>
    </row>
    <row r="951">
      <c r="A951" s="89"/>
      <c r="B951" s="89"/>
      <c r="C951" s="89"/>
      <c r="D951" s="89"/>
      <c r="E951" s="89"/>
      <c r="F951" s="81"/>
      <c r="G951" s="89"/>
      <c r="H951" s="89"/>
      <c r="I951" s="89"/>
      <c r="J951" s="89" t="str">
        <f t="shared" si="18"/>
        <v/>
      </c>
      <c r="K951" s="89" t="str">
        <f t="shared" si="23"/>
        <v/>
      </c>
      <c r="L951" s="89" t="str">
        <f>IFERROR(__xludf.DUMMYFUNCTION("""COMPUTED_VALUE"""),"")</f>
        <v/>
      </c>
      <c r="M951" s="89" t="str">
        <f>IFERROR(__xludf.DUMMYFUNCTION("""COMPUTED_VALUE"""),"")</f>
        <v/>
      </c>
      <c r="N951" s="89" t="str">
        <f>IFERROR(__xludf.DUMMYFUNCTION("""COMPUTED_VALUE"""),"")</f>
        <v/>
      </c>
      <c r="P951" s="52" t="str">
        <f t="shared" si="22"/>
        <v/>
      </c>
      <c r="R951" s="52" t="str">
        <f t="shared" si="32"/>
        <v/>
      </c>
      <c r="Z951" s="81"/>
      <c r="AA951" s="81"/>
      <c r="AB951" s="81"/>
      <c r="AC951" s="81" t="str">
        <f t="shared" si="5"/>
        <v/>
      </c>
      <c r="AD951" s="82" t="str">
        <f t="shared" si="6"/>
        <v/>
      </c>
    </row>
    <row r="952">
      <c r="A952" s="89"/>
      <c r="B952" s="89"/>
      <c r="C952" s="89"/>
      <c r="D952" s="89"/>
      <c r="E952" s="89"/>
      <c r="F952" s="81"/>
      <c r="G952" s="89"/>
      <c r="H952" s="89"/>
      <c r="I952" s="89"/>
      <c r="J952" s="89" t="str">
        <f t="shared" si="18"/>
        <v/>
      </c>
      <c r="K952" s="89" t="str">
        <f t="shared" si="23"/>
        <v/>
      </c>
      <c r="L952" s="89" t="str">
        <f>IFERROR(__xludf.DUMMYFUNCTION("""COMPUTED_VALUE"""),"")</f>
        <v/>
      </c>
      <c r="M952" s="89" t="str">
        <f>IFERROR(__xludf.DUMMYFUNCTION("""COMPUTED_VALUE"""),"")</f>
        <v/>
      </c>
      <c r="N952" s="89" t="str">
        <f>IFERROR(__xludf.DUMMYFUNCTION("""COMPUTED_VALUE"""),"")</f>
        <v/>
      </c>
      <c r="P952" s="52" t="str">
        <f t="shared" si="22"/>
        <v/>
      </c>
      <c r="R952" s="52" t="str">
        <f t="shared" si="32"/>
        <v/>
      </c>
      <c r="Z952" s="81"/>
      <c r="AA952" s="81"/>
      <c r="AB952" s="81"/>
      <c r="AC952" s="81" t="str">
        <f t="shared" si="5"/>
        <v/>
      </c>
      <c r="AD952" s="82" t="str">
        <f t="shared" si="6"/>
        <v/>
      </c>
    </row>
    <row r="953">
      <c r="A953" s="89"/>
      <c r="B953" s="89"/>
      <c r="C953" s="89"/>
      <c r="D953" s="89"/>
      <c r="E953" s="89"/>
      <c r="F953" s="81"/>
      <c r="G953" s="89"/>
      <c r="H953" s="89"/>
      <c r="I953" s="89"/>
      <c r="J953" s="89" t="str">
        <f t="shared" si="18"/>
        <v/>
      </c>
      <c r="K953" s="89" t="str">
        <f t="shared" si="23"/>
        <v/>
      </c>
      <c r="L953" s="89" t="str">
        <f>IFERROR(__xludf.DUMMYFUNCTION("""COMPUTED_VALUE"""),"")</f>
        <v/>
      </c>
      <c r="M953" s="89" t="str">
        <f>IFERROR(__xludf.DUMMYFUNCTION("""COMPUTED_VALUE"""),"")</f>
        <v/>
      </c>
      <c r="N953" s="89" t="str">
        <f>IFERROR(__xludf.DUMMYFUNCTION("""COMPUTED_VALUE"""),"")</f>
        <v/>
      </c>
      <c r="P953" s="52" t="str">
        <f t="shared" si="22"/>
        <v/>
      </c>
      <c r="R953" s="52" t="str">
        <f t="shared" si="32"/>
        <v/>
      </c>
      <c r="Z953" s="81"/>
      <c r="AA953" s="81"/>
      <c r="AB953" s="81"/>
      <c r="AC953" s="81" t="str">
        <f t="shared" si="5"/>
        <v/>
      </c>
      <c r="AD953" s="82" t="str">
        <f t="shared" si="6"/>
        <v/>
      </c>
    </row>
    <row r="954">
      <c r="A954" s="89"/>
      <c r="B954" s="89"/>
      <c r="C954" s="89"/>
      <c r="D954" s="89"/>
      <c r="E954" s="89"/>
      <c r="F954" s="81"/>
      <c r="G954" s="89"/>
      <c r="H954" s="89"/>
      <c r="I954" s="89"/>
      <c r="J954" s="89" t="str">
        <f t="shared" si="18"/>
        <v/>
      </c>
      <c r="K954" s="89" t="str">
        <f t="shared" si="23"/>
        <v/>
      </c>
      <c r="L954" s="89" t="str">
        <f>IFERROR(__xludf.DUMMYFUNCTION("""COMPUTED_VALUE"""),"")</f>
        <v/>
      </c>
      <c r="M954" s="89" t="str">
        <f>IFERROR(__xludf.DUMMYFUNCTION("""COMPUTED_VALUE"""),"")</f>
        <v/>
      </c>
      <c r="N954" s="89" t="str">
        <f>IFERROR(__xludf.DUMMYFUNCTION("""COMPUTED_VALUE"""),"")</f>
        <v/>
      </c>
      <c r="P954" s="52" t="str">
        <f t="shared" si="22"/>
        <v/>
      </c>
      <c r="R954" s="52" t="str">
        <f t="shared" si="32"/>
        <v/>
      </c>
      <c r="Z954" s="81"/>
      <c r="AA954" s="81"/>
      <c r="AB954" s="81"/>
      <c r="AC954" s="81" t="str">
        <f t="shared" si="5"/>
        <v/>
      </c>
      <c r="AD954" s="82" t="str">
        <f t="shared" si="6"/>
        <v/>
      </c>
    </row>
    <row r="955">
      <c r="A955" s="89"/>
      <c r="B955" s="89"/>
      <c r="C955" s="89"/>
      <c r="D955" s="89"/>
      <c r="E955" s="89"/>
      <c r="F955" s="81"/>
      <c r="G955" s="89"/>
      <c r="H955" s="89"/>
      <c r="I955" s="89"/>
      <c r="J955" s="89" t="str">
        <f t="shared" si="18"/>
        <v/>
      </c>
      <c r="K955" s="89" t="str">
        <f t="shared" si="23"/>
        <v/>
      </c>
      <c r="L955" s="89" t="str">
        <f>IFERROR(__xludf.DUMMYFUNCTION("""COMPUTED_VALUE"""),"")</f>
        <v/>
      </c>
      <c r="M955" s="89" t="str">
        <f>IFERROR(__xludf.DUMMYFUNCTION("""COMPUTED_VALUE"""),"")</f>
        <v/>
      </c>
      <c r="N955" s="89" t="str">
        <f>IFERROR(__xludf.DUMMYFUNCTION("""COMPUTED_VALUE"""),"")</f>
        <v/>
      </c>
      <c r="P955" s="52" t="str">
        <f t="shared" si="22"/>
        <v/>
      </c>
      <c r="R955" s="52" t="str">
        <f t="shared" si="32"/>
        <v/>
      </c>
      <c r="Z955" s="81"/>
      <c r="AA955" s="81"/>
      <c r="AB955" s="81"/>
      <c r="AC955" s="81" t="str">
        <f t="shared" si="5"/>
        <v/>
      </c>
      <c r="AD955" s="82" t="str">
        <f t="shared" si="6"/>
        <v/>
      </c>
    </row>
    <row r="956">
      <c r="A956" s="89"/>
      <c r="B956" s="89"/>
      <c r="C956" s="89"/>
      <c r="D956" s="89"/>
      <c r="E956" s="89"/>
      <c r="F956" s="81"/>
      <c r="G956" s="89"/>
      <c r="H956" s="89"/>
      <c r="I956" s="89"/>
      <c r="J956" s="89" t="str">
        <f t="shared" si="18"/>
        <v/>
      </c>
      <c r="K956" s="89" t="str">
        <f t="shared" si="23"/>
        <v/>
      </c>
      <c r="L956" s="89" t="str">
        <f>IFERROR(__xludf.DUMMYFUNCTION("""COMPUTED_VALUE"""),"")</f>
        <v/>
      </c>
      <c r="M956" s="89" t="str">
        <f>IFERROR(__xludf.DUMMYFUNCTION("""COMPUTED_VALUE"""),"")</f>
        <v/>
      </c>
      <c r="N956" s="89" t="str">
        <f>IFERROR(__xludf.DUMMYFUNCTION("""COMPUTED_VALUE"""),"")</f>
        <v/>
      </c>
      <c r="P956" s="52" t="str">
        <f t="shared" si="22"/>
        <v/>
      </c>
      <c r="R956" s="52" t="str">
        <f t="shared" si="32"/>
        <v/>
      </c>
      <c r="Z956" s="81"/>
      <c r="AA956" s="81"/>
      <c r="AB956" s="81"/>
      <c r="AC956" s="81" t="str">
        <f t="shared" si="5"/>
        <v/>
      </c>
      <c r="AD956" s="82" t="str">
        <f t="shared" si="6"/>
        <v/>
      </c>
    </row>
    <row r="957">
      <c r="A957" s="89"/>
      <c r="B957" s="89"/>
      <c r="C957" s="89"/>
      <c r="D957" s="89"/>
      <c r="E957" s="89"/>
      <c r="F957" s="81"/>
      <c r="G957" s="89"/>
      <c r="H957" s="89"/>
      <c r="I957" s="89"/>
      <c r="J957" s="89" t="str">
        <f t="shared" si="18"/>
        <v/>
      </c>
      <c r="K957" s="89" t="str">
        <f t="shared" si="23"/>
        <v/>
      </c>
      <c r="L957" s="89" t="str">
        <f>IFERROR(__xludf.DUMMYFUNCTION("""COMPUTED_VALUE"""),"")</f>
        <v/>
      </c>
      <c r="M957" s="89" t="str">
        <f>IFERROR(__xludf.DUMMYFUNCTION("""COMPUTED_VALUE"""),"")</f>
        <v/>
      </c>
      <c r="N957" s="89" t="str">
        <f>IFERROR(__xludf.DUMMYFUNCTION("""COMPUTED_VALUE"""),"")</f>
        <v/>
      </c>
      <c r="P957" s="52" t="str">
        <f t="shared" si="22"/>
        <v/>
      </c>
      <c r="R957" s="52" t="str">
        <f t="shared" si="32"/>
        <v/>
      </c>
      <c r="Z957" s="81"/>
      <c r="AA957" s="81"/>
      <c r="AB957" s="81"/>
      <c r="AC957" s="81" t="str">
        <f t="shared" si="5"/>
        <v/>
      </c>
      <c r="AD957" s="82" t="str">
        <f t="shared" si="6"/>
        <v/>
      </c>
    </row>
    <row r="958">
      <c r="A958" s="89"/>
      <c r="B958" s="89"/>
      <c r="C958" s="89"/>
      <c r="D958" s="89"/>
      <c r="E958" s="89"/>
      <c r="F958" s="81"/>
      <c r="G958" s="89"/>
      <c r="H958" s="89"/>
      <c r="I958" s="89"/>
      <c r="J958" s="89" t="str">
        <f t="shared" si="18"/>
        <v/>
      </c>
      <c r="K958" s="89" t="str">
        <f t="shared" si="23"/>
        <v/>
      </c>
      <c r="L958" s="89" t="str">
        <f>IFERROR(__xludf.DUMMYFUNCTION("""COMPUTED_VALUE"""),"")</f>
        <v/>
      </c>
      <c r="M958" s="89" t="str">
        <f>IFERROR(__xludf.DUMMYFUNCTION("""COMPUTED_VALUE"""),"")</f>
        <v/>
      </c>
      <c r="N958" s="89" t="str">
        <f>IFERROR(__xludf.DUMMYFUNCTION("""COMPUTED_VALUE"""),"")</f>
        <v/>
      </c>
      <c r="P958" s="52" t="str">
        <f t="shared" si="22"/>
        <v/>
      </c>
      <c r="R958" s="52" t="str">
        <f t="shared" si="32"/>
        <v/>
      </c>
      <c r="Z958" s="81"/>
      <c r="AA958" s="81"/>
      <c r="AB958" s="81"/>
      <c r="AC958" s="81" t="str">
        <f t="shared" si="5"/>
        <v/>
      </c>
      <c r="AD958" s="82" t="str">
        <f t="shared" si="6"/>
        <v/>
      </c>
    </row>
    <row r="959">
      <c r="A959" s="89"/>
      <c r="B959" s="89"/>
      <c r="C959" s="89"/>
      <c r="D959" s="89"/>
      <c r="E959" s="89"/>
      <c r="F959" s="81"/>
      <c r="G959" s="89"/>
      <c r="H959" s="89"/>
      <c r="I959" s="89"/>
      <c r="J959" s="89" t="str">
        <f t="shared" si="18"/>
        <v/>
      </c>
      <c r="K959" s="89" t="str">
        <f t="shared" si="23"/>
        <v/>
      </c>
      <c r="L959" s="89" t="str">
        <f>IFERROR(__xludf.DUMMYFUNCTION("""COMPUTED_VALUE"""),"")</f>
        <v/>
      </c>
      <c r="M959" s="89" t="str">
        <f>IFERROR(__xludf.DUMMYFUNCTION("""COMPUTED_VALUE"""),"")</f>
        <v/>
      </c>
      <c r="N959" s="89" t="str">
        <f>IFERROR(__xludf.DUMMYFUNCTION("""COMPUTED_VALUE"""),"")</f>
        <v/>
      </c>
      <c r="P959" s="52" t="str">
        <f t="shared" si="22"/>
        <v/>
      </c>
      <c r="R959" s="52" t="str">
        <f t="shared" si="32"/>
        <v/>
      </c>
      <c r="Z959" s="81"/>
      <c r="AA959" s="81"/>
      <c r="AB959" s="81"/>
      <c r="AC959" s="81" t="str">
        <f t="shared" si="5"/>
        <v/>
      </c>
      <c r="AD959" s="82" t="str">
        <f t="shared" si="6"/>
        <v/>
      </c>
    </row>
    <row r="960">
      <c r="A960" s="89"/>
      <c r="B960" s="89"/>
      <c r="C960" s="89"/>
      <c r="D960" s="89"/>
      <c r="E960" s="89"/>
      <c r="F960" s="81"/>
      <c r="G960" s="89"/>
      <c r="H960" s="89"/>
      <c r="I960" s="89"/>
      <c r="J960" s="89" t="str">
        <f t="shared" si="18"/>
        <v/>
      </c>
      <c r="K960" s="89" t="str">
        <f t="shared" si="23"/>
        <v/>
      </c>
      <c r="L960" s="89" t="str">
        <f>IFERROR(__xludf.DUMMYFUNCTION("""COMPUTED_VALUE"""),"")</f>
        <v/>
      </c>
      <c r="M960" s="89" t="str">
        <f>IFERROR(__xludf.DUMMYFUNCTION("""COMPUTED_VALUE"""),"")</f>
        <v/>
      </c>
      <c r="N960" s="89" t="str">
        <f>IFERROR(__xludf.DUMMYFUNCTION("""COMPUTED_VALUE"""),"")</f>
        <v/>
      </c>
      <c r="P960" s="52" t="str">
        <f t="shared" si="22"/>
        <v/>
      </c>
      <c r="R960" s="52" t="str">
        <f t="shared" si="32"/>
        <v/>
      </c>
      <c r="Z960" s="81"/>
      <c r="AA960" s="81"/>
      <c r="AB960" s="81"/>
      <c r="AC960" s="81" t="str">
        <f t="shared" si="5"/>
        <v/>
      </c>
      <c r="AD960" s="82" t="str">
        <f t="shared" si="6"/>
        <v/>
      </c>
    </row>
    <row r="961">
      <c r="A961" s="89"/>
      <c r="B961" s="89"/>
      <c r="C961" s="89"/>
      <c r="D961" s="89"/>
      <c r="E961" s="89"/>
      <c r="F961" s="81"/>
      <c r="G961" s="89"/>
      <c r="H961" s="89"/>
      <c r="I961" s="89"/>
      <c r="J961" s="89" t="str">
        <f t="shared" si="18"/>
        <v/>
      </c>
      <c r="K961" s="89" t="str">
        <f t="shared" si="23"/>
        <v/>
      </c>
      <c r="L961" s="89" t="str">
        <f>IFERROR(__xludf.DUMMYFUNCTION("""COMPUTED_VALUE"""),"")</f>
        <v/>
      </c>
      <c r="M961" s="89" t="str">
        <f>IFERROR(__xludf.DUMMYFUNCTION("""COMPUTED_VALUE"""),"")</f>
        <v/>
      </c>
      <c r="N961" s="89" t="str">
        <f>IFERROR(__xludf.DUMMYFUNCTION("""COMPUTED_VALUE"""),"")</f>
        <v/>
      </c>
      <c r="P961" s="52" t="str">
        <f t="shared" si="22"/>
        <v/>
      </c>
      <c r="R961" s="52" t="str">
        <f t="shared" si="32"/>
        <v/>
      </c>
      <c r="Z961" s="81"/>
      <c r="AA961" s="81"/>
      <c r="AB961" s="81"/>
      <c r="AC961" s="81" t="str">
        <f t="shared" si="5"/>
        <v/>
      </c>
      <c r="AD961" s="82" t="str">
        <f t="shared" si="6"/>
        <v/>
      </c>
    </row>
    <row r="962">
      <c r="A962" s="89"/>
      <c r="B962" s="89"/>
      <c r="C962" s="89"/>
      <c r="D962" s="89"/>
      <c r="E962" s="89"/>
      <c r="F962" s="81"/>
      <c r="G962" s="89"/>
      <c r="H962" s="89"/>
      <c r="I962" s="89"/>
      <c r="J962" s="89" t="str">
        <f t="shared" si="18"/>
        <v/>
      </c>
      <c r="K962" s="89" t="str">
        <f t="shared" si="23"/>
        <v/>
      </c>
      <c r="L962" s="89" t="str">
        <f>IFERROR(__xludf.DUMMYFUNCTION("""COMPUTED_VALUE"""),"")</f>
        <v/>
      </c>
      <c r="M962" s="89" t="str">
        <f>IFERROR(__xludf.DUMMYFUNCTION("""COMPUTED_VALUE"""),"")</f>
        <v/>
      </c>
      <c r="N962" s="89" t="str">
        <f>IFERROR(__xludf.DUMMYFUNCTION("""COMPUTED_VALUE"""),"")</f>
        <v/>
      </c>
      <c r="P962" s="52" t="str">
        <f t="shared" si="22"/>
        <v/>
      </c>
      <c r="R962" s="52" t="str">
        <f t="shared" si="32"/>
        <v/>
      </c>
      <c r="Z962" s="81"/>
      <c r="AA962" s="81"/>
      <c r="AB962" s="81"/>
      <c r="AC962" s="81" t="str">
        <f t="shared" si="5"/>
        <v/>
      </c>
      <c r="AD962" s="82" t="str">
        <f t="shared" si="6"/>
        <v/>
      </c>
    </row>
    <row r="963">
      <c r="A963" s="89"/>
      <c r="B963" s="89"/>
      <c r="C963" s="89"/>
      <c r="D963" s="89"/>
      <c r="E963" s="89"/>
      <c r="F963" s="81"/>
      <c r="G963" s="89"/>
      <c r="H963" s="89"/>
      <c r="I963" s="89"/>
      <c r="J963" s="89" t="str">
        <f t="shared" si="18"/>
        <v/>
      </c>
      <c r="K963" s="89" t="str">
        <f t="shared" si="23"/>
        <v/>
      </c>
      <c r="L963" s="89" t="str">
        <f>IFERROR(__xludf.DUMMYFUNCTION("""COMPUTED_VALUE"""),"")</f>
        <v/>
      </c>
      <c r="M963" s="89" t="str">
        <f>IFERROR(__xludf.DUMMYFUNCTION("""COMPUTED_VALUE"""),"")</f>
        <v/>
      </c>
      <c r="N963" s="89" t="str">
        <f>IFERROR(__xludf.DUMMYFUNCTION("""COMPUTED_VALUE"""),"")</f>
        <v/>
      </c>
      <c r="P963" s="52" t="str">
        <f t="shared" si="22"/>
        <v/>
      </c>
      <c r="R963" s="52" t="str">
        <f t="shared" si="32"/>
        <v/>
      </c>
      <c r="Z963" s="81"/>
      <c r="AA963" s="81"/>
      <c r="AB963" s="81"/>
      <c r="AC963" s="81" t="str">
        <f t="shared" si="5"/>
        <v/>
      </c>
      <c r="AD963" s="82" t="str">
        <f t="shared" si="6"/>
        <v/>
      </c>
    </row>
    <row r="964">
      <c r="A964" s="89"/>
      <c r="B964" s="89"/>
      <c r="C964" s="89"/>
      <c r="D964" s="89"/>
      <c r="E964" s="89"/>
      <c r="F964" s="81"/>
      <c r="G964" s="89"/>
      <c r="H964" s="89"/>
      <c r="I964" s="89"/>
      <c r="J964" s="89" t="str">
        <f t="shared" si="18"/>
        <v/>
      </c>
      <c r="K964" s="89" t="str">
        <f t="shared" si="23"/>
        <v/>
      </c>
      <c r="L964" s="89" t="str">
        <f>IFERROR(__xludf.DUMMYFUNCTION("""COMPUTED_VALUE"""),"")</f>
        <v/>
      </c>
      <c r="M964" s="89" t="str">
        <f>IFERROR(__xludf.DUMMYFUNCTION("""COMPUTED_VALUE"""),"")</f>
        <v/>
      </c>
      <c r="N964" s="89" t="str">
        <f>IFERROR(__xludf.DUMMYFUNCTION("""COMPUTED_VALUE"""),"")</f>
        <v/>
      </c>
      <c r="P964" s="52" t="str">
        <f t="shared" si="22"/>
        <v/>
      </c>
      <c r="R964" s="52" t="str">
        <f t="shared" si="32"/>
        <v/>
      </c>
      <c r="Z964" s="81"/>
      <c r="AA964" s="81"/>
      <c r="AB964" s="81"/>
      <c r="AC964" s="81" t="str">
        <f t="shared" si="5"/>
        <v/>
      </c>
      <c r="AD964" s="82" t="str">
        <f t="shared" si="6"/>
        <v/>
      </c>
    </row>
    <row r="965">
      <c r="A965" s="89"/>
      <c r="B965" s="89"/>
      <c r="C965" s="89"/>
      <c r="D965" s="89"/>
      <c r="E965" s="89"/>
      <c r="F965" s="81"/>
      <c r="G965" s="89"/>
      <c r="H965" s="89"/>
      <c r="I965" s="89"/>
      <c r="J965" s="89" t="str">
        <f t="shared" si="18"/>
        <v/>
      </c>
      <c r="K965" s="89" t="str">
        <f t="shared" si="23"/>
        <v/>
      </c>
      <c r="L965" s="89" t="str">
        <f>IFERROR(__xludf.DUMMYFUNCTION("""COMPUTED_VALUE"""),"")</f>
        <v/>
      </c>
      <c r="M965" s="89" t="str">
        <f>IFERROR(__xludf.DUMMYFUNCTION("""COMPUTED_VALUE"""),"")</f>
        <v/>
      </c>
      <c r="N965" s="89" t="str">
        <f>IFERROR(__xludf.DUMMYFUNCTION("""COMPUTED_VALUE"""),"")</f>
        <v/>
      </c>
      <c r="P965" s="52" t="str">
        <f t="shared" si="22"/>
        <v/>
      </c>
      <c r="R965" s="52" t="str">
        <f t="shared" si="32"/>
        <v/>
      </c>
      <c r="Z965" s="81"/>
      <c r="AA965" s="81"/>
      <c r="AB965" s="81"/>
      <c r="AC965" s="81" t="str">
        <f t="shared" si="5"/>
        <v/>
      </c>
      <c r="AD965" s="82" t="str">
        <f t="shared" si="6"/>
        <v/>
      </c>
    </row>
    <row r="966">
      <c r="A966" s="89"/>
      <c r="B966" s="89"/>
      <c r="C966" s="89"/>
      <c r="D966" s="89"/>
      <c r="E966" s="89"/>
      <c r="F966" s="81"/>
      <c r="G966" s="89"/>
      <c r="H966" s="89"/>
      <c r="I966" s="89"/>
      <c r="J966" s="89" t="str">
        <f t="shared" si="18"/>
        <v/>
      </c>
      <c r="K966" s="89" t="str">
        <f t="shared" si="23"/>
        <v/>
      </c>
      <c r="L966" s="89" t="str">
        <f>IFERROR(__xludf.DUMMYFUNCTION("""COMPUTED_VALUE"""),"")</f>
        <v/>
      </c>
      <c r="M966" s="89" t="str">
        <f>IFERROR(__xludf.DUMMYFUNCTION("""COMPUTED_VALUE"""),"")</f>
        <v/>
      </c>
      <c r="N966" s="89" t="str">
        <f>IFERROR(__xludf.DUMMYFUNCTION("""COMPUTED_VALUE"""),"")</f>
        <v/>
      </c>
      <c r="P966" s="52" t="str">
        <f t="shared" si="22"/>
        <v/>
      </c>
      <c r="R966" s="52" t="str">
        <f t="shared" si="32"/>
        <v/>
      </c>
      <c r="Z966" s="81"/>
      <c r="AA966" s="81"/>
      <c r="AB966" s="81"/>
      <c r="AC966" s="81" t="str">
        <f t="shared" si="5"/>
        <v/>
      </c>
      <c r="AD966" s="82" t="str">
        <f t="shared" si="6"/>
        <v/>
      </c>
    </row>
    <row r="967">
      <c r="A967" s="89"/>
      <c r="B967" s="89"/>
      <c r="C967" s="89"/>
      <c r="D967" s="89"/>
      <c r="E967" s="89"/>
      <c r="F967" s="81"/>
      <c r="G967" s="89"/>
      <c r="H967" s="89"/>
      <c r="I967" s="89"/>
      <c r="J967" s="89" t="str">
        <f t="shared" si="18"/>
        <v/>
      </c>
      <c r="K967" s="89" t="str">
        <f t="shared" si="23"/>
        <v/>
      </c>
      <c r="L967" s="89" t="str">
        <f>IFERROR(__xludf.DUMMYFUNCTION("""COMPUTED_VALUE"""),"")</f>
        <v/>
      </c>
      <c r="M967" s="89" t="str">
        <f>IFERROR(__xludf.DUMMYFUNCTION("""COMPUTED_VALUE"""),"")</f>
        <v/>
      </c>
      <c r="N967" s="89" t="str">
        <f>IFERROR(__xludf.DUMMYFUNCTION("""COMPUTED_VALUE"""),"")</f>
        <v/>
      </c>
      <c r="P967" s="52" t="str">
        <f t="shared" si="22"/>
        <v/>
      </c>
      <c r="R967" s="52" t="str">
        <f t="shared" si="32"/>
        <v/>
      </c>
      <c r="Z967" s="81"/>
      <c r="AA967" s="81"/>
      <c r="AB967" s="81"/>
      <c r="AC967" s="81" t="str">
        <f t="shared" si="5"/>
        <v/>
      </c>
      <c r="AD967" s="82" t="str">
        <f t="shared" si="6"/>
        <v/>
      </c>
    </row>
    <row r="968">
      <c r="A968" s="89"/>
      <c r="B968" s="89"/>
      <c r="C968" s="89"/>
      <c r="D968" s="89"/>
      <c r="E968" s="89"/>
      <c r="F968" s="81"/>
      <c r="G968" s="89"/>
      <c r="H968" s="89"/>
      <c r="I968" s="89"/>
      <c r="J968" s="89" t="str">
        <f t="shared" si="18"/>
        <v/>
      </c>
      <c r="K968" s="89" t="str">
        <f t="shared" si="23"/>
        <v/>
      </c>
      <c r="L968" s="89" t="str">
        <f>IFERROR(__xludf.DUMMYFUNCTION("""COMPUTED_VALUE"""),"")</f>
        <v/>
      </c>
      <c r="M968" s="89" t="str">
        <f>IFERROR(__xludf.DUMMYFUNCTION("""COMPUTED_VALUE"""),"")</f>
        <v/>
      </c>
      <c r="N968" s="89" t="str">
        <f>IFERROR(__xludf.DUMMYFUNCTION("""COMPUTED_VALUE"""),"")</f>
        <v/>
      </c>
      <c r="P968" s="52" t="str">
        <f t="shared" si="22"/>
        <v/>
      </c>
      <c r="R968" s="52" t="str">
        <f t="shared" si="32"/>
        <v/>
      </c>
      <c r="Z968" s="81"/>
      <c r="AA968" s="81"/>
      <c r="AB968" s="81"/>
      <c r="AC968" s="81" t="str">
        <f t="shared" si="5"/>
        <v/>
      </c>
      <c r="AD968" s="82" t="str">
        <f t="shared" si="6"/>
        <v/>
      </c>
    </row>
    <row r="969">
      <c r="A969" s="89"/>
      <c r="B969" s="89"/>
      <c r="C969" s="89"/>
      <c r="D969" s="89"/>
      <c r="E969" s="89"/>
      <c r="F969" s="81"/>
      <c r="G969" s="89"/>
      <c r="H969" s="89"/>
      <c r="I969" s="89"/>
      <c r="J969" s="89" t="str">
        <f t="shared" si="18"/>
        <v/>
      </c>
      <c r="K969" s="89" t="str">
        <f t="shared" si="23"/>
        <v/>
      </c>
      <c r="L969" s="89" t="str">
        <f>IFERROR(__xludf.DUMMYFUNCTION("""COMPUTED_VALUE"""),"")</f>
        <v/>
      </c>
      <c r="M969" s="89" t="str">
        <f>IFERROR(__xludf.DUMMYFUNCTION("""COMPUTED_VALUE"""),"")</f>
        <v/>
      </c>
      <c r="N969" s="89" t="str">
        <f>IFERROR(__xludf.DUMMYFUNCTION("""COMPUTED_VALUE"""),"")</f>
        <v/>
      </c>
      <c r="P969" s="52" t="str">
        <f t="shared" si="22"/>
        <v/>
      </c>
      <c r="R969" s="52" t="str">
        <f t="shared" si="32"/>
        <v/>
      </c>
      <c r="Z969" s="81"/>
      <c r="AA969" s="81"/>
      <c r="AB969" s="81"/>
      <c r="AC969" s="81" t="str">
        <f t="shared" si="5"/>
        <v/>
      </c>
      <c r="AD969" s="82" t="str">
        <f t="shared" si="6"/>
        <v/>
      </c>
    </row>
    <row r="970">
      <c r="A970" s="89"/>
      <c r="B970" s="89"/>
      <c r="C970" s="89"/>
      <c r="D970" s="89"/>
      <c r="E970" s="89"/>
      <c r="F970" s="81"/>
      <c r="G970" s="89"/>
      <c r="H970" s="89"/>
      <c r="I970" s="89"/>
      <c r="J970" s="89" t="str">
        <f t="shared" si="18"/>
        <v/>
      </c>
      <c r="K970" s="89" t="str">
        <f t="shared" si="23"/>
        <v/>
      </c>
      <c r="L970" s="89" t="str">
        <f>IFERROR(__xludf.DUMMYFUNCTION("""COMPUTED_VALUE"""),"")</f>
        <v/>
      </c>
      <c r="M970" s="89" t="str">
        <f>IFERROR(__xludf.DUMMYFUNCTION("""COMPUTED_VALUE"""),"")</f>
        <v/>
      </c>
      <c r="N970" s="89" t="str">
        <f>IFERROR(__xludf.DUMMYFUNCTION("""COMPUTED_VALUE"""),"")</f>
        <v/>
      </c>
      <c r="P970" s="52" t="str">
        <f t="shared" si="22"/>
        <v/>
      </c>
      <c r="R970" s="52" t="str">
        <f t="shared" si="32"/>
        <v/>
      </c>
      <c r="Z970" s="81"/>
      <c r="AA970" s="81"/>
      <c r="AB970" s="81"/>
      <c r="AC970" s="81" t="str">
        <f t="shared" si="5"/>
        <v/>
      </c>
      <c r="AD970" s="82" t="str">
        <f t="shared" si="6"/>
        <v/>
      </c>
    </row>
    <row r="971">
      <c r="A971" s="89"/>
      <c r="B971" s="89"/>
      <c r="C971" s="89"/>
      <c r="D971" s="89"/>
      <c r="E971" s="89"/>
      <c r="F971" s="81"/>
      <c r="G971" s="89"/>
      <c r="H971" s="89"/>
      <c r="I971" s="89"/>
      <c r="J971" s="89" t="str">
        <f t="shared" si="18"/>
        <v/>
      </c>
      <c r="K971" s="89" t="str">
        <f t="shared" si="23"/>
        <v/>
      </c>
      <c r="L971" s="89" t="str">
        <f>IFERROR(__xludf.DUMMYFUNCTION("""COMPUTED_VALUE"""),"")</f>
        <v/>
      </c>
      <c r="M971" s="89" t="str">
        <f>IFERROR(__xludf.DUMMYFUNCTION("""COMPUTED_VALUE"""),"")</f>
        <v/>
      </c>
      <c r="N971" s="89" t="str">
        <f>IFERROR(__xludf.DUMMYFUNCTION("""COMPUTED_VALUE"""),"")</f>
        <v/>
      </c>
      <c r="P971" s="52" t="str">
        <f t="shared" si="22"/>
        <v/>
      </c>
      <c r="R971" s="52" t="str">
        <f t="shared" si="32"/>
        <v/>
      </c>
      <c r="Z971" s="81"/>
      <c r="AA971" s="81"/>
      <c r="AB971" s="81"/>
      <c r="AC971" s="81" t="str">
        <f t="shared" si="5"/>
        <v/>
      </c>
      <c r="AD971" s="82" t="str">
        <f t="shared" si="6"/>
        <v/>
      </c>
    </row>
    <row r="972">
      <c r="A972" s="89"/>
      <c r="B972" s="89"/>
      <c r="C972" s="89"/>
      <c r="D972" s="89"/>
      <c r="E972" s="89"/>
      <c r="F972" s="81"/>
      <c r="G972" s="89"/>
      <c r="H972" s="89"/>
      <c r="I972" s="89"/>
      <c r="J972" s="89" t="str">
        <f t="shared" si="18"/>
        <v/>
      </c>
      <c r="K972" s="89" t="str">
        <f t="shared" si="23"/>
        <v/>
      </c>
      <c r="L972" s="89" t="str">
        <f>IFERROR(__xludf.DUMMYFUNCTION("""COMPUTED_VALUE"""),"")</f>
        <v/>
      </c>
      <c r="M972" s="89" t="str">
        <f>IFERROR(__xludf.DUMMYFUNCTION("""COMPUTED_VALUE"""),"")</f>
        <v/>
      </c>
      <c r="N972" s="89" t="str">
        <f>IFERROR(__xludf.DUMMYFUNCTION("""COMPUTED_VALUE"""),"")</f>
        <v/>
      </c>
      <c r="P972" s="52" t="str">
        <f t="shared" si="22"/>
        <v/>
      </c>
      <c r="R972" s="52" t="str">
        <f t="shared" si="32"/>
        <v/>
      </c>
      <c r="Z972" s="81"/>
      <c r="AA972" s="81"/>
      <c r="AB972" s="81"/>
      <c r="AC972" s="81" t="str">
        <f t="shared" si="5"/>
        <v/>
      </c>
      <c r="AD972" s="82" t="str">
        <f t="shared" si="6"/>
        <v/>
      </c>
    </row>
    <row r="973">
      <c r="A973" s="89"/>
      <c r="B973" s="89"/>
      <c r="C973" s="89"/>
      <c r="D973" s="89"/>
      <c r="E973" s="89"/>
      <c r="F973" s="81"/>
      <c r="G973" s="89"/>
      <c r="H973" s="89"/>
      <c r="I973" s="89"/>
      <c r="J973" s="89" t="str">
        <f t="shared" si="18"/>
        <v/>
      </c>
      <c r="K973" s="89" t="str">
        <f t="shared" si="23"/>
        <v/>
      </c>
      <c r="L973" s="89" t="str">
        <f>IFERROR(__xludf.DUMMYFUNCTION("""COMPUTED_VALUE"""),"")</f>
        <v/>
      </c>
      <c r="M973" s="89" t="str">
        <f>IFERROR(__xludf.DUMMYFUNCTION("""COMPUTED_VALUE"""),"")</f>
        <v/>
      </c>
      <c r="N973" s="89" t="str">
        <f>IFERROR(__xludf.DUMMYFUNCTION("""COMPUTED_VALUE"""),"")</f>
        <v/>
      </c>
      <c r="P973" s="52" t="str">
        <f t="shared" si="22"/>
        <v/>
      </c>
      <c r="R973" s="52" t="str">
        <f t="shared" si="32"/>
        <v/>
      </c>
      <c r="Z973" s="81"/>
      <c r="AA973" s="81"/>
      <c r="AB973" s="81"/>
      <c r="AC973" s="81" t="str">
        <f t="shared" si="5"/>
        <v/>
      </c>
      <c r="AD973" s="82" t="str">
        <f t="shared" si="6"/>
        <v/>
      </c>
    </row>
    <row r="974">
      <c r="A974" s="89"/>
      <c r="B974" s="89"/>
      <c r="C974" s="89"/>
      <c r="D974" s="89"/>
      <c r="E974" s="89"/>
      <c r="F974" s="81"/>
      <c r="G974" s="89"/>
      <c r="H974" s="89"/>
      <c r="I974" s="89"/>
      <c r="J974" s="89" t="str">
        <f t="shared" si="18"/>
        <v/>
      </c>
      <c r="K974" s="89" t="str">
        <f t="shared" si="23"/>
        <v/>
      </c>
      <c r="L974" s="89" t="str">
        <f>IFERROR(__xludf.DUMMYFUNCTION("""COMPUTED_VALUE"""),"")</f>
        <v/>
      </c>
      <c r="M974" s="89" t="str">
        <f>IFERROR(__xludf.DUMMYFUNCTION("""COMPUTED_VALUE"""),"")</f>
        <v/>
      </c>
      <c r="N974" s="89" t="str">
        <f>IFERROR(__xludf.DUMMYFUNCTION("""COMPUTED_VALUE"""),"")</f>
        <v/>
      </c>
      <c r="P974" s="52" t="str">
        <f t="shared" si="22"/>
        <v/>
      </c>
      <c r="R974" s="52" t="str">
        <f t="shared" si="32"/>
        <v/>
      </c>
      <c r="Z974" s="81"/>
      <c r="AA974" s="81"/>
      <c r="AB974" s="81"/>
      <c r="AC974" s="81" t="str">
        <f t="shared" si="5"/>
        <v/>
      </c>
      <c r="AD974" s="82" t="str">
        <f t="shared" si="6"/>
        <v/>
      </c>
    </row>
    <row r="975">
      <c r="A975" s="89"/>
      <c r="B975" s="89"/>
      <c r="C975" s="89"/>
      <c r="D975" s="89"/>
      <c r="E975" s="89"/>
      <c r="F975" s="81"/>
      <c r="G975" s="89"/>
      <c r="H975" s="89"/>
      <c r="I975" s="89"/>
      <c r="J975" s="89" t="str">
        <f t="shared" si="18"/>
        <v/>
      </c>
      <c r="K975" s="89" t="str">
        <f t="shared" si="23"/>
        <v/>
      </c>
      <c r="L975" s="89" t="str">
        <f>IFERROR(__xludf.DUMMYFUNCTION("""COMPUTED_VALUE"""),"")</f>
        <v/>
      </c>
      <c r="M975" s="89" t="str">
        <f>IFERROR(__xludf.DUMMYFUNCTION("""COMPUTED_VALUE"""),"")</f>
        <v/>
      </c>
      <c r="N975" s="89" t="str">
        <f>IFERROR(__xludf.DUMMYFUNCTION("""COMPUTED_VALUE"""),"")</f>
        <v/>
      </c>
      <c r="P975" s="52" t="str">
        <f t="shared" si="22"/>
        <v/>
      </c>
      <c r="R975" s="52" t="str">
        <f t="shared" si="32"/>
        <v/>
      </c>
      <c r="Z975" s="81"/>
      <c r="AA975" s="81"/>
      <c r="AB975" s="81"/>
      <c r="AC975" s="81" t="str">
        <f t="shared" si="5"/>
        <v/>
      </c>
      <c r="AD975" s="82" t="str">
        <f t="shared" si="6"/>
        <v/>
      </c>
    </row>
    <row r="976">
      <c r="F976" s="81"/>
      <c r="G976" s="89"/>
      <c r="H976" s="89"/>
      <c r="I976" s="89"/>
      <c r="J976" s="89" t="str">
        <f t="shared" si="18"/>
        <v/>
      </c>
      <c r="K976" s="89" t="str">
        <f t="shared" si="23"/>
        <v/>
      </c>
      <c r="L976" s="89" t="str">
        <f>IFERROR(__xludf.DUMMYFUNCTION("""COMPUTED_VALUE"""),"")</f>
        <v/>
      </c>
      <c r="M976" s="89" t="str">
        <f>IFERROR(__xludf.DUMMYFUNCTION("""COMPUTED_VALUE"""),"")</f>
        <v/>
      </c>
      <c r="N976" s="89" t="str">
        <f>IFERROR(__xludf.DUMMYFUNCTION("""COMPUTED_VALUE"""),"")</f>
        <v/>
      </c>
      <c r="P976" s="52" t="str">
        <f t="shared" si="22"/>
        <v/>
      </c>
      <c r="R976" s="52" t="str">
        <f t="shared" si="32"/>
        <v/>
      </c>
      <c r="Z976" s="81"/>
      <c r="AA976" s="81"/>
      <c r="AB976" s="81"/>
      <c r="AC976" s="81" t="str">
        <f t="shared" si="5"/>
        <v/>
      </c>
      <c r="AD976" s="82" t="str">
        <f t="shared" si="6"/>
        <v/>
      </c>
    </row>
    <row r="977">
      <c r="F977" s="81"/>
      <c r="G977" s="89"/>
      <c r="H977" s="89"/>
      <c r="I977" s="89"/>
      <c r="J977" s="89" t="str">
        <f t="shared" si="18"/>
        <v/>
      </c>
      <c r="K977" s="89" t="str">
        <f t="shared" si="23"/>
        <v/>
      </c>
      <c r="L977" s="89" t="str">
        <f>IFERROR(__xludf.DUMMYFUNCTION("""COMPUTED_VALUE"""),"")</f>
        <v/>
      </c>
      <c r="M977" s="89" t="str">
        <f>IFERROR(__xludf.DUMMYFUNCTION("""COMPUTED_VALUE"""),"")</f>
        <v/>
      </c>
      <c r="N977" s="89" t="str">
        <f>IFERROR(__xludf.DUMMYFUNCTION("""COMPUTED_VALUE"""),"")</f>
        <v/>
      </c>
      <c r="P977" s="52" t="str">
        <f t="shared" si="22"/>
        <v/>
      </c>
      <c r="R977" s="52" t="str">
        <f t="shared" si="32"/>
        <v/>
      </c>
      <c r="Z977" s="81"/>
      <c r="AA977" s="81"/>
      <c r="AB977" s="81"/>
      <c r="AC977" s="81" t="str">
        <f t="shared" si="5"/>
        <v/>
      </c>
      <c r="AD977" s="82" t="str">
        <f t="shared" si="6"/>
        <v/>
      </c>
    </row>
    <row r="978">
      <c r="F978" s="81"/>
      <c r="G978" s="89"/>
      <c r="H978" s="89"/>
      <c r="I978" s="89"/>
      <c r="J978" s="89" t="str">
        <f t="shared" si="18"/>
        <v/>
      </c>
      <c r="K978" s="89" t="str">
        <f t="shared" si="23"/>
        <v/>
      </c>
      <c r="L978" s="89" t="str">
        <f>IFERROR(__xludf.DUMMYFUNCTION("""COMPUTED_VALUE"""),"")</f>
        <v/>
      </c>
      <c r="M978" s="89" t="str">
        <f>IFERROR(__xludf.DUMMYFUNCTION("""COMPUTED_VALUE"""),"")</f>
        <v/>
      </c>
      <c r="N978" s="89" t="str">
        <f>IFERROR(__xludf.DUMMYFUNCTION("""COMPUTED_VALUE"""),"")</f>
        <v/>
      </c>
      <c r="P978" s="52" t="str">
        <f t="shared" si="22"/>
        <v/>
      </c>
      <c r="R978" s="52" t="str">
        <f t="shared" si="32"/>
        <v/>
      </c>
      <c r="Z978" s="81"/>
      <c r="AA978" s="81"/>
      <c r="AB978" s="81"/>
      <c r="AC978" s="81" t="str">
        <f t="shared" si="5"/>
        <v/>
      </c>
      <c r="AD978" s="82" t="str">
        <f t="shared" si="6"/>
        <v/>
      </c>
    </row>
    <row r="979">
      <c r="F979" s="81"/>
      <c r="G979" s="89"/>
      <c r="H979" s="89"/>
      <c r="I979" s="89"/>
      <c r="J979" s="89" t="str">
        <f t="shared" si="18"/>
        <v/>
      </c>
      <c r="K979" s="89" t="str">
        <f t="shared" si="23"/>
        <v/>
      </c>
      <c r="L979" s="89" t="str">
        <f>IFERROR(__xludf.DUMMYFUNCTION("""COMPUTED_VALUE"""),"")</f>
        <v/>
      </c>
      <c r="M979" s="89" t="str">
        <f>IFERROR(__xludf.DUMMYFUNCTION("""COMPUTED_VALUE"""),"")</f>
        <v/>
      </c>
      <c r="N979" s="89" t="str">
        <f>IFERROR(__xludf.DUMMYFUNCTION("""COMPUTED_VALUE"""),"")</f>
        <v/>
      </c>
      <c r="P979" s="52" t="str">
        <f t="shared" si="22"/>
        <v/>
      </c>
      <c r="R979" s="52" t="str">
        <f t="shared" si="32"/>
        <v/>
      </c>
      <c r="Z979" s="81"/>
      <c r="AA979" s="81"/>
      <c r="AB979" s="81"/>
      <c r="AC979" s="81" t="str">
        <f t="shared" si="5"/>
        <v/>
      </c>
      <c r="AD979" s="82" t="str">
        <f t="shared" si="6"/>
        <v/>
      </c>
    </row>
    <row r="980">
      <c r="F980" s="81"/>
      <c r="G980" s="89"/>
      <c r="H980" s="89"/>
      <c r="I980" s="89"/>
      <c r="J980" s="89" t="str">
        <f t="shared" si="18"/>
        <v/>
      </c>
      <c r="K980" s="89" t="str">
        <f t="shared" si="23"/>
        <v/>
      </c>
      <c r="L980" s="89" t="str">
        <f>IFERROR(__xludf.DUMMYFUNCTION("""COMPUTED_VALUE"""),"")</f>
        <v/>
      </c>
      <c r="M980" s="89" t="str">
        <f>IFERROR(__xludf.DUMMYFUNCTION("""COMPUTED_VALUE"""),"")</f>
        <v/>
      </c>
      <c r="N980" s="89" t="str">
        <f>IFERROR(__xludf.DUMMYFUNCTION("""COMPUTED_VALUE"""),"")</f>
        <v/>
      </c>
      <c r="P980" s="52" t="str">
        <f t="shared" si="22"/>
        <v/>
      </c>
      <c r="R980" s="52" t="str">
        <f t="shared" si="32"/>
        <v/>
      </c>
      <c r="Z980" s="81"/>
      <c r="AA980" s="81"/>
      <c r="AB980" s="81"/>
      <c r="AC980" s="81" t="str">
        <f t="shared" si="5"/>
        <v/>
      </c>
      <c r="AD980" s="82" t="str">
        <f t="shared" si="6"/>
        <v/>
      </c>
    </row>
    <row r="981">
      <c r="F981" s="81"/>
      <c r="G981" s="89"/>
      <c r="H981" s="89"/>
      <c r="I981" s="89"/>
      <c r="J981" s="89" t="str">
        <f t="shared" si="18"/>
        <v/>
      </c>
      <c r="K981" s="89" t="str">
        <f t="shared" si="23"/>
        <v/>
      </c>
      <c r="L981" s="89" t="str">
        <f>IFERROR(__xludf.DUMMYFUNCTION("""COMPUTED_VALUE"""),"")</f>
        <v/>
      </c>
      <c r="M981" s="89" t="str">
        <f>IFERROR(__xludf.DUMMYFUNCTION("""COMPUTED_VALUE"""),"")</f>
        <v/>
      </c>
      <c r="N981" s="89" t="str">
        <f>IFERROR(__xludf.DUMMYFUNCTION("""COMPUTED_VALUE"""),"")</f>
        <v/>
      </c>
      <c r="P981" s="52" t="str">
        <f t="shared" si="22"/>
        <v/>
      </c>
      <c r="R981" s="52" t="str">
        <f t="shared" si="32"/>
        <v/>
      </c>
      <c r="Z981" s="81"/>
      <c r="AA981" s="81"/>
      <c r="AB981" s="81"/>
      <c r="AC981" s="81" t="str">
        <f t="shared" si="5"/>
        <v/>
      </c>
      <c r="AD981" s="82" t="str">
        <f t="shared" si="6"/>
        <v/>
      </c>
    </row>
    <row r="982">
      <c r="F982" s="81"/>
      <c r="G982" s="89"/>
      <c r="H982" s="89"/>
      <c r="I982" s="89"/>
      <c r="J982" s="89" t="str">
        <f t="shared" si="18"/>
        <v/>
      </c>
      <c r="K982" s="89" t="str">
        <f t="shared" si="23"/>
        <v/>
      </c>
      <c r="L982" s="89" t="str">
        <f>IFERROR(__xludf.DUMMYFUNCTION("""COMPUTED_VALUE"""),"")</f>
        <v/>
      </c>
      <c r="M982" s="89" t="str">
        <f>IFERROR(__xludf.DUMMYFUNCTION("""COMPUTED_VALUE"""),"")</f>
        <v/>
      </c>
      <c r="N982" s="89" t="str">
        <f>IFERROR(__xludf.DUMMYFUNCTION("""COMPUTED_VALUE"""),"")</f>
        <v/>
      </c>
      <c r="P982" s="52" t="str">
        <f t="shared" si="22"/>
        <v/>
      </c>
      <c r="R982" s="52" t="str">
        <f t="shared" si="32"/>
        <v/>
      </c>
      <c r="Z982" s="81"/>
      <c r="AA982" s="81"/>
      <c r="AB982" s="81"/>
      <c r="AC982" s="81" t="str">
        <f t="shared" si="5"/>
        <v/>
      </c>
      <c r="AD982" s="82" t="str">
        <f t="shared" si="6"/>
        <v/>
      </c>
    </row>
    <row r="983">
      <c r="F983" s="81"/>
      <c r="G983" s="89"/>
      <c r="H983" s="89"/>
      <c r="I983" s="89"/>
      <c r="J983" s="89" t="str">
        <f t="shared" si="18"/>
        <v/>
      </c>
      <c r="K983" s="89" t="str">
        <f t="shared" si="23"/>
        <v/>
      </c>
      <c r="L983" s="89" t="str">
        <f>IFERROR(__xludf.DUMMYFUNCTION("""COMPUTED_VALUE"""),"")</f>
        <v/>
      </c>
      <c r="M983" s="89" t="str">
        <f>IFERROR(__xludf.DUMMYFUNCTION("""COMPUTED_VALUE"""),"")</f>
        <v/>
      </c>
      <c r="N983" s="89" t="str">
        <f>IFERROR(__xludf.DUMMYFUNCTION("""COMPUTED_VALUE"""),"")</f>
        <v/>
      </c>
      <c r="P983" s="52" t="str">
        <f t="shared" si="22"/>
        <v/>
      </c>
      <c r="R983" s="52" t="str">
        <f t="shared" si="32"/>
        <v/>
      </c>
      <c r="Z983" s="81"/>
      <c r="AA983" s="81"/>
      <c r="AB983" s="81"/>
      <c r="AC983" s="81" t="str">
        <f t="shared" si="5"/>
        <v/>
      </c>
      <c r="AD983" s="82" t="str">
        <f t="shared" si="6"/>
        <v/>
      </c>
    </row>
    <row r="984">
      <c r="F984" s="81"/>
      <c r="G984" s="89"/>
      <c r="H984" s="89"/>
      <c r="I984" s="89"/>
      <c r="J984" s="89" t="str">
        <f t="shared" si="18"/>
        <v/>
      </c>
      <c r="K984" s="89" t="str">
        <f t="shared" si="23"/>
        <v/>
      </c>
      <c r="L984" s="89" t="str">
        <f>IFERROR(__xludf.DUMMYFUNCTION("""COMPUTED_VALUE"""),"")</f>
        <v/>
      </c>
      <c r="M984" s="89" t="str">
        <f>IFERROR(__xludf.DUMMYFUNCTION("""COMPUTED_VALUE"""),"")</f>
        <v/>
      </c>
      <c r="N984" s="89" t="str">
        <f>IFERROR(__xludf.DUMMYFUNCTION("""COMPUTED_VALUE"""),"")</f>
        <v/>
      </c>
      <c r="P984" s="52" t="str">
        <f t="shared" si="22"/>
        <v/>
      </c>
      <c r="R984" s="52" t="str">
        <f t="shared" si="32"/>
        <v/>
      </c>
      <c r="Z984" s="81"/>
      <c r="AA984" s="81"/>
      <c r="AB984" s="81"/>
      <c r="AC984" s="81" t="str">
        <f t="shared" si="5"/>
        <v/>
      </c>
      <c r="AD984" s="82" t="str">
        <f t="shared" si="6"/>
        <v/>
      </c>
    </row>
    <row r="985">
      <c r="F985" s="81"/>
      <c r="G985" s="89"/>
      <c r="H985" s="89"/>
      <c r="I985" s="89"/>
      <c r="J985" s="89" t="str">
        <f t="shared" si="18"/>
        <v/>
      </c>
      <c r="K985" s="89" t="str">
        <f t="shared" si="23"/>
        <v/>
      </c>
      <c r="L985" s="89" t="str">
        <f>IFERROR(__xludf.DUMMYFUNCTION("""COMPUTED_VALUE"""),"")</f>
        <v/>
      </c>
      <c r="M985" s="89" t="str">
        <f>IFERROR(__xludf.DUMMYFUNCTION("""COMPUTED_VALUE"""),"")</f>
        <v/>
      </c>
      <c r="N985" s="89" t="str">
        <f>IFERROR(__xludf.DUMMYFUNCTION("""COMPUTED_VALUE"""),"")</f>
        <v/>
      </c>
      <c r="P985" s="52" t="str">
        <f t="shared" si="22"/>
        <v/>
      </c>
      <c r="R985" s="52" t="str">
        <f t="shared" si="32"/>
        <v/>
      </c>
      <c r="Z985" s="81"/>
      <c r="AA985" s="81"/>
      <c r="AB985" s="81"/>
      <c r="AC985" s="81" t="str">
        <f t="shared" si="5"/>
        <v/>
      </c>
      <c r="AD985" s="82" t="str">
        <f t="shared" si="6"/>
        <v/>
      </c>
    </row>
    <row r="986">
      <c r="F986" s="81"/>
      <c r="G986" s="89"/>
      <c r="H986" s="89"/>
      <c r="I986" s="89"/>
      <c r="J986" s="89" t="str">
        <f t="shared" si="18"/>
        <v/>
      </c>
      <c r="K986" s="89" t="str">
        <f t="shared" si="23"/>
        <v/>
      </c>
      <c r="L986" s="89" t="str">
        <f>IFERROR(__xludf.DUMMYFUNCTION("""COMPUTED_VALUE"""),"")</f>
        <v/>
      </c>
      <c r="M986" s="89" t="str">
        <f>IFERROR(__xludf.DUMMYFUNCTION("""COMPUTED_VALUE"""),"")</f>
        <v/>
      </c>
      <c r="N986" s="89" t="str">
        <f>IFERROR(__xludf.DUMMYFUNCTION("""COMPUTED_VALUE"""),"")</f>
        <v/>
      </c>
      <c r="P986" s="52" t="str">
        <f t="shared" si="22"/>
        <v/>
      </c>
      <c r="R986" s="52" t="str">
        <f t="shared" si="32"/>
        <v/>
      </c>
      <c r="Z986" s="81"/>
      <c r="AA986" s="81"/>
      <c r="AB986" s="81"/>
      <c r="AC986" s="81" t="str">
        <f t="shared" si="5"/>
        <v/>
      </c>
      <c r="AD986" s="82" t="str">
        <f t="shared" si="6"/>
        <v/>
      </c>
    </row>
    <row r="987">
      <c r="F987" s="81"/>
      <c r="G987" s="89"/>
      <c r="H987" s="89"/>
      <c r="I987" s="89"/>
      <c r="J987" s="89" t="str">
        <f t="shared" si="18"/>
        <v/>
      </c>
      <c r="K987" s="89" t="str">
        <f t="shared" si="23"/>
        <v/>
      </c>
      <c r="L987" s="89" t="str">
        <f>IFERROR(__xludf.DUMMYFUNCTION("""COMPUTED_VALUE"""),"")</f>
        <v/>
      </c>
      <c r="M987" s="89" t="str">
        <f>IFERROR(__xludf.DUMMYFUNCTION("""COMPUTED_VALUE"""),"")</f>
        <v/>
      </c>
      <c r="N987" s="89" t="str">
        <f>IFERROR(__xludf.DUMMYFUNCTION("""COMPUTED_VALUE"""),"")</f>
        <v/>
      </c>
      <c r="P987" s="52" t="str">
        <f t="shared" si="22"/>
        <v/>
      </c>
      <c r="R987" s="52" t="str">
        <f t="shared" si="32"/>
        <v/>
      </c>
      <c r="Z987" s="81"/>
      <c r="AA987" s="81"/>
      <c r="AB987" s="81"/>
      <c r="AC987" s="81" t="str">
        <f t="shared" si="5"/>
        <v/>
      </c>
      <c r="AD987" s="82" t="str">
        <f t="shared" si="6"/>
        <v/>
      </c>
    </row>
    <row r="988">
      <c r="F988" s="81"/>
      <c r="G988" s="89"/>
      <c r="H988" s="89"/>
      <c r="I988" s="89"/>
      <c r="J988" s="89" t="str">
        <f t="shared" si="18"/>
        <v/>
      </c>
      <c r="K988" s="89" t="str">
        <f t="shared" si="23"/>
        <v/>
      </c>
      <c r="L988" s="89" t="str">
        <f>IFERROR(__xludf.DUMMYFUNCTION("""COMPUTED_VALUE"""),"")</f>
        <v/>
      </c>
      <c r="M988" s="89" t="str">
        <f>IFERROR(__xludf.DUMMYFUNCTION("""COMPUTED_VALUE"""),"")</f>
        <v/>
      </c>
      <c r="N988" s="89" t="str">
        <f>IFERROR(__xludf.DUMMYFUNCTION("""COMPUTED_VALUE"""),"")</f>
        <v/>
      </c>
      <c r="P988" s="52" t="str">
        <f t="shared" si="22"/>
        <v/>
      </c>
      <c r="R988" s="52" t="str">
        <f t="shared" si="32"/>
        <v/>
      </c>
      <c r="Z988" s="81"/>
      <c r="AA988" s="81"/>
      <c r="AB988" s="81"/>
      <c r="AC988" s="81" t="str">
        <f t="shared" si="5"/>
        <v/>
      </c>
      <c r="AD988" s="82" t="str">
        <f t="shared" si="6"/>
        <v/>
      </c>
    </row>
    <row r="989">
      <c r="F989" s="81"/>
      <c r="G989" s="89"/>
      <c r="H989" s="89"/>
      <c r="I989" s="89"/>
      <c r="J989" s="89" t="str">
        <f t="shared" si="18"/>
        <v/>
      </c>
      <c r="K989" s="89" t="str">
        <f t="shared" si="23"/>
        <v/>
      </c>
      <c r="L989" s="89" t="str">
        <f>IFERROR(__xludf.DUMMYFUNCTION("""COMPUTED_VALUE"""),"")</f>
        <v/>
      </c>
      <c r="M989" s="89" t="str">
        <f>IFERROR(__xludf.DUMMYFUNCTION("""COMPUTED_VALUE"""),"")</f>
        <v/>
      </c>
      <c r="N989" s="89" t="str">
        <f>IFERROR(__xludf.DUMMYFUNCTION("""COMPUTED_VALUE"""),"")</f>
        <v/>
      </c>
      <c r="P989" s="52" t="str">
        <f t="shared" si="22"/>
        <v/>
      </c>
      <c r="R989" s="52" t="str">
        <f t="shared" si="32"/>
        <v/>
      </c>
      <c r="Z989" s="81"/>
      <c r="AA989" s="81"/>
      <c r="AB989" s="81"/>
      <c r="AC989" s="81" t="str">
        <f t="shared" si="5"/>
        <v/>
      </c>
      <c r="AD989" s="82" t="str">
        <f t="shared" si="6"/>
        <v/>
      </c>
    </row>
    <row r="990">
      <c r="F990" s="81"/>
      <c r="G990" s="89"/>
      <c r="H990" s="89"/>
      <c r="I990" s="89"/>
      <c r="J990" s="89" t="str">
        <f t="shared" si="18"/>
        <v/>
      </c>
      <c r="K990" s="89" t="str">
        <f t="shared" si="23"/>
        <v/>
      </c>
      <c r="L990" s="89" t="str">
        <f>IFERROR(__xludf.DUMMYFUNCTION("""COMPUTED_VALUE"""),"")</f>
        <v/>
      </c>
      <c r="M990" s="89" t="str">
        <f>IFERROR(__xludf.DUMMYFUNCTION("""COMPUTED_VALUE"""),"")</f>
        <v/>
      </c>
      <c r="N990" s="89" t="str">
        <f>IFERROR(__xludf.DUMMYFUNCTION("""COMPUTED_VALUE"""),"")</f>
        <v/>
      </c>
      <c r="P990" s="52" t="str">
        <f t="shared" si="22"/>
        <v/>
      </c>
      <c r="R990" s="52" t="str">
        <f t="shared" si="32"/>
        <v/>
      </c>
      <c r="Z990" s="81"/>
      <c r="AA990" s="81"/>
      <c r="AB990" s="81"/>
      <c r="AC990" s="81" t="str">
        <f t="shared" si="5"/>
        <v/>
      </c>
      <c r="AD990" s="82" t="str">
        <f t="shared" si="6"/>
        <v/>
      </c>
    </row>
    <row r="991">
      <c r="F991" s="81"/>
      <c r="G991" s="89"/>
      <c r="H991" s="89"/>
      <c r="I991" s="89"/>
      <c r="J991" s="89" t="str">
        <f t="shared" si="18"/>
        <v/>
      </c>
      <c r="K991" s="89" t="str">
        <f t="shared" si="23"/>
        <v/>
      </c>
      <c r="L991" s="89" t="str">
        <f>IFERROR(__xludf.DUMMYFUNCTION("""COMPUTED_VALUE"""),"")</f>
        <v/>
      </c>
      <c r="M991" s="89" t="str">
        <f>IFERROR(__xludf.DUMMYFUNCTION("""COMPUTED_VALUE"""),"")</f>
        <v/>
      </c>
      <c r="N991" s="89" t="str">
        <f>IFERROR(__xludf.DUMMYFUNCTION("""COMPUTED_VALUE"""),"")</f>
        <v/>
      </c>
      <c r="P991" s="52" t="str">
        <f t="shared" si="22"/>
        <v/>
      </c>
      <c r="R991" s="52" t="str">
        <f t="shared" si="32"/>
        <v/>
      </c>
      <c r="Z991" s="81"/>
      <c r="AA991" s="81"/>
      <c r="AB991" s="81"/>
      <c r="AC991" s="81" t="str">
        <f t="shared" si="5"/>
        <v/>
      </c>
      <c r="AD991" s="82" t="str">
        <f t="shared" si="6"/>
        <v/>
      </c>
    </row>
    <row r="992">
      <c r="F992" s="81"/>
      <c r="G992" s="89"/>
      <c r="H992" s="89"/>
      <c r="I992" s="89"/>
      <c r="J992" s="89" t="str">
        <f t="shared" si="18"/>
        <v/>
      </c>
      <c r="K992" s="89" t="str">
        <f t="shared" si="23"/>
        <v/>
      </c>
      <c r="L992" s="89" t="str">
        <f>IFERROR(__xludf.DUMMYFUNCTION("""COMPUTED_VALUE"""),"")</f>
        <v/>
      </c>
      <c r="M992" s="89" t="str">
        <f>IFERROR(__xludf.DUMMYFUNCTION("""COMPUTED_VALUE"""),"")</f>
        <v/>
      </c>
      <c r="N992" s="89" t="str">
        <f>IFERROR(__xludf.DUMMYFUNCTION("""COMPUTED_VALUE"""),"")</f>
        <v/>
      </c>
      <c r="P992" s="52" t="str">
        <f t="shared" si="22"/>
        <v/>
      </c>
      <c r="R992" s="52" t="str">
        <f t="shared" si="32"/>
        <v/>
      </c>
      <c r="Z992" s="81"/>
      <c r="AA992" s="81"/>
      <c r="AB992" s="81"/>
      <c r="AC992" s="81" t="str">
        <f t="shared" si="5"/>
        <v/>
      </c>
      <c r="AD992" s="82" t="str">
        <f t="shared" si="6"/>
        <v/>
      </c>
    </row>
    <row r="993">
      <c r="F993" s="81"/>
      <c r="G993" s="89"/>
      <c r="H993" s="89"/>
      <c r="I993" s="89"/>
      <c r="J993" s="89" t="str">
        <f t="shared" si="18"/>
        <v/>
      </c>
      <c r="K993" s="89" t="str">
        <f t="shared" si="23"/>
        <v/>
      </c>
      <c r="L993" s="89" t="str">
        <f>IFERROR(__xludf.DUMMYFUNCTION("""COMPUTED_VALUE"""),"")</f>
        <v/>
      </c>
      <c r="M993" s="89" t="str">
        <f>IFERROR(__xludf.DUMMYFUNCTION("""COMPUTED_VALUE"""),"")</f>
        <v/>
      </c>
      <c r="N993" s="89" t="str">
        <f>IFERROR(__xludf.DUMMYFUNCTION("""COMPUTED_VALUE"""),"")</f>
        <v/>
      </c>
      <c r="P993" s="52" t="str">
        <f t="shared" si="22"/>
        <v/>
      </c>
      <c r="R993" s="52" t="str">
        <f t="shared" si="32"/>
        <v/>
      </c>
      <c r="Z993" s="81"/>
      <c r="AA993" s="81"/>
      <c r="AB993" s="81"/>
      <c r="AC993" s="81" t="str">
        <f t="shared" si="5"/>
        <v/>
      </c>
      <c r="AD993" s="82" t="str">
        <f t="shared" si="6"/>
        <v/>
      </c>
    </row>
    <row r="994">
      <c r="F994" s="81"/>
      <c r="G994" s="89"/>
      <c r="H994" s="89"/>
      <c r="I994" s="89"/>
      <c r="J994" s="89" t="str">
        <f t="shared" si="18"/>
        <v/>
      </c>
      <c r="K994" s="89" t="str">
        <f t="shared" si="23"/>
        <v/>
      </c>
      <c r="L994" s="89" t="str">
        <f>IFERROR(__xludf.DUMMYFUNCTION("""COMPUTED_VALUE"""),"")</f>
        <v/>
      </c>
      <c r="M994" s="89" t="str">
        <f>IFERROR(__xludf.DUMMYFUNCTION("""COMPUTED_VALUE"""),"")</f>
        <v/>
      </c>
      <c r="N994" s="89" t="str">
        <f>IFERROR(__xludf.DUMMYFUNCTION("""COMPUTED_VALUE"""),"")</f>
        <v/>
      </c>
      <c r="P994" s="52" t="str">
        <f t="shared" si="22"/>
        <v/>
      </c>
      <c r="R994" s="52" t="str">
        <f t="shared" si="32"/>
        <v/>
      </c>
      <c r="Z994" s="81"/>
      <c r="AA994" s="81"/>
      <c r="AB994" s="81"/>
      <c r="AC994" s="81" t="str">
        <f t="shared" si="5"/>
        <v/>
      </c>
      <c r="AD994" s="82" t="str">
        <f t="shared" si="6"/>
        <v/>
      </c>
    </row>
    <row r="995">
      <c r="F995" s="81"/>
      <c r="G995" s="89"/>
      <c r="H995" s="89"/>
      <c r="I995" s="89"/>
      <c r="J995" s="89" t="str">
        <f t="shared" si="18"/>
        <v/>
      </c>
      <c r="K995" s="89" t="str">
        <f t="shared" si="23"/>
        <v/>
      </c>
      <c r="L995" s="89" t="str">
        <f>IFERROR(__xludf.DUMMYFUNCTION("""COMPUTED_VALUE"""),"")</f>
        <v/>
      </c>
      <c r="M995" s="89" t="str">
        <f>IFERROR(__xludf.DUMMYFUNCTION("""COMPUTED_VALUE"""),"")</f>
        <v/>
      </c>
      <c r="N995" s="89" t="str">
        <f>IFERROR(__xludf.DUMMYFUNCTION("""COMPUTED_VALUE"""),"")</f>
        <v/>
      </c>
      <c r="P995" s="52" t="str">
        <f t="shared" si="22"/>
        <v/>
      </c>
      <c r="R995" s="52" t="str">
        <f t="shared" si="32"/>
        <v/>
      </c>
      <c r="Z995" s="81"/>
      <c r="AA995" s="81"/>
      <c r="AB995" s="81"/>
      <c r="AC995" s="81" t="str">
        <f t="shared" si="5"/>
        <v/>
      </c>
      <c r="AD995" s="82" t="str">
        <f t="shared" si="6"/>
        <v/>
      </c>
    </row>
  </sheetData>
  <conditionalFormatting sqref="J1:K995">
    <cfRule type="cellIs" dxfId="1" priority="1" operator="equal">
      <formula>"Yes"</formula>
    </cfRule>
  </conditionalFormatting>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C34"/>
    <hyperlink r:id="rId34" ref="E34"/>
    <hyperlink r:id="rId35" ref="E35"/>
    <hyperlink r:id="rId36" ref="E36"/>
    <hyperlink r:id="rId37" ref="E37"/>
    <hyperlink r:id="rId38" ref="E38"/>
    <hyperlink r:id="rId39" ref="E39"/>
    <hyperlink r:id="rId40" ref="E40"/>
    <hyperlink r:id="rId41" ref="E41"/>
    <hyperlink r:id="rId42" ref="E42"/>
    <hyperlink r:id="rId43" ref="E43"/>
    <hyperlink r:id="rId44" ref="E44"/>
    <hyperlink r:id="rId45" ref="E45"/>
    <hyperlink r:id="rId46" ref="E46"/>
    <hyperlink r:id="rId47" ref="E47"/>
    <hyperlink r:id="rId48" ref="E48"/>
    <hyperlink r:id="rId49" ref="E49"/>
    <hyperlink r:id="rId50" ref="E50"/>
    <hyperlink r:id="rId51" ref="E51"/>
    <hyperlink r:id="rId52" ref="E52"/>
    <hyperlink r:id="rId53" ref="E53"/>
    <hyperlink r:id="rId54" ref="E54"/>
    <hyperlink r:id="rId55" ref="E55"/>
    <hyperlink r:id="rId56" ref="E56"/>
    <hyperlink r:id="rId57" ref="E57"/>
    <hyperlink r:id="rId58" ref="E58"/>
    <hyperlink r:id="rId59" ref="E59"/>
    <hyperlink r:id="rId60" ref="E60"/>
    <hyperlink r:id="rId61" ref="E61"/>
    <hyperlink r:id="rId62" ref="E62"/>
    <hyperlink r:id="rId63" ref="E63"/>
    <hyperlink r:id="rId64" ref="E64"/>
    <hyperlink r:id="rId65" ref="E65"/>
    <hyperlink r:id="rId66" ref="E66"/>
    <hyperlink r:id="rId67" ref="E67"/>
    <hyperlink r:id="rId68" location="/jobDescription/904556" ref="E68"/>
    <hyperlink r:id="rId69" ref="E70"/>
    <hyperlink r:id="rId70" ref="E71"/>
    <hyperlink r:id="rId71" ref="E72"/>
    <hyperlink r:id="rId72" ref="E73"/>
    <hyperlink r:id="rId73" ref="E74"/>
    <hyperlink r:id="rId74" ref="E75"/>
    <hyperlink r:id="rId75" ref="E76"/>
    <hyperlink r:id="rId76" ref="E77"/>
    <hyperlink r:id="rId77" ref="E78"/>
    <hyperlink r:id="rId78" ref="E79"/>
    <hyperlink r:id="rId79" ref="E80"/>
    <hyperlink r:id="rId80" ref="E81"/>
    <hyperlink r:id="rId81" ref="E82"/>
    <hyperlink r:id="rId82" ref="E83"/>
    <hyperlink r:id="rId83" ref="E84"/>
    <hyperlink r:id="rId84" ref="E85"/>
    <hyperlink r:id="rId85" ref="E86"/>
    <hyperlink r:id="rId86" ref="E87"/>
    <hyperlink r:id="rId87" ref="E88"/>
    <hyperlink r:id="rId88" ref="E89"/>
    <hyperlink r:id="rId89" ref="E90"/>
    <hyperlink r:id="rId90" ref="E91"/>
    <hyperlink r:id="rId91" ref="E92"/>
    <hyperlink r:id="rId92" ref="E93"/>
    <hyperlink r:id="rId93" ref="E94"/>
    <hyperlink r:id="rId94" ref="E95"/>
    <hyperlink r:id="rId95" ref="E96"/>
    <hyperlink r:id="rId96" ref="E97"/>
    <hyperlink r:id="rId97" ref="E98"/>
    <hyperlink r:id="rId98" ref="E99"/>
    <hyperlink r:id="rId99" ref="E100"/>
    <hyperlink r:id="rId100" ref="E101"/>
    <hyperlink r:id="rId101" ref="C102"/>
    <hyperlink r:id="rId102" ref="E102"/>
    <hyperlink r:id="rId103" ref="E103"/>
    <hyperlink r:id="rId104" ref="E104"/>
    <hyperlink r:id="rId105" ref="E105"/>
    <hyperlink r:id="rId106" ref="E106"/>
    <hyperlink r:id="rId107" ref="E107"/>
    <hyperlink r:id="rId108" ref="E108"/>
    <hyperlink r:id="rId109" ref="E109"/>
    <hyperlink r:id="rId110" ref="E110"/>
    <hyperlink r:id="rId111" ref="E111"/>
    <hyperlink r:id="rId112" ref="E112"/>
    <hyperlink r:id="rId113" ref="E113"/>
    <hyperlink r:id="rId114" ref="E114"/>
    <hyperlink r:id="rId115" ref="E115"/>
    <hyperlink r:id="rId116" ref="E116"/>
    <hyperlink r:id="rId117" ref="E117"/>
    <hyperlink r:id="rId118" ref="E118"/>
    <hyperlink r:id="rId119" ref="E119"/>
    <hyperlink r:id="rId120" ref="E120"/>
    <hyperlink r:id="rId121" ref="E121"/>
    <hyperlink r:id="rId122" ref="E122"/>
    <hyperlink r:id="rId123" ref="E123"/>
    <hyperlink r:id="rId124" ref="E124"/>
    <hyperlink r:id="rId125" ref="E125"/>
    <hyperlink r:id="rId126" ref="E126"/>
    <hyperlink r:id="rId127" ref="E127"/>
    <hyperlink r:id="rId128" ref="E128"/>
    <hyperlink r:id="rId129" ref="E129"/>
    <hyperlink r:id="rId130" ref="E130"/>
    <hyperlink r:id="rId131" ref="E131"/>
    <hyperlink r:id="rId132" ref="E132"/>
    <hyperlink r:id="rId133" ref="E133"/>
    <hyperlink r:id="rId134" ref="E134"/>
    <hyperlink r:id="rId135" ref="E135"/>
    <hyperlink r:id="rId136" ref="E136"/>
    <hyperlink r:id="rId137" ref="E137"/>
    <hyperlink r:id="rId138" ref="E138"/>
    <hyperlink r:id="rId139" ref="E139"/>
    <hyperlink r:id="rId140" ref="E140"/>
    <hyperlink r:id="rId141" ref="E141"/>
    <hyperlink r:id="rId142" ref="E142"/>
    <hyperlink r:id="rId143" ref="E143"/>
    <hyperlink r:id="rId144" ref="E144"/>
    <hyperlink r:id="rId145" ref="E145"/>
    <hyperlink r:id="rId146" ref="E146"/>
    <hyperlink r:id="rId147" ref="E147"/>
    <hyperlink r:id="rId148" ref="E148"/>
    <hyperlink r:id="rId149" ref="E149"/>
    <hyperlink r:id="rId150" ref="E150"/>
    <hyperlink r:id="rId151" ref="E151"/>
    <hyperlink r:id="rId152" ref="E152"/>
    <hyperlink r:id="rId153" ref="E153"/>
    <hyperlink r:id="rId154" ref="E154"/>
    <hyperlink r:id="rId155" ref="E155"/>
    <hyperlink r:id="rId156" ref="E156"/>
    <hyperlink r:id="rId157" ref="E157"/>
    <hyperlink r:id="rId158" ref="E158"/>
    <hyperlink r:id="rId159" ref="E159"/>
    <hyperlink r:id="rId160" ref="E160"/>
    <hyperlink r:id="rId161" ref="E161"/>
    <hyperlink r:id="rId162" ref="E162"/>
    <hyperlink r:id="rId163" ref="E163"/>
    <hyperlink r:id="rId164" ref="E164"/>
    <hyperlink r:id="rId165" ref="E165"/>
    <hyperlink r:id="rId166" ref="E166"/>
    <hyperlink r:id="rId167" ref="E167"/>
    <hyperlink r:id="rId168" ref="E168"/>
    <hyperlink r:id="rId169" ref="E169"/>
    <hyperlink r:id="rId170" ref="E170"/>
    <hyperlink r:id="rId171" ref="E171"/>
    <hyperlink r:id="rId172" ref="E172"/>
    <hyperlink r:id="rId173" ref="E173"/>
    <hyperlink r:id="rId174" ref="E174"/>
    <hyperlink r:id="rId175" ref="E175"/>
    <hyperlink r:id="rId176" ref="E176"/>
    <hyperlink r:id="rId177" ref="E177"/>
    <hyperlink r:id="rId178" ref="E178"/>
    <hyperlink r:id="rId179" ref="E179"/>
    <hyperlink r:id="rId180" ref="E180"/>
    <hyperlink r:id="rId181" ref="E181"/>
    <hyperlink r:id="rId182" ref="E182"/>
    <hyperlink r:id="rId183" ref="E183"/>
    <hyperlink r:id="rId184" ref="E184"/>
    <hyperlink r:id="rId185" ref="E185"/>
    <hyperlink r:id="rId186" ref="E186"/>
    <hyperlink r:id="rId187" ref="E187"/>
    <hyperlink r:id="rId188" ref="E188"/>
    <hyperlink r:id="rId189" ref="E189"/>
    <hyperlink r:id="rId190" ref="E190"/>
    <hyperlink r:id="rId191" ref="E191"/>
    <hyperlink r:id="rId192" ref="E192"/>
    <hyperlink r:id="rId193" ref="E193"/>
    <hyperlink r:id="rId194" ref="E194"/>
    <hyperlink r:id="rId195" ref="E195"/>
    <hyperlink r:id="rId196" ref="E196"/>
    <hyperlink r:id="rId197" ref="E197"/>
    <hyperlink r:id="rId198" ref="E198"/>
    <hyperlink r:id="rId199" ref="E199"/>
    <hyperlink r:id="rId200" ref="E200"/>
    <hyperlink r:id="rId201" ref="E201"/>
    <hyperlink r:id="rId202" ref="E202"/>
    <hyperlink r:id="rId203" ref="E203"/>
    <hyperlink r:id="rId204" ref="E204"/>
    <hyperlink r:id="rId205" ref="E205"/>
    <hyperlink r:id="rId206" ref="E206"/>
    <hyperlink r:id="rId207" ref="E207"/>
    <hyperlink r:id="rId208" ref="E208"/>
    <hyperlink r:id="rId209" ref="E209"/>
    <hyperlink r:id="rId210" ref="E210"/>
    <hyperlink r:id="rId211" ref="E211"/>
    <hyperlink r:id="rId212" ref="C215"/>
    <hyperlink r:id="rId213" ref="E248"/>
    <hyperlink r:id="rId214" ref="E265"/>
    <hyperlink r:id="rId215" ref="E274"/>
    <hyperlink r:id="rId216" ref="E278"/>
    <hyperlink r:id="rId217" ref="E279"/>
    <hyperlink r:id="rId218" ref="E280"/>
    <hyperlink r:id="rId219" ref="E281"/>
    <hyperlink r:id="rId220" ref="E290"/>
    <hyperlink r:id="rId221" ref="B298"/>
    <hyperlink r:id="rId222" ref="E303"/>
    <hyperlink r:id="rId223" ref="E308"/>
    <hyperlink r:id="rId224" ref="E326"/>
    <hyperlink r:id="rId225" ref="E327"/>
    <hyperlink r:id="rId226" ref="C370"/>
    <hyperlink r:id="rId227" ref="C371"/>
    <hyperlink r:id="rId228" ref="C413"/>
    <hyperlink r:id="rId229" ref="C414"/>
    <hyperlink r:id="rId230" ref="D507"/>
    <hyperlink r:id="rId231" ref="L507"/>
    <hyperlink r:id="rId232" ref="D509"/>
    <hyperlink r:id="rId233" ref="L509"/>
  </hyperlinks>
  <drawing r:id="rId23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63"/>
    <col customWidth="1" min="2" max="2" width="40.38"/>
    <col customWidth="1" min="3" max="3" width="8.75"/>
    <col customWidth="1" min="4" max="4" width="13.25"/>
    <col customWidth="1" min="5" max="5" width="19.63"/>
    <col customWidth="1" min="6" max="6" width="9.38"/>
    <col customWidth="1" min="7" max="7" width="11.38"/>
    <col customWidth="1" min="8" max="8" width="17.0"/>
  </cols>
  <sheetData>
    <row r="1" ht="15.0" customHeight="1">
      <c r="A1" s="41" t="s">
        <v>2</v>
      </c>
      <c r="B1" s="56" t="s">
        <v>4001</v>
      </c>
      <c r="C1" s="41" t="s">
        <v>4002</v>
      </c>
      <c r="D1" s="41" t="s">
        <v>4003</v>
      </c>
      <c r="E1" s="41" t="s">
        <v>4004</v>
      </c>
      <c r="F1" s="41" t="s">
        <v>4005</v>
      </c>
      <c r="G1" s="41" t="s">
        <v>4006</v>
      </c>
      <c r="H1" s="41" t="s">
        <v>7</v>
      </c>
      <c r="I1" s="44"/>
      <c r="J1" s="44"/>
      <c r="K1" s="44"/>
      <c r="L1" s="44"/>
      <c r="M1" s="44"/>
      <c r="N1" s="44"/>
      <c r="O1" s="44"/>
      <c r="P1" s="44"/>
      <c r="Q1" s="44"/>
      <c r="R1" s="44"/>
      <c r="S1" s="44"/>
      <c r="T1" s="44"/>
      <c r="U1" s="44"/>
      <c r="V1" s="44"/>
      <c r="W1" s="44"/>
      <c r="X1" s="44"/>
      <c r="Y1" s="44"/>
      <c r="Z1" s="44"/>
    </row>
    <row r="2">
      <c r="A2" s="1" t="s">
        <v>4007</v>
      </c>
      <c r="B2" s="46" t="s">
        <v>4008</v>
      </c>
      <c r="C2" s="1" t="s">
        <v>4009</v>
      </c>
      <c r="D2" s="58">
        <v>45966.0</v>
      </c>
      <c r="E2" s="1">
        <v>7.0</v>
      </c>
      <c r="F2" s="1" t="s">
        <v>4010</v>
      </c>
      <c r="G2" s="58">
        <v>45967.0</v>
      </c>
      <c r="H2" s="2"/>
      <c r="I2" s="2"/>
      <c r="J2" s="2"/>
      <c r="K2" s="2"/>
      <c r="L2" s="2"/>
      <c r="M2" s="2"/>
      <c r="N2" s="2"/>
      <c r="O2" s="2"/>
      <c r="P2" s="2"/>
      <c r="Q2" s="2"/>
      <c r="R2" s="2"/>
      <c r="S2" s="2"/>
      <c r="T2" s="2"/>
      <c r="U2" s="2"/>
      <c r="V2" s="2"/>
      <c r="W2" s="2"/>
      <c r="X2" s="2"/>
      <c r="Y2" s="2"/>
      <c r="Z2" s="2"/>
    </row>
    <row r="3">
      <c r="A3" s="1" t="s">
        <v>4007</v>
      </c>
      <c r="B3" s="46" t="s">
        <v>4011</v>
      </c>
      <c r="C3" s="1" t="s">
        <v>4012</v>
      </c>
      <c r="D3" s="58">
        <v>45965.0</v>
      </c>
      <c r="E3" s="1">
        <v>7.0</v>
      </c>
      <c r="F3" s="1" t="s">
        <v>4010</v>
      </c>
      <c r="G3" s="58">
        <v>45967.0</v>
      </c>
      <c r="H3" s="2"/>
      <c r="I3" s="2"/>
      <c r="J3" s="2"/>
      <c r="K3" s="2"/>
      <c r="L3" s="2"/>
      <c r="M3" s="2"/>
      <c r="N3" s="2"/>
      <c r="O3" s="2"/>
      <c r="P3" s="2"/>
      <c r="Q3" s="2"/>
      <c r="R3" s="2"/>
      <c r="S3" s="2"/>
      <c r="T3" s="2"/>
      <c r="U3" s="2"/>
      <c r="V3" s="2"/>
      <c r="W3" s="2"/>
      <c r="X3" s="2"/>
      <c r="Y3" s="2"/>
      <c r="Z3" s="2"/>
    </row>
    <row r="4">
      <c r="A4" s="1" t="s">
        <v>4013</v>
      </c>
      <c r="B4" s="46" t="s">
        <v>4014</v>
      </c>
      <c r="C4" s="1" t="s">
        <v>2079</v>
      </c>
      <c r="D4" s="58">
        <v>45967.0</v>
      </c>
      <c r="E4" s="1">
        <v>7.0</v>
      </c>
      <c r="F4" s="1" t="s">
        <v>4010</v>
      </c>
      <c r="G4" s="58">
        <v>45967.0</v>
      </c>
      <c r="H4" s="2"/>
      <c r="I4" s="2"/>
      <c r="J4" s="2"/>
      <c r="K4" s="2"/>
      <c r="L4" s="2"/>
      <c r="M4" s="2"/>
      <c r="N4" s="2"/>
      <c r="O4" s="2"/>
      <c r="P4" s="2"/>
      <c r="Q4" s="2"/>
      <c r="R4" s="2"/>
      <c r="S4" s="2"/>
      <c r="T4" s="2"/>
      <c r="U4" s="2"/>
      <c r="V4" s="2"/>
      <c r="W4" s="2"/>
      <c r="X4" s="2"/>
      <c r="Y4" s="2"/>
      <c r="Z4" s="2"/>
    </row>
    <row r="5">
      <c r="A5" s="1" t="s">
        <v>4015</v>
      </c>
      <c r="B5" s="46" t="s">
        <v>4016</v>
      </c>
      <c r="C5" s="1">
        <v>54777.0</v>
      </c>
      <c r="D5" s="58">
        <v>45967.0</v>
      </c>
      <c r="E5" s="1">
        <v>10.0</v>
      </c>
      <c r="F5" s="1" t="s">
        <v>4010</v>
      </c>
      <c r="G5" s="58">
        <v>45967.0</v>
      </c>
      <c r="H5" s="2"/>
      <c r="I5" s="2"/>
      <c r="J5" s="2"/>
      <c r="K5" s="2"/>
      <c r="L5" s="2"/>
      <c r="M5" s="2"/>
      <c r="N5" s="2"/>
      <c r="O5" s="2"/>
      <c r="P5" s="2"/>
      <c r="Q5" s="2"/>
      <c r="R5" s="2"/>
      <c r="S5" s="2"/>
      <c r="T5" s="2"/>
      <c r="U5" s="2"/>
      <c r="V5" s="2"/>
      <c r="W5" s="2"/>
      <c r="X5" s="2"/>
      <c r="Y5" s="2"/>
      <c r="Z5" s="2"/>
    </row>
    <row r="6">
      <c r="A6" s="1" t="s">
        <v>192</v>
      </c>
      <c r="B6" s="46" t="s">
        <v>4017</v>
      </c>
      <c r="C6" s="1" t="s">
        <v>4018</v>
      </c>
      <c r="D6" s="58">
        <v>45967.0</v>
      </c>
      <c r="E6" s="1">
        <v>1.0</v>
      </c>
      <c r="F6" s="1" t="s">
        <v>4010</v>
      </c>
      <c r="G6" s="58">
        <v>45967.0</v>
      </c>
      <c r="H6" s="2"/>
      <c r="I6" s="2"/>
      <c r="J6" s="2"/>
      <c r="K6" s="2"/>
      <c r="L6" s="2"/>
      <c r="M6" s="2"/>
      <c r="N6" s="2"/>
      <c r="O6" s="2"/>
      <c r="P6" s="2"/>
      <c r="Q6" s="2"/>
      <c r="R6" s="2"/>
      <c r="S6" s="2"/>
      <c r="T6" s="2"/>
      <c r="U6" s="2"/>
      <c r="V6" s="2"/>
      <c r="W6" s="2"/>
      <c r="X6" s="2"/>
      <c r="Y6" s="2"/>
      <c r="Z6" s="2"/>
    </row>
    <row r="7">
      <c r="A7" s="1" t="s">
        <v>220</v>
      </c>
      <c r="B7" s="4" t="s">
        <v>4019</v>
      </c>
      <c r="C7" s="1" t="s">
        <v>4020</v>
      </c>
      <c r="D7" s="58">
        <v>45967.0</v>
      </c>
      <c r="E7" s="1">
        <v>1.0</v>
      </c>
      <c r="F7" s="1" t="s">
        <v>3957</v>
      </c>
      <c r="G7" s="58">
        <v>45967.0</v>
      </c>
      <c r="H7" s="1" t="s">
        <v>4021</v>
      </c>
      <c r="I7" s="2"/>
      <c r="J7" s="2"/>
      <c r="K7" s="2"/>
      <c r="L7" s="2"/>
      <c r="M7" s="2"/>
      <c r="N7" s="2"/>
      <c r="O7" s="2"/>
      <c r="P7" s="2"/>
      <c r="Q7" s="2"/>
      <c r="R7" s="2"/>
      <c r="S7" s="2"/>
      <c r="T7" s="2"/>
      <c r="U7" s="2"/>
      <c r="V7" s="2"/>
      <c r="W7" s="2"/>
      <c r="X7" s="2"/>
      <c r="Y7" s="2"/>
      <c r="Z7" s="2"/>
    </row>
    <row r="8">
      <c r="A8" s="1" t="s">
        <v>161</v>
      </c>
      <c r="B8" s="46" t="s">
        <v>4022</v>
      </c>
      <c r="C8" s="1">
        <v>17791.0</v>
      </c>
      <c r="D8" s="58">
        <v>45967.0</v>
      </c>
      <c r="E8" s="1">
        <v>1.0</v>
      </c>
      <c r="F8" s="1" t="s">
        <v>3957</v>
      </c>
      <c r="G8" s="58">
        <v>45967.0</v>
      </c>
      <c r="H8" s="2"/>
      <c r="I8" s="2"/>
      <c r="J8" s="2"/>
      <c r="K8" s="2"/>
      <c r="L8" s="2"/>
      <c r="M8" s="2"/>
      <c r="N8" s="2"/>
      <c r="O8" s="2"/>
      <c r="P8" s="2"/>
      <c r="Q8" s="2"/>
      <c r="R8" s="2"/>
      <c r="S8" s="2"/>
      <c r="T8" s="2"/>
      <c r="U8" s="2"/>
      <c r="V8" s="2"/>
      <c r="W8" s="2"/>
      <c r="X8" s="2"/>
      <c r="Y8" s="2"/>
      <c r="Z8" s="2"/>
    </row>
    <row r="9">
      <c r="A9" s="1" t="s">
        <v>405</v>
      </c>
      <c r="B9" s="46" t="s">
        <v>4023</v>
      </c>
      <c r="C9" s="1" t="s">
        <v>4024</v>
      </c>
      <c r="D9" s="58">
        <v>45967.0</v>
      </c>
      <c r="E9" s="1">
        <v>10.0</v>
      </c>
      <c r="F9" s="1" t="s">
        <v>4010</v>
      </c>
      <c r="G9" s="58">
        <v>45967.0</v>
      </c>
      <c r="H9" s="2"/>
      <c r="I9" s="2"/>
      <c r="J9" s="2"/>
      <c r="K9" s="2"/>
      <c r="L9" s="2"/>
      <c r="M9" s="2"/>
      <c r="N9" s="2"/>
      <c r="O9" s="2"/>
      <c r="P9" s="2"/>
      <c r="Q9" s="2"/>
      <c r="R9" s="2"/>
      <c r="S9" s="2"/>
      <c r="T9" s="2"/>
      <c r="U9" s="2"/>
      <c r="V9" s="2"/>
      <c r="W9" s="2"/>
      <c r="X9" s="2"/>
      <c r="Y9" s="2"/>
      <c r="Z9" s="2"/>
    </row>
    <row r="10">
      <c r="A10" s="1" t="s">
        <v>405</v>
      </c>
      <c r="B10" s="46" t="s">
        <v>4025</v>
      </c>
      <c r="C10" s="1" t="s">
        <v>4026</v>
      </c>
      <c r="D10" s="58">
        <v>45967.0</v>
      </c>
      <c r="E10" s="1">
        <v>10.0</v>
      </c>
      <c r="F10" s="1" t="s">
        <v>4010</v>
      </c>
      <c r="G10" s="58">
        <v>45967.0</v>
      </c>
      <c r="H10" s="2"/>
      <c r="I10" s="2"/>
      <c r="J10" s="2"/>
      <c r="K10" s="2"/>
      <c r="L10" s="2"/>
      <c r="M10" s="2"/>
      <c r="N10" s="2"/>
      <c r="O10" s="2"/>
      <c r="P10" s="2"/>
      <c r="Q10" s="2"/>
      <c r="R10" s="2"/>
      <c r="S10" s="2"/>
      <c r="T10" s="2"/>
      <c r="U10" s="2"/>
      <c r="V10" s="2"/>
      <c r="W10" s="2"/>
      <c r="X10" s="2"/>
      <c r="Y10" s="2"/>
      <c r="Z10" s="2"/>
    </row>
    <row r="11">
      <c r="A11" s="1" t="s">
        <v>405</v>
      </c>
      <c r="B11" s="46" t="s">
        <v>4027</v>
      </c>
      <c r="C11" s="1" t="s">
        <v>4028</v>
      </c>
      <c r="D11" s="45">
        <v>45975.0</v>
      </c>
      <c r="E11" s="1">
        <v>1.0</v>
      </c>
      <c r="F11" s="1" t="s">
        <v>3957</v>
      </c>
      <c r="G11" s="45">
        <v>45975.0</v>
      </c>
      <c r="H11" s="2"/>
      <c r="I11" s="2"/>
      <c r="J11" s="2"/>
      <c r="K11" s="2"/>
      <c r="L11" s="2"/>
      <c r="M11" s="2"/>
      <c r="N11" s="2"/>
      <c r="O11" s="2"/>
      <c r="P11" s="2"/>
      <c r="Q11" s="2"/>
      <c r="R11" s="2"/>
      <c r="S11" s="2"/>
      <c r="T11" s="2"/>
      <c r="U11" s="2"/>
      <c r="V11" s="2"/>
      <c r="W11" s="2"/>
      <c r="X11" s="2"/>
      <c r="Y11" s="2"/>
      <c r="Z11" s="2"/>
    </row>
    <row r="12">
      <c r="A12" s="2"/>
      <c r="B12" s="10"/>
      <c r="C12" s="2"/>
      <c r="D12" s="2"/>
      <c r="E12" s="2"/>
      <c r="F12" s="2"/>
      <c r="G12" s="2"/>
      <c r="H12" s="2"/>
      <c r="I12" s="2"/>
      <c r="J12" s="2"/>
      <c r="K12" s="2"/>
      <c r="L12" s="2"/>
      <c r="M12" s="2"/>
      <c r="N12" s="2"/>
      <c r="O12" s="2"/>
      <c r="P12" s="2"/>
      <c r="Q12" s="2"/>
      <c r="R12" s="2"/>
      <c r="S12" s="2"/>
      <c r="T12" s="2"/>
      <c r="U12" s="2"/>
      <c r="V12" s="2"/>
      <c r="W12" s="2"/>
      <c r="X12" s="2"/>
      <c r="Y12" s="2"/>
      <c r="Z12" s="2"/>
    </row>
    <row r="13">
      <c r="A13" s="2"/>
      <c r="B13" s="10"/>
      <c r="C13" s="2"/>
      <c r="D13" s="2"/>
      <c r="E13" s="2"/>
      <c r="F13" s="2"/>
      <c r="G13" s="2"/>
      <c r="H13" s="2"/>
      <c r="I13" s="2"/>
      <c r="J13" s="2"/>
      <c r="K13" s="2"/>
      <c r="L13" s="2"/>
      <c r="M13" s="2"/>
      <c r="N13" s="2"/>
      <c r="O13" s="2"/>
      <c r="P13" s="2"/>
      <c r="Q13" s="2"/>
      <c r="R13" s="2"/>
      <c r="S13" s="2"/>
      <c r="T13" s="2"/>
      <c r="U13" s="2"/>
      <c r="V13" s="2"/>
      <c r="W13" s="2"/>
      <c r="X13" s="2"/>
      <c r="Y13" s="2"/>
      <c r="Z13" s="2"/>
    </row>
    <row r="14">
      <c r="A14" s="2"/>
      <c r="B14" s="10"/>
      <c r="C14" s="2"/>
      <c r="D14" s="2"/>
      <c r="E14" s="2"/>
      <c r="F14" s="2"/>
      <c r="G14" s="2"/>
      <c r="H14" s="2"/>
      <c r="I14" s="2"/>
      <c r="J14" s="2"/>
      <c r="K14" s="2"/>
      <c r="L14" s="2"/>
      <c r="M14" s="2"/>
      <c r="N14" s="2"/>
      <c r="O14" s="2"/>
      <c r="P14" s="2"/>
      <c r="Q14" s="2"/>
      <c r="R14" s="2"/>
      <c r="S14" s="2"/>
      <c r="T14" s="2"/>
      <c r="U14" s="2"/>
      <c r="V14" s="2"/>
      <c r="W14" s="2"/>
      <c r="X14" s="2"/>
      <c r="Y14" s="2"/>
      <c r="Z14" s="2"/>
    </row>
    <row r="15">
      <c r="A15" s="2"/>
      <c r="B15" s="10"/>
      <c r="C15" s="2"/>
      <c r="D15" s="2"/>
      <c r="E15" s="2"/>
      <c r="F15" s="2"/>
      <c r="G15" s="2"/>
      <c r="H15" s="2"/>
      <c r="I15" s="2"/>
      <c r="J15" s="2"/>
      <c r="K15" s="2"/>
      <c r="L15" s="2"/>
      <c r="M15" s="2"/>
      <c r="N15" s="2"/>
      <c r="O15" s="2"/>
      <c r="P15" s="2"/>
      <c r="Q15" s="2"/>
      <c r="R15" s="2"/>
      <c r="S15" s="2"/>
      <c r="T15" s="2"/>
      <c r="U15" s="2"/>
      <c r="V15" s="2"/>
      <c r="W15" s="2"/>
      <c r="X15" s="2"/>
      <c r="Y15" s="2"/>
      <c r="Z15" s="2"/>
    </row>
    <row r="16">
      <c r="A16" s="2"/>
      <c r="B16" s="10"/>
      <c r="C16" s="2"/>
      <c r="D16" s="2"/>
      <c r="E16" s="2"/>
      <c r="F16" s="2"/>
      <c r="G16" s="2"/>
      <c r="H16" s="2"/>
      <c r="I16" s="2"/>
      <c r="J16" s="2"/>
      <c r="K16" s="2"/>
      <c r="L16" s="2"/>
      <c r="M16" s="2"/>
      <c r="N16" s="2"/>
      <c r="O16" s="2"/>
      <c r="P16" s="2"/>
      <c r="Q16" s="2"/>
      <c r="R16" s="2"/>
      <c r="S16" s="2"/>
      <c r="T16" s="2"/>
      <c r="U16" s="2"/>
      <c r="V16" s="2"/>
      <c r="W16" s="2"/>
      <c r="X16" s="2"/>
      <c r="Y16" s="2"/>
      <c r="Z16" s="2"/>
    </row>
    <row r="17">
      <c r="A17" s="2"/>
      <c r="B17" s="10"/>
      <c r="C17" s="2"/>
      <c r="D17" s="2"/>
      <c r="E17" s="2"/>
      <c r="F17" s="2"/>
      <c r="G17" s="2"/>
      <c r="H17" s="2"/>
      <c r="I17" s="2"/>
      <c r="J17" s="2"/>
      <c r="K17" s="2"/>
      <c r="L17" s="2"/>
      <c r="M17" s="2"/>
      <c r="N17" s="2"/>
      <c r="O17" s="2"/>
      <c r="P17" s="2"/>
      <c r="Q17" s="2"/>
      <c r="R17" s="2"/>
      <c r="S17" s="2"/>
      <c r="T17" s="2"/>
      <c r="U17" s="2"/>
      <c r="V17" s="2"/>
      <c r="W17" s="2"/>
      <c r="X17" s="2"/>
      <c r="Y17" s="2"/>
      <c r="Z17" s="2"/>
    </row>
    <row r="18">
      <c r="A18" s="2"/>
      <c r="B18" s="10"/>
      <c r="C18" s="2"/>
      <c r="D18" s="2"/>
      <c r="E18" s="2"/>
      <c r="F18" s="2"/>
      <c r="G18" s="2"/>
      <c r="H18" s="2"/>
      <c r="I18" s="2"/>
      <c r="J18" s="2"/>
      <c r="K18" s="2"/>
      <c r="L18" s="2"/>
      <c r="M18" s="2"/>
      <c r="N18" s="2"/>
      <c r="O18" s="2"/>
      <c r="P18" s="2"/>
      <c r="Q18" s="2"/>
      <c r="R18" s="2"/>
      <c r="S18" s="2"/>
      <c r="T18" s="2"/>
      <c r="U18" s="2"/>
      <c r="V18" s="2"/>
      <c r="W18" s="2"/>
      <c r="X18" s="2"/>
      <c r="Y18" s="2"/>
      <c r="Z18" s="2"/>
    </row>
    <row r="19">
      <c r="A19" s="2"/>
      <c r="B19" s="10"/>
      <c r="C19" s="2"/>
      <c r="D19" s="2"/>
      <c r="E19" s="2"/>
      <c r="F19" s="2"/>
      <c r="G19" s="2"/>
      <c r="H19" s="2"/>
      <c r="I19" s="2"/>
      <c r="J19" s="2"/>
      <c r="K19" s="2"/>
      <c r="L19" s="2"/>
      <c r="M19" s="2"/>
      <c r="N19" s="2"/>
      <c r="O19" s="2"/>
      <c r="P19" s="2"/>
      <c r="Q19" s="2"/>
      <c r="R19" s="2"/>
      <c r="S19" s="2"/>
      <c r="T19" s="2"/>
      <c r="U19" s="2"/>
      <c r="V19" s="2"/>
      <c r="W19" s="2"/>
      <c r="X19" s="2"/>
      <c r="Y19" s="2"/>
      <c r="Z19" s="2"/>
    </row>
    <row r="20">
      <c r="A20" s="2"/>
      <c r="B20" s="10"/>
      <c r="C20" s="2"/>
      <c r="D20" s="2"/>
      <c r="E20" s="2"/>
      <c r="F20" s="2"/>
      <c r="G20" s="2"/>
      <c r="H20" s="2"/>
      <c r="I20" s="2"/>
      <c r="J20" s="2"/>
      <c r="K20" s="2"/>
      <c r="L20" s="2"/>
      <c r="M20" s="2"/>
      <c r="N20" s="2"/>
      <c r="O20" s="2"/>
      <c r="P20" s="2"/>
      <c r="Q20" s="2"/>
      <c r="R20" s="2"/>
      <c r="S20" s="2"/>
      <c r="T20" s="2"/>
      <c r="U20" s="2"/>
      <c r="V20" s="2"/>
      <c r="W20" s="2"/>
      <c r="X20" s="2"/>
      <c r="Y20" s="2"/>
      <c r="Z20" s="2"/>
    </row>
    <row r="21">
      <c r="A21" s="2"/>
      <c r="B21" s="10"/>
      <c r="C21" s="2"/>
      <c r="D21" s="2"/>
      <c r="E21" s="2"/>
      <c r="F21" s="2"/>
      <c r="G21" s="2"/>
      <c r="H21" s="2"/>
      <c r="I21" s="2"/>
      <c r="J21" s="2"/>
      <c r="K21" s="2"/>
      <c r="L21" s="2"/>
      <c r="M21" s="2"/>
      <c r="N21" s="2"/>
      <c r="O21" s="2"/>
      <c r="P21" s="2"/>
      <c r="Q21" s="2"/>
      <c r="R21" s="2"/>
      <c r="S21" s="2"/>
      <c r="T21" s="2"/>
      <c r="U21" s="2"/>
      <c r="V21" s="2"/>
      <c r="W21" s="2"/>
      <c r="X21" s="2"/>
      <c r="Y21" s="2"/>
      <c r="Z21" s="2"/>
    </row>
    <row r="22">
      <c r="A22" s="2"/>
      <c r="B22" s="10"/>
      <c r="C22" s="2"/>
      <c r="D22" s="2"/>
      <c r="E22" s="2"/>
      <c r="F22" s="2"/>
      <c r="G22" s="2"/>
      <c r="H22" s="2"/>
      <c r="I22" s="2"/>
      <c r="J22" s="2"/>
      <c r="K22" s="2"/>
      <c r="L22" s="2"/>
      <c r="M22" s="2"/>
      <c r="N22" s="2"/>
      <c r="O22" s="2"/>
      <c r="P22" s="2"/>
      <c r="Q22" s="2"/>
      <c r="R22" s="2"/>
      <c r="S22" s="2"/>
      <c r="T22" s="2"/>
      <c r="U22" s="2"/>
      <c r="V22" s="2"/>
      <c r="W22" s="2"/>
      <c r="X22" s="2"/>
      <c r="Y22" s="2"/>
      <c r="Z22" s="2"/>
    </row>
    <row r="23">
      <c r="A23" s="2"/>
      <c r="B23" s="10"/>
      <c r="C23" s="2"/>
      <c r="D23" s="2"/>
      <c r="E23" s="2"/>
      <c r="F23" s="2"/>
      <c r="G23" s="2"/>
      <c r="H23" s="2"/>
      <c r="I23" s="2"/>
      <c r="J23" s="2"/>
      <c r="K23" s="2"/>
      <c r="L23" s="2"/>
      <c r="M23" s="2"/>
      <c r="N23" s="2"/>
      <c r="O23" s="2"/>
      <c r="P23" s="2"/>
      <c r="Q23" s="2"/>
      <c r="R23" s="2"/>
      <c r="S23" s="2"/>
      <c r="T23" s="2"/>
      <c r="U23" s="2"/>
      <c r="V23" s="2"/>
      <c r="W23" s="2"/>
      <c r="X23" s="2"/>
      <c r="Y23" s="2"/>
      <c r="Z23" s="2"/>
    </row>
    <row r="24">
      <c r="A24" s="2"/>
      <c r="B24" s="10"/>
      <c r="C24" s="2"/>
      <c r="D24" s="2"/>
      <c r="E24" s="2"/>
      <c r="F24" s="2"/>
      <c r="G24" s="2"/>
      <c r="H24" s="2"/>
      <c r="I24" s="2"/>
      <c r="J24" s="2"/>
      <c r="K24" s="2"/>
      <c r="L24" s="2"/>
      <c r="M24" s="2"/>
      <c r="N24" s="2"/>
      <c r="O24" s="2"/>
      <c r="P24" s="2"/>
      <c r="Q24" s="2"/>
      <c r="R24" s="2"/>
      <c r="S24" s="2"/>
      <c r="T24" s="2"/>
      <c r="U24" s="2"/>
      <c r="V24" s="2"/>
      <c r="W24" s="2"/>
      <c r="X24" s="2"/>
      <c r="Y24" s="2"/>
      <c r="Z24" s="2"/>
    </row>
    <row r="25">
      <c r="A25" s="2"/>
      <c r="B25" s="10"/>
      <c r="C25" s="2"/>
      <c r="D25" s="2"/>
      <c r="E25" s="2"/>
      <c r="F25" s="2"/>
      <c r="G25" s="2"/>
      <c r="H25" s="2"/>
      <c r="I25" s="2"/>
      <c r="J25" s="2"/>
      <c r="K25" s="2"/>
      <c r="L25" s="2"/>
      <c r="M25" s="2"/>
      <c r="N25" s="2"/>
      <c r="O25" s="2"/>
      <c r="P25" s="2"/>
      <c r="Q25" s="2"/>
      <c r="R25" s="2"/>
      <c r="S25" s="2"/>
      <c r="T25" s="2"/>
      <c r="U25" s="2"/>
      <c r="V25" s="2"/>
      <c r="W25" s="2"/>
      <c r="X25" s="2"/>
      <c r="Y25" s="2"/>
      <c r="Z25" s="2"/>
    </row>
    <row r="26">
      <c r="A26" s="2"/>
      <c r="B26" s="10"/>
      <c r="C26" s="2"/>
      <c r="D26" s="2"/>
      <c r="E26" s="2"/>
      <c r="F26" s="2"/>
      <c r="G26" s="2"/>
      <c r="H26" s="2"/>
      <c r="I26" s="2"/>
      <c r="J26" s="2"/>
      <c r="K26" s="2"/>
      <c r="L26" s="2"/>
      <c r="M26" s="2"/>
      <c r="N26" s="2"/>
      <c r="O26" s="2"/>
      <c r="P26" s="2"/>
      <c r="Q26" s="2"/>
      <c r="R26" s="2"/>
      <c r="S26" s="2"/>
      <c r="T26" s="2"/>
      <c r="U26" s="2"/>
      <c r="V26" s="2"/>
      <c r="W26" s="2"/>
      <c r="X26" s="2"/>
      <c r="Y26" s="2"/>
      <c r="Z26" s="2"/>
    </row>
    <row r="27">
      <c r="A27" s="2"/>
      <c r="B27" s="10"/>
      <c r="C27" s="2"/>
      <c r="D27" s="2"/>
      <c r="E27" s="2"/>
      <c r="F27" s="2"/>
      <c r="G27" s="2"/>
      <c r="H27" s="2"/>
      <c r="I27" s="2"/>
      <c r="J27" s="2"/>
      <c r="K27" s="2"/>
      <c r="L27" s="2"/>
      <c r="M27" s="2"/>
      <c r="N27" s="2"/>
      <c r="O27" s="2"/>
      <c r="P27" s="2"/>
      <c r="Q27" s="2"/>
      <c r="R27" s="2"/>
      <c r="S27" s="2"/>
      <c r="T27" s="2"/>
      <c r="U27" s="2"/>
      <c r="V27" s="2"/>
      <c r="W27" s="2"/>
      <c r="X27" s="2"/>
      <c r="Y27" s="2"/>
      <c r="Z27" s="2"/>
    </row>
    <row r="28">
      <c r="A28" s="2"/>
      <c r="B28" s="10"/>
      <c r="C28" s="2"/>
      <c r="D28" s="2"/>
      <c r="E28" s="2"/>
      <c r="F28" s="2"/>
      <c r="G28" s="2"/>
      <c r="H28" s="2"/>
      <c r="I28" s="2"/>
      <c r="J28" s="2"/>
      <c r="K28" s="2"/>
      <c r="L28" s="2"/>
      <c r="M28" s="2"/>
      <c r="N28" s="2"/>
      <c r="O28" s="2"/>
      <c r="P28" s="2"/>
      <c r="Q28" s="2"/>
      <c r="R28" s="2"/>
      <c r="S28" s="2"/>
      <c r="T28" s="2"/>
      <c r="U28" s="2"/>
      <c r="V28" s="2"/>
      <c r="W28" s="2"/>
      <c r="X28" s="2"/>
      <c r="Y28" s="2"/>
      <c r="Z28" s="2"/>
    </row>
    <row r="29">
      <c r="A29" s="2"/>
      <c r="B29" s="10"/>
      <c r="C29" s="2"/>
      <c r="D29" s="2"/>
      <c r="E29" s="2"/>
      <c r="F29" s="2"/>
      <c r="G29" s="2"/>
      <c r="H29" s="2"/>
      <c r="I29" s="2"/>
      <c r="J29" s="2"/>
      <c r="K29" s="2"/>
      <c r="L29" s="2"/>
      <c r="M29" s="2"/>
      <c r="N29" s="2"/>
      <c r="O29" s="2"/>
      <c r="P29" s="2"/>
      <c r="Q29" s="2"/>
      <c r="R29" s="2"/>
      <c r="S29" s="2"/>
      <c r="T29" s="2"/>
      <c r="U29" s="2"/>
      <c r="V29" s="2"/>
      <c r="W29" s="2"/>
      <c r="X29" s="2"/>
      <c r="Y29" s="2"/>
      <c r="Z29" s="2"/>
    </row>
    <row r="30">
      <c r="A30" s="2"/>
      <c r="B30" s="10"/>
      <c r="C30" s="2"/>
      <c r="D30" s="2"/>
      <c r="E30" s="2"/>
      <c r="F30" s="2"/>
      <c r="G30" s="2"/>
      <c r="H30" s="2"/>
      <c r="I30" s="2"/>
      <c r="J30" s="2"/>
      <c r="K30" s="2"/>
      <c r="L30" s="2"/>
      <c r="M30" s="2"/>
      <c r="N30" s="2"/>
      <c r="O30" s="2"/>
      <c r="P30" s="2"/>
      <c r="Q30" s="2"/>
      <c r="R30" s="2"/>
      <c r="S30" s="2"/>
      <c r="T30" s="2"/>
      <c r="U30" s="2"/>
      <c r="V30" s="2"/>
      <c r="W30" s="2"/>
      <c r="X30" s="2"/>
      <c r="Y30" s="2"/>
      <c r="Z30" s="2"/>
    </row>
    <row r="31">
      <c r="A31" s="2"/>
      <c r="B31" s="10"/>
      <c r="C31" s="2"/>
      <c r="D31" s="2"/>
      <c r="E31" s="2"/>
      <c r="F31" s="2"/>
      <c r="G31" s="2"/>
      <c r="H31" s="2"/>
      <c r="I31" s="2"/>
      <c r="J31" s="2"/>
      <c r="K31" s="2"/>
      <c r="L31" s="2"/>
      <c r="M31" s="2"/>
      <c r="N31" s="2"/>
      <c r="O31" s="2"/>
      <c r="P31" s="2"/>
      <c r="Q31" s="2"/>
      <c r="R31" s="2"/>
      <c r="S31" s="2"/>
      <c r="T31" s="2"/>
      <c r="U31" s="2"/>
      <c r="V31" s="2"/>
      <c r="W31" s="2"/>
      <c r="X31" s="2"/>
      <c r="Y31" s="2"/>
      <c r="Z31" s="2"/>
    </row>
    <row r="32">
      <c r="A32" s="2"/>
      <c r="B32" s="10"/>
      <c r="C32" s="2"/>
      <c r="D32" s="2"/>
      <c r="E32" s="2"/>
      <c r="F32" s="2"/>
      <c r="G32" s="2"/>
      <c r="H32" s="2"/>
      <c r="I32" s="2"/>
      <c r="J32" s="2"/>
      <c r="K32" s="2"/>
      <c r="L32" s="2"/>
      <c r="M32" s="2"/>
      <c r="N32" s="2"/>
      <c r="O32" s="2"/>
      <c r="P32" s="2"/>
      <c r="Q32" s="2"/>
      <c r="R32" s="2"/>
      <c r="S32" s="2"/>
      <c r="T32" s="2"/>
      <c r="U32" s="2"/>
      <c r="V32" s="2"/>
      <c r="W32" s="2"/>
      <c r="X32" s="2"/>
      <c r="Y32" s="2"/>
      <c r="Z32" s="2"/>
    </row>
    <row r="33">
      <c r="A33" s="2"/>
      <c r="B33" s="10"/>
      <c r="C33" s="2"/>
      <c r="D33" s="2"/>
      <c r="E33" s="2"/>
      <c r="F33" s="2"/>
      <c r="G33" s="2"/>
      <c r="H33" s="2"/>
      <c r="I33" s="2"/>
      <c r="J33" s="2"/>
      <c r="K33" s="2"/>
      <c r="L33" s="2"/>
      <c r="M33" s="2"/>
      <c r="N33" s="2"/>
      <c r="O33" s="2"/>
      <c r="P33" s="2"/>
      <c r="Q33" s="2"/>
      <c r="R33" s="2"/>
      <c r="S33" s="2"/>
      <c r="T33" s="2"/>
      <c r="U33" s="2"/>
      <c r="V33" s="2"/>
      <c r="W33" s="2"/>
      <c r="X33" s="2"/>
      <c r="Y33" s="2"/>
      <c r="Z33" s="2"/>
    </row>
    <row r="34">
      <c r="A34" s="2"/>
      <c r="B34" s="10"/>
      <c r="C34" s="2"/>
      <c r="D34" s="2"/>
      <c r="E34" s="2"/>
      <c r="F34" s="2"/>
      <c r="G34" s="2"/>
      <c r="H34" s="2"/>
      <c r="I34" s="2"/>
      <c r="J34" s="2"/>
      <c r="K34" s="2"/>
      <c r="L34" s="2"/>
      <c r="M34" s="2"/>
      <c r="N34" s="2"/>
      <c r="O34" s="2"/>
      <c r="P34" s="2"/>
      <c r="Q34" s="2"/>
      <c r="R34" s="2"/>
      <c r="S34" s="2"/>
      <c r="T34" s="2"/>
      <c r="U34" s="2"/>
      <c r="V34" s="2"/>
      <c r="W34" s="2"/>
      <c r="X34" s="2"/>
      <c r="Y34" s="2"/>
      <c r="Z34" s="2"/>
    </row>
    <row r="35">
      <c r="A35" s="2"/>
      <c r="B35" s="10"/>
      <c r="C35" s="2"/>
      <c r="D35" s="2"/>
      <c r="E35" s="2"/>
      <c r="F35" s="2"/>
      <c r="G35" s="2"/>
      <c r="H35" s="2"/>
      <c r="I35" s="2"/>
      <c r="J35" s="2"/>
      <c r="K35" s="2"/>
      <c r="L35" s="2"/>
      <c r="M35" s="2"/>
      <c r="N35" s="2"/>
      <c r="O35" s="2"/>
      <c r="P35" s="2"/>
      <c r="Q35" s="2"/>
      <c r="R35" s="2"/>
      <c r="S35" s="2"/>
      <c r="T35" s="2"/>
      <c r="U35" s="2"/>
      <c r="V35" s="2"/>
      <c r="W35" s="2"/>
      <c r="X35" s="2"/>
      <c r="Y35" s="2"/>
      <c r="Z35" s="2"/>
    </row>
    <row r="36">
      <c r="A36" s="2"/>
      <c r="B36" s="10"/>
      <c r="C36" s="2"/>
      <c r="D36" s="2"/>
      <c r="E36" s="2"/>
      <c r="F36" s="2"/>
      <c r="G36" s="2"/>
      <c r="H36" s="2"/>
      <c r="I36" s="2"/>
      <c r="J36" s="2"/>
      <c r="K36" s="2"/>
      <c r="L36" s="2"/>
      <c r="M36" s="2"/>
      <c r="N36" s="2"/>
      <c r="O36" s="2"/>
      <c r="P36" s="2"/>
      <c r="Q36" s="2"/>
      <c r="R36" s="2"/>
      <c r="S36" s="2"/>
      <c r="T36" s="2"/>
      <c r="U36" s="2"/>
      <c r="V36" s="2"/>
      <c r="W36" s="2"/>
      <c r="X36" s="2"/>
      <c r="Y36" s="2"/>
      <c r="Z36" s="2"/>
    </row>
    <row r="37">
      <c r="A37" s="2"/>
      <c r="B37" s="10"/>
      <c r="C37" s="2"/>
      <c r="D37" s="2"/>
      <c r="E37" s="2"/>
      <c r="F37" s="2"/>
      <c r="G37" s="2"/>
      <c r="H37" s="2"/>
      <c r="I37" s="2"/>
      <c r="J37" s="2"/>
      <c r="K37" s="2"/>
      <c r="L37" s="2"/>
      <c r="M37" s="2"/>
      <c r="N37" s="2"/>
      <c r="O37" s="2"/>
      <c r="P37" s="2"/>
      <c r="Q37" s="2"/>
      <c r="R37" s="2"/>
      <c r="S37" s="2"/>
      <c r="T37" s="2"/>
      <c r="U37" s="2"/>
      <c r="V37" s="2"/>
      <c r="W37" s="2"/>
      <c r="X37" s="2"/>
      <c r="Y37" s="2"/>
      <c r="Z37" s="2"/>
    </row>
    <row r="38">
      <c r="A38" s="2"/>
      <c r="B38" s="10"/>
      <c r="C38" s="2"/>
      <c r="D38" s="2"/>
      <c r="E38" s="2"/>
      <c r="F38" s="2"/>
      <c r="G38" s="2"/>
      <c r="H38" s="2"/>
      <c r="I38" s="2"/>
      <c r="J38" s="2"/>
      <c r="K38" s="2"/>
      <c r="L38" s="2"/>
      <c r="M38" s="2"/>
      <c r="N38" s="2"/>
      <c r="O38" s="2"/>
      <c r="P38" s="2"/>
      <c r="Q38" s="2"/>
      <c r="R38" s="2"/>
      <c r="S38" s="2"/>
      <c r="T38" s="2"/>
      <c r="U38" s="2"/>
      <c r="V38" s="2"/>
      <c r="W38" s="2"/>
      <c r="X38" s="2"/>
      <c r="Y38" s="2"/>
      <c r="Z38" s="2"/>
    </row>
    <row r="39">
      <c r="A39" s="2"/>
      <c r="B39" s="10"/>
      <c r="C39" s="2"/>
      <c r="D39" s="2"/>
      <c r="E39" s="2"/>
      <c r="F39" s="2"/>
      <c r="G39" s="2"/>
      <c r="H39" s="2"/>
      <c r="I39" s="2"/>
      <c r="J39" s="2"/>
      <c r="K39" s="2"/>
      <c r="L39" s="2"/>
      <c r="M39" s="2"/>
      <c r="N39" s="2"/>
      <c r="O39" s="2"/>
      <c r="P39" s="2"/>
      <c r="Q39" s="2"/>
      <c r="R39" s="2"/>
      <c r="S39" s="2"/>
      <c r="T39" s="2"/>
      <c r="U39" s="2"/>
      <c r="V39" s="2"/>
      <c r="W39" s="2"/>
      <c r="X39" s="2"/>
      <c r="Y39" s="2"/>
      <c r="Z39" s="2"/>
    </row>
    <row r="40">
      <c r="A40" s="2"/>
      <c r="B40" s="10"/>
      <c r="C40" s="2"/>
      <c r="D40" s="2"/>
      <c r="E40" s="2"/>
      <c r="F40" s="2"/>
      <c r="G40" s="2"/>
      <c r="H40" s="2"/>
      <c r="I40" s="2"/>
      <c r="J40" s="2"/>
      <c r="K40" s="2"/>
      <c r="L40" s="2"/>
      <c r="M40" s="2"/>
      <c r="N40" s="2"/>
      <c r="O40" s="2"/>
      <c r="P40" s="2"/>
      <c r="Q40" s="2"/>
      <c r="R40" s="2"/>
      <c r="S40" s="2"/>
      <c r="T40" s="2"/>
      <c r="U40" s="2"/>
      <c r="V40" s="2"/>
      <c r="W40" s="2"/>
      <c r="X40" s="2"/>
      <c r="Y40" s="2"/>
      <c r="Z40" s="2"/>
    </row>
    <row r="41">
      <c r="A41" s="2"/>
      <c r="B41" s="10"/>
      <c r="C41" s="2"/>
      <c r="D41" s="2"/>
      <c r="E41" s="2"/>
      <c r="F41" s="2"/>
      <c r="G41" s="2"/>
      <c r="H41" s="2"/>
      <c r="I41" s="2"/>
      <c r="J41" s="2"/>
      <c r="K41" s="2"/>
      <c r="L41" s="2"/>
      <c r="M41" s="2"/>
      <c r="N41" s="2"/>
      <c r="O41" s="2"/>
      <c r="P41" s="2"/>
      <c r="Q41" s="2"/>
      <c r="R41" s="2"/>
      <c r="S41" s="2"/>
      <c r="T41" s="2"/>
      <c r="U41" s="2"/>
      <c r="V41" s="2"/>
      <c r="W41" s="2"/>
      <c r="X41" s="2"/>
      <c r="Y41" s="2"/>
      <c r="Z41" s="2"/>
    </row>
    <row r="42">
      <c r="A42" s="2"/>
      <c r="B42" s="10"/>
      <c r="C42" s="2"/>
      <c r="D42" s="2"/>
      <c r="E42" s="2"/>
      <c r="F42" s="2"/>
      <c r="G42" s="2"/>
      <c r="H42" s="2"/>
      <c r="I42" s="2"/>
      <c r="J42" s="2"/>
      <c r="K42" s="2"/>
      <c r="L42" s="2"/>
      <c r="M42" s="2"/>
      <c r="N42" s="2"/>
      <c r="O42" s="2"/>
      <c r="P42" s="2"/>
      <c r="Q42" s="2"/>
      <c r="R42" s="2"/>
      <c r="S42" s="2"/>
      <c r="T42" s="2"/>
      <c r="U42" s="2"/>
      <c r="V42" s="2"/>
      <c r="W42" s="2"/>
      <c r="X42" s="2"/>
      <c r="Y42" s="2"/>
      <c r="Z42" s="2"/>
    </row>
    <row r="43">
      <c r="A43" s="2"/>
      <c r="B43" s="10"/>
      <c r="C43" s="2"/>
      <c r="D43" s="2"/>
      <c r="E43" s="2"/>
      <c r="F43" s="2"/>
      <c r="G43" s="2"/>
      <c r="H43" s="2"/>
      <c r="I43" s="2"/>
      <c r="J43" s="2"/>
      <c r="K43" s="2"/>
      <c r="L43" s="2"/>
      <c r="M43" s="2"/>
      <c r="N43" s="2"/>
      <c r="O43" s="2"/>
      <c r="P43" s="2"/>
      <c r="Q43" s="2"/>
      <c r="R43" s="2"/>
      <c r="S43" s="2"/>
      <c r="T43" s="2"/>
      <c r="U43" s="2"/>
      <c r="V43" s="2"/>
      <c r="W43" s="2"/>
      <c r="X43" s="2"/>
      <c r="Y43" s="2"/>
      <c r="Z43" s="2"/>
    </row>
    <row r="44">
      <c r="A44" s="2"/>
      <c r="B44" s="10"/>
      <c r="C44" s="2"/>
      <c r="D44" s="2"/>
      <c r="E44" s="2"/>
      <c r="F44" s="2"/>
      <c r="G44" s="2"/>
      <c r="H44" s="2"/>
      <c r="I44" s="2"/>
      <c r="J44" s="2"/>
      <c r="K44" s="2"/>
      <c r="L44" s="2"/>
      <c r="M44" s="2"/>
      <c r="N44" s="2"/>
      <c r="O44" s="2"/>
      <c r="P44" s="2"/>
      <c r="Q44" s="2"/>
      <c r="R44" s="2"/>
      <c r="S44" s="2"/>
      <c r="T44" s="2"/>
      <c r="U44" s="2"/>
      <c r="V44" s="2"/>
      <c r="W44" s="2"/>
      <c r="X44" s="2"/>
      <c r="Y44" s="2"/>
      <c r="Z44" s="2"/>
    </row>
    <row r="45">
      <c r="A45" s="2"/>
      <c r="B45" s="10"/>
      <c r="C45" s="2"/>
      <c r="D45" s="2"/>
      <c r="E45" s="2"/>
      <c r="F45" s="2"/>
      <c r="G45" s="2"/>
      <c r="H45" s="2"/>
      <c r="I45" s="2"/>
      <c r="J45" s="2"/>
      <c r="K45" s="2"/>
      <c r="L45" s="2"/>
      <c r="M45" s="2"/>
      <c r="N45" s="2"/>
      <c r="O45" s="2"/>
      <c r="P45" s="2"/>
      <c r="Q45" s="2"/>
      <c r="R45" s="2"/>
      <c r="S45" s="2"/>
      <c r="T45" s="2"/>
      <c r="U45" s="2"/>
      <c r="V45" s="2"/>
      <c r="W45" s="2"/>
      <c r="X45" s="2"/>
      <c r="Y45" s="2"/>
      <c r="Z45" s="2"/>
    </row>
    <row r="46">
      <c r="A46" s="2"/>
      <c r="B46" s="10"/>
      <c r="C46" s="2"/>
      <c r="D46" s="2"/>
      <c r="E46" s="2"/>
      <c r="F46" s="2"/>
      <c r="G46" s="2"/>
      <c r="H46" s="2"/>
      <c r="I46" s="2"/>
      <c r="J46" s="2"/>
      <c r="K46" s="2"/>
      <c r="L46" s="2"/>
      <c r="M46" s="2"/>
      <c r="N46" s="2"/>
      <c r="O46" s="2"/>
      <c r="P46" s="2"/>
      <c r="Q46" s="2"/>
      <c r="R46" s="2"/>
      <c r="S46" s="2"/>
      <c r="T46" s="2"/>
      <c r="U46" s="2"/>
      <c r="V46" s="2"/>
      <c r="W46" s="2"/>
      <c r="X46" s="2"/>
      <c r="Y46" s="2"/>
      <c r="Z46" s="2"/>
    </row>
    <row r="47">
      <c r="A47" s="2"/>
      <c r="B47" s="10"/>
      <c r="C47" s="2"/>
      <c r="D47" s="2"/>
      <c r="E47" s="2"/>
      <c r="F47" s="2"/>
      <c r="G47" s="2"/>
      <c r="H47" s="2"/>
      <c r="I47" s="2"/>
      <c r="J47" s="2"/>
      <c r="K47" s="2"/>
      <c r="L47" s="2"/>
      <c r="M47" s="2"/>
      <c r="N47" s="2"/>
      <c r="O47" s="2"/>
      <c r="P47" s="2"/>
      <c r="Q47" s="2"/>
      <c r="R47" s="2"/>
      <c r="S47" s="2"/>
      <c r="T47" s="2"/>
      <c r="U47" s="2"/>
      <c r="V47" s="2"/>
      <c r="W47" s="2"/>
      <c r="X47" s="2"/>
      <c r="Y47" s="2"/>
      <c r="Z47" s="2"/>
    </row>
    <row r="48">
      <c r="A48" s="2"/>
      <c r="B48" s="10"/>
      <c r="C48" s="2"/>
      <c r="D48" s="2"/>
      <c r="E48" s="2"/>
      <c r="F48" s="2"/>
      <c r="G48" s="2"/>
      <c r="H48" s="2"/>
      <c r="I48" s="2"/>
      <c r="J48" s="2"/>
      <c r="K48" s="2"/>
      <c r="L48" s="2"/>
      <c r="M48" s="2"/>
      <c r="N48" s="2"/>
      <c r="O48" s="2"/>
      <c r="P48" s="2"/>
      <c r="Q48" s="2"/>
      <c r="R48" s="2"/>
      <c r="S48" s="2"/>
      <c r="T48" s="2"/>
      <c r="U48" s="2"/>
      <c r="V48" s="2"/>
      <c r="W48" s="2"/>
      <c r="X48" s="2"/>
      <c r="Y48" s="2"/>
      <c r="Z48" s="2"/>
    </row>
    <row r="49">
      <c r="A49" s="2"/>
      <c r="B49" s="10"/>
      <c r="C49" s="2"/>
      <c r="D49" s="2"/>
      <c r="E49" s="2"/>
      <c r="F49" s="2"/>
      <c r="G49" s="2"/>
      <c r="H49" s="2"/>
      <c r="I49" s="2"/>
      <c r="J49" s="2"/>
      <c r="K49" s="2"/>
      <c r="L49" s="2"/>
      <c r="M49" s="2"/>
      <c r="N49" s="2"/>
      <c r="O49" s="2"/>
      <c r="P49" s="2"/>
      <c r="Q49" s="2"/>
      <c r="R49" s="2"/>
      <c r="S49" s="2"/>
      <c r="T49" s="2"/>
      <c r="U49" s="2"/>
      <c r="V49" s="2"/>
      <c r="W49" s="2"/>
      <c r="X49" s="2"/>
      <c r="Y49" s="2"/>
      <c r="Z49" s="2"/>
    </row>
    <row r="50">
      <c r="A50" s="2"/>
      <c r="B50" s="10"/>
      <c r="C50" s="2"/>
      <c r="D50" s="2"/>
      <c r="E50" s="2"/>
      <c r="F50" s="2"/>
      <c r="G50" s="2"/>
      <c r="H50" s="2"/>
      <c r="I50" s="2"/>
      <c r="J50" s="2"/>
      <c r="K50" s="2"/>
      <c r="L50" s="2"/>
      <c r="M50" s="2"/>
      <c r="N50" s="2"/>
      <c r="O50" s="2"/>
      <c r="P50" s="2"/>
      <c r="Q50" s="2"/>
      <c r="R50" s="2"/>
      <c r="S50" s="2"/>
      <c r="T50" s="2"/>
      <c r="U50" s="2"/>
      <c r="V50" s="2"/>
      <c r="W50" s="2"/>
      <c r="X50" s="2"/>
      <c r="Y50" s="2"/>
      <c r="Z50" s="2"/>
    </row>
    <row r="51">
      <c r="A51" s="2"/>
      <c r="B51" s="10"/>
      <c r="C51" s="2"/>
      <c r="D51" s="2"/>
      <c r="E51" s="2"/>
      <c r="F51" s="2"/>
      <c r="G51" s="2"/>
      <c r="H51" s="2"/>
      <c r="I51" s="2"/>
      <c r="J51" s="2"/>
      <c r="K51" s="2"/>
      <c r="L51" s="2"/>
      <c r="M51" s="2"/>
      <c r="N51" s="2"/>
      <c r="O51" s="2"/>
      <c r="P51" s="2"/>
      <c r="Q51" s="2"/>
      <c r="R51" s="2"/>
      <c r="S51" s="2"/>
      <c r="T51" s="2"/>
      <c r="U51" s="2"/>
      <c r="V51" s="2"/>
      <c r="W51" s="2"/>
      <c r="X51" s="2"/>
      <c r="Y51" s="2"/>
      <c r="Z51" s="2"/>
    </row>
    <row r="52">
      <c r="A52" s="2"/>
      <c r="B52" s="10"/>
      <c r="C52" s="2"/>
      <c r="D52" s="2"/>
      <c r="E52" s="2"/>
      <c r="F52" s="2"/>
      <c r="G52" s="2"/>
      <c r="H52" s="2"/>
      <c r="I52" s="2"/>
      <c r="J52" s="2"/>
      <c r="K52" s="2"/>
      <c r="L52" s="2"/>
      <c r="M52" s="2"/>
      <c r="N52" s="2"/>
      <c r="O52" s="2"/>
      <c r="P52" s="2"/>
      <c r="Q52" s="2"/>
      <c r="R52" s="2"/>
      <c r="S52" s="2"/>
      <c r="T52" s="2"/>
      <c r="U52" s="2"/>
      <c r="V52" s="2"/>
      <c r="W52" s="2"/>
      <c r="X52" s="2"/>
      <c r="Y52" s="2"/>
      <c r="Z52" s="2"/>
    </row>
    <row r="53">
      <c r="A53" s="2"/>
      <c r="B53" s="10"/>
      <c r="C53" s="2"/>
      <c r="D53" s="2"/>
      <c r="E53" s="2"/>
      <c r="F53" s="2"/>
      <c r="G53" s="2"/>
      <c r="H53" s="2"/>
      <c r="I53" s="2"/>
      <c r="J53" s="2"/>
      <c r="K53" s="2"/>
      <c r="L53" s="2"/>
      <c r="M53" s="2"/>
      <c r="N53" s="2"/>
      <c r="O53" s="2"/>
      <c r="P53" s="2"/>
      <c r="Q53" s="2"/>
      <c r="R53" s="2"/>
      <c r="S53" s="2"/>
      <c r="T53" s="2"/>
      <c r="U53" s="2"/>
      <c r="V53" s="2"/>
      <c r="W53" s="2"/>
      <c r="X53" s="2"/>
      <c r="Y53" s="2"/>
      <c r="Z53" s="2"/>
    </row>
    <row r="54">
      <c r="A54" s="2"/>
      <c r="B54" s="10"/>
      <c r="C54" s="2"/>
      <c r="D54" s="2"/>
      <c r="E54" s="2"/>
      <c r="F54" s="2"/>
      <c r="G54" s="2"/>
      <c r="H54" s="2"/>
      <c r="I54" s="2"/>
      <c r="J54" s="2"/>
      <c r="K54" s="2"/>
      <c r="L54" s="2"/>
      <c r="M54" s="2"/>
      <c r="N54" s="2"/>
      <c r="O54" s="2"/>
      <c r="P54" s="2"/>
      <c r="Q54" s="2"/>
      <c r="R54" s="2"/>
      <c r="S54" s="2"/>
      <c r="T54" s="2"/>
      <c r="U54" s="2"/>
      <c r="V54" s="2"/>
      <c r="W54" s="2"/>
      <c r="X54" s="2"/>
      <c r="Y54" s="2"/>
      <c r="Z54" s="2"/>
    </row>
    <row r="55">
      <c r="A55" s="2"/>
      <c r="B55" s="10"/>
      <c r="C55" s="2"/>
      <c r="D55" s="2"/>
      <c r="E55" s="2"/>
      <c r="F55" s="2"/>
      <c r="G55" s="2"/>
      <c r="H55" s="2"/>
      <c r="I55" s="2"/>
      <c r="J55" s="2"/>
      <c r="K55" s="2"/>
      <c r="L55" s="2"/>
      <c r="M55" s="2"/>
      <c r="N55" s="2"/>
      <c r="O55" s="2"/>
      <c r="P55" s="2"/>
      <c r="Q55" s="2"/>
      <c r="R55" s="2"/>
      <c r="S55" s="2"/>
      <c r="T55" s="2"/>
      <c r="U55" s="2"/>
      <c r="V55" s="2"/>
      <c r="W55" s="2"/>
      <c r="X55" s="2"/>
      <c r="Y55" s="2"/>
      <c r="Z55" s="2"/>
    </row>
    <row r="56">
      <c r="A56" s="2"/>
      <c r="B56" s="10"/>
      <c r="C56" s="2"/>
      <c r="D56" s="2"/>
      <c r="E56" s="2"/>
      <c r="F56" s="2"/>
      <c r="G56" s="2"/>
      <c r="H56" s="2"/>
      <c r="I56" s="2"/>
      <c r="J56" s="2"/>
      <c r="K56" s="2"/>
      <c r="L56" s="2"/>
      <c r="M56" s="2"/>
      <c r="N56" s="2"/>
      <c r="O56" s="2"/>
      <c r="P56" s="2"/>
      <c r="Q56" s="2"/>
      <c r="R56" s="2"/>
      <c r="S56" s="2"/>
      <c r="T56" s="2"/>
      <c r="U56" s="2"/>
      <c r="V56" s="2"/>
      <c r="W56" s="2"/>
      <c r="X56" s="2"/>
      <c r="Y56" s="2"/>
      <c r="Z56" s="2"/>
    </row>
    <row r="57">
      <c r="A57" s="2"/>
      <c r="B57" s="10"/>
      <c r="C57" s="2"/>
      <c r="D57" s="2"/>
      <c r="E57" s="2"/>
      <c r="F57" s="2"/>
      <c r="G57" s="2"/>
      <c r="H57" s="2"/>
      <c r="I57" s="2"/>
      <c r="J57" s="2"/>
      <c r="K57" s="2"/>
      <c r="L57" s="2"/>
      <c r="M57" s="2"/>
      <c r="N57" s="2"/>
      <c r="O57" s="2"/>
      <c r="P57" s="2"/>
      <c r="Q57" s="2"/>
      <c r="R57" s="2"/>
      <c r="S57" s="2"/>
      <c r="T57" s="2"/>
      <c r="U57" s="2"/>
      <c r="V57" s="2"/>
      <c r="W57" s="2"/>
      <c r="X57" s="2"/>
      <c r="Y57" s="2"/>
      <c r="Z57" s="2"/>
    </row>
    <row r="58">
      <c r="A58" s="2"/>
      <c r="B58" s="10"/>
      <c r="C58" s="2"/>
      <c r="D58" s="2"/>
      <c r="E58" s="2"/>
      <c r="F58" s="2"/>
      <c r="G58" s="2"/>
      <c r="H58" s="2"/>
      <c r="I58" s="2"/>
      <c r="J58" s="2"/>
      <c r="K58" s="2"/>
      <c r="L58" s="2"/>
      <c r="M58" s="2"/>
      <c r="N58" s="2"/>
      <c r="O58" s="2"/>
      <c r="P58" s="2"/>
      <c r="Q58" s="2"/>
      <c r="R58" s="2"/>
      <c r="S58" s="2"/>
      <c r="T58" s="2"/>
      <c r="U58" s="2"/>
      <c r="V58" s="2"/>
      <c r="W58" s="2"/>
      <c r="X58" s="2"/>
      <c r="Y58" s="2"/>
      <c r="Z58" s="2"/>
    </row>
    <row r="59">
      <c r="A59" s="2"/>
      <c r="B59" s="10"/>
      <c r="C59" s="2"/>
      <c r="D59" s="2"/>
      <c r="E59" s="2"/>
      <c r="F59" s="2"/>
      <c r="G59" s="2"/>
      <c r="H59" s="2"/>
      <c r="I59" s="2"/>
      <c r="J59" s="2"/>
      <c r="K59" s="2"/>
      <c r="L59" s="2"/>
      <c r="M59" s="2"/>
      <c r="N59" s="2"/>
      <c r="O59" s="2"/>
      <c r="P59" s="2"/>
      <c r="Q59" s="2"/>
      <c r="R59" s="2"/>
      <c r="S59" s="2"/>
      <c r="T59" s="2"/>
      <c r="U59" s="2"/>
      <c r="V59" s="2"/>
      <c r="W59" s="2"/>
      <c r="X59" s="2"/>
      <c r="Y59" s="2"/>
      <c r="Z59" s="2"/>
    </row>
    <row r="60">
      <c r="A60" s="2"/>
      <c r="B60" s="10"/>
      <c r="C60" s="2"/>
      <c r="D60" s="2"/>
      <c r="E60" s="2"/>
      <c r="F60" s="2"/>
      <c r="G60" s="2"/>
      <c r="H60" s="2"/>
      <c r="I60" s="2"/>
      <c r="J60" s="2"/>
      <c r="K60" s="2"/>
      <c r="L60" s="2"/>
      <c r="M60" s="2"/>
      <c r="N60" s="2"/>
      <c r="O60" s="2"/>
      <c r="P60" s="2"/>
      <c r="Q60" s="2"/>
      <c r="R60" s="2"/>
      <c r="S60" s="2"/>
      <c r="T60" s="2"/>
      <c r="U60" s="2"/>
      <c r="V60" s="2"/>
      <c r="W60" s="2"/>
      <c r="X60" s="2"/>
      <c r="Y60" s="2"/>
      <c r="Z60" s="2"/>
    </row>
    <row r="61">
      <c r="A61" s="2"/>
      <c r="B61" s="10"/>
      <c r="C61" s="2"/>
      <c r="D61" s="2"/>
      <c r="E61" s="2"/>
      <c r="F61" s="2"/>
      <c r="G61" s="2"/>
      <c r="H61" s="2"/>
      <c r="I61" s="2"/>
      <c r="J61" s="2"/>
      <c r="K61" s="2"/>
      <c r="L61" s="2"/>
      <c r="M61" s="2"/>
      <c r="N61" s="2"/>
      <c r="O61" s="2"/>
      <c r="P61" s="2"/>
      <c r="Q61" s="2"/>
      <c r="R61" s="2"/>
      <c r="S61" s="2"/>
      <c r="T61" s="2"/>
      <c r="U61" s="2"/>
      <c r="V61" s="2"/>
      <c r="W61" s="2"/>
      <c r="X61" s="2"/>
      <c r="Y61" s="2"/>
      <c r="Z61" s="2"/>
    </row>
    <row r="62">
      <c r="A62" s="2"/>
      <c r="B62" s="10"/>
      <c r="C62" s="2"/>
      <c r="D62" s="2"/>
      <c r="E62" s="2"/>
      <c r="F62" s="2"/>
      <c r="G62" s="2"/>
      <c r="H62" s="2"/>
      <c r="I62" s="2"/>
      <c r="J62" s="2"/>
      <c r="K62" s="2"/>
      <c r="L62" s="2"/>
      <c r="M62" s="2"/>
      <c r="N62" s="2"/>
      <c r="O62" s="2"/>
      <c r="P62" s="2"/>
      <c r="Q62" s="2"/>
      <c r="R62" s="2"/>
      <c r="S62" s="2"/>
      <c r="T62" s="2"/>
      <c r="U62" s="2"/>
      <c r="V62" s="2"/>
      <c r="W62" s="2"/>
      <c r="X62" s="2"/>
      <c r="Y62" s="2"/>
      <c r="Z62" s="2"/>
    </row>
    <row r="63">
      <c r="A63" s="2"/>
      <c r="B63" s="10"/>
      <c r="C63" s="2"/>
      <c r="D63" s="2"/>
      <c r="E63" s="2"/>
      <c r="F63" s="2"/>
      <c r="G63" s="2"/>
      <c r="H63" s="2"/>
      <c r="I63" s="2"/>
      <c r="J63" s="2"/>
      <c r="K63" s="2"/>
      <c r="L63" s="2"/>
      <c r="M63" s="2"/>
      <c r="N63" s="2"/>
      <c r="O63" s="2"/>
      <c r="P63" s="2"/>
      <c r="Q63" s="2"/>
      <c r="R63" s="2"/>
      <c r="S63" s="2"/>
      <c r="T63" s="2"/>
      <c r="U63" s="2"/>
      <c r="V63" s="2"/>
      <c r="W63" s="2"/>
      <c r="X63" s="2"/>
      <c r="Y63" s="2"/>
      <c r="Z63" s="2"/>
    </row>
    <row r="64">
      <c r="A64" s="2"/>
      <c r="B64" s="10"/>
      <c r="C64" s="2"/>
      <c r="D64" s="2"/>
      <c r="E64" s="2"/>
      <c r="F64" s="2"/>
      <c r="G64" s="2"/>
      <c r="H64" s="2"/>
      <c r="I64" s="2"/>
      <c r="J64" s="2"/>
      <c r="K64" s="2"/>
      <c r="L64" s="2"/>
      <c r="M64" s="2"/>
      <c r="N64" s="2"/>
      <c r="O64" s="2"/>
      <c r="P64" s="2"/>
      <c r="Q64" s="2"/>
      <c r="R64" s="2"/>
      <c r="S64" s="2"/>
      <c r="T64" s="2"/>
      <c r="U64" s="2"/>
      <c r="V64" s="2"/>
      <c r="W64" s="2"/>
      <c r="X64" s="2"/>
      <c r="Y64" s="2"/>
      <c r="Z64" s="2"/>
    </row>
    <row r="65">
      <c r="A65" s="2"/>
      <c r="B65" s="10"/>
      <c r="C65" s="2"/>
      <c r="D65" s="2"/>
      <c r="E65" s="2"/>
      <c r="F65" s="2"/>
      <c r="G65" s="2"/>
      <c r="H65" s="2"/>
      <c r="I65" s="2"/>
      <c r="J65" s="2"/>
      <c r="K65" s="2"/>
      <c r="L65" s="2"/>
      <c r="M65" s="2"/>
      <c r="N65" s="2"/>
      <c r="O65" s="2"/>
      <c r="P65" s="2"/>
      <c r="Q65" s="2"/>
      <c r="R65" s="2"/>
      <c r="S65" s="2"/>
      <c r="T65" s="2"/>
      <c r="U65" s="2"/>
      <c r="V65" s="2"/>
      <c r="W65" s="2"/>
      <c r="X65" s="2"/>
      <c r="Y65" s="2"/>
      <c r="Z65" s="2"/>
    </row>
    <row r="66">
      <c r="A66" s="2"/>
      <c r="B66" s="10"/>
      <c r="C66" s="2"/>
      <c r="D66" s="2"/>
      <c r="E66" s="2"/>
      <c r="F66" s="2"/>
      <c r="G66" s="2"/>
      <c r="H66" s="2"/>
      <c r="I66" s="2"/>
      <c r="J66" s="2"/>
      <c r="K66" s="2"/>
      <c r="L66" s="2"/>
      <c r="M66" s="2"/>
      <c r="N66" s="2"/>
      <c r="O66" s="2"/>
      <c r="P66" s="2"/>
      <c r="Q66" s="2"/>
      <c r="R66" s="2"/>
      <c r="S66" s="2"/>
      <c r="T66" s="2"/>
      <c r="U66" s="2"/>
      <c r="V66" s="2"/>
      <c r="W66" s="2"/>
      <c r="X66" s="2"/>
      <c r="Y66" s="2"/>
      <c r="Z66" s="2"/>
    </row>
    <row r="67">
      <c r="A67" s="2"/>
      <c r="B67" s="10"/>
      <c r="C67" s="2"/>
      <c r="D67" s="2"/>
      <c r="E67" s="2"/>
      <c r="F67" s="2"/>
      <c r="G67" s="2"/>
      <c r="H67" s="2"/>
      <c r="I67" s="2"/>
      <c r="J67" s="2"/>
      <c r="K67" s="2"/>
      <c r="L67" s="2"/>
      <c r="M67" s="2"/>
      <c r="N67" s="2"/>
      <c r="O67" s="2"/>
      <c r="P67" s="2"/>
      <c r="Q67" s="2"/>
      <c r="R67" s="2"/>
      <c r="S67" s="2"/>
      <c r="T67" s="2"/>
      <c r="U67" s="2"/>
      <c r="V67" s="2"/>
      <c r="W67" s="2"/>
      <c r="X67" s="2"/>
      <c r="Y67" s="2"/>
      <c r="Z67" s="2"/>
    </row>
    <row r="68">
      <c r="A68" s="2"/>
      <c r="B68" s="10"/>
      <c r="C68" s="2"/>
      <c r="D68" s="2"/>
      <c r="E68" s="2"/>
      <c r="F68" s="2"/>
      <c r="G68" s="2"/>
      <c r="H68" s="2"/>
      <c r="I68" s="2"/>
      <c r="J68" s="2"/>
      <c r="K68" s="2"/>
      <c r="L68" s="2"/>
      <c r="M68" s="2"/>
      <c r="N68" s="2"/>
      <c r="O68" s="2"/>
      <c r="P68" s="2"/>
      <c r="Q68" s="2"/>
      <c r="R68" s="2"/>
      <c r="S68" s="2"/>
      <c r="T68" s="2"/>
      <c r="U68" s="2"/>
      <c r="V68" s="2"/>
      <c r="W68" s="2"/>
      <c r="X68" s="2"/>
      <c r="Y68" s="2"/>
      <c r="Z68" s="2"/>
    </row>
    <row r="69">
      <c r="A69" s="2"/>
      <c r="B69" s="10"/>
      <c r="C69" s="2"/>
      <c r="D69" s="2"/>
      <c r="E69" s="2"/>
      <c r="F69" s="2"/>
      <c r="G69" s="2"/>
      <c r="H69" s="2"/>
      <c r="I69" s="2"/>
      <c r="J69" s="2"/>
      <c r="K69" s="2"/>
      <c r="L69" s="2"/>
      <c r="M69" s="2"/>
      <c r="N69" s="2"/>
      <c r="O69" s="2"/>
      <c r="P69" s="2"/>
      <c r="Q69" s="2"/>
      <c r="R69" s="2"/>
      <c r="S69" s="2"/>
      <c r="T69" s="2"/>
      <c r="U69" s="2"/>
      <c r="V69" s="2"/>
      <c r="W69" s="2"/>
      <c r="X69" s="2"/>
      <c r="Y69" s="2"/>
      <c r="Z69" s="2"/>
    </row>
    <row r="70">
      <c r="A70" s="2"/>
      <c r="B70" s="10"/>
      <c r="C70" s="2"/>
      <c r="D70" s="2"/>
      <c r="E70" s="2"/>
      <c r="F70" s="2"/>
      <c r="G70" s="2"/>
      <c r="H70" s="2"/>
      <c r="I70" s="2"/>
      <c r="J70" s="2"/>
      <c r="K70" s="2"/>
      <c r="L70" s="2"/>
      <c r="M70" s="2"/>
      <c r="N70" s="2"/>
      <c r="O70" s="2"/>
      <c r="P70" s="2"/>
      <c r="Q70" s="2"/>
      <c r="R70" s="2"/>
      <c r="S70" s="2"/>
      <c r="T70" s="2"/>
      <c r="U70" s="2"/>
      <c r="V70" s="2"/>
      <c r="W70" s="2"/>
      <c r="X70" s="2"/>
      <c r="Y70" s="2"/>
      <c r="Z70" s="2"/>
    </row>
    <row r="71">
      <c r="A71" s="2"/>
      <c r="B71" s="10"/>
      <c r="C71" s="2"/>
      <c r="D71" s="2"/>
      <c r="E71" s="2"/>
      <c r="F71" s="2"/>
      <c r="G71" s="2"/>
      <c r="H71" s="2"/>
      <c r="I71" s="2"/>
      <c r="J71" s="2"/>
      <c r="K71" s="2"/>
      <c r="L71" s="2"/>
      <c r="M71" s="2"/>
      <c r="N71" s="2"/>
      <c r="O71" s="2"/>
      <c r="P71" s="2"/>
      <c r="Q71" s="2"/>
      <c r="R71" s="2"/>
      <c r="S71" s="2"/>
      <c r="T71" s="2"/>
      <c r="U71" s="2"/>
      <c r="V71" s="2"/>
      <c r="W71" s="2"/>
      <c r="X71" s="2"/>
      <c r="Y71" s="2"/>
      <c r="Z71" s="2"/>
    </row>
    <row r="72">
      <c r="A72" s="2"/>
      <c r="B72" s="10"/>
      <c r="C72" s="2"/>
      <c r="D72" s="2"/>
      <c r="E72" s="2"/>
      <c r="F72" s="2"/>
      <c r="G72" s="2"/>
      <c r="H72" s="2"/>
      <c r="I72" s="2"/>
      <c r="J72" s="2"/>
      <c r="K72" s="2"/>
      <c r="L72" s="2"/>
      <c r="M72" s="2"/>
      <c r="N72" s="2"/>
      <c r="O72" s="2"/>
      <c r="P72" s="2"/>
      <c r="Q72" s="2"/>
      <c r="R72" s="2"/>
      <c r="S72" s="2"/>
      <c r="T72" s="2"/>
      <c r="U72" s="2"/>
      <c r="V72" s="2"/>
      <c r="W72" s="2"/>
      <c r="X72" s="2"/>
      <c r="Y72" s="2"/>
      <c r="Z72" s="2"/>
    </row>
    <row r="73">
      <c r="A73" s="2"/>
      <c r="B73" s="10"/>
      <c r="C73" s="2"/>
      <c r="D73" s="2"/>
      <c r="E73" s="2"/>
      <c r="F73" s="2"/>
      <c r="G73" s="2"/>
      <c r="H73" s="2"/>
      <c r="I73" s="2"/>
      <c r="J73" s="2"/>
      <c r="K73" s="2"/>
      <c r="L73" s="2"/>
      <c r="M73" s="2"/>
      <c r="N73" s="2"/>
      <c r="O73" s="2"/>
      <c r="P73" s="2"/>
      <c r="Q73" s="2"/>
      <c r="R73" s="2"/>
      <c r="S73" s="2"/>
      <c r="T73" s="2"/>
      <c r="U73" s="2"/>
      <c r="V73" s="2"/>
      <c r="W73" s="2"/>
      <c r="X73" s="2"/>
      <c r="Y73" s="2"/>
      <c r="Z73" s="2"/>
    </row>
    <row r="74">
      <c r="A74" s="2"/>
      <c r="B74" s="10"/>
      <c r="C74" s="2"/>
      <c r="D74" s="2"/>
      <c r="E74" s="2"/>
      <c r="F74" s="2"/>
      <c r="G74" s="2"/>
      <c r="H74" s="2"/>
      <c r="I74" s="2"/>
      <c r="J74" s="2"/>
      <c r="K74" s="2"/>
      <c r="L74" s="2"/>
      <c r="M74" s="2"/>
      <c r="N74" s="2"/>
      <c r="O74" s="2"/>
      <c r="P74" s="2"/>
      <c r="Q74" s="2"/>
      <c r="R74" s="2"/>
      <c r="S74" s="2"/>
      <c r="T74" s="2"/>
      <c r="U74" s="2"/>
      <c r="V74" s="2"/>
      <c r="W74" s="2"/>
      <c r="X74" s="2"/>
      <c r="Y74" s="2"/>
      <c r="Z74" s="2"/>
    </row>
    <row r="75">
      <c r="A75" s="2"/>
      <c r="B75" s="10"/>
      <c r="C75" s="2"/>
      <c r="D75" s="2"/>
      <c r="E75" s="2"/>
      <c r="F75" s="2"/>
      <c r="G75" s="2"/>
      <c r="H75" s="2"/>
      <c r="I75" s="2"/>
      <c r="J75" s="2"/>
      <c r="K75" s="2"/>
      <c r="L75" s="2"/>
      <c r="M75" s="2"/>
      <c r="N75" s="2"/>
      <c r="O75" s="2"/>
      <c r="P75" s="2"/>
      <c r="Q75" s="2"/>
      <c r="R75" s="2"/>
      <c r="S75" s="2"/>
      <c r="T75" s="2"/>
      <c r="U75" s="2"/>
      <c r="V75" s="2"/>
      <c r="W75" s="2"/>
      <c r="X75" s="2"/>
      <c r="Y75" s="2"/>
      <c r="Z75" s="2"/>
    </row>
    <row r="76">
      <c r="A76" s="2"/>
      <c r="B76" s="10"/>
      <c r="C76" s="2"/>
      <c r="D76" s="2"/>
      <c r="E76" s="2"/>
      <c r="F76" s="2"/>
      <c r="G76" s="2"/>
      <c r="H76" s="2"/>
      <c r="I76" s="2"/>
      <c r="J76" s="2"/>
      <c r="K76" s="2"/>
      <c r="L76" s="2"/>
      <c r="M76" s="2"/>
      <c r="N76" s="2"/>
      <c r="O76" s="2"/>
      <c r="P76" s="2"/>
      <c r="Q76" s="2"/>
      <c r="R76" s="2"/>
      <c r="S76" s="2"/>
      <c r="T76" s="2"/>
      <c r="U76" s="2"/>
      <c r="V76" s="2"/>
      <c r="W76" s="2"/>
      <c r="X76" s="2"/>
      <c r="Y76" s="2"/>
      <c r="Z76" s="2"/>
    </row>
    <row r="77">
      <c r="A77" s="2"/>
      <c r="B77" s="10"/>
      <c r="C77" s="2"/>
      <c r="D77" s="2"/>
      <c r="E77" s="2"/>
      <c r="F77" s="2"/>
      <c r="G77" s="2"/>
      <c r="H77" s="2"/>
      <c r="I77" s="2"/>
      <c r="J77" s="2"/>
      <c r="K77" s="2"/>
      <c r="L77" s="2"/>
      <c r="M77" s="2"/>
      <c r="N77" s="2"/>
      <c r="O77" s="2"/>
      <c r="P77" s="2"/>
      <c r="Q77" s="2"/>
      <c r="R77" s="2"/>
      <c r="S77" s="2"/>
      <c r="T77" s="2"/>
      <c r="U77" s="2"/>
      <c r="V77" s="2"/>
      <c r="W77" s="2"/>
      <c r="X77" s="2"/>
      <c r="Y77" s="2"/>
      <c r="Z77" s="2"/>
    </row>
    <row r="78">
      <c r="A78" s="2"/>
      <c r="B78" s="10"/>
      <c r="C78" s="2"/>
      <c r="D78" s="2"/>
      <c r="E78" s="2"/>
      <c r="F78" s="2"/>
      <c r="G78" s="2"/>
      <c r="H78" s="2"/>
      <c r="I78" s="2"/>
      <c r="J78" s="2"/>
      <c r="K78" s="2"/>
      <c r="L78" s="2"/>
      <c r="M78" s="2"/>
      <c r="N78" s="2"/>
      <c r="O78" s="2"/>
      <c r="P78" s="2"/>
      <c r="Q78" s="2"/>
      <c r="R78" s="2"/>
      <c r="S78" s="2"/>
      <c r="T78" s="2"/>
      <c r="U78" s="2"/>
      <c r="V78" s="2"/>
      <c r="W78" s="2"/>
      <c r="X78" s="2"/>
      <c r="Y78" s="2"/>
      <c r="Z78" s="2"/>
    </row>
    <row r="79">
      <c r="A79" s="2"/>
      <c r="B79" s="10"/>
      <c r="C79" s="2"/>
      <c r="D79" s="2"/>
      <c r="E79" s="2"/>
      <c r="F79" s="2"/>
      <c r="G79" s="2"/>
      <c r="H79" s="2"/>
      <c r="I79" s="2"/>
      <c r="J79" s="2"/>
      <c r="K79" s="2"/>
      <c r="L79" s="2"/>
      <c r="M79" s="2"/>
      <c r="N79" s="2"/>
      <c r="O79" s="2"/>
      <c r="P79" s="2"/>
      <c r="Q79" s="2"/>
      <c r="R79" s="2"/>
      <c r="S79" s="2"/>
      <c r="T79" s="2"/>
      <c r="U79" s="2"/>
      <c r="V79" s="2"/>
      <c r="W79" s="2"/>
      <c r="X79" s="2"/>
      <c r="Y79" s="2"/>
      <c r="Z79" s="2"/>
    </row>
    <row r="80">
      <c r="A80" s="2"/>
      <c r="B80" s="10"/>
      <c r="C80" s="2"/>
      <c r="D80" s="2"/>
      <c r="E80" s="2"/>
      <c r="F80" s="2"/>
      <c r="G80" s="2"/>
      <c r="H80" s="2"/>
      <c r="I80" s="2"/>
      <c r="J80" s="2"/>
      <c r="K80" s="2"/>
      <c r="L80" s="2"/>
      <c r="M80" s="2"/>
      <c r="N80" s="2"/>
      <c r="O80" s="2"/>
      <c r="P80" s="2"/>
      <c r="Q80" s="2"/>
      <c r="R80" s="2"/>
      <c r="S80" s="2"/>
      <c r="T80" s="2"/>
      <c r="U80" s="2"/>
      <c r="V80" s="2"/>
      <c r="W80" s="2"/>
      <c r="X80" s="2"/>
      <c r="Y80" s="2"/>
      <c r="Z80" s="2"/>
    </row>
    <row r="81">
      <c r="A81" s="2"/>
      <c r="B81" s="10"/>
      <c r="C81" s="2"/>
      <c r="D81" s="2"/>
      <c r="E81" s="2"/>
      <c r="F81" s="2"/>
      <c r="G81" s="2"/>
      <c r="H81" s="2"/>
      <c r="I81" s="2"/>
      <c r="J81" s="2"/>
      <c r="K81" s="2"/>
      <c r="L81" s="2"/>
      <c r="M81" s="2"/>
      <c r="N81" s="2"/>
      <c r="O81" s="2"/>
      <c r="P81" s="2"/>
      <c r="Q81" s="2"/>
      <c r="R81" s="2"/>
      <c r="S81" s="2"/>
      <c r="T81" s="2"/>
      <c r="U81" s="2"/>
      <c r="V81" s="2"/>
      <c r="W81" s="2"/>
      <c r="X81" s="2"/>
      <c r="Y81" s="2"/>
      <c r="Z81" s="2"/>
    </row>
    <row r="82">
      <c r="A82" s="2"/>
      <c r="B82" s="10"/>
      <c r="C82" s="2"/>
      <c r="D82" s="2"/>
      <c r="E82" s="2"/>
      <c r="F82" s="2"/>
      <c r="G82" s="2"/>
      <c r="H82" s="2"/>
      <c r="I82" s="2"/>
      <c r="J82" s="2"/>
      <c r="K82" s="2"/>
      <c r="L82" s="2"/>
      <c r="M82" s="2"/>
      <c r="N82" s="2"/>
      <c r="O82" s="2"/>
      <c r="P82" s="2"/>
      <c r="Q82" s="2"/>
      <c r="R82" s="2"/>
      <c r="S82" s="2"/>
      <c r="T82" s="2"/>
      <c r="U82" s="2"/>
      <c r="V82" s="2"/>
      <c r="W82" s="2"/>
      <c r="X82" s="2"/>
      <c r="Y82" s="2"/>
      <c r="Z82" s="2"/>
    </row>
    <row r="83">
      <c r="A83" s="2"/>
      <c r="B83" s="10"/>
      <c r="C83" s="2"/>
      <c r="D83" s="2"/>
      <c r="E83" s="2"/>
      <c r="F83" s="2"/>
      <c r="G83" s="2"/>
      <c r="H83" s="2"/>
      <c r="I83" s="2"/>
      <c r="J83" s="2"/>
      <c r="K83" s="2"/>
      <c r="L83" s="2"/>
      <c r="M83" s="2"/>
      <c r="N83" s="2"/>
      <c r="O83" s="2"/>
      <c r="P83" s="2"/>
      <c r="Q83" s="2"/>
      <c r="R83" s="2"/>
      <c r="S83" s="2"/>
      <c r="T83" s="2"/>
      <c r="U83" s="2"/>
      <c r="V83" s="2"/>
      <c r="W83" s="2"/>
      <c r="X83" s="2"/>
      <c r="Y83" s="2"/>
      <c r="Z83" s="2"/>
    </row>
    <row r="84">
      <c r="A84" s="2"/>
      <c r="B84" s="10"/>
      <c r="C84" s="2"/>
      <c r="D84" s="2"/>
      <c r="E84" s="2"/>
      <c r="F84" s="2"/>
      <c r="G84" s="2"/>
      <c r="H84" s="2"/>
      <c r="I84" s="2"/>
      <c r="J84" s="2"/>
      <c r="K84" s="2"/>
      <c r="L84" s="2"/>
      <c r="M84" s="2"/>
      <c r="N84" s="2"/>
      <c r="O84" s="2"/>
      <c r="P84" s="2"/>
      <c r="Q84" s="2"/>
      <c r="R84" s="2"/>
      <c r="S84" s="2"/>
      <c r="T84" s="2"/>
      <c r="U84" s="2"/>
      <c r="V84" s="2"/>
      <c r="W84" s="2"/>
      <c r="X84" s="2"/>
      <c r="Y84" s="2"/>
      <c r="Z84" s="2"/>
    </row>
    <row r="85">
      <c r="A85" s="2"/>
      <c r="B85" s="10"/>
      <c r="C85" s="2"/>
      <c r="D85" s="2"/>
      <c r="E85" s="2"/>
      <c r="F85" s="2"/>
      <c r="G85" s="2"/>
      <c r="H85" s="2"/>
      <c r="I85" s="2"/>
      <c r="J85" s="2"/>
      <c r="K85" s="2"/>
      <c r="L85" s="2"/>
      <c r="M85" s="2"/>
      <c r="N85" s="2"/>
      <c r="O85" s="2"/>
      <c r="P85" s="2"/>
      <c r="Q85" s="2"/>
      <c r="R85" s="2"/>
      <c r="S85" s="2"/>
      <c r="T85" s="2"/>
      <c r="U85" s="2"/>
      <c r="V85" s="2"/>
      <c r="W85" s="2"/>
      <c r="X85" s="2"/>
      <c r="Y85" s="2"/>
      <c r="Z85" s="2"/>
    </row>
    <row r="86">
      <c r="A86" s="2"/>
      <c r="B86" s="10"/>
      <c r="C86" s="2"/>
      <c r="D86" s="2"/>
      <c r="E86" s="2"/>
      <c r="F86" s="2"/>
      <c r="G86" s="2"/>
      <c r="H86" s="2"/>
      <c r="I86" s="2"/>
      <c r="J86" s="2"/>
      <c r="K86" s="2"/>
      <c r="L86" s="2"/>
      <c r="M86" s="2"/>
      <c r="N86" s="2"/>
      <c r="O86" s="2"/>
      <c r="P86" s="2"/>
      <c r="Q86" s="2"/>
      <c r="R86" s="2"/>
      <c r="S86" s="2"/>
      <c r="T86" s="2"/>
      <c r="U86" s="2"/>
      <c r="V86" s="2"/>
      <c r="W86" s="2"/>
      <c r="X86" s="2"/>
      <c r="Y86" s="2"/>
      <c r="Z86" s="2"/>
    </row>
    <row r="87">
      <c r="A87" s="2"/>
      <c r="B87" s="10"/>
      <c r="C87" s="2"/>
      <c r="D87" s="2"/>
      <c r="E87" s="2"/>
      <c r="F87" s="2"/>
      <c r="G87" s="2"/>
      <c r="H87" s="2"/>
      <c r="I87" s="2"/>
      <c r="J87" s="2"/>
      <c r="K87" s="2"/>
      <c r="L87" s="2"/>
      <c r="M87" s="2"/>
      <c r="N87" s="2"/>
      <c r="O87" s="2"/>
      <c r="P87" s="2"/>
      <c r="Q87" s="2"/>
      <c r="R87" s="2"/>
      <c r="S87" s="2"/>
      <c r="T87" s="2"/>
      <c r="U87" s="2"/>
      <c r="V87" s="2"/>
      <c r="W87" s="2"/>
      <c r="X87" s="2"/>
      <c r="Y87" s="2"/>
      <c r="Z87" s="2"/>
    </row>
    <row r="88">
      <c r="A88" s="2"/>
      <c r="B88" s="10"/>
      <c r="C88" s="2"/>
      <c r="D88" s="2"/>
      <c r="E88" s="2"/>
      <c r="F88" s="2"/>
      <c r="G88" s="2"/>
      <c r="H88" s="2"/>
      <c r="I88" s="2"/>
      <c r="J88" s="2"/>
      <c r="K88" s="2"/>
      <c r="L88" s="2"/>
      <c r="M88" s="2"/>
      <c r="N88" s="2"/>
      <c r="O88" s="2"/>
      <c r="P88" s="2"/>
      <c r="Q88" s="2"/>
      <c r="R88" s="2"/>
      <c r="S88" s="2"/>
      <c r="T88" s="2"/>
      <c r="U88" s="2"/>
      <c r="V88" s="2"/>
      <c r="W88" s="2"/>
      <c r="X88" s="2"/>
      <c r="Y88" s="2"/>
      <c r="Z88" s="2"/>
    </row>
    <row r="89">
      <c r="A89" s="2"/>
      <c r="B89" s="10"/>
      <c r="C89" s="2"/>
      <c r="D89" s="2"/>
      <c r="E89" s="2"/>
      <c r="F89" s="2"/>
      <c r="G89" s="2"/>
      <c r="H89" s="2"/>
      <c r="I89" s="2"/>
      <c r="J89" s="2"/>
      <c r="K89" s="2"/>
      <c r="L89" s="2"/>
      <c r="M89" s="2"/>
      <c r="N89" s="2"/>
      <c r="O89" s="2"/>
      <c r="P89" s="2"/>
      <c r="Q89" s="2"/>
      <c r="R89" s="2"/>
      <c r="S89" s="2"/>
      <c r="T89" s="2"/>
      <c r="U89" s="2"/>
      <c r="V89" s="2"/>
      <c r="W89" s="2"/>
      <c r="X89" s="2"/>
      <c r="Y89" s="2"/>
      <c r="Z89" s="2"/>
    </row>
    <row r="90">
      <c r="A90" s="2"/>
      <c r="B90" s="10"/>
      <c r="C90" s="2"/>
      <c r="D90" s="2"/>
      <c r="E90" s="2"/>
      <c r="F90" s="2"/>
      <c r="G90" s="2"/>
      <c r="H90" s="2"/>
      <c r="I90" s="2"/>
      <c r="J90" s="2"/>
      <c r="K90" s="2"/>
      <c r="L90" s="2"/>
      <c r="M90" s="2"/>
      <c r="N90" s="2"/>
      <c r="O90" s="2"/>
      <c r="P90" s="2"/>
      <c r="Q90" s="2"/>
      <c r="R90" s="2"/>
      <c r="S90" s="2"/>
      <c r="T90" s="2"/>
      <c r="U90" s="2"/>
      <c r="V90" s="2"/>
      <c r="W90" s="2"/>
      <c r="X90" s="2"/>
      <c r="Y90" s="2"/>
      <c r="Z90" s="2"/>
    </row>
    <row r="91">
      <c r="A91" s="2"/>
      <c r="B91" s="10"/>
      <c r="C91" s="2"/>
      <c r="D91" s="2"/>
      <c r="E91" s="2"/>
      <c r="F91" s="2"/>
      <c r="G91" s="2"/>
      <c r="H91" s="2"/>
      <c r="I91" s="2"/>
      <c r="J91" s="2"/>
      <c r="K91" s="2"/>
      <c r="L91" s="2"/>
      <c r="M91" s="2"/>
      <c r="N91" s="2"/>
      <c r="O91" s="2"/>
      <c r="P91" s="2"/>
      <c r="Q91" s="2"/>
      <c r="R91" s="2"/>
      <c r="S91" s="2"/>
      <c r="T91" s="2"/>
      <c r="U91" s="2"/>
      <c r="V91" s="2"/>
      <c r="W91" s="2"/>
      <c r="X91" s="2"/>
      <c r="Y91" s="2"/>
      <c r="Z91" s="2"/>
    </row>
    <row r="92">
      <c r="A92" s="2"/>
      <c r="B92" s="10"/>
      <c r="C92" s="2"/>
      <c r="D92" s="2"/>
      <c r="E92" s="2"/>
      <c r="F92" s="2"/>
      <c r="G92" s="2"/>
      <c r="H92" s="2"/>
      <c r="I92" s="2"/>
      <c r="J92" s="2"/>
      <c r="K92" s="2"/>
      <c r="L92" s="2"/>
      <c r="M92" s="2"/>
      <c r="N92" s="2"/>
      <c r="O92" s="2"/>
      <c r="P92" s="2"/>
      <c r="Q92" s="2"/>
      <c r="R92" s="2"/>
      <c r="S92" s="2"/>
      <c r="T92" s="2"/>
      <c r="U92" s="2"/>
      <c r="V92" s="2"/>
      <c r="W92" s="2"/>
      <c r="X92" s="2"/>
      <c r="Y92" s="2"/>
      <c r="Z92" s="2"/>
    </row>
    <row r="93">
      <c r="A93" s="2"/>
      <c r="B93" s="10"/>
      <c r="C93" s="2"/>
      <c r="D93" s="2"/>
      <c r="E93" s="2"/>
      <c r="F93" s="2"/>
      <c r="G93" s="2"/>
      <c r="H93" s="2"/>
      <c r="I93" s="2"/>
      <c r="J93" s="2"/>
      <c r="K93" s="2"/>
      <c r="L93" s="2"/>
      <c r="M93" s="2"/>
      <c r="N93" s="2"/>
      <c r="O93" s="2"/>
      <c r="P93" s="2"/>
      <c r="Q93" s="2"/>
      <c r="R93" s="2"/>
      <c r="S93" s="2"/>
      <c r="T93" s="2"/>
      <c r="U93" s="2"/>
      <c r="V93" s="2"/>
      <c r="W93" s="2"/>
      <c r="X93" s="2"/>
      <c r="Y93" s="2"/>
      <c r="Z93" s="2"/>
    </row>
    <row r="94">
      <c r="A94" s="2"/>
      <c r="B94" s="10"/>
      <c r="C94" s="2"/>
      <c r="D94" s="2"/>
      <c r="E94" s="2"/>
      <c r="F94" s="2"/>
      <c r="G94" s="2"/>
      <c r="H94" s="2"/>
      <c r="I94" s="2"/>
      <c r="J94" s="2"/>
      <c r="K94" s="2"/>
      <c r="L94" s="2"/>
      <c r="M94" s="2"/>
      <c r="N94" s="2"/>
      <c r="O94" s="2"/>
      <c r="P94" s="2"/>
      <c r="Q94" s="2"/>
      <c r="R94" s="2"/>
      <c r="S94" s="2"/>
      <c r="T94" s="2"/>
      <c r="U94" s="2"/>
      <c r="V94" s="2"/>
      <c r="W94" s="2"/>
      <c r="X94" s="2"/>
      <c r="Y94" s="2"/>
      <c r="Z94" s="2"/>
    </row>
    <row r="95">
      <c r="A95" s="2"/>
      <c r="B95" s="10"/>
      <c r="C95" s="2"/>
      <c r="D95" s="2"/>
      <c r="E95" s="2"/>
      <c r="F95" s="2"/>
      <c r="G95" s="2"/>
      <c r="H95" s="2"/>
      <c r="I95" s="2"/>
      <c r="J95" s="2"/>
      <c r="K95" s="2"/>
      <c r="L95" s="2"/>
      <c r="M95" s="2"/>
      <c r="N95" s="2"/>
      <c r="O95" s="2"/>
      <c r="P95" s="2"/>
      <c r="Q95" s="2"/>
      <c r="R95" s="2"/>
      <c r="S95" s="2"/>
      <c r="T95" s="2"/>
      <c r="U95" s="2"/>
      <c r="V95" s="2"/>
      <c r="W95" s="2"/>
      <c r="X95" s="2"/>
      <c r="Y95" s="2"/>
      <c r="Z95" s="2"/>
    </row>
    <row r="96">
      <c r="A96" s="2"/>
      <c r="B96" s="10"/>
      <c r="C96" s="2"/>
      <c r="D96" s="2"/>
      <c r="E96" s="2"/>
      <c r="F96" s="2"/>
      <c r="G96" s="2"/>
      <c r="H96" s="2"/>
      <c r="I96" s="2"/>
      <c r="J96" s="2"/>
      <c r="K96" s="2"/>
      <c r="L96" s="2"/>
      <c r="M96" s="2"/>
      <c r="N96" s="2"/>
      <c r="O96" s="2"/>
      <c r="P96" s="2"/>
      <c r="Q96" s="2"/>
      <c r="R96" s="2"/>
      <c r="S96" s="2"/>
      <c r="T96" s="2"/>
      <c r="U96" s="2"/>
      <c r="V96" s="2"/>
      <c r="W96" s="2"/>
      <c r="X96" s="2"/>
      <c r="Y96" s="2"/>
      <c r="Z96" s="2"/>
    </row>
    <row r="97">
      <c r="A97" s="2"/>
      <c r="B97" s="10"/>
      <c r="C97" s="2"/>
      <c r="D97" s="2"/>
      <c r="E97" s="2"/>
      <c r="F97" s="2"/>
      <c r="G97" s="2"/>
      <c r="H97" s="2"/>
      <c r="I97" s="2"/>
      <c r="J97" s="2"/>
      <c r="K97" s="2"/>
      <c r="L97" s="2"/>
      <c r="M97" s="2"/>
      <c r="N97" s="2"/>
      <c r="O97" s="2"/>
      <c r="P97" s="2"/>
      <c r="Q97" s="2"/>
      <c r="R97" s="2"/>
      <c r="S97" s="2"/>
      <c r="T97" s="2"/>
      <c r="U97" s="2"/>
      <c r="V97" s="2"/>
      <c r="W97" s="2"/>
      <c r="X97" s="2"/>
      <c r="Y97" s="2"/>
      <c r="Z97" s="2"/>
    </row>
    <row r="98">
      <c r="A98" s="2"/>
      <c r="B98" s="10"/>
      <c r="C98" s="2"/>
      <c r="D98" s="2"/>
      <c r="E98" s="2"/>
      <c r="F98" s="2"/>
      <c r="G98" s="2"/>
      <c r="H98" s="2"/>
      <c r="I98" s="2"/>
      <c r="J98" s="2"/>
      <c r="K98" s="2"/>
      <c r="L98" s="2"/>
      <c r="M98" s="2"/>
      <c r="N98" s="2"/>
      <c r="O98" s="2"/>
      <c r="P98" s="2"/>
      <c r="Q98" s="2"/>
      <c r="R98" s="2"/>
      <c r="S98" s="2"/>
      <c r="T98" s="2"/>
      <c r="U98" s="2"/>
      <c r="V98" s="2"/>
      <c r="W98" s="2"/>
      <c r="X98" s="2"/>
      <c r="Y98" s="2"/>
      <c r="Z98" s="2"/>
    </row>
    <row r="99">
      <c r="A99" s="2"/>
      <c r="B99" s="10"/>
      <c r="C99" s="2"/>
      <c r="D99" s="2"/>
      <c r="E99" s="2"/>
      <c r="F99" s="2"/>
      <c r="G99" s="2"/>
      <c r="H99" s="2"/>
      <c r="I99" s="2"/>
      <c r="J99" s="2"/>
      <c r="K99" s="2"/>
      <c r="L99" s="2"/>
      <c r="M99" s="2"/>
      <c r="N99" s="2"/>
      <c r="O99" s="2"/>
      <c r="P99" s="2"/>
      <c r="Q99" s="2"/>
      <c r="R99" s="2"/>
      <c r="S99" s="2"/>
      <c r="T99" s="2"/>
      <c r="U99" s="2"/>
      <c r="V99" s="2"/>
      <c r="W99" s="2"/>
      <c r="X99" s="2"/>
      <c r="Y99" s="2"/>
      <c r="Z99" s="2"/>
    </row>
    <row r="100">
      <c r="A100" s="2"/>
      <c r="B100" s="10"/>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10"/>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10"/>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10"/>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10"/>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10"/>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10"/>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10"/>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10"/>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10"/>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10"/>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10"/>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10"/>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10"/>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10"/>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10"/>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10"/>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10"/>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10"/>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10"/>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10"/>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10"/>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10"/>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10"/>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10"/>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10"/>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10"/>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10"/>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10"/>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10"/>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10"/>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10"/>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10"/>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10"/>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10"/>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10"/>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10"/>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10"/>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10"/>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10"/>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10"/>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10"/>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10"/>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10"/>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10"/>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10"/>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10"/>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10"/>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10"/>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10"/>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10"/>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10"/>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10"/>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10"/>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10"/>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10"/>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10"/>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10"/>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10"/>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10"/>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10"/>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10"/>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10"/>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10"/>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10"/>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10"/>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10"/>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10"/>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10"/>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10"/>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10"/>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10"/>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10"/>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10"/>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10"/>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10"/>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10"/>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10"/>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10"/>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10"/>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10"/>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10"/>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10"/>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10"/>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10"/>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10"/>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10"/>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10"/>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10"/>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10"/>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10"/>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10"/>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10"/>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10"/>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10"/>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10"/>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10"/>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10"/>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10"/>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10"/>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10"/>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10"/>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10"/>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10"/>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10"/>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10"/>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10"/>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10"/>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10"/>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10"/>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10"/>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10"/>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10"/>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10"/>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10"/>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10"/>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10"/>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10"/>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10"/>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10"/>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10"/>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10"/>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10"/>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10"/>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10"/>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10"/>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10"/>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10"/>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10"/>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10"/>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10"/>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10"/>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10"/>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10"/>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10"/>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10"/>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10"/>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10"/>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10"/>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10"/>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10"/>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10"/>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10"/>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10"/>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10"/>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10"/>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10"/>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10"/>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10"/>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10"/>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10"/>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10"/>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10"/>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10"/>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10"/>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10"/>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10"/>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10"/>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10"/>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10"/>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10"/>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10"/>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10"/>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10"/>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10"/>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10"/>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10"/>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10"/>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10"/>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10"/>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10"/>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10"/>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10"/>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10"/>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10"/>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10"/>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10"/>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10"/>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10"/>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10"/>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10"/>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10"/>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10"/>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10"/>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10"/>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10"/>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10"/>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10"/>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10"/>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10"/>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10"/>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10"/>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10"/>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10"/>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10"/>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10"/>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10"/>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10"/>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10"/>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10"/>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10"/>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10"/>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10"/>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10"/>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10"/>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10"/>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10"/>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10"/>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10"/>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10"/>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10"/>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10"/>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10"/>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10"/>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10"/>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10"/>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10"/>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10"/>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10"/>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10"/>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10"/>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10"/>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10"/>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10"/>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10"/>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10"/>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10"/>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10"/>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10"/>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10"/>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10"/>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10"/>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10"/>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10"/>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10"/>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10"/>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10"/>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10"/>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10"/>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10"/>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10"/>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10"/>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10"/>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10"/>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10"/>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10"/>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10"/>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10"/>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10"/>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10"/>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10"/>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10"/>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10"/>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10"/>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10"/>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10"/>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10"/>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10"/>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10"/>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10"/>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10"/>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10"/>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10"/>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10"/>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10"/>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10"/>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10"/>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10"/>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10"/>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10"/>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10"/>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10"/>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10"/>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10"/>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10"/>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10"/>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10"/>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10"/>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10"/>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10"/>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10"/>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10"/>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10"/>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10"/>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10"/>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10"/>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10"/>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10"/>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10"/>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10"/>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10"/>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10"/>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10"/>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10"/>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10"/>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10"/>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10"/>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10"/>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10"/>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10"/>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10"/>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10"/>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10"/>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10"/>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10"/>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10"/>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10"/>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10"/>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10"/>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10"/>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10"/>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10"/>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10"/>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10"/>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10"/>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10"/>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10"/>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10"/>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10"/>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10"/>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10"/>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10"/>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10"/>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10"/>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10"/>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10"/>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10"/>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10"/>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10"/>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10"/>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10"/>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10"/>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10"/>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10"/>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10"/>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10"/>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10"/>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10"/>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10"/>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10"/>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10"/>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10"/>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10"/>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10"/>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10"/>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10"/>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10"/>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10"/>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10"/>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10"/>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10"/>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10"/>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10"/>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10"/>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10"/>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10"/>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10"/>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10"/>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10"/>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10"/>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10"/>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10"/>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10"/>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10"/>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10"/>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10"/>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10"/>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10"/>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10"/>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10"/>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10"/>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10"/>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10"/>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10"/>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10"/>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10"/>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10"/>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10"/>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10"/>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10"/>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10"/>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10"/>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10"/>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10"/>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10"/>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10"/>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10"/>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10"/>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10"/>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10"/>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10"/>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10"/>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10"/>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10"/>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10"/>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10"/>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10"/>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10"/>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10"/>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10"/>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10"/>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10"/>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10"/>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10"/>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10"/>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10"/>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10"/>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10"/>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10"/>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10"/>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10"/>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10"/>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10"/>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10"/>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10"/>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10"/>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10"/>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10"/>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10"/>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10"/>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10"/>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10"/>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10"/>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10"/>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10"/>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10"/>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10"/>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10"/>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10"/>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10"/>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10"/>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10"/>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10"/>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10"/>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10"/>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10"/>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10"/>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10"/>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10"/>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10"/>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10"/>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10"/>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10"/>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10"/>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10"/>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10"/>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10"/>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10"/>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10"/>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10"/>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10"/>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10"/>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10"/>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10"/>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10"/>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10"/>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10"/>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10"/>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10"/>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10"/>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10"/>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10"/>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10"/>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10"/>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10"/>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10"/>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10"/>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10"/>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10"/>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10"/>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10"/>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10"/>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10"/>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10"/>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10"/>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10"/>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10"/>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10"/>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10"/>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10"/>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10"/>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10"/>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10"/>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10"/>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10"/>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10"/>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10"/>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10"/>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10"/>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10"/>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10"/>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10"/>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10"/>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10"/>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10"/>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10"/>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10"/>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10"/>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10"/>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10"/>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10"/>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10"/>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10"/>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10"/>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10"/>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10"/>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10"/>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10"/>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10"/>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10"/>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10"/>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10"/>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10"/>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10"/>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10"/>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10"/>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10"/>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10"/>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10"/>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10"/>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10"/>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10"/>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10"/>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10"/>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10"/>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10"/>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10"/>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10"/>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10"/>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10"/>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10"/>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10"/>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10"/>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10"/>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10"/>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10"/>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10"/>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10"/>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10"/>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10"/>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10"/>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10"/>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10"/>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10"/>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10"/>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10"/>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10"/>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10"/>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10"/>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10"/>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10"/>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10"/>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10"/>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10"/>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10"/>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10"/>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10"/>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10"/>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10"/>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10"/>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10"/>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10"/>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10"/>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10"/>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10"/>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10"/>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10"/>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10"/>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10"/>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10"/>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10"/>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10"/>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10"/>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10"/>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10"/>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10"/>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10"/>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10"/>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10"/>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10"/>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10"/>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10"/>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10"/>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10"/>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10"/>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10"/>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10"/>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10"/>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10"/>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10"/>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10"/>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10"/>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10"/>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10"/>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10"/>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10"/>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10"/>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10"/>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10"/>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10"/>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10"/>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10"/>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10"/>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10"/>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10"/>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10"/>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10"/>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10"/>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10"/>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10"/>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10"/>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10"/>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10"/>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10"/>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10"/>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10"/>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10"/>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10"/>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10"/>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10"/>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10"/>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10"/>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10"/>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10"/>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10"/>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10"/>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10"/>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10"/>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10"/>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10"/>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10"/>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10"/>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10"/>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10"/>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10"/>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10"/>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10"/>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10"/>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10"/>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10"/>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10"/>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10"/>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10"/>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10"/>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10"/>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10"/>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10"/>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10"/>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10"/>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10"/>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10"/>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10"/>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10"/>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10"/>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10"/>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10"/>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10"/>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10"/>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10"/>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10"/>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10"/>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10"/>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10"/>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10"/>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10"/>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10"/>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10"/>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10"/>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10"/>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10"/>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10"/>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10"/>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10"/>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10"/>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10"/>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10"/>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10"/>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10"/>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10"/>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10"/>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10"/>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10"/>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10"/>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10"/>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10"/>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10"/>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10"/>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10"/>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10"/>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10"/>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10"/>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10"/>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10"/>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10"/>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10"/>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10"/>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10"/>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10"/>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10"/>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10"/>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10"/>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10"/>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10"/>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10"/>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10"/>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10"/>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10"/>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10"/>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10"/>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10"/>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10"/>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10"/>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10"/>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10"/>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10"/>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10"/>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10"/>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10"/>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10"/>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10"/>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10"/>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10"/>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10"/>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10"/>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10"/>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10"/>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10"/>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10"/>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10"/>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10"/>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10"/>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10"/>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10"/>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10"/>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10"/>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10"/>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10"/>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10"/>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10"/>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10"/>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10"/>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10"/>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10"/>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10"/>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10"/>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10"/>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10"/>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10"/>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10"/>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10"/>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10"/>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10"/>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10"/>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10"/>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10"/>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10"/>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10"/>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10"/>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10"/>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10"/>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10"/>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10"/>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10"/>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10"/>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10"/>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10"/>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10"/>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10"/>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10"/>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10"/>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10"/>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10"/>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10"/>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10"/>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10"/>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10"/>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10"/>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10"/>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10"/>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10"/>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10"/>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10"/>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10"/>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10"/>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10"/>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10"/>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10"/>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10"/>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10"/>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10"/>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10"/>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10"/>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10"/>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10"/>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10"/>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10"/>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10"/>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10"/>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10"/>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10"/>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10"/>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10"/>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10"/>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10"/>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10"/>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10"/>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10"/>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10"/>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10"/>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10"/>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10"/>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10"/>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10"/>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10"/>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10"/>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10"/>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10"/>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10"/>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10"/>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10"/>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10"/>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10"/>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10"/>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10"/>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10"/>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10"/>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10"/>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10"/>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10"/>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10"/>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10"/>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10"/>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10"/>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10"/>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10"/>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10"/>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10"/>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10"/>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10"/>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10"/>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10"/>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10"/>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10"/>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10"/>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10"/>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10"/>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10"/>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10"/>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10"/>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10"/>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10"/>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10"/>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10"/>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10"/>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10"/>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10"/>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10"/>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10"/>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10"/>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10"/>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10"/>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10"/>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10"/>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10"/>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10"/>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10"/>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10"/>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10"/>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10"/>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10"/>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10"/>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10"/>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10"/>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10"/>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10"/>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10"/>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10"/>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10"/>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10"/>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10"/>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10"/>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10"/>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10"/>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10"/>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10"/>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10"/>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10"/>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10"/>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10"/>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10"/>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10"/>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10"/>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10"/>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10"/>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10"/>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10"/>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10"/>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10"/>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10"/>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10"/>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10"/>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conditionalFormatting sqref="B1:B1000">
    <cfRule type="notContainsBlanks" dxfId="0" priority="1">
      <formula>LEN(TRIM(B1))&gt;0</formula>
    </cfRule>
  </conditionalFormatting>
  <hyperlinks>
    <hyperlink r:id="rId1" ref="B2"/>
    <hyperlink r:id="rId2" ref="B3"/>
    <hyperlink r:id="rId3" ref="B4"/>
    <hyperlink r:id="rId4" ref="B5"/>
    <hyperlink r:id="rId5" ref="B6"/>
    <hyperlink r:id="rId6" ref="B8"/>
    <hyperlink r:id="rId7" ref="B9"/>
    <hyperlink r:id="rId8" ref="B10"/>
    <hyperlink r:id="rId9" ref="B11"/>
  </hyperlinks>
  <drawing r:id="rId10"/>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13"/>
    <col customWidth="1" min="2" max="2" width="12.5"/>
    <col customWidth="1" min="3" max="21" width="6.13"/>
    <col customWidth="1" min="22" max="22" width="6.0"/>
    <col customWidth="1" min="23" max="34" width="6.13"/>
  </cols>
  <sheetData>
    <row r="1">
      <c r="A1" s="105" t="s">
        <v>4029</v>
      </c>
      <c r="B1" s="105" t="s">
        <v>4030</v>
      </c>
      <c r="C1" s="106">
        <v>45657.0</v>
      </c>
      <c r="D1" s="106">
        <v>45658.0</v>
      </c>
      <c r="E1" s="106">
        <v>45659.0</v>
      </c>
      <c r="F1" s="106">
        <v>45660.0</v>
      </c>
      <c r="G1" s="106">
        <v>45661.0</v>
      </c>
      <c r="H1" s="106">
        <v>45662.0</v>
      </c>
      <c r="I1" s="106">
        <v>45663.0</v>
      </c>
      <c r="J1" s="106">
        <v>45664.0</v>
      </c>
      <c r="K1" s="106">
        <v>45665.0</v>
      </c>
      <c r="L1" s="106">
        <v>45666.0</v>
      </c>
      <c r="M1" s="106">
        <v>45667.0</v>
      </c>
      <c r="N1" s="106">
        <v>45668.0</v>
      </c>
      <c r="O1" s="106">
        <v>45669.0</v>
      </c>
      <c r="P1" s="106">
        <v>45670.0</v>
      </c>
      <c r="Q1" s="106">
        <v>45671.0</v>
      </c>
      <c r="R1" s="106">
        <v>45672.0</v>
      </c>
      <c r="S1" s="106">
        <v>45673.0</v>
      </c>
      <c r="T1" s="106">
        <v>45674.0</v>
      </c>
      <c r="U1" s="106">
        <v>45675.0</v>
      </c>
      <c r="V1" s="106">
        <v>45676.0</v>
      </c>
      <c r="W1" s="106">
        <v>45677.0</v>
      </c>
      <c r="X1" s="106">
        <v>45678.0</v>
      </c>
      <c r="Y1" s="106">
        <v>45679.0</v>
      </c>
      <c r="Z1" s="106">
        <v>45680.0</v>
      </c>
      <c r="AA1" s="106">
        <v>45681.0</v>
      </c>
      <c r="AB1" s="106">
        <v>45682.0</v>
      </c>
      <c r="AC1" s="106">
        <v>45683.0</v>
      </c>
      <c r="AD1" s="106">
        <v>45684.0</v>
      </c>
      <c r="AE1" s="106">
        <v>45685.0</v>
      </c>
      <c r="AF1" s="106">
        <v>45686.0</v>
      </c>
      <c r="AG1" s="106">
        <v>45687.0</v>
      </c>
      <c r="AH1" s="106">
        <v>45688.0</v>
      </c>
    </row>
    <row r="2">
      <c r="A2" s="107" t="s">
        <v>1489</v>
      </c>
      <c r="B2" s="108" t="s">
        <v>12</v>
      </c>
      <c r="C2" s="109"/>
      <c r="D2" s="110"/>
      <c r="E2" s="110"/>
      <c r="F2" s="110"/>
      <c r="G2" s="110"/>
      <c r="H2" s="110"/>
      <c r="I2" s="110"/>
      <c r="J2" s="110"/>
      <c r="K2" s="110"/>
      <c r="L2" s="110"/>
      <c r="M2" s="110"/>
      <c r="N2" s="110"/>
      <c r="O2" s="110"/>
      <c r="P2" s="110"/>
      <c r="Q2" s="110"/>
      <c r="R2" s="110"/>
      <c r="S2" s="110"/>
      <c r="T2" s="110"/>
      <c r="U2" s="110"/>
      <c r="V2" s="110"/>
      <c r="W2" s="110"/>
      <c r="X2" s="110"/>
      <c r="Y2" s="110"/>
      <c r="Z2" s="110"/>
      <c r="AA2" s="110"/>
      <c r="AB2" s="110"/>
      <c r="AC2" s="110"/>
      <c r="AD2" s="110"/>
      <c r="AE2" s="110"/>
      <c r="AF2" s="110"/>
      <c r="AG2" s="110"/>
      <c r="AH2" s="110"/>
    </row>
    <row r="3">
      <c r="A3" s="107" t="s">
        <v>914</v>
      </c>
      <c r="B3" s="108" t="s">
        <v>12</v>
      </c>
      <c r="C3" s="109"/>
      <c r="D3" s="110"/>
      <c r="E3" s="110"/>
      <c r="F3" s="110"/>
      <c r="G3" s="110"/>
      <c r="H3" s="110"/>
      <c r="I3" s="110"/>
      <c r="J3" s="110"/>
      <c r="K3" s="110"/>
      <c r="L3" s="110"/>
      <c r="M3" s="110"/>
      <c r="N3" s="110"/>
      <c r="O3" s="110"/>
      <c r="P3" s="110"/>
      <c r="Q3" s="110"/>
      <c r="R3" s="110"/>
      <c r="S3" s="110"/>
      <c r="T3" s="110"/>
      <c r="U3" s="110"/>
      <c r="V3" s="110"/>
      <c r="W3" s="110"/>
      <c r="X3" s="110"/>
      <c r="Y3" s="110"/>
      <c r="Z3" s="110"/>
      <c r="AA3" s="110"/>
      <c r="AB3" s="110"/>
      <c r="AC3" s="110"/>
      <c r="AD3" s="110"/>
      <c r="AE3" s="110"/>
      <c r="AF3" s="110"/>
      <c r="AG3" s="110"/>
      <c r="AH3" s="110"/>
    </row>
    <row r="4">
      <c r="A4" s="107" t="s">
        <v>861</v>
      </c>
      <c r="B4" s="108" t="s">
        <v>12</v>
      </c>
      <c r="C4" s="110"/>
      <c r="D4" s="110"/>
      <c r="E4" s="110"/>
      <c r="F4" s="110"/>
      <c r="G4" s="110"/>
      <c r="H4" s="110"/>
      <c r="I4" s="110"/>
      <c r="J4" s="110"/>
      <c r="K4" s="110"/>
      <c r="L4" s="110"/>
      <c r="M4" s="110"/>
      <c r="N4" s="110"/>
      <c r="O4" s="110"/>
      <c r="P4" s="110"/>
      <c r="Q4" s="110"/>
      <c r="R4" s="110"/>
      <c r="S4" s="110"/>
      <c r="T4" s="110"/>
      <c r="U4" s="110"/>
      <c r="V4" s="110"/>
      <c r="W4" s="110"/>
      <c r="X4" s="110"/>
      <c r="Y4" s="110"/>
      <c r="Z4" s="110"/>
      <c r="AA4" s="110"/>
      <c r="AB4" s="110"/>
      <c r="AC4" s="110"/>
      <c r="AD4" s="110"/>
      <c r="AE4" s="110"/>
      <c r="AF4" s="110"/>
      <c r="AG4" s="110"/>
      <c r="AH4" s="110"/>
    </row>
    <row r="5">
      <c r="A5" s="107" t="s">
        <v>532</v>
      </c>
      <c r="B5" s="108" t="s">
        <v>12</v>
      </c>
      <c r="C5" s="110"/>
      <c r="D5" s="110"/>
      <c r="E5" s="110"/>
      <c r="F5" s="110"/>
      <c r="G5" s="110"/>
      <c r="H5" s="110"/>
      <c r="I5" s="110"/>
      <c r="J5" s="110"/>
      <c r="K5" s="110"/>
      <c r="L5" s="110"/>
      <c r="M5" s="110"/>
      <c r="N5" s="110"/>
      <c r="O5" s="110"/>
      <c r="P5" s="110"/>
      <c r="Q5" s="110"/>
      <c r="R5" s="110"/>
      <c r="S5" s="110"/>
      <c r="T5" s="110"/>
      <c r="U5" s="110"/>
      <c r="V5" s="110"/>
      <c r="W5" s="110"/>
      <c r="X5" s="110"/>
      <c r="Y5" s="110"/>
      <c r="Z5" s="110"/>
      <c r="AA5" s="110"/>
      <c r="AB5" s="110"/>
      <c r="AC5" s="110"/>
      <c r="AD5" s="110"/>
      <c r="AE5" s="110"/>
      <c r="AF5" s="110"/>
      <c r="AG5" s="110"/>
      <c r="AH5" s="110"/>
    </row>
    <row r="6">
      <c r="A6" s="107" t="s">
        <v>4031</v>
      </c>
      <c r="B6" s="108" t="s">
        <v>12</v>
      </c>
      <c r="C6" s="110"/>
      <c r="D6" s="110"/>
      <c r="E6" s="110"/>
      <c r="F6" s="110"/>
      <c r="G6" s="110"/>
      <c r="H6" s="110"/>
      <c r="I6" s="110"/>
      <c r="J6" s="110"/>
      <c r="K6" s="110"/>
      <c r="L6" s="110"/>
      <c r="M6" s="110"/>
      <c r="N6" s="110"/>
      <c r="O6" s="110"/>
      <c r="P6" s="110"/>
      <c r="Q6" s="110"/>
      <c r="R6" s="110"/>
      <c r="S6" s="110"/>
      <c r="T6" s="110"/>
      <c r="U6" s="110"/>
      <c r="V6" s="110"/>
      <c r="W6" s="110"/>
      <c r="X6" s="110"/>
      <c r="Y6" s="110"/>
      <c r="Z6" s="110"/>
      <c r="AA6" s="110"/>
      <c r="AB6" s="110"/>
      <c r="AC6" s="110"/>
      <c r="AD6" s="110"/>
      <c r="AE6" s="110"/>
      <c r="AF6" s="110"/>
      <c r="AG6" s="110"/>
      <c r="AH6" s="110"/>
    </row>
    <row r="7">
      <c r="A7" s="107" t="s">
        <v>45</v>
      </c>
      <c r="B7" s="108" t="s">
        <v>12</v>
      </c>
      <c r="C7" s="110"/>
      <c r="D7" s="110"/>
      <c r="E7" s="110"/>
      <c r="F7" s="110"/>
      <c r="G7" s="110"/>
      <c r="H7" s="110"/>
      <c r="I7" s="110"/>
      <c r="J7" s="110"/>
      <c r="K7" s="110"/>
      <c r="L7" s="110"/>
      <c r="M7" s="110"/>
      <c r="N7" s="110"/>
      <c r="O7" s="110"/>
      <c r="P7" s="110"/>
      <c r="Q7" s="110"/>
      <c r="R7" s="110"/>
      <c r="S7" s="110"/>
      <c r="T7" s="110"/>
      <c r="U7" s="110"/>
      <c r="V7" s="110"/>
      <c r="W7" s="110"/>
      <c r="X7" s="110"/>
      <c r="Y7" s="110"/>
      <c r="Z7" s="110"/>
      <c r="AA7" s="110"/>
      <c r="AB7" s="110"/>
      <c r="AC7" s="110"/>
      <c r="AD7" s="110"/>
      <c r="AE7" s="110"/>
      <c r="AF7" s="110"/>
      <c r="AG7" s="110"/>
      <c r="AH7" s="110"/>
    </row>
    <row r="8">
      <c r="A8" s="107" t="s">
        <v>1011</v>
      </c>
      <c r="B8" s="108" t="s">
        <v>12</v>
      </c>
      <c r="C8" s="110"/>
      <c r="D8" s="110"/>
      <c r="E8" s="110"/>
      <c r="F8" s="110"/>
      <c r="G8" s="110"/>
      <c r="H8" s="110"/>
      <c r="I8" s="110"/>
      <c r="J8" s="110"/>
      <c r="K8" s="110"/>
      <c r="L8" s="110"/>
      <c r="M8" s="110"/>
      <c r="N8" s="110"/>
      <c r="O8" s="110"/>
      <c r="P8" s="110"/>
      <c r="Q8" s="110"/>
      <c r="R8" s="110"/>
      <c r="S8" s="110"/>
      <c r="T8" s="110"/>
      <c r="U8" s="110"/>
      <c r="V8" s="110"/>
      <c r="W8" s="110"/>
      <c r="X8" s="110"/>
      <c r="Y8" s="110"/>
      <c r="Z8" s="110"/>
      <c r="AA8" s="110"/>
      <c r="AB8" s="110"/>
      <c r="AC8" s="110"/>
      <c r="AD8" s="110"/>
      <c r="AE8" s="110"/>
      <c r="AF8" s="110"/>
      <c r="AG8" s="110"/>
      <c r="AH8" s="110"/>
    </row>
    <row r="9">
      <c r="A9" s="107" t="s">
        <v>4015</v>
      </c>
      <c r="B9" s="111" t="s">
        <v>12</v>
      </c>
      <c r="C9" s="110"/>
      <c r="D9" s="110"/>
      <c r="E9" s="110"/>
      <c r="F9" s="110"/>
      <c r="G9" s="110"/>
      <c r="H9" s="110"/>
      <c r="I9" s="110"/>
      <c r="J9" s="110"/>
      <c r="K9" s="110"/>
      <c r="L9" s="110"/>
      <c r="M9" s="110"/>
      <c r="N9" s="110"/>
      <c r="O9" s="110"/>
      <c r="P9" s="110"/>
      <c r="Q9" s="110"/>
      <c r="R9" s="110"/>
      <c r="S9" s="110"/>
      <c r="T9" s="110"/>
      <c r="U9" s="110"/>
      <c r="V9" s="110"/>
      <c r="W9" s="110"/>
      <c r="X9" s="110"/>
      <c r="Y9" s="110"/>
      <c r="Z9" s="110"/>
      <c r="AA9" s="110"/>
      <c r="AB9" s="110"/>
      <c r="AC9" s="110"/>
      <c r="AD9" s="110"/>
      <c r="AE9" s="110"/>
      <c r="AF9" s="110"/>
      <c r="AG9" s="110"/>
      <c r="AH9" s="110"/>
    </row>
    <row r="10">
      <c r="A10" s="107" t="s">
        <v>4032</v>
      </c>
      <c r="B10" s="111" t="s">
        <v>12</v>
      </c>
      <c r="C10" s="110"/>
      <c r="D10" s="110"/>
      <c r="E10" s="110"/>
      <c r="F10" s="110"/>
      <c r="G10" s="110"/>
      <c r="H10" s="110"/>
      <c r="I10" s="110"/>
      <c r="J10" s="110"/>
      <c r="K10" s="110"/>
      <c r="L10" s="110"/>
      <c r="M10" s="110"/>
      <c r="N10" s="110"/>
      <c r="O10" s="110"/>
      <c r="P10" s="110"/>
      <c r="Q10" s="110"/>
      <c r="R10" s="110"/>
      <c r="S10" s="110"/>
      <c r="T10" s="110"/>
      <c r="U10" s="110"/>
      <c r="V10" s="110"/>
      <c r="W10" s="110"/>
      <c r="X10" s="110"/>
      <c r="Y10" s="110"/>
      <c r="Z10" s="110"/>
      <c r="AA10" s="110"/>
      <c r="AB10" s="110"/>
      <c r="AC10" s="110"/>
      <c r="AD10" s="110"/>
      <c r="AE10" s="110"/>
      <c r="AF10" s="110"/>
      <c r="AG10" s="110"/>
      <c r="AH10" s="110"/>
    </row>
    <row r="11">
      <c r="A11" s="107" t="s">
        <v>4033</v>
      </c>
      <c r="B11" s="111" t="s">
        <v>12</v>
      </c>
      <c r="C11" s="110"/>
      <c r="D11" s="110"/>
      <c r="E11" s="110"/>
      <c r="F11" s="110"/>
      <c r="G11" s="110"/>
      <c r="H11" s="110"/>
      <c r="I11" s="110"/>
      <c r="J11" s="110"/>
      <c r="K11" s="110"/>
      <c r="L11" s="110"/>
      <c r="M11" s="110"/>
      <c r="N11" s="110"/>
      <c r="O11" s="110"/>
      <c r="P11" s="110"/>
      <c r="Q11" s="110"/>
      <c r="R11" s="110"/>
      <c r="S11" s="110"/>
      <c r="T11" s="110"/>
      <c r="U11" s="110"/>
      <c r="V11" s="110"/>
      <c r="W11" s="110"/>
      <c r="X11" s="110"/>
      <c r="Y11" s="110"/>
      <c r="Z11" s="110"/>
      <c r="AA11" s="110"/>
      <c r="AB11" s="110"/>
      <c r="AC11" s="110"/>
      <c r="AD11" s="110"/>
      <c r="AE11" s="110"/>
      <c r="AF11" s="110"/>
      <c r="AG11" s="110"/>
      <c r="AH11" s="110"/>
    </row>
    <row r="12">
      <c r="A12" s="107" t="s">
        <v>956</v>
      </c>
      <c r="B12" s="111" t="s">
        <v>12</v>
      </c>
      <c r="C12" s="110"/>
      <c r="D12" s="110"/>
      <c r="E12" s="110"/>
      <c r="F12" s="110"/>
      <c r="G12" s="110"/>
      <c r="H12" s="110"/>
      <c r="I12" s="110"/>
      <c r="J12" s="110"/>
      <c r="K12" s="110"/>
      <c r="L12" s="110"/>
      <c r="M12" s="110"/>
      <c r="N12" s="110"/>
      <c r="O12" s="110"/>
      <c r="P12" s="110"/>
      <c r="Q12" s="110"/>
      <c r="R12" s="110"/>
      <c r="S12" s="110"/>
      <c r="T12" s="110"/>
      <c r="U12" s="110"/>
      <c r="V12" s="110"/>
      <c r="W12" s="110"/>
      <c r="X12" s="110"/>
      <c r="Y12" s="110"/>
      <c r="Z12" s="110"/>
      <c r="AA12" s="110"/>
      <c r="AB12" s="110"/>
      <c r="AC12" s="110"/>
      <c r="AD12" s="110"/>
      <c r="AE12" s="110"/>
      <c r="AF12" s="110"/>
      <c r="AG12" s="110"/>
      <c r="AH12" s="110"/>
    </row>
    <row r="13">
      <c r="A13" s="107" t="s">
        <v>4034</v>
      </c>
      <c r="B13" s="111" t="s">
        <v>12</v>
      </c>
      <c r="C13" s="110"/>
      <c r="D13" s="110"/>
      <c r="E13" s="110"/>
      <c r="F13" s="110"/>
      <c r="G13" s="110"/>
      <c r="H13" s="110"/>
      <c r="I13" s="110"/>
      <c r="J13" s="110"/>
      <c r="K13" s="110"/>
      <c r="L13" s="110"/>
      <c r="M13" s="110"/>
      <c r="N13" s="110"/>
      <c r="O13" s="110"/>
      <c r="P13" s="110"/>
      <c r="Q13" s="110"/>
      <c r="R13" s="110"/>
      <c r="S13" s="110"/>
      <c r="T13" s="110"/>
      <c r="U13" s="110"/>
      <c r="V13" s="110"/>
      <c r="W13" s="110"/>
      <c r="X13" s="110"/>
      <c r="Y13" s="110"/>
      <c r="Z13" s="110"/>
      <c r="AA13" s="110"/>
      <c r="AB13" s="110"/>
      <c r="AC13" s="110"/>
      <c r="AD13" s="110"/>
      <c r="AE13" s="110"/>
      <c r="AF13" s="110"/>
      <c r="AG13" s="110"/>
      <c r="AH13" s="110"/>
    </row>
    <row r="14">
      <c r="A14" s="107" t="s">
        <v>3258</v>
      </c>
      <c r="B14" s="108" t="s">
        <v>12</v>
      </c>
      <c r="C14" s="110"/>
      <c r="D14" s="110"/>
      <c r="E14" s="110"/>
      <c r="F14" s="110"/>
      <c r="G14" s="110"/>
      <c r="H14" s="110"/>
      <c r="I14" s="110"/>
      <c r="J14" s="110"/>
      <c r="K14" s="110"/>
      <c r="L14" s="110"/>
      <c r="M14" s="110"/>
      <c r="N14" s="110"/>
      <c r="O14" s="110"/>
      <c r="P14" s="110"/>
      <c r="Q14" s="110"/>
      <c r="R14" s="110"/>
      <c r="S14" s="110"/>
      <c r="T14" s="110"/>
      <c r="U14" s="110"/>
      <c r="V14" s="110"/>
      <c r="W14" s="110"/>
      <c r="X14" s="110"/>
      <c r="Y14" s="110"/>
      <c r="Z14" s="110"/>
      <c r="AA14" s="110"/>
      <c r="AB14" s="110"/>
      <c r="AC14" s="110"/>
      <c r="AD14" s="110"/>
      <c r="AE14" s="110"/>
      <c r="AF14" s="110"/>
      <c r="AG14" s="110"/>
      <c r="AH14" s="110"/>
    </row>
    <row r="15">
      <c r="A15" s="107" t="s">
        <v>2501</v>
      </c>
      <c r="B15" s="111" t="s">
        <v>12</v>
      </c>
      <c r="C15" s="110"/>
      <c r="D15" s="110"/>
      <c r="E15" s="110"/>
      <c r="F15" s="110"/>
      <c r="G15" s="110"/>
      <c r="H15" s="110"/>
      <c r="I15" s="110"/>
      <c r="J15" s="110"/>
      <c r="K15" s="110"/>
      <c r="L15" s="110"/>
      <c r="M15" s="110"/>
      <c r="N15" s="110"/>
      <c r="O15" s="110"/>
      <c r="P15" s="110"/>
      <c r="Q15" s="110"/>
      <c r="R15" s="110"/>
      <c r="S15" s="110"/>
      <c r="T15" s="110"/>
      <c r="U15" s="110"/>
      <c r="V15" s="110"/>
      <c r="W15" s="110"/>
      <c r="X15" s="110"/>
      <c r="Y15" s="110"/>
      <c r="Z15" s="110"/>
      <c r="AA15" s="110"/>
      <c r="AB15" s="110"/>
      <c r="AC15" s="110"/>
      <c r="AD15" s="110"/>
      <c r="AE15" s="110"/>
      <c r="AF15" s="110"/>
      <c r="AG15" s="110"/>
      <c r="AH15" s="110"/>
    </row>
    <row r="16">
      <c r="A16" s="107" t="s">
        <v>289</v>
      </c>
      <c r="B16" s="111" t="s">
        <v>12</v>
      </c>
      <c r="C16" s="110"/>
      <c r="D16" s="110"/>
      <c r="E16" s="110"/>
      <c r="F16" s="110"/>
      <c r="G16" s="110"/>
      <c r="H16" s="110"/>
      <c r="I16" s="110"/>
      <c r="J16" s="110"/>
      <c r="K16" s="110"/>
      <c r="L16" s="110"/>
      <c r="M16" s="110"/>
      <c r="N16" s="110"/>
      <c r="O16" s="110"/>
      <c r="P16" s="110"/>
      <c r="Q16" s="110"/>
      <c r="R16" s="110"/>
      <c r="S16" s="110"/>
      <c r="T16" s="110"/>
      <c r="U16" s="110"/>
      <c r="V16" s="110"/>
      <c r="W16" s="110"/>
      <c r="X16" s="110"/>
      <c r="Y16" s="110"/>
      <c r="Z16" s="110"/>
      <c r="AA16" s="110"/>
      <c r="AB16" s="110"/>
      <c r="AC16" s="110"/>
      <c r="AD16" s="110"/>
      <c r="AE16" s="110"/>
      <c r="AF16" s="110"/>
      <c r="AG16" s="110"/>
      <c r="AH16" s="110"/>
    </row>
    <row r="17">
      <c r="A17" s="107" t="s">
        <v>1886</v>
      </c>
      <c r="B17" s="111" t="s">
        <v>12</v>
      </c>
      <c r="C17" s="110"/>
      <c r="D17" s="110"/>
      <c r="E17" s="110"/>
      <c r="F17" s="110"/>
      <c r="G17" s="110"/>
      <c r="H17" s="110"/>
      <c r="I17" s="110"/>
      <c r="J17" s="110"/>
      <c r="K17" s="110"/>
      <c r="L17" s="110"/>
      <c r="M17" s="110"/>
      <c r="N17" s="110"/>
      <c r="O17" s="110"/>
      <c r="P17" s="110"/>
      <c r="Q17" s="110"/>
      <c r="R17" s="110"/>
      <c r="S17" s="110"/>
      <c r="T17" s="110"/>
      <c r="U17" s="110"/>
      <c r="V17" s="110"/>
      <c r="W17" s="110"/>
      <c r="X17" s="110"/>
      <c r="Y17" s="110"/>
      <c r="Z17" s="110"/>
      <c r="AA17" s="110"/>
      <c r="AB17" s="110"/>
      <c r="AC17" s="110"/>
      <c r="AD17" s="110"/>
      <c r="AE17" s="110"/>
      <c r="AF17" s="110"/>
      <c r="AG17" s="110"/>
      <c r="AH17" s="110"/>
    </row>
    <row r="18">
      <c r="A18" s="107" t="s">
        <v>371</v>
      </c>
      <c r="B18" s="111" t="s">
        <v>12</v>
      </c>
      <c r="C18" s="110"/>
      <c r="D18" s="110"/>
      <c r="E18" s="110"/>
      <c r="F18" s="110"/>
      <c r="G18" s="110"/>
      <c r="H18" s="110"/>
      <c r="I18" s="110"/>
      <c r="J18" s="110"/>
      <c r="K18" s="110"/>
      <c r="L18" s="110"/>
      <c r="M18" s="110"/>
      <c r="N18" s="110"/>
      <c r="O18" s="110"/>
      <c r="P18" s="110"/>
      <c r="Q18" s="110"/>
      <c r="R18" s="110"/>
      <c r="S18" s="110"/>
      <c r="T18" s="110"/>
      <c r="U18" s="110"/>
      <c r="V18" s="110"/>
      <c r="W18" s="110"/>
      <c r="X18" s="110"/>
      <c r="Y18" s="110"/>
      <c r="Z18" s="110"/>
      <c r="AA18" s="110"/>
      <c r="AB18" s="110"/>
      <c r="AC18" s="110"/>
      <c r="AD18" s="110"/>
      <c r="AE18" s="110"/>
      <c r="AF18" s="110"/>
      <c r="AG18" s="110"/>
      <c r="AH18" s="110"/>
    </row>
    <row r="19">
      <c r="A19" s="107" t="s">
        <v>424</v>
      </c>
      <c r="B19" s="111" t="s">
        <v>12</v>
      </c>
      <c r="C19" s="110"/>
      <c r="D19" s="110"/>
      <c r="E19" s="110"/>
      <c r="F19" s="110"/>
      <c r="G19" s="110"/>
      <c r="H19" s="110"/>
      <c r="I19" s="110"/>
      <c r="J19" s="110"/>
      <c r="K19" s="110"/>
      <c r="L19" s="110"/>
      <c r="M19" s="110"/>
      <c r="N19" s="110"/>
      <c r="O19" s="110"/>
      <c r="P19" s="110"/>
      <c r="Q19" s="110"/>
      <c r="R19" s="110"/>
      <c r="S19" s="110"/>
      <c r="T19" s="110"/>
      <c r="U19" s="110"/>
      <c r="V19" s="110"/>
      <c r="W19" s="110"/>
      <c r="X19" s="110"/>
      <c r="Y19" s="110"/>
      <c r="Z19" s="110"/>
      <c r="AA19" s="110"/>
      <c r="AB19" s="110"/>
      <c r="AC19" s="110"/>
      <c r="AD19" s="110"/>
      <c r="AE19" s="110"/>
      <c r="AF19" s="110"/>
      <c r="AG19" s="110"/>
      <c r="AH19" s="110"/>
    </row>
    <row r="20">
      <c r="A20" s="107" t="s">
        <v>85</v>
      </c>
      <c r="B20" s="111" t="s">
        <v>12</v>
      </c>
      <c r="C20" s="110"/>
      <c r="D20" s="110"/>
      <c r="E20" s="110"/>
      <c r="F20" s="110"/>
      <c r="G20" s="110"/>
      <c r="H20" s="110"/>
      <c r="I20" s="110"/>
      <c r="J20" s="110"/>
      <c r="K20" s="110"/>
      <c r="L20" s="110"/>
      <c r="M20" s="110"/>
      <c r="N20" s="110"/>
      <c r="O20" s="110"/>
      <c r="P20" s="110"/>
      <c r="Q20" s="110"/>
      <c r="R20" s="110"/>
      <c r="S20" s="110"/>
      <c r="T20" s="110"/>
      <c r="U20" s="110"/>
      <c r="V20" s="110"/>
      <c r="W20" s="110"/>
      <c r="X20" s="110"/>
      <c r="Y20" s="110"/>
      <c r="Z20" s="110"/>
      <c r="AA20" s="110"/>
      <c r="AB20" s="110"/>
      <c r="AC20" s="110"/>
      <c r="AD20" s="110"/>
      <c r="AE20" s="110"/>
      <c r="AF20" s="110"/>
      <c r="AG20" s="110"/>
      <c r="AH20" s="110"/>
    </row>
    <row r="21">
      <c r="A21" s="107" t="s">
        <v>4035</v>
      </c>
      <c r="B21" s="111" t="s">
        <v>12</v>
      </c>
      <c r="C21" s="110"/>
      <c r="D21" s="110"/>
      <c r="E21" s="110"/>
      <c r="F21" s="110"/>
      <c r="G21" s="110"/>
      <c r="H21" s="110"/>
      <c r="I21" s="110"/>
      <c r="J21" s="110"/>
      <c r="K21" s="110"/>
      <c r="L21" s="110"/>
      <c r="M21" s="110"/>
      <c r="N21" s="110"/>
      <c r="O21" s="110"/>
      <c r="P21" s="110"/>
      <c r="Q21" s="110"/>
      <c r="R21" s="110"/>
      <c r="S21" s="110"/>
      <c r="T21" s="110"/>
      <c r="U21" s="110"/>
      <c r="V21" s="110"/>
      <c r="W21" s="110"/>
      <c r="X21" s="110"/>
      <c r="Y21" s="110"/>
      <c r="Z21" s="110"/>
      <c r="AA21" s="110"/>
      <c r="AB21" s="110"/>
      <c r="AC21" s="110"/>
      <c r="AD21" s="110"/>
      <c r="AE21" s="110"/>
      <c r="AF21" s="110"/>
      <c r="AG21" s="110"/>
      <c r="AH21" s="110"/>
    </row>
    <row r="22">
      <c r="A22" s="107" t="s">
        <v>4036</v>
      </c>
      <c r="B22" s="111" t="s">
        <v>12</v>
      </c>
      <c r="C22" s="110"/>
      <c r="D22" s="110"/>
      <c r="E22" s="110"/>
      <c r="F22" s="110"/>
      <c r="G22" s="110"/>
      <c r="H22" s="110"/>
      <c r="I22" s="110"/>
      <c r="J22" s="110"/>
      <c r="K22" s="110"/>
      <c r="L22" s="110"/>
      <c r="M22" s="110"/>
      <c r="N22" s="110"/>
      <c r="O22" s="110"/>
      <c r="P22" s="110"/>
      <c r="Q22" s="110"/>
      <c r="R22" s="110"/>
      <c r="S22" s="110"/>
      <c r="T22" s="110"/>
      <c r="U22" s="110"/>
      <c r="V22" s="110"/>
      <c r="W22" s="110"/>
      <c r="X22" s="110"/>
      <c r="Y22" s="110"/>
      <c r="Z22" s="110"/>
      <c r="AA22" s="110"/>
      <c r="AB22" s="110"/>
      <c r="AC22" s="110"/>
      <c r="AD22" s="110"/>
      <c r="AE22" s="110"/>
      <c r="AF22" s="110"/>
      <c r="AG22" s="110"/>
      <c r="AH22" s="110"/>
    </row>
    <row r="23">
      <c r="A23" s="107" t="s">
        <v>4037</v>
      </c>
      <c r="B23" s="111" t="s">
        <v>12</v>
      </c>
      <c r="C23" s="110"/>
      <c r="D23" s="110"/>
      <c r="E23" s="110"/>
      <c r="F23" s="110"/>
      <c r="G23" s="110"/>
      <c r="H23" s="110"/>
      <c r="I23" s="110"/>
      <c r="J23" s="110"/>
      <c r="K23" s="110"/>
      <c r="L23" s="110"/>
      <c r="M23" s="110"/>
      <c r="N23" s="110"/>
      <c r="O23" s="110"/>
      <c r="P23" s="110"/>
      <c r="Q23" s="110"/>
      <c r="R23" s="110"/>
      <c r="S23" s="110"/>
      <c r="T23" s="110"/>
      <c r="U23" s="110"/>
      <c r="V23" s="110"/>
      <c r="W23" s="110"/>
      <c r="X23" s="110"/>
      <c r="Y23" s="110"/>
      <c r="Z23" s="110"/>
      <c r="AA23" s="110"/>
      <c r="AB23" s="110"/>
      <c r="AC23" s="110"/>
      <c r="AD23" s="110"/>
      <c r="AE23" s="110"/>
      <c r="AF23" s="110"/>
      <c r="AG23" s="110"/>
      <c r="AH23" s="110"/>
    </row>
    <row r="24">
      <c r="A24" s="107" t="s">
        <v>2169</v>
      </c>
      <c r="B24" s="111" t="s">
        <v>12</v>
      </c>
      <c r="C24" s="110"/>
      <c r="D24" s="110"/>
      <c r="E24" s="110"/>
      <c r="F24" s="110"/>
      <c r="G24" s="110"/>
      <c r="H24" s="110"/>
      <c r="I24" s="110"/>
      <c r="J24" s="110"/>
      <c r="K24" s="110"/>
      <c r="L24" s="110"/>
      <c r="M24" s="110"/>
      <c r="N24" s="110"/>
      <c r="O24" s="110"/>
      <c r="P24" s="110"/>
      <c r="Q24" s="110"/>
      <c r="R24" s="110"/>
      <c r="S24" s="110"/>
      <c r="T24" s="110"/>
      <c r="U24" s="110"/>
      <c r="V24" s="110"/>
      <c r="W24" s="110"/>
      <c r="X24" s="110"/>
      <c r="Y24" s="110"/>
      <c r="Z24" s="110"/>
      <c r="AA24" s="110"/>
      <c r="AB24" s="110"/>
      <c r="AC24" s="110"/>
      <c r="AD24" s="110"/>
      <c r="AE24" s="110"/>
      <c r="AF24" s="110"/>
      <c r="AG24" s="110"/>
      <c r="AH24" s="110"/>
    </row>
    <row r="25">
      <c r="A25" s="107" t="s">
        <v>4038</v>
      </c>
      <c r="B25" s="111" t="s">
        <v>12</v>
      </c>
      <c r="C25" s="110"/>
      <c r="D25" s="110"/>
      <c r="E25" s="110"/>
      <c r="F25" s="110"/>
      <c r="G25" s="110"/>
      <c r="H25" s="110"/>
      <c r="I25" s="110"/>
      <c r="J25" s="110"/>
      <c r="K25" s="110"/>
      <c r="L25" s="110"/>
      <c r="M25" s="110"/>
      <c r="N25" s="110"/>
      <c r="O25" s="110"/>
      <c r="P25" s="110"/>
      <c r="Q25" s="110"/>
      <c r="R25" s="110"/>
      <c r="S25" s="110"/>
      <c r="T25" s="110"/>
      <c r="U25" s="110"/>
      <c r="V25" s="110"/>
      <c r="W25" s="110"/>
      <c r="X25" s="110"/>
      <c r="Y25" s="110"/>
      <c r="Z25" s="110"/>
      <c r="AA25" s="110"/>
      <c r="AB25" s="110"/>
      <c r="AC25" s="110"/>
      <c r="AD25" s="110"/>
      <c r="AE25" s="110"/>
      <c r="AF25" s="110"/>
      <c r="AG25" s="110"/>
      <c r="AH25" s="110"/>
    </row>
    <row r="26">
      <c r="A26" s="107" t="s">
        <v>1235</v>
      </c>
      <c r="B26" s="111" t="s">
        <v>12</v>
      </c>
      <c r="C26" s="110"/>
      <c r="D26" s="110"/>
      <c r="E26" s="110"/>
      <c r="F26" s="110"/>
      <c r="G26" s="110"/>
      <c r="H26" s="110"/>
      <c r="I26" s="110"/>
      <c r="J26" s="110"/>
      <c r="K26" s="110"/>
      <c r="L26" s="110"/>
      <c r="M26" s="110"/>
      <c r="N26" s="110"/>
      <c r="O26" s="110"/>
      <c r="P26" s="110"/>
      <c r="Q26" s="110"/>
      <c r="R26" s="110"/>
      <c r="S26" s="110"/>
      <c r="T26" s="110"/>
      <c r="U26" s="110"/>
      <c r="V26" s="110"/>
      <c r="W26" s="110"/>
      <c r="X26" s="110"/>
      <c r="Y26" s="110"/>
      <c r="Z26" s="110"/>
      <c r="AA26" s="110"/>
      <c r="AB26" s="110"/>
      <c r="AC26" s="110"/>
      <c r="AD26" s="110"/>
      <c r="AE26" s="110"/>
      <c r="AF26" s="110"/>
      <c r="AG26" s="110"/>
      <c r="AH26" s="110"/>
    </row>
    <row r="27">
      <c r="A27" s="107" t="s">
        <v>550</v>
      </c>
      <c r="B27" s="111" t="s">
        <v>12</v>
      </c>
      <c r="C27" s="110"/>
      <c r="D27" s="110"/>
      <c r="E27" s="110"/>
      <c r="F27" s="110"/>
      <c r="G27" s="110"/>
      <c r="H27" s="110"/>
      <c r="I27" s="110"/>
      <c r="J27" s="110"/>
      <c r="K27" s="110"/>
      <c r="L27" s="110"/>
      <c r="M27" s="110"/>
      <c r="N27" s="110"/>
      <c r="O27" s="110"/>
      <c r="P27" s="110"/>
      <c r="Q27" s="110"/>
      <c r="R27" s="110"/>
      <c r="S27" s="110"/>
      <c r="T27" s="110"/>
      <c r="U27" s="110"/>
      <c r="V27" s="110"/>
      <c r="W27" s="110"/>
      <c r="X27" s="110"/>
      <c r="Y27" s="110"/>
      <c r="Z27" s="110"/>
      <c r="AA27" s="110"/>
      <c r="AB27" s="110"/>
      <c r="AC27" s="110"/>
      <c r="AD27" s="110"/>
      <c r="AE27" s="110"/>
      <c r="AF27" s="110"/>
      <c r="AG27" s="110"/>
      <c r="AH27" s="110"/>
    </row>
    <row r="28">
      <c r="A28" s="107" t="s">
        <v>220</v>
      </c>
      <c r="B28" s="111" t="s">
        <v>12</v>
      </c>
      <c r="C28" s="110"/>
      <c r="D28" s="110"/>
      <c r="E28" s="110"/>
      <c r="F28" s="110"/>
      <c r="G28" s="110"/>
      <c r="H28" s="110"/>
      <c r="I28" s="110"/>
      <c r="J28" s="110"/>
      <c r="K28" s="110"/>
      <c r="L28" s="110"/>
      <c r="M28" s="110"/>
      <c r="N28" s="110"/>
      <c r="O28" s="110"/>
      <c r="P28" s="110"/>
      <c r="Q28" s="110"/>
      <c r="R28" s="110"/>
      <c r="S28" s="110"/>
      <c r="T28" s="110"/>
      <c r="U28" s="110"/>
      <c r="V28" s="110"/>
      <c r="W28" s="110"/>
      <c r="X28" s="110"/>
      <c r="Y28" s="110"/>
      <c r="Z28" s="110"/>
      <c r="AA28" s="110"/>
      <c r="AB28" s="110"/>
      <c r="AC28" s="110"/>
      <c r="AD28" s="110"/>
      <c r="AE28" s="110"/>
      <c r="AF28" s="110"/>
      <c r="AG28" s="110"/>
      <c r="AH28" s="110"/>
    </row>
    <row r="29">
      <c r="A29" s="107" t="s">
        <v>4039</v>
      </c>
      <c r="B29" s="111" t="s">
        <v>12</v>
      </c>
      <c r="C29" s="110"/>
      <c r="D29" s="110"/>
      <c r="E29" s="110"/>
      <c r="F29" s="110"/>
      <c r="G29" s="110"/>
      <c r="H29" s="110"/>
      <c r="I29" s="110"/>
      <c r="J29" s="110"/>
      <c r="K29" s="110"/>
      <c r="L29" s="110"/>
      <c r="M29" s="110"/>
      <c r="N29" s="110"/>
      <c r="O29" s="110"/>
      <c r="P29" s="110"/>
      <c r="Q29" s="110"/>
      <c r="R29" s="110"/>
      <c r="S29" s="110"/>
      <c r="T29" s="110"/>
      <c r="U29" s="110"/>
      <c r="V29" s="110"/>
      <c r="W29" s="110"/>
      <c r="X29" s="110"/>
      <c r="Y29" s="110"/>
      <c r="Z29" s="110"/>
      <c r="AA29" s="110"/>
      <c r="AB29" s="110"/>
      <c r="AC29" s="110"/>
      <c r="AD29" s="110"/>
      <c r="AE29" s="110"/>
      <c r="AF29" s="110"/>
      <c r="AG29" s="110"/>
      <c r="AH29" s="110"/>
    </row>
    <row r="30">
      <c r="A30" s="107" t="s">
        <v>2296</v>
      </c>
      <c r="B30" s="111" t="s">
        <v>12</v>
      </c>
      <c r="C30" s="110"/>
      <c r="D30" s="110"/>
      <c r="E30" s="110"/>
      <c r="F30" s="110"/>
      <c r="G30" s="110"/>
      <c r="H30" s="110"/>
      <c r="I30" s="110"/>
      <c r="J30" s="110"/>
      <c r="K30" s="110"/>
      <c r="L30" s="110"/>
      <c r="M30" s="110"/>
      <c r="N30" s="110"/>
      <c r="O30" s="110"/>
      <c r="P30" s="110"/>
      <c r="Q30" s="110"/>
      <c r="R30" s="110"/>
      <c r="S30" s="110"/>
      <c r="T30" s="110"/>
      <c r="U30" s="110"/>
      <c r="V30" s="110"/>
      <c r="W30" s="110"/>
      <c r="X30" s="110"/>
      <c r="Y30" s="110"/>
      <c r="Z30" s="110"/>
      <c r="AA30" s="110"/>
      <c r="AB30" s="110"/>
      <c r="AC30" s="110"/>
      <c r="AD30" s="110"/>
      <c r="AE30" s="110"/>
      <c r="AF30" s="110"/>
      <c r="AG30" s="110"/>
      <c r="AH30" s="110"/>
    </row>
    <row r="31">
      <c r="A31" s="107" t="s">
        <v>4040</v>
      </c>
      <c r="B31" s="111" t="s">
        <v>12</v>
      </c>
      <c r="C31" s="110"/>
      <c r="D31" s="110"/>
      <c r="E31" s="110"/>
      <c r="F31" s="110"/>
      <c r="G31" s="110"/>
      <c r="H31" s="110"/>
      <c r="I31" s="110"/>
      <c r="J31" s="110"/>
      <c r="K31" s="110"/>
      <c r="L31" s="110"/>
      <c r="M31" s="110"/>
      <c r="N31" s="110"/>
      <c r="O31" s="110"/>
      <c r="P31" s="110"/>
      <c r="Q31" s="110"/>
      <c r="R31" s="110"/>
      <c r="S31" s="110"/>
      <c r="T31" s="110"/>
      <c r="U31" s="110"/>
      <c r="V31" s="110"/>
      <c r="W31" s="110"/>
      <c r="X31" s="110"/>
      <c r="Y31" s="110"/>
      <c r="Z31" s="110"/>
      <c r="AA31" s="110"/>
      <c r="AB31" s="110"/>
      <c r="AC31" s="110"/>
      <c r="AD31" s="110"/>
      <c r="AE31" s="110"/>
      <c r="AF31" s="110"/>
      <c r="AG31" s="110"/>
      <c r="AH31" s="110"/>
    </row>
    <row r="32">
      <c r="A32" s="107" t="s">
        <v>4041</v>
      </c>
      <c r="B32" s="111" t="s">
        <v>12</v>
      </c>
      <c r="C32" s="110"/>
      <c r="D32" s="110"/>
      <c r="E32" s="110"/>
      <c r="F32" s="110"/>
      <c r="G32" s="110"/>
      <c r="H32" s="110"/>
      <c r="I32" s="110"/>
      <c r="J32" s="110"/>
      <c r="K32" s="110"/>
      <c r="L32" s="110"/>
      <c r="M32" s="110"/>
      <c r="N32" s="110"/>
      <c r="O32" s="110"/>
      <c r="P32" s="110"/>
      <c r="Q32" s="110"/>
      <c r="R32" s="110"/>
      <c r="S32" s="110"/>
      <c r="T32" s="110"/>
      <c r="U32" s="110"/>
      <c r="V32" s="110"/>
      <c r="W32" s="110"/>
      <c r="X32" s="110"/>
      <c r="Y32" s="110"/>
      <c r="Z32" s="110"/>
      <c r="AA32" s="110"/>
      <c r="AB32" s="110"/>
      <c r="AC32" s="110"/>
      <c r="AD32" s="110"/>
      <c r="AE32" s="110"/>
      <c r="AF32" s="110"/>
      <c r="AG32" s="110"/>
      <c r="AH32" s="110"/>
    </row>
    <row r="33">
      <c r="A33" s="107" t="s">
        <v>4042</v>
      </c>
      <c r="B33" s="111" t="s">
        <v>12</v>
      </c>
      <c r="C33" s="110"/>
      <c r="D33" s="110"/>
      <c r="E33" s="110"/>
      <c r="F33" s="110"/>
      <c r="G33" s="110"/>
      <c r="H33" s="110"/>
      <c r="I33" s="110"/>
      <c r="J33" s="110"/>
      <c r="K33" s="110"/>
      <c r="L33" s="110"/>
      <c r="M33" s="110"/>
      <c r="N33" s="110"/>
      <c r="O33" s="110"/>
      <c r="P33" s="110"/>
      <c r="Q33" s="110"/>
      <c r="R33" s="110"/>
      <c r="S33" s="110"/>
      <c r="T33" s="110"/>
      <c r="U33" s="110"/>
      <c r="V33" s="110"/>
      <c r="W33" s="110"/>
      <c r="X33" s="110"/>
      <c r="Y33" s="110"/>
      <c r="Z33" s="110"/>
      <c r="AA33" s="110"/>
      <c r="AB33" s="110"/>
      <c r="AC33" s="110"/>
      <c r="AD33" s="110"/>
      <c r="AE33" s="110"/>
      <c r="AF33" s="110"/>
      <c r="AG33" s="110"/>
      <c r="AH33" s="110"/>
    </row>
    <row r="34">
      <c r="A34" s="107" t="s">
        <v>4043</v>
      </c>
      <c r="B34" s="111" t="s">
        <v>12</v>
      </c>
      <c r="C34" s="110"/>
      <c r="D34" s="110"/>
      <c r="E34" s="110"/>
      <c r="F34" s="110"/>
      <c r="G34" s="110"/>
      <c r="H34" s="110"/>
      <c r="I34" s="110"/>
      <c r="J34" s="110"/>
      <c r="K34" s="110"/>
      <c r="L34" s="110"/>
      <c r="M34" s="110"/>
      <c r="N34" s="110"/>
      <c r="O34" s="110"/>
      <c r="P34" s="110"/>
      <c r="Q34" s="110"/>
      <c r="R34" s="110"/>
      <c r="S34" s="110"/>
      <c r="T34" s="110"/>
      <c r="U34" s="110"/>
      <c r="V34" s="110"/>
      <c r="W34" s="110"/>
      <c r="X34" s="110"/>
      <c r="Y34" s="110"/>
      <c r="Z34" s="110"/>
      <c r="AA34" s="110"/>
      <c r="AB34" s="110"/>
      <c r="AC34" s="110"/>
      <c r="AD34" s="110"/>
      <c r="AE34" s="110"/>
      <c r="AF34" s="110"/>
      <c r="AG34" s="110"/>
      <c r="AH34" s="110"/>
    </row>
    <row r="35">
      <c r="A35" s="107" t="s">
        <v>4044</v>
      </c>
      <c r="B35" s="111" t="s">
        <v>12</v>
      </c>
      <c r="C35" s="110"/>
      <c r="D35" s="110"/>
      <c r="E35" s="110"/>
      <c r="F35" s="110"/>
      <c r="G35" s="110"/>
      <c r="H35" s="110"/>
      <c r="I35" s="110"/>
      <c r="J35" s="110"/>
      <c r="K35" s="110"/>
      <c r="L35" s="110"/>
      <c r="M35" s="110"/>
      <c r="N35" s="110"/>
      <c r="O35" s="110"/>
      <c r="P35" s="110"/>
      <c r="Q35" s="110"/>
      <c r="R35" s="110"/>
      <c r="S35" s="110"/>
      <c r="T35" s="110"/>
      <c r="U35" s="110"/>
      <c r="V35" s="110"/>
      <c r="W35" s="110"/>
      <c r="X35" s="110"/>
      <c r="Y35" s="110"/>
      <c r="Z35" s="110"/>
      <c r="AA35" s="110"/>
      <c r="AB35" s="110"/>
      <c r="AC35" s="110"/>
      <c r="AD35" s="110"/>
      <c r="AE35" s="110"/>
      <c r="AF35" s="110"/>
      <c r="AG35" s="110"/>
      <c r="AH35" s="110"/>
    </row>
    <row r="36">
      <c r="A36" s="107" t="s">
        <v>4045</v>
      </c>
      <c r="B36" s="111" t="s">
        <v>12</v>
      </c>
      <c r="C36" s="110"/>
      <c r="D36" s="110"/>
      <c r="E36" s="110"/>
      <c r="F36" s="110"/>
      <c r="G36" s="110"/>
      <c r="H36" s="110"/>
      <c r="I36" s="110"/>
      <c r="J36" s="110"/>
      <c r="K36" s="110"/>
      <c r="L36" s="110"/>
      <c r="M36" s="110"/>
      <c r="N36" s="110"/>
      <c r="O36" s="110"/>
      <c r="P36" s="110"/>
      <c r="Q36" s="110"/>
      <c r="R36" s="110"/>
      <c r="S36" s="110"/>
      <c r="T36" s="110"/>
      <c r="U36" s="110"/>
      <c r="V36" s="110"/>
      <c r="W36" s="110"/>
      <c r="X36" s="110"/>
      <c r="Y36" s="110"/>
      <c r="Z36" s="110"/>
      <c r="AA36" s="110"/>
      <c r="AB36" s="110"/>
      <c r="AC36" s="110"/>
      <c r="AD36" s="110"/>
      <c r="AE36" s="110"/>
      <c r="AF36" s="110"/>
      <c r="AG36" s="110"/>
      <c r="AH36" s="110"/>
    </row>
    <row r="37">
      <c r="A37" s="107" t="s">
        <v>4007</v>
      </c>
      <c r="B37" s="111" t="s">
        <v>12</v>
      </c>
      <c r="C37" s="110"/>
      <c r="D37" s="110"/>
      <c r="E37" s="110"/>
      <c r="F37" s="110"/>
      <c r="G37" s="110"/>
      <c r="H37" s="110"/>
      <c r="I37" s="110"/>
      <c r="J37" s="110"/>
      <c r="K37" s="110"/>
      <c r="L37" s="110"/>
      <c r="M37" s="110"/>
      <c r="N37" s="110"/>
      <c r="O37" s="110"/>
      <c r="P37" s="110"/>
      <c r="Q37" s="110"/>
      <c r="R37" s="110"/>
      <c r="S37" s="110"/>
      <c r="T37" s="110"/>
      <c r="U37" s="110"/>
      <c r="V37" s="110"/>
      <c r="W37" s="110"/>
      <c r="X37" s="110"/>
      <c r="Y37" s="110"/>
      <c r="Z37" s="110"/>
      <c r="AA37" s="110"/>
      <c r="AB37" s="110"/>
      <c r="AC37" s="110"/>
      <c r="AD37" s="110"/>
      <c r="AE37" s="110"/>
      <c r="AF37" s="110"/>
      <c r="AG37" s="110"/>
      <c r="AH37" s="110"/>
    </row>
    <row r="38">
      <c r="A38" s="107" t="s">
        <v>161</v>
      </c>
      <c r="B38" s="111" t="s">
        <v>12</v>
      </c>
      <c r="C38" s="110"/>
      <c r="D38" s="110"/>
      <c r="E38" s="110"/>
      <c r="F38" s="110"/>
      <c r="G38" s="110"/>
      <c r="H38" s="110"/>
      <c r="I38" s="110"/>
      <c r="J38" s="110"/>
      <c r="K38" s="110"/>
      <c r="L38" s="110"/>
      <c r="M38" s="110"/>
      <c r="N38" s="110"/>
      <c r="O38" s="110"/>
      <c r="P38" s="110"/>
      <c r="Q38" s="110"/>
      <c r="R38" s="110"/>
      <c r="S38" s="110"/>
      <c r="T38" s="110"/>
      <c r="U38" s="110"/>
      <c r="V38" s="110"/>
      <c r="W38" s="110"/>
      <c r="X38" s="110"/>
      <c r="Y38" s="110"/>
      <c r="Z38" s="110"/>
      <c r="AA38" s="110"/>
      <c r="AB38" s="110"/>
      <c r="AC38" s="110"/>
      <c r="AD38" s="110"/>
      <c r="AE38" s="110"/>
      <c r="AF38" s="110"/>
      <c r="AG38" s="110"/>
      <c r="AH38" s="110"/>
    </row>
    <row r="39">
      <c r="A39" s="107" t="s">
        <v>4046</v>
      </c>
      <c r="B39" s="111" t="s">
        <v>12</v>
      </c>
      <c r="C39" s="110"/>
      <c r="D39" s="110"/>
      <c r="E39" s="110"/>
      <c r="F39" s="110"/>
      <c r="G39" s="110"/>
      <c r="H39" s="110"/>
      <c r="I39" s="110"/>
      <c r="J39" s="110"/>
      <c r="K39" s="110"/>
      <c r="L39" s="110"/>
      <c r="M39" s="110"/>
      <c r="N39" s="110"/>
      <c r="O39" s="110"/>
      <c r="P39" s="110"/>
      <c r="Q39" s="110"/>
      <c r="R39" s="110"/>
      <c r="S39" s="110"/>
      <c r="T39" s="110"/>
      <c r="U39" s="110"/>
      <c r="V39" s="110"/>
      <c r="W39" s="110"/>
      <c r="X39" s="110"/>
      <c r="Y39" s="110"/>
      <c r="Z39" s="110"/>
      <c r="AA39" s="110"/>
      <c r="AB39" s="110"/>
      <c r="AC39" s="110"/>
      <c r="AD39" s="110"/>
      <c r="AE39" s="110"/>
      <c r="AF39" s="110"/>
      <c r="AG39" s="110"/>
      <c r="AH39" s="110"/>
    </row>
    <row r="40">
      <c r="A40" s="107" t="s">
        <v>4047</v>
      </c>
      <c r="B40" s="111" t="s">
        <v>12</v>
      </c>
      <c r="C40" s="110"/>
      <c r="D40" s="110"/>
      <c r="E40" s="110"/>
      <c r="F40" s="110"/>
      <c r="G40" s="110"/>
      <c r="H40" s="110"/>
      <c r="I40" s="110"/>
      <c r="J40" s="110"/>
      <c r="K40" s="110"/>
      <c r="L40" s="110"/>
      <c r="M40" s="110"/>
      <c r="N40" s="110"/>
      <c r="O40" s="110"/>
      <c r="P40" s="110"/>
      <c r="Q40" s="110"/>
      <c r="R40" s="110"/>
      <c r="S40" s="110"/>
      <c r="T40" s="110"/>
      <c r="U40" s="110"/>
      <c r="V40" s="110"/>
      <c r="W40" s="110"/>
      <c r="X40" s="110"/>
      <c r="Y40" s="110"/>
      <c r="Z40" s="110"/>
      <c r="AA40" s="110"/>
      <c r="AB40" s="110"/>
      <c r="AC40" s="110"/>
      <c r="AD40" s="110"/>
      <c r="AE40" s="110"/>
      <c r="AF40" s="110"/>
      <c r="AG40" s="110"/>
      <c r="AH40" s="110"/>
    </row>
    <row r="41">
      <c r="A41" s="107" t="s">
        <v>4048</v>
      </c>
      <c r="B41" s="111" t="s">
        <v>12</v>
      </c>
      <c r="C41" s="110"/>
      <c r="D41" s="110"/>
      <c r="E41" s="110"/>
      <c r="F41" s="110"/>
      <c r="G41" s="110"/>
      <c r="H41" s="110"/>
      <c r="I41" s="110"/>
      <c r="J41" s="110"/>
      <c r="K41" s="110"/>
      <c r="L41" s="110"/>
      <c r="M41" s="110"/>
      <c r="N41" s="110"/>
      <c r="O41" s="110"/>
      <c r="P41" s="110"/>
      <c r="Q41" s="110"/>
      <c r="R41" s="110"/>
      <c r="S41" s="110"/>
      <c r="T41" s="110"/>
      <c r="U41" s="110"/>
      <c r="V41" s="110"/>
      <c r="W41" s="110"/>
      <c r="X41" s="110"/>
      <c r="Y41" s="110"/>
      <c r="Z41" s="110"/>
      <c r="AA41" s="110"/>
      <c r="AB41" s="110"/>
      <c r="AC41" s="110"/>
      <c r="AD41" s="110"/>
      <c r="AE41" s="110"/>
      <c r="AF41" s="110"/>
      <c r="AG41" s="110"/>
      <c r="AH41" s="110"/>
    </row>
    <row r="42">
      <c r="A42" s="107" t="s">
        <v>4049</v>
      </c>
      <c r="B42" s="111" t="s">
        <v>12</v>
      </c>
      <c r="C42" s="110"/>
      <c r="D42" s="110"/>
      <c r="E42" s="110"/>
      <c r="F42" s="110"/>
      <c r="G42" s="110"/>
      <c r="H42" s="110"/>
      <c r="I42" s="110"/>
      <c r="J42" s="110"/>
      <c r="K42" s="110"/>
      <c r="L42" s="110"/>
      <c r="M42" s="110"/>
      <c r="N42" s="110"/>
      <c r="O42" s="110"/>
      <c r="P42" s="110"/>
      <c r="Q42" s="110"/>
      <c r="R42" s="110"/>
      <c r="S42" s="110"/>
      <c r="T42" s="110"/>
      <c r="U42" s="110"/>
      <c r="V42" s="110"/>
      <c r="W42" s="110"/>
      <c r="X42" s="110"/>
      <c r="Y42" s="110"/>
      <c r="Z42" s="110"/>
      <c r="AA42" s="110"/>
      <c r="AB42" s="110"/>
      <c r="AC42" s="110"/>
      <c r="AD42" s="110"/>
      <c r="AE42" s="110"/>
      <c r="AF42" s="110"/>
      <c r="AG42" s="110"/>
      <c r="AH42" s="110"/>
    </row>
    <row r="43">
      <c r="A43" s="107" t="s">
        <v>1465</v>
      </c>
      <c r="B43" s="111" t="s">
        <v>12</v>
      </c>
      <c r="C43" s="110"/>
      <c r="D43" s="110"/>
      <c r="E43" s="110"/>
      <c r="F43" s="110"/>
      <c r="G43" s="110"/>
      <c r="H43" s="110"/>
      <c r="I43" s="110"/>
      <c r="J43" s="110"/>
      <c r="K43" s="110"/>
      <c r="L43" s="110"/>
      <c r="M43" s="110"/>
      <c r="N43" s="110"/>
      <c r="O43" s="110"/>
      <c r="P43" s="110"/>
      <c r="Q43" s="110"/>
      <c r="R43" s="110"/>
      <c r="S43" s="110"/>
      <c r="T43" s="110"/>
      <c r="U43" s="110"/>
      <c r="V43" s="110"/>
      <c r="W43" s="110"/>
      <c r="X43" s="110"/>
      <c r="Y43" s="110"/>
      <c r="Z43" s="110"/>
      <c r="AA43" s="110"/>
      <c r="AB43" s="110"/>
      <c r="AC43" s="110"/>
      <c r="AD43" s="110"/>
      <c r="AE43" s="110"/>
      <c r="AF43" s="110"/>
      <c r="AG43" s="110"/>
      <c r="AH43" s="110"/>
    </row>
    <row r="44">
      <c r="A44" s="107" t="s">
        <v>4050</v>
      </c>
      <c r="B44" s="111" t="s">
        <v>12</v>
      </c>
      <c r="C44" s="110"/>
      <c r="D44" s="110"/>
      <c r="E44" s="110"/>
      <c r="F44" s="110"/>
      <c r="G44" s="110"/>
      <c r="H44" s="110"/>
      <c r="I44" s="110"/>
      <c r="J44" s="110"/>
      <c r="K44" s="110"/>
      <c r="L44" s="110"/>
      <c r="M44" s="110"/>
      <c r="N44" s="110"/>
      <c r="O44" s="110"/>
      <c r="P44" s="110"/>
      <c r="Q44" s="110"/>
      <c r="R44" s="110"/>
      <c r="S44" s="110"/>
      <c r="T44" s="110"/>
      <c r="U44" s="110"/>
      <c r="V44" s="110"/>
      <c r="W44" s="110"/>
      <c r="X44" s="110"/>
      <c r="Y44" s="110"/>
      <c r="Z44" s="110"/>
      <c r="AA44" s="110"/>
      <c r="AB44" s="110"/>
      <c r="AC44" s="110"/>
      <c r="AD44" s="110"/>
      <c r="AE44" s="110"/>
      <c r="AF44" s="110"/>
      <c r="AG44" s="110"/>
      <c r="AH44" s="110"/>
    </row>
    <row r="45">
      <c r="A45" s="107" t="s">
        <v>4051</v>
      </c>
      <c r="B45" s="111" t="s">
        <v>12</v>
      </c>
      <c r="C45" s="110"/>
      <c r="D45" s="110"/>
      <c r="E45" s="110"/>
      <c r="F45" s="110"/>
      <c r="G45" s="110"/>
      <c r="H45" s="110"/>
      <c r="I45" s="110"/>
      <c r="J45" s="110"/>
      <c r="K45" s="110"/>
      <c r="L45" s="110"/>
      <c r="M45" s="110"/>
      <c r="N45" s="110"/>
      <c r="O45" s="110"/>
      <c r="P45" s="110"/>
      <c r="Q45" s="110"/>
      <c r="R45" s="110"/>
      <c r="S45" s="110"/>
      <c r="T45" s="110"/>
      <c r="U45" s="110"/>
      <c r="V45" s="110"/>
      <c r="W45" s="110"/>
      <c r="X45" s="110"/>
      <c r="Y45" s="110"/>
      <c r="Z45" s="110"/>
      <c r="AA45" s="110"/>
      <c r="AB45" s="110"/>
      <c r="AC45" s="110"/>
      <c r="AD45" s="110"/>
      <c r="AE45" s="110"/>
      <c r="AF45" s="110"/>
      <c r="AG45" s="110"/>
      <c r="AH45" s="110"/>
    </row>
    <row r="46">
      <c r="A46" s="107" t="s">
        <v>4052</v>
      </c>
      <c r="B46" s="111" t="s">
        <v>12</v>
      </c>
      <c r="C46" s="110"/>
      <c r="D46" s="110"/>
      <c r="E46" s="110"/>
      <c r="F46" s="110"/>
      <c r="G46" s="110"/>
      <c r="H46" s="110"/>
      <c r="I46" s="110"/>
      <c r="J46" s="110"/>
      <c r="K46" s="110"/>
      <c r="L46" s="110"/>
      <c r="M46" s="110"/>
      <c r="N46" s="110"/>
      <c r="O46" s="110"/>
      <c r="P46" s="110"/>
      <c r="Q46" s="110"/>
      <c r="R46" s="110"/>
      <c r="S46" s="110"/>
      <c r="T46" s="110"/>
      <c r="U46" s="110"/>
      <c r="V46" s="110"/>
      <c r="W46" s="110"/>
      <c r="X46" s="110"/>
      <c r="Y46" s="110"/>
      <c r="Z46" s="110"/>
      <c r="AA46" s="110"/>
      <c r="AB46" s="110"/>
      <c r="AC46" s="110"/>
      <c r="AD46" s="110"/>
      <c r="AE46" s="110"/>
      <c r="AF46" s="110"/>
      <c r="AG46" s="110"/>
      <c r="AH46" s="110"/>
    </row>
    <row r="47">
      <c r="A47" s="107" t="s">
        <v>822</v>
      </c>
      <c r="B47" s="111" t="s">
        <v>12</v>
      </c>
      <c r="C47" s="110"/>
      <c r="D47" s="110"/>
      <c r="E47" s="110"/>
      <c r="F47" s="110"/>
      <c r="G47" s="110"/>
      <c r="H47" s="110"/>
      <c r="I47" s="110"/>
      <c r="J47" s="110"/>
      <c r="K47" s="110"/>
      <c r="L47" s="110"/>
      <c r="M47" s="110"/>
      <c r="N47" s="110"/>
      <c r="O47" s="110"/>
      <c r="P47" s="110"/>
      <c r="Q47" s="110"/>
      <c r="R47" s="110"/>
      <c r="S47" s="110"/>
      <c r="T47" s="110"/>
      <c r="U47" s="110"/>
      <c r="V47" s="110"/>
      <c r="W47" s="110"/>
      <c r="X47" s="110"/>
      <c r="Y47" s="110"/>
      <c r="Z47" s="110"/>
      <c r="AA47" s="110"/>
      <c r="AB47" s="110"/>
      <c r="AC47" s="110"/>
      <c r="AD47" s="110"/>
      <c r="AE47" s="110"/>
      <c r="AF47" s="110"/>
      <c r="AG47" s="110"/>
      <c r="AH47" s="110"/>
    </row>
    <row r="48">
      <c r="A48" s="107" t="s">
        <v>4053</v>
      </c>
      <c r="B48" s="111" t="s">
        <v>12</v>
      </c>
      <c r="C48" s="110"/>
      <c r="D48" s="110"/>
      <c r="E48" s="110"/>
      <c r="F48" s="110"/>
      <c r="G48" s="110"/>
      <c r="H48" s="110"/>
      <c r="I48" s="110"/>
      <c r="J48" s="110"/>
      <c r="K48" s="110"/>
      <c r="L48" s="110"/>
      <c r="M48" s="110"/>
      <c r="N48" s="110"/>
      <c r="O48" s="110"/>
      <c r="P48" s="110"/>
      <c r="Q48" s="110"/>
      <c r="R48" s="110"/>
      <c r="S48" s="110"/>
      <c r="T48" s="110"/>
      <c r="U48" s="110"/>
      <c r="V48" s="110"/>
      <c r="W48" s="110"/>
      <c r="X48" s="110"/>
      <c r="Y48" s="110"/>
      <c r="Z48" s="110"/>
      <c r="AA48" s="110"/>
      <c r="AB48" s="110"/>
      <c r="AC48" s="110"/>
      <c r="AD48" s="110"/>
      <c r="AE48" s="110"/>
      <c r="AF48" s="110"/>
      <c r="AG48" s="110"/>
      <c r="AH48" s="110"/>
    </row>
    <row r="49">
      <c r="A49" s="107" t="s">
        <v>4054</v>
      </c>
      <c r="B49" s="111" t="s">
        <v>12</v>
      </c>
      <c r="C49" s="110"/>
      <c r="D49" s="110"/>
      <c r="E49" s="110"/>
      <c r="F49" s="110"/>
      <c r="G49" s="110"/>
      <c r="H49" s="110"/>
      <c r="I49" s="110"/>
      <c r="J49" s="110"/>
      <c r="K49" s="110"/>
      <c r="L49" s="110"/>
      <c r="M49" s="110"/>
      <c r="N49" s="110"/>
      <c r="O49" s="110"/>
      <c r="P49" s="110"/>
      <c r="Q49" s="110"/>
      <c r="R49" s="110"/>
      <c r="S49" s="110"/>
      <c r="T49" s="110"/>
      <c r="U49" s="110"/>
      <c r="V49" s="110"/>
      <c r="W49" s="110"/>
      <c r="X49" s="110"/>
      <c r="Y49" s="110"/>
      <c r="Z49" s="110"/>
      <c r="AA49" s="110"/>
      <c r="AB49" s="110"/>
      <c r="AC49" s="110"/>
      <c r="AD49" s="110"/>
      <c r="AE49" s="110"/>
      <c r="AF49" s="110"/>
      <c r="AG49" s="110"/>
      <c r="AH49" s="110"/>
    </row>
    <row r="50">
      <c r="A50" s="107" t="s">
        <v>4055</v>
      </c>
      <c r="B50" s="111" t="s">
        <v>12</v>
      </c>
      <c r="C50" s="110"/>
      <c r="D50" s="110"/>
      <c r="E50" s="110"/>
      <c r="F50" s="110"/>
      <c r="G50" s="110"/>
      <c r="H50" s="110"/>
      <c r="I50" s="110"/>
      <c r="J50" s="110"/>
      <c r="K50" s="110"/>
      <c r="L50" s="110"/>
      <c r="M50" s="110"/>
      <c r="N50" s="110"/>
      <c r="O50" s="110"/>
      <c r="P50" s="110"/>
      <c r="Q50" s="110"/>
      <c r="R50" s="110"/>
      <c r="S50" s="110"/>
      <c r="T50" s="110"/>
      <c r="U50" s="110"/>
      <c r="V50" s="110"/>
      <c r="W50" s="110"/>
      <c r="X50" s="110"/>
      <c r="Y50" s="110"/>
      <c r="Z50" s="110"/>
      <c r="AA50" s="110"/>
      <c r="AB50" s="110"/>
      <c r="AC50" s="110"/>
      <c r="AD50" s="110"/>
      <c r="AE50" s="110"/>
      <c r="AF50" s="110"/>
      <c r="AG50" s="110"/>
      <c r="AH50" s="110"/>
    </row>
    <row r="51">
      <c r="A51" s="107" t="s">
        <v>405</v>
      </c>
      <c r="B51" s="111" t="s">
        <v>12</v>
      </c>
      <c r="C51" s="110"/>
      <c r="D51" s="110"/>
      <c r="E51" s="110"/>
      <c r="F51" s="110"/>
      <c r="G51" s="110"/>
      <c r="H51" s="110"/>
      <c r="I51" s="110"/>
      <c r="J51" s="110"/>
      <c r="K51" s="110"/>
      <c r="L51" s="110"/>
      <c r="M51" s="110"/>
      <c r="N51" s="110"/>
      <c r="O51" s="110"/>
      <c r="P51" s="110"/>
      <c r="Q51" s="110"/>
      <c r="R51" s="110"/>
      <c r="S51" s="110"/>
      <c r="T51" s="110"/>
      <c r="U51" s="110"/>
      <c r="V51" s="110"/>
      <c r="W51" s="110"/>
      <c r="X51" s="110"/>
      <c r="Y51" s="110"/>
      <c r="Z51" s="110"/>
      <c r="AA51" s="110"/>
      <c r="AB51" s="110"/>
      <c r="AC51" s="110"/>
      <c r="AD51" s="110"/>
      <c r="AE51" s="110"/>
      <c r="AF51" s="110"/>
      <c r="AG51" s="110"/>
      <c r="AH51" s="110"/>
    </row>
    <row r="52">
      <c r="A52" s="107" t="s">
        <v>4056</v>
      </c>
      <c r="B52" s="111" t="s">
        <v>12</v>
      </c>
      <c r="C52" s="110"/>
      <c r="D52" s="110"/>
      <c r="E52" s="110"/>
      <c r="F52" s="110"/>
      <c r="G52" s="110"/>
      <c r="H52" s="110"/>
      <c r="I52" s="110"/>
      <c r="J52" s="110"/>
      <c r="K52" s="110"/>
      <c r="L52" s="110"/>
      <c r="M52" s="110"/>
      <c r="N52" s="110"/>
      <c r="O52" s="110"/>
      <c r="P52" s="110"/>
      <c r="Q52" s="110"/>
      <c r="R52" s="110"/>
      <c r="S52" s="110"/>
      <c r="T52" s="110"/>
      <c r="U52" s="110"/>
      <c r="V52" s="110"/>
      <c r="W52" s="110"/>
      <c r="X52" s="110"/>
      <c r="Y52" s="110"/>
      <c r="Z52" s="110"/>
      <c r="AA52" s="110"/>
      <c r="AB52" s="110"/>
      <c r="AC52" s="110"/>
      <c r="AD52" s="110"/>
      <c r="AE52" s="110"/>
      <c r="AF52" s="110"/>
      <c r="AG52" s="110"/>
      <c r="AH52" s="110"/>
    </row>
    <row r="53">
      <c r="A53" s="107" t="s">
        <v>680</v>
      </c>
      <c r="B53" s="111" t="s">
        <v>12</v>
      </c>
      <c r="C53" s="110"/>
      <c r="D53" s="110"/>
      <c r="E53" s="110"/>
      <c r="F53" s="110"/>
      <c r="G53" s="110"/>
      <c r="H53" s="110"/>
      <c r="I53" s="110"/>
      <c r="J53" s="110"/>
      <c r="K53" s="110"/>
      <c r="L53" s="110"/>
      <c r="M53" s="110"/>
      <c r="N53" s="110"/>
      <c r="O53" s="110"/>
      <c r="P53" s="110"/>
      <c r="Q53" s="110"/>
      <c r="R53" s="110"/>
      <c r="S53" s="110"/>
      <c r="T53" s="110"/>
      <c r="U53" s="110"/>
      <c r="V53" s="110"/>
      <c r="W53" s="110"/>
      <c r="X53" s="110"/>
      <c r="Y53" s="110"/>
      <c r="Z53" s="110"/>
      <c r="AA53" s="110"/>
      <c r="AB53" s="110"/>
      <c r="AC53" s="110"/>
      <c r="AD53" s="110"/>
      <c r="AE53" s="110"/>
      <c r="AF53" s="110"/>
      <c r="AG53" s="110"/>
      <c r="AH53" s="110"/>
    </row>
    <row r="54">
      <c r="A54" s="107" t="s">
        <v>4057</v>
      </c>
      <c r="B54" s="111" t="s">
        <v>12</v>
      </c>
      <c r="C54" s="110"/>
      <c r="D54" s="110"/>
      <c r="E54" s="110"/>
      <c r="F54" s="110"/>
      <c r="G54" s="110"/>
      <c r="H54" s="110"/>
      <c r="I54" s="110"/>
      <c r="J54" s="110"/>
      <c r="K54" s="110"/>
      <c r="L54" s="110"/>
      <c r="M54" s="110"/>
      <c r="N54" s="110"/>
      <c r="O54" s="110"/>
      <c r="P54" s="110"/>
      <c r="Q54" s="110"/>
      <c r="R54" s="110"/>
      <c r="S54" s="110"/>
      <c r="T54" s="110"/>
      <c r="U54" s="110"/>
      <c r="V54" s="110"/>
      <c r="W54" s="110"/>
      <c r="X54" s="110"/>
      <c r="Y54" s="110"/>
      <c r="Z54" s="110"/>
      <c r="AA54" s="110"/>
      <c r="AB54" s="110"/>
      <c r="AC54" s="110"/>
      <c r="AD54" s="110"/>
      <c r="AE54" s="110"/>
      <c r="AF54" s="110"/>
      <c r="AG54" s="110"/>
      <c r="AH54" s="110"/>
    </row>
    <row r="55">
      <c r="A55" s="107" t="s">
        <v>4058</v>
      </c>
      <c r="B55" s="111" t="s">
        <v>12</v>
      </c>
      <c r="C55" s="110"/>
      <c r="D55" s="110"/>
      <c r="E55" s="110"/>
      <c r="F55" s="110"/>
      <c r="G55" s="110"/>
      <c r="H55" s="110"/>
      <c r="I55" s="110"/>
      <c r="J55" s="110"/>
      <c r="K55" s="110"/>
      <c r="L55" s="110"/>
      <c r="M55" s="110"/>
      <c r="N55" s="110"/>
      <c r="O55" s="110"/>
      <c r="P55" s="110"/>
      <c r="Q55" s="110"/>
      <c r="R55" s="110"/>
      <c r="S55" s="110"/>
      <c r="T55" s="110"/>
      <c r="U55" s="110"/>
      <c r="V55" s="110"/>
      <c r="W55" s="110"/>
      <c r="X55" s="110"/>
      <c r="Y55" s="110"/>
      <c r="Z55" s="110"/>
      <c r="AA55" s="110"/>
      <c r="AB55" s="110"/>
      <c r="AC55" s="110"/>
      <c r="AD55" s="110"/>
      <c r="AE55" s="110"/>
      <c r="AF55" s="110"/>
      <c r="AG55" s="110"/>
      <c r="AH55" s="110"/>
    </row>
    <row r="56">
      <c r="A56" s="107" t="s">
        <v>4059</v>
      </c>
      <c r="B56" s="111" t="s">
        <v>12</v>
      </c>
      <c r="C56" s="110"/>
      <c r="D56" s="110"/>
      <c r="E56" s="110"/>
      <c r="F56" s="110"/>
      <c r="G56" s="110"/>
      <c r="H56" s="110"/>
      <c r="I56" s="110"/>
      <c r="J56" s="110"/>
      <c r="K56" s="110"/>
      <c r="L56" s="110"/>
      <c r="M56" s="110"/>
      <c r="N56" s="110"/>
      <c r="O56" s="110"/>
      <c r="P56" s="110"/>
      <c r="Q56" s="110"/>
      <c r="R56" s="110"/>
      <c r="S56" s="110"/>
      <c r="T56" s="110"/>
      <c r="U56" s="110"/>
      <c r="V56" s="110"/>
      <c r="W56" s="110"/>
      <c r="X56" s="110"/>
      <c r="Y56" s="110"/>
      <c r="Z56" s="110"/>
      <c r="AA56" s="110"/>
      <c r="AB56" s="110"/>
      <c r="AC56" s="110"/>
      <c r="AD56" s="110"/>
      <c r="AE56" s="110"/>
      <c r="AF56" s="110"/>
      <c r="AG56" s="110"/>
      <c r="AH56" s="110"/>
    </row>
    <row r="57">
      <c r="A57" s="107" t="s">
        <v>4060</v>
      </c>
      <c r="B57" s="111" t="s">
        <v>12</v>
      </c>
      <c r="C57" s="110"/>
      <c r="D57" s="110"/>
      <c r="E57" s="110"/>
      <c r="F57" s="110"/>
      <c r="G57" s="110"/>
      <c r="H57" s="110"/>
      <c r="I57" s="110"/>
      <c r="J57" s="110"/>
      <c r="K57" s="110"/>
      <c r="L57" s="110"/>
      <c r="M57" s="110"/>
      <c r="N57" s="110"/>
      <c r="O57" s="110"/>
      <c r="P57" s="110"/>
      <c r="Q57" s="110"/>
      <c r="R57" s="110"/>
      <c r="S57" s="110"/>
      <c r="T57" s="110"/>
      <c r="U57" s="110"/>
      <c r="V57" s="110"/>
      <c r="W57" s="110"/>
      <c r="X57" s="110"/>
      <c r="Y57" s="110"/>
      <c r="Z57" s="110"/>
      <c r="AA57" s="110"/>
      <c r="AB57" s="110"/>
      <c r="AC57" s="110"/>
      <c r="AD57" s="110"/>
      <c r="AE57" s="110"/>
      <c r="AF57" s="110"/>
      <c r="AG57" s="110"/>
      <c r="AH57" s="110"/>
    </row>
    <row r="58">
      <c r="A58" s="110"/>
      <c r="B58" s="110"/>
      <c r="C58" s="110"/>
      <c r="D58" s="110"/>
      <c r="E58" s="110"/>
      <c r="F58" s="110"/>
      <c r="G58" s="110"/>
      <c r="H58" s="110"/>
      <c r="I58" s="110"/>
      <c r="J58" s="110"/>
      <c r="K58" s="110"/>
      <c r="L58" s="110"/>
      <c r="M58" s="110"/>
      <c r="N58" s="110"/>
      <c r="O58" s="110"/>
      <c r="P58" s="110"/>
      <c r="Q58" s="110"/>
      <c r="R58" s="110"/>
      <c r="S58" s="110"/>
      <c r="T58" s="110"/>
      <c r="U58" s="110"/>
      <c r="V58" s="110"/>
      <c r="W58" s="110"/>
      <c r="X58" s="110"/>
      <c r="Y58" s="110"/>
      <c r="Z58" s="110"/>
      <c r="AA58" s="110"/>
      <c r="AB58" s="110"/>
      <c r="AC58" s="110"/>
      <c r="AD58" s="110"/>
      <c r="AE58" s="110"/>
      <c r="AF58" s="110"/>
      <c r="AG58" s="110"/>
      <c r="AH58" s="110"/>
    </row>
    <row r="59">
      <c r="A59" s="110"/>
      <c r="B59" s="110"/>
      <c r="C59" s="110"/>
      <c r="D59" s="110"/>
      <c r="E59" s="110"/>
      <c r="F59" s="110"/>
      <c r="G59" s="110"/>
      <c r="H59" s="110"/>
      <c r="I59" s="110"/>
      <c r="J59" s="110"/>
      <c r="K59" s="110"/>
      <c r="L59" s="110"/>
      <c r="M59" s="110"/>
      <c r="N59" s="110"/>
      <c r="O59" s="110"/>
      <c r="P59" s="110"/>
      <c r="Q59" s="110"/>
      <c r="R59" s="110"/>
      <c r="S59" s="110"/>
      <c r="T59" s="110"/>
      <c r="U59" s="110"/>
      <c r="V59" s="110"/>
      <c r="W59" s="110"/>
      <c r="X59" s="110"/>
      <c r="Y59" s="110"/>
      <c r="Z59" s="110"/>
      <c r="AA59" s="110"/>
      <c r="AB59" s="110"/>
      <c r="AC59" s="110"/>
      <c r="AD59" s="110"/>
      <c r="AE59" s="110"/>
      <c r="AF59" s="110"/>
      <c r="AG59" s="110"/>
      <c r="AH59" s="110"/>
    </row>
    <row r="60">
      <c r="A60" s="110"/>
      <c r="B60" s="110"/>
      <c r="C60" s="110"/>
      <c r="D60" s="110"/>
      <c r="E60" s="110"/>
      <c r="F60" s="110"/>
      <c r="G60" s="110"/>
      <c r="H60" s="110"/>
      <c r="I60" s="110"/>
      <c r="J60" s="110"/>
      <c r="K60" s="110"/>
      <c r="L60" s="110"/>
      <c r="M60" s="110"/>
      <c r="N60" s="110"/>
      <c r="O60" s="110"/>
      <c r="P60" s="110"/>
      <c r="Q60" s="110"/>
      <c r="R60" s="110"/>
      <c r="S60" s="110"/>
      <c r="T60" s="110"/>
      <c r="U60" s="110"/>
      <c r="V60" s="110"/>
      <c r="W60" s="110"/>
      <c r="X60" s="110"/>
      <c r="Y60" s="110"/>
      <c r="Z60" s="110"/>
      <c r="AA60" s="110"/>
      <c r="AB60" s="110"/>
      <c r="AC60" s="110"/>
      <c r="AD60" s="110"/>
      <c r="AE60" s="110"/>
      <c r="AF60" s="110"/>
      <c r="AG60" s="110"/>
      <c r="AH60" s="110"/>
    </row>
    <row r="61">
      <c r="A61" s="110"/>
      <c r="B61" s="110"/>
      <c r="C61" s="110"/>
      <c r="D61" s="110"/>
      <c r="E61" s="110"/>
      <c r="F61" s="110"/>
      <c r="G61" s="110"/>
      <c r="H61" s="110"/>
      <c r="I61" s="110"/>
      <c r="J61" s="110"/>
      <c r="K61" s="110"/>
      <c r="L61" s="110"/>
      <c r="M61" s="110"/>
      <c r="N61" s="110"/>
      <c r="O61" s="110"/>
      <c r="P61" s="110"/>
      <c r="Q61" s="110"/>
      <c r="R61" s="110"/>
      <c r="S61" s="110"/>
      <c r="T61" s="110"/>
      <c r="U61" s="110"/>
      <c r="V61" s="110"/>
      <c r="W61" s="110"/>
      <c r="X61" s="110"/>
      <c r="Y61" s="110"/>
      <c r="Z61" s="110"/>
      <c r="AA61" s="110"/>
      <c r="AB61" s="110"/>
      <c r="AC61" s="110"/>
      <c r="AD61" s="110"/>
      <c r="AE61" s="110"/>
      <c r="AF61" s="110"/>
      <c r="AG61" s="110"/>
      <c r="AH61" s="110"/>
    </row>
    <row r="62">
      <c r="A62" s="110"/>
      <c r="B62" s="110"/>
      <c r="C62" s="110"/>
      <c r="D62" s="110"/>
      <c r="E62" s="110"/>
      <c r="F62" s="110"/>
      <c r="G62" s="110"/>
      <c r="H62" s="110"/>
      <c r="I62" s="110"/>
      <c r="J62" s="110"/>
      <c r="K62" s="110"/>
      <c r="L62" s="110"/>
      <c r="M62" s="110"/>
      <c r="N62" s="110"/>
      <c r="O62" s="110"/>
      <c r="P62" s="110"/>
      <c r="Q62" s="110"/>
      <c r="R62" s="110"/>
      <c r="S62" s="110"/>
      <c r="T62" s="110"/>
      <c r="U62" s="110"/>
      <c r="V62" s="110"/>
      <c r="W62" s="110"/>
      <c r="X62" s="110"/>
      <c r="Y62" s="110"/>
      <c r="Z62" s="110"/>
      <c r="AA62" s="110"/>
      <c r="AB62" s="110"/>
      <c r="AC62" s="110"/>
      <c r="AD62" s="110"/>
      <c r="AE62" s="110"/>
      <c r="AF62" s="110"/>
      <c r="AG62" s="110"/>
      <c r="AH62" s="110"/>
    </row>
    <row r="63">
      <c r="A63" s="110"/>
      <c r="B63" s="110"/>
      <c r="C63" s="110"/>
      <c r="D63" s="110"/>
      <c r="E63" s="110"/>
      <c r="F63" s="110"/>
      <c r="G63" s="110"/>
      <c r="H63" s="110"/>
      <c r="I63" s="110"/>
      <c r="J63" s="110"/>
      <c r="K63" s="110"/>
      <c r="L63" s="110"/>
      <c r="M63" s="110"/>
      <c r="N63" s="110"/>
      <c r="O63" s="110"/>
      <c r="P63" s="110"/>
      <c r="Q63" s="110"/>
      <c r="R63" s="110"/>
      <c r="S63" s="110"/>
      <c r="T63" s="110"/>
      <c r="U63" s="110"/>
      <c r="V63" s="110"/>
      <c r="W63" s="110"/>
      <c r="X63" s="110"/>
      <c r="Y63" s="110"/>
      <c r="Z63" s="110"/>
      <c r="AA63" s="110"/>
      <c r="AB63" s="110"/>
      <c r="AC63" s="110"/>
      <c r="AD63" s="110"/>
      <c r="AE63" s="110"/>
      <c r="AF63" s="110"/>
      <c r="AG63" s="110"/>
      <c r="AH63" s="110"/>
    </row>
    <row r="64">
      <c r="A64" s="110"/>
      <c r="B64" s="110"/>
      <c r="C64" s="110"/>
      <c r="D64" s="110"/>
      <c r="E64" s="110"/>
      <c r="F64" s="110"/>
      <c r="G64" s="110"/>
      <c r="H64" s="110"/>
      <c r="I64" s="110"/>
      <c r="J64" s="110"/>
      <c r="K64" s="110"/>
      <c r="L64" s="110"/>
      <c r="M64" s="110"/>
      <c r="N64" s="110"/>
      <c r="O64" s="110"/>
      <c r="P64" s="110"/>
      <c r="Q64" s="110"/>
      <c r="R64" s="110"/>
      <c r="S64" s="110"/>
      <c r="T64" s="110"/>
      <c r="U64" s="110"/>
      <c r="V64" s="110"/>
      <c r="W64" s="110"/>
      <c r="X64" s="110"/>
      <c r="Y64" s="110"/>
      <c r="Z64" s="110"/>
      <c r="AA64" s="110"/>
      <c r="AB64" s="110"/>
      <c r="AC64" s="110"/>
      <c r="AD64" s="110"/>
      <c r="AE64" s="110"/>
      <c r="AF64" s="110"/>
      <c r="AG64" s="110"/>
      <c r="AH64" s="110"/>
    </row>
    <row r="65">
      <c r="A65" s="110"/>
      <c r="B65" s="110"/>
      <c r="C65" s="110"/>
      <c r="D65" s="110"/>
      <c r="E65" s="110"/>
      <c r="F65" s="110"/>
      <c r="G65" s="110"/>
      <c r="H65" s="110"/>
      <c r="I65" s="110"/>
      <c r="J65" s="110"/>
      <c r="K65" s="110"/>
      <c r="L65" s="110"/>
      <c r="M65" s="110"/>
      <c r="N65" s="110"/>
      <c r="O65" s="110"/>
      <c r="P65" s="110"/>
      <c r="Q65" s="110"/>
      <c r="R65" s="110"/>
      <c r="S65" s="110"/>
      <c r="T65" s="110"/>
      <c r="U65" s="110"/>
      <c r="V65" s="110"/>
      <c r="W65" s="110"/>
      <c r="X65" s="110"/>
      <c r="Y65" s="110"/>
      <c r="Z65" s="110"/>
      <c r="AA65" s="110"/>
      <c r="AB65" s="110"/>
      <c r="AC65" s="110"/>
      <c r="AD65" s="110"/>
      <c r="AE65" s="110"/>
      <c r="AF65" s="110"/>
      <c r="AG65" s="110"/>
      <c r="AH65" s="110"/>
    </row>
    <row r="66">
      <c r="A66" s="110"/>
      <c r="B66" s="110"/>
      <c r="C66" s="110"/>
      <c r="D66" s="110"/>
      <c r="E66" s="110"/>
      <c r="F66" s="110"/>
      <c r="G66" s="110"/>
      <c r="H66" s="110"/>
      <c r="I66" s="110"/>
      <c r="J66" s="110"/>
      <c r="K66" s="110"/>
      <c r="L66" s="110"/>
      <c r="M66" s="110"/>
      <c r="N66" s="110"/>
      <c r="O66" s="110"/>
      <c r="P66" s="110"/>
      <c r="Q66" s="110"/>
      <c r="R66" s="110"/>
      <c r="S66" s="110"/>
      <c r="T66" s="110"/>
      <c r="U66" s="110"/>
      <c r="V66" s="110"/>
      <c r="W66" s="110"/>
      <c r="X66" s="110"/>
      <c r="Y66" s="110"/>
      <c r="Z66" s="110"/>
      <c r="AA66" s="110"/>
      <c r="AB66" s="110"/>
      <c r="AC66" s="110"/>
      <c r="AD66" s="110"/>
      <c r="AE66" s="110"/>
      <c r="AF66" s="110"/>
      <c r="AG66" s="110"/>
      <c r="AH66" s="110"/>
    </row>
    <row r="67">
      <c r="A67" s="110"/>
      <c r="B67" s="110"/>
      <c r="C67" s="110"/>
      <c r="D67" s="110"/>
      <c r="E67" s="110"/>
      <c r="F67" s="110"/>
      <c r="G67" s="110"/>
      <c r="H67" s="110"/>
      <c r="I67" s="110"/>
      <c r="J67" s="110"/>
      <c r="K67" s="110"/>
      <c r="L67" s="110"/>
      <c r="M67" s="110"/>
      <c r="N67" s="110"/>
      <c r="O67" s="110"/>
      <c r="P67" s="110"/>
      <c r="Q67" s="110"/>
      <c r="R67" s="110"/>
      <c r="S67" s="110"/>
      <c r="T67" s="110"/>
      <c r="U67" s="110"/>
      <c r="V67" s="110"/>
      <c r="W67" s="110"/>
      <c r="X67" s="110"/>
      <c r="Y67" s="110"/>
      <c r="Z67" s="110"/>
      <c r="AA67" s="110"/>
      <c r="AB67" s="110"/>
      <c r="AC67" s="110"/>
      <c r="AD67" s="110"/>
      <c r="AE67" s="110"/>
      <c r="AF67" s="110"/>
      <c r="AG67" s="110"/>
      <c r="AH67" s="110"/>
    </row>
    <row r="68">
      <c r="A68" s="110"/>
      <c r="B68" s="110"/>
      <c r="C68" s="110"/>
      <c r="D68" s="110"/>
      <c r="E68" s="110"/>
      <c r="F68" s="110"/>
      <c r="G68" s="110"/>
      <c r="H68" s="110"/>
      <c r="I68" s="110"/>
      <c r="J68" s="110"/>
      <c r="K68" s="110"/>
      <c r="L68" s="110"/>
      <c r="M68" s="110"/>
      <c r="N68" s="110"/>
      <c r="O68" s="110"/>
      <c r="P68" s="110"/>
      <c r="Q68" s="110"/>
      <c r="R68" s="110"/>
      <c r="S68" s="110"/>
      <c r="T68" s="110"/>
      <c r="U68" s="110"/>
      <c r="V68" s="110"/>
      <c r="W68" s="110"/>
      <c r="X68" s="110"/>
      <c r="Y68" s="110"/>
      <c r="Z68" s="110"/>
      <c r="AA68" s="110"/>
      <c r="AB68" s="110"/>
      <c r="AC68" s="110"/>
      <c r="AD68" s="110"/>
      <c r="AE68" s="110"/>
      <c r="AF68" s="110"/>
      <c r="AG68" s="110"/>
      <c r="AH68" s="110"/>
    </row>
    <row r="69">
      <c r="A69" s="110"/>
      <c r="B69" s="110"/>
      <c r="C69" s="110"/>
      <c r="D69" s="110"/>
      <c r="E69" s="110"/>
      <c r="F69" s="110"/>
      <c r="G69" s="110"/>
      <c r="H69" s="110"/>
      <c r="I69" s="110"/>
      <c r="J69" s="110"/>
      <c r="K69" s="110"/>
      <c r="L69" s="110"/>
      <c r="M69" s="110"/>
      <c r="N69" s="110"/>
      <c r="O69" s="110"/>
      <c r="P69" s="110"/>
      <c r="Q69" s="110"/>
      <c r="R69" s="110"/>
      <c r="S69" s="110"/>
      <c r="T69" s="110"/>
      <c r="U69" s="110"/>
      <c r="V69" s="110"/>
      <c r="W69" s="110"/>
      <c r="X69" s="110"/>
      <c r="Y69" s="110"/>
      <c r="Z69" s="110"/>
      <c r="AA69" s="110"/>
      <c r="AB69" s="110"/>
      <c r="AC69" s="110"/>
      <c r="AD69" s="110"/>
      <c r="AE69" s="110"/>
      <c r="AF69" s="110"/>
      <c r="AG69" s="110"/>
      <c r="AH69" s="110"/>
    </row>
    <row r="70">
      <c r="A70" s="110"/>
      <c r="B70" s="110"/>
      <c r="C70" s="110"/>
      <c r="D70" s="110"/>
      <c r="E70" s="110"/>
      <c r="F70" s="110"/>
      <c r="G70" s="110"/>
      <c r="H70" s="110"/>
      <c r="I70" s="110"/>
      <c r="J70" s="110"/>
      <c r="K70" s="110"/>
      <c r="L70" s="110"/>
      <c r="M70" s="110"/>
      <c r="N70" s="110"/>
      <c r="O70" s="110"/>
      <c r="P70" s="110"/>
      <c r="Q70" s="110"/>
      <c r="R70" s="110"/>
      <c r="S70" s="110"/>
      <c r="T70" s="110"/>
      <c r="U70" s="110"/>
      <c r="V70" s="110"/>
      <c r="W70" s="110"/>
      <c r="X70" s="110"/>
      <c r="Y70" s="110"/>
      <c r="Z70" s="110"/>
      <c r="AA70" s="110"/>
      <c r="AB70" s="110"/>
      <c r="AC70" s="110"/>
      <c r="AD70" s="110"/>
      <c r="AE70" s="110"/>
      <c r="AF70" s="110"/>
      <c r="AG70" s="110"/>
      <c r="AH70" s="110"/>
    </row>
    <row r="71">
      <c r="A71" s="110"/>
      <c r="B71" s="110"/>
      <c r="C71" s="110"/>
      <c r="D71" s="110"/>
      <c r="E71" s="110"/>
      <c r="F71" s="110"/>
      <c r="G71" s="110"/>
      <c r="H71" s="110"/>
      <c r="I71" s="110"/>
      <c r="J71" s="110"/>
      <c r="K71" s="110"/>
      <c r="L71" s="110"/>
      <c r="M71" s="110"/>
      <c r="N71" s="110"/>
      <c r="O71" s="110"/>
      <c r="P71" s="110"/>
      <c r="Q71" s="110"/>
      <c r="R71" s="110"/>
      <c r="S71" s="110"/>
      <c r="T71" s="110"/>
      <c r="U71" s="110"/>
      <c r="V71" s="110"/>
      <c r="W71" s="110"/>
      <c r="X71" s="110"/>
      <c r="Y71" s="110"/>
      <c r="Z71" s="110"/>
      <c r="AA71" s="110"/>
      <c r="AB71" s="110"/>
      <c r="AC71" s="110"/>
      <c r="AD71" s="110"/>
      <c r="AE71" s="110"/>
      <c r="AF71" s="110"/>
      <c r="AG71" s="110"/>
      <c r="AH71" s="110"/>
    </row>
    <row r="72">
      <c r="A72" s="110"/>
      <c r="B72" s="110"/>
      <c r="C72" s="110"/>
      <c r="D72" s="110"/>
      <c r="E72" s="110"/>
      <c r="F72" s="110"/>
      <c r="G72" s="110"/>
      <c r="H72" s="110"/>
      <c r="I72" s="110"/>
      <c r="J72" s="110"/>
      <c r="K72" s="110"/>
      <c r="L72" s="110"/>
      <c r="M72" s="110"/>
      <c r="N72" s="110"/>
      <c r="O72" s="110"/>
      <c r="P72" s="110"/>
      <c r="Q72" s="110"/>
      <c r="R72" s="110"/>
      <c r="S72" s="110"/>
      <c r="T72" s="110"/>
      <c r="U72" s="110"/>
      <c r="V72" s="110"/>
      <c r="W72" s="110"/>
      <c r="X72" s="110"/>
      <c r="Y72" s="110"/>
      <c r="Z72" s="110"/>
      <c r="AA72" s="110"/>
      <c r="AB72" s="110"/>
      <c r="AC72" s="110"/>
      <c r="AD72" s="110"/>
      <c r="AE72" s="110"/>
      <c r="AF72" s="110"/>
      <c r="AG72" s="110"/>
      <c r="AH72" s="110"/>
    </row>
    <row r="73">
      <c r="A73" s="110"/>
      <c r="B73" s="110"/>
      <c r="C73" s="110"/>
      <c r="D73" s="110"/>
      <c r="E73" s="110"/>
      <c r="F73" s="110"/>
      <c r="G73" s="110"/>
      <c r="H73" s="110"/>
      <c r="I73" s="110"/>
      <c r="J73" s="110"/>
      <c r="K73" s="110"/>
      <c r="L73" s="110"/>
      <c r="M73" s="110"/>
      <c r="N73" s="110"/>
      <c r="O73" s="110"/>
      <c r="P73" s="110"/>
      <c r="Q73" s="110"/>
      <c r="R73" s="110"/>
      <c r="S73" s="110"/>
      <c r="T73" s="110"/>
      <c r="U73" s="110"/>
      <c r="V73" s="110"/>
      <c r="W73" s="110"/>
      <c r="X73" s="110"/>
      <c r="Y73" s="110"/>
      <c r="Z73" s="110"/>
      <c r="AA73" s="110"/>
      <c r="AB73" s="110"/>
      <c r="AC73" s="110"/>
      <c r="AD73" s="110"/>
      <c r="AE73" s="110"/>
      <c r="AF73" s="110"/>
      <c r="AG73" s="110"/>
      <c r="AH73" s="110"/>
    </row>
    <row r="74">
      <c r="A74" s="110"/>
      <c r="B74" s="110"/>
      <c r="C74" s="110"/>
      <c r="D74" s="110"/>
      <c r="E74" s="110"/>
      <c r="F74" s="110"/>
      <c r="G74" s="110"/>
      <c r="H74" s="110"/>
      <c r="I74" s="110"/>
      <c r="J74" s="110"/>
      <c r="K74" s="110"/>
      <c r="L74" s="110"/>
      <c r="M74" s="110"/>
      <c r="N74" s="110"/>
      <c r="O74" s="110"/>
      <c r="P74" s="110"/>
      <c r="Q74" s="110"/>
      <c r="R74" s="110"/>
      <c r="S74" s="110"/>
      <c r="T74" s="110"/>
      <c r="U74" s="110"/>
      <c r="V74" s="110"/>
      <c r="W74" s="110"/>
      <c r="X74" s="110"/>
      <c r="Y74" s="110"/>
      <c r="Z74" s="110"/>
      <c r="AA74" s="110"/>
      <c r="AB74" s="110"/>
      <c r="AC74" s="110"/>
      <c r="AD74" s="110"/>
      <c r="AE74" s="110"/>
      <c r="AF74" s="110"/>
      <c r="AG74" s="110"/>
      <c r="AH74" s="110"/>
    </row>
    <row r="75">
      <c r="A75" s="110"/>
      <c r="B75" s="110"/>
      <c r="C75" s="110"/>
      <c r="D75" s="110"/>
      <c r="E75" s="110"/>
      <c r="F75" s="110"/>
      <c r="G75" s="110"/>
      <c r="H75" s="110"/>
      <c r="I75" s="110"/>
      <c r="J75" s="110"/>
      <c r="K75" s="110"/>
      <c r="L75" s="110"/>
      <c r="M75" s="110"/>
      <c r="N75" s="110"/>
      <c r="O75" s="110"/>
      <c r="P75" s="110"/>
      <c r="Q75" s="110"/>
      <c r="R75" s="110"/>
      <c r="S75" s="110"/>
      <c r="T75" s="110"/>
      <c r="U75" s="110"/>
      <c r="V75" s="110"/>
      <c r="W75" s="110"/>
      <c r="X75" s="110"/>
      <c r="Y75" s="110"/>
      <c r="Z75" s="110"/>
      <c r="AA75" s="110"/>
      <c r="AB75" s="110"/>
      <c r="AC75" s="110"/>
      <c r="AD75" s="110"/>
      <c r="AE75" s="110"/>
      <c r="AF75" s="110"/>
      <c r="AG75" s="110"/>
      <c r="AH75" s="110"/>
    </row>
    <row r="76">
      <c r="A76" s="110"/>
      <c r="B76" s="110"/>
      <c r="C76" s="110"/>
      <c r="D76" s="110"/>
      <c r="E76" s="110"/>
      <c r="F76" s="110"/>
      <c r="G76" s="110"/>
      <c r="H76" s="110"/>
      <c r="I76" s="110"/>
      <c r="J76" s="110"/>
      <c r="K76" s="110"/>
      <c r="L76" s="110"/>
      <c r="M76" s="110"/>
      <c r="N76" s="110"/>
      <c r="O76" s="110"/>
      <c r="P76" s="110"/>
      <c r="Q76" s="110"/>
      <c r="R76" s="110"/>
      <c r="S76" s="110"/>
      <c r="T76" s="110"/>
      <c r="U76" s="110"/>
      <c r="V76" s="110"/>
      <c r="W76" s="110"/>
      <c r="X76" s="110"/>
      <c r="Y76" s="110"/>
      <c r="Z76" s="110"/>
      <c r="AA76" s="110"/>
      <c r="AB76" s="110"/>
      <c r="AC76" s="110"/>
      <c r="AD76" s="110"/>
      <c r="AE76" s="110"/>
      <c r="AF76" s="110"/>
      <c r="AG76" s="110"/>
      <c r="AH76" s="110"/>
    </row>
    <row r="77">
      <c r="A77" s="110"/>
      <c r="B77" s="110"/>
      <c r="C77" s="110"/>
      <c r="D77" s="110"/>
      <c r="E77" s="110"/>
      <c r="F77" s="110"/>
      <c r="G77" s="110"/>
      <c r="H77" s="110"/>
      <c r="I77" s="110"/>
      <c r="J77" s="110"/>
      <c r="K77" s="110"/>
      <c r="L77" s="110"/>
      <c r="M77" s="110"/>
      <c r="N77" s="110"/>
      <c r="O77" s="110"/>
      <c r="P77" s="110"/>
      <c r="Q77" s="110"/>
      <c r="R77" s="110"/>
      <c r="S77" s="110"/>
      <c r="T77" s="110"/>
      <c r="U77" s="110"/>
      <c r="V77" s="110"/>
      <c r="W77" s="110"/>
      <c r="X77" s="110"/>
      <c r="Y77" s="110"/>
      <c r="Z77" s="110"/>
      <c r="AA77" s="110"/>
      <c r="AB77" s="110"/>
      <c r="AC77" s="110"/>
      <c r="AD77" s="110"/>
      <c r="AE77" s="110"/>
      <c r="AF77" s="110"/>
      <c r="AG77" s="110"/>
      <c r="AH77" s="110"/>
    </row>
    <row r="78">
      <c r="A78" s="110"/>
      <c r="B78" s="110"/>
      <c r="C78" s="110"/>
      <c r="D78" s="110"/>
      <c r="E78" s="110"/>
      <c r="F78" s="110"/>
      <c r="G78" s="110"/>
      <c r="H78" s="110"/>
      <c r="I78" s="110"/>
      <c r="J78" s="110"/>
      <c r="K78" s="110"/>
      <c r="L78" s="110"/>
      <c r="M78" s="110"/>
      <c r="N78" s="110"/>
      <c r="O78" s="110"/>
      <c r="P78" s="110"/>
      <c r="Q78" s="110"/>
      <c r="R78" s="110"/>
      <c r="S78" s="110"/>
      <c r="T78" s="110"/>
      <c r="U78" s="110"/>
      <c r="V78" s="110"/>
      <c r="W78" s="110"/>
      <c r="X78" s="110"/>
      <c r="Y78" s="110"/>
      <c r="Z78" s="110"/>
      <c r="AA78" s="110"/>
      <c r="AB78" s="110"/>
      <c r="AC78" s="110"/>
      <c r="AD78" s="110"/>
      <c r="AE78" s="110"/>
      <c r="AF78" s="110"/>
      <c r="AG78" s="110"/>
      <c r="AH78" s="110"/>
    </row>
    <row r="79">
      <c r="A79" s="110"/>
      <c r="B79" s="110"/>
      <c r="C79" s="110"/>
      <c r="D79" s="110"/>
      <c r="E79" s="110"/>
      <c r="F79" s="110"/>
      <c r="G79" s="110"/>
      <c r="H79" s="110"/>
      <c r="I79" s="110"/>
      <c r="J79" s="110"/>
      <c r="K79" s="110"/>
      <c r="L79" s="110"/>
      <c r="M79" s="110"/>
      <c r="N79" s="110"/>
      <c r="O79" s="110"/>
      <c r="P79" s="110"/>
      <c r="Q79" s="110"/>
      <c r="R79" s="110"/>
      <c r="S79" s="110"/>
      <c r="T79" s="110"/>
      <c r="U79" s="110"/>
      <c r="V79" s="110"/>
      <c r="W79" s="110"/>
      <c r="X79" s="110"/>
      <c r="Y79" s="110"/>
      <c r="Z79" s="110"/>
      <c r="AA79" s="110"/>
      <c r="AB79" s="110"/>
      <c r="AC79" s="110"/>
      <c r="AD79" s="110"/>
      <c r="AE79" s="110"/>
      <c r="AF79" s="110"/>
      <c r="AG79" s="110"/>
      <c r="AH79" s="110"/>
    </row>
    <row r="80">
      <c r="A80" s="110"/>
      <c r="B80" s="110"/>
      <c r="C80" s="110"/>
      <c r="D80" s="110"/>
      <c r="E80" s="110"/>
      <c r="F80" s="110"/>
      <c r="G80" s="110"/>
      <c r="H80" s="110"/>
      <c r="I80" s="110"/>
      <c r="J80" s="110"/>
      <c r="K80" s="110"/>
      <c r="L80" s="110"/>
      <c r="M80" s="110"/>
      <c r="N80" s="110"/>
      <c r="O80" s="110"/>
      <c r="P80" s="110"/>
      <c r="Q80" s="110"/>
      <c r="R80" s="110"/>
      <c r="S80" s="110"/>
      <c r="T80" s="110"/>
      <c r="U80" s="110"/>
      <c r="V80" s="110"/>
      <c r="W80" s="110"/>
      <c r="X80" s="110"/>
      <c r="Y80" s="110"/>
      <c r="Z80" s="110"/>
      <c r="AA80" s="110"/>
      <c r="AB80" s="110"/>
      <c r="AC80" s="110"/>
      <c r="AD80" s="110"/>
      <c r="AE80" s="110"/>
      <c r="AF80" s="110"/>
      <c r="AG80" s="110"/>
      <c r="AH80" s="110"/>
    </row>
    <row r="81">
      <c r="A81" s="110"/>
      <c r="B81" s="110"/>
      <c r="C81" s="110"/>
      <c r="D81" s="110"/>
      <c r="E81" s="110"/>
      <c r="F81" s="110"/>
      <c r="G81" s="110"/>
      <c r="H81" s="110"/>
      <c r="I81" s="110"/>
      <c r="J81" s="110"/>
      <c r="K81" s="110"/>
      <c r="L81" s="110"/>
      <c r="M81" s="110"/>
      <c r="N81" s="110"/>
      <c r="O81" s="110"/>
      <c r="P81" s="110"/>
      <c r="Q81" s="110"/>
      <c r="R81" s="110"/>
      <c r="S81" s="110"/>
      <c r="T81" s="110"/>
      <c r="U81" s="110"/>
      <c r="V81" s="110"/>
      <c r="W81" s="110"/>
      <c r="X81" s="110"/>
      <c r="Y81" s="110"/>
      <c r="Z81" s="110"/>
      <c r="AA81" s="110"/>
      <c r="AB81" s="110"/>
      <c r="AC81" s="110"/>
      <c r="AD81" s="110"/>
      <c r="AE81" s="110"/>
      <c r="AF81" s="110"/>
      <c r="AG81" s="110"/>
      <c r="AH81" s="110"/>
    </row>
    <row r="82">
      <c r="A82" s="110"/>
      <c r="B82" s="110"/>
      <c r="C82" s="110"/>
      <c r="D82" s="110"/>
      <c r="E82" s="110"/>
      <c r="F82" s="110"/>
      <c r="G82" s="110"/>
      <c r="H82" s="110"/>
      <c r="I82" s="110"/>
      <c r="J82" s="110"/>
      <c r="K82" s="110"/>
      <c r="L82" s="110"/>
      <c r="M82" s="110"/>
      <c r="N82" s="110"/>
      <c r="O82" s="110"/>
      <c r="P82" s="110"/>
      <c r="Q82" s="110"/>
      <c r="R82" s="110"/>
      <c r="S82" s="110"/>
      <c r="T82" s="110"/>
      <c r="U82" s="110"/>
      <c r="V82" s="110"/>
      <c r="W82" s="110"/>
      <c r="X82" s="110"/>
      <c r="Y82" s="110"/>
      <c r="Z82" s="110"/>
      <c r="AA82" s="110"/>
      <c r="AB82" s="110"/>
      <c r="AC82" s="110"/>
      <c r="AD82" s="110"/>
      <c r="AE82" s="110"/>
      <c r="AF82" s="110"/>
      <c r="AG82" s="110"/>
      <c r="AH82" s="110"/>
    </row>
    <row r="83">
      <c r="A83" s="110"/>
      <c r="B83" s="110"/>
      <c r="C83" s="110"/>
      <c r="D83" s="110"/>
      <c r="E83" s="110"/>
      <c r="F83" s="110"/>
      <c r="G83" s="110"/>
      <c r="H83" s="110"/>
      <c r="I83" s="110"/>
      <c r="J83" s="110"/>
      <c r="K83" s="110"/>
      <c r="L83" s="110"/>
      <c r="M83" s="110"/>
      <c r="N83" s="110"/>
      <c r="O83" s="110"/>
      <c r="P83" s="110"/>
      <c r="Q83" s="110"/>
      <c r="R83" s="110"/>
      <c r="S83" s="110"/>
      <c r="T83" s="110"/>
      <c r="U83" s="110"/>
      <c r="V83" s="110"/>
      <c r="W83" s="110"/>
      <c r="X83" s="110"/>
      <c r="Y83" s="110"/>
      <c r="Z83" s="110"/>
      <c r="AA83" s="110"/>
      <c r="AB83" s="110"/>
      <c r="AC83" s="110"/>
      <c r="AD83" s="110"/>
      <c r="AE83" s="110"/>
      <c r="AF83" s="110"/>
      <c r="AG83" s="110"/>
      <c r="AH83" s="110"/>
    </row>
    <row r="84">
      <c r="A84" s="110"/>
      <c r="B84" s="110"/>
      <c r="C84" s="110"/>
      <c r="D84" s="110"/>
      <c r="E84" s="110"/>
      <c r="F84" s="110"/>
      <c r="G84" s="110"/>
      <c r="H84" s="110"/>
      <c r="I84" s="110"/>
      <c r="J84" s="110"/>
      <c r="K84" s="110"/>
      <c r="L84" s="110"/>
      <c r="M84" s="110"/>
      <c r="N84" s="110"/>
      <c r="O84" s="110"/>
      <c r="P84" s="110"/>
      <c r="Q84" s="110"/>
      <c r="R84" s="110"/>
      <c r="S84" s="110"/>
      <c r="T84" s="110"/>
      <c r="U84" s="110"/>
      <c r="V84" s="110"/>
      <c r="W84" s="110"/>
      <c r="X84" s="110"/>
      <c r="Y84" s="110"/>
      <c r="Z84" s="110"/>
      <c r="AA84" s="110"/>
      <c r="AB84" s="110"/>
      <c r="AC84" s="110"/>
      <c r="AD84" s="110"/>
      <c r="AE84" s="110"/>
      <c r="AF84" s="110"/>
      <c r="AG84" s="110"/>
      <c r="AH84" s="110"/>
    </row>
    <row r="85">
      <c r="A85" s="110"/>
      <c r="B85" s="110"/>
      <c r="C85" s="110"/>
      <c r="D85" s="110"/>
      <c r="E85" s="110"/>
      <c r="F85" s="110"/>
      <c r="G85" s="110"/>
      <c r="H85" s="110"/>
      <c r="I85" s="110"/>
      <c r="J85" s="110"/>
      <c r="K85" s="110"/>
      <c r="L85" s="110"/>
      <c r="M85" s="110"/>
      <c r="N85" s="110"/>
      <c r="O85" s="110"/>
      <c r="P85" s="110"/>
      <c r="Q85" s="110"/>
      <c r="R85" s="110"/>
      <c r="S85" s="110"/>
      <c r="T85" s="110"/>
      <c r="U85" s="110"/>
      <c r="V85" s="110"/>
      <c r="W85" s="110"/>
      <c r="X85" s="110"/>
      <c r="Y85" s="110"/>
      <c r="Z85" s="110"/>
      <c r="AA85" s="110"/>
      <c r="AB85" s="110"/>
      <c r="AC85" s="110"/>
      <c r="AD85" s="110"/>
      <c r="AE85" s="110"/>
      <c r="AF85" s="110"/>
      <c r="AG85" s="110"/>
      <c r="AH85" s="110"/>
    </row>
    <row r="86">
      <c r="A86" s="110"/>
      <c r="B86" s="110"/>
      <c r="C86" s="110"/>
      <c r="D86" s="110"/>
      <c r="E86" s="110"/>
      <c r="F86" s="110"/>
      <c r="G86" s="110"/>
      <c r="H86" s="110"/>
      <c r="I86" s="110"/>
      <c r="J86" s="110"/>
      <c r="K86" s="110"/>
      <c r="L86" s="110"/>
      <c r="M86" s="110"/>
      <c r="N86" s="110"/>
      <c r="O86" s="110"/>
      <c r="P86" s="110"/>
      <c r="Q86" s="110"/>
      <c r="R86" s="110"/>
      <c r="S86" s="110"/>
      <c r="T86" s="110"/>
      <c r="U86" s="110"/>
      <c r="V86" s="110"/>
      <c r="W86" s="110"/>
      <c r="X86" s="110"/>
      <c r="Y86" s="110"/>
      <c r="Z86" s="110"/>
      <c r="AA86" s="110"/>
      <c r="AB86" s="110"/>
      <c r="AC86" s="110"/>
      <c r="AD86" s="110"/>
      <c r="AE86" s="110"/>
      <c r="AF86" s="110"/>
      <c r="AG86" s="110"/>
      <c r="AH86" s="110"/>
    </row>
    <row r="87">
      <c r="A87" s="110"/>
      <c r="B87" s="110"/>
      <c r="C87" s="110"/>
      <c r="D87" s="110"/>
      <c r="E87" s="110"/>
      <c r="F87" s="110"/>
      <c r="G87" s="110"/>
      <c r="H87" s="110"/>
      <c r="I87" s="110"/>
      <c r="J87" s="110"/>
      <c r="K87" s="110"/>
      <c r="L87" s="110"/>
      <c r="M87" s="110"/>
      <c r="N87" s="110"/>
      <c r="O87" s="110"/>
      <c r="P87" s="110"/>
      <c r="Q87" s="110"/>
      <c r="R87" s="110"/>
      <c r="S87" s="110"/>
      <c r="T87" s="110"/>
      <c r="U87" s="110"/>
      <c r="V87" s="110"/>
      <c r="W87" s="110"/>
      <c r="X87" s="110"/>
      <c r="Y87" s="110"/>
      <c r="Z87" s="110"/>
      <c r="AA87" s="110"/>
      <c r="AB87" s="110"/>
      <c r="AC87" s="110"/>
      <c r="AD87" s="110"/>
      <c r="AE87" s="110"/>
      <c r="AF87" s="110"/>
      <c r="AG87" s="110"/>
      <c r="AH87" s="110"/>
    </row>
    <row r="88">
      <c r="A88" s="110"/>
      <c r="B88" s="110"/>
      <c r="C88" s="110"/>
      <c r="D88" s="110"/>
      <c r="E88" s="110"/>
      <c r="F88" s="110"/>
      <c r="G88" s="110"/>
      <c r="H88" s="110"/>
      <c r="I88" s="110"/>
      <c r="J88" s="110"/>
      <c r="K88" s="110"/>
      <c r="L88" s="110"/>
      <c r="M88" s="110"/>
      <c r="N88" s="110"/>
      <c r="O88" s="110"/>
      <c r="P88" s="110"/>
      <c r="Q88" s="110"/>
      <c r="R88" s="110"/>
      <c r="S88" s="110"/>
      <c r="T88" s="110"/>
      <c r="U88" s="110"/>
      <c r="V88" s="110"/>
      <c r="W88" s="110"/>
      <c r="X88" s="110"/>
      <c r="Y88" s="110"/>
      <c r="Z88" s="110"/>
      <c r="AA88" s="110"/>
      <c r="AB88" s="110"/>
      <c r="AC88" s="110"/>
      <c r="AD88" s="110"/>
      <c r="AE88" s="110"/>
      <c r="AF88" s="110"/>
      <c r="AG88" s="110"/>
      <c r="AH88" s="110"/>
    </row>
    <row r="89">
      <c r="A89" s="110"/>
      <c r="B89" s="110"/>
      <c r="C89" s="110"/>
      <c r="D89" s="110"/>
      <c r="E89" s="110"/>
      <c r="F89" s="110"/>
      <c r="G89" s="110"/>
      <c r="H89" s="110"/>
      <c r="I89" s="110"/>
      <c r="J89" s="110"/>
      <c r="K89" s="110"/>
      <c r="L89" s="110"/>
      <c r="M89" s="110"/>
      <c r="N89" s="110"/>
      <c r="O89" s="110"/>
      <c r="P89" s="110"/>
      <c r="Q89" s="110"/>
      <c r="R89" s="110"/>
      <c r="S89" s="110"/>
      <c r="T89" s="110"/>
      <c r="U89" s="110"/>
      <c r="V89" s="110"/>
      <c r="W89" s="110"/>
      <c r="X89" s="110"/>
      <c r="Y89" s="110"/>
      <c r="Z89" s="110"/>
      <c r="AA89" s="110"/>
      <c r="AB89" s="110"/>
      <c r="AC89" s="110"/>
      <c r="AD89" s="110"/>
      <c r="AE89" s="110"/>
      <c r="AF89" s="110"/>
      <c r="AG89" s="110"/>
      <c r="AH89" s="110"/>
    </row>
    <row r="90">
      <c r="A90" s="110"/>
      <c r="B90" s="110"/>
      <c r="C90" s="110"/>
      <c r="D90" s="110"/>
      <c r="E90" s="110"/>
      <c r="F90" s="110"/>
      <c r="G90" s="110"/>
      <c r="H90" s="110"/>
      <c r="I90" s="110"/>
      <c r="J90" s="110"/>
      <c r="K90" s="110"/>
      <c r="L90" s="110"/>
      <c r="M90" s="110"/>
      <c r="N90" s="110"/>
      <c r="O90" s="110"/>
      <c r="P90" s="110"/>
      <c r="Q90" s="110"/>
      <c r="R90" s="110"/>
      <c r="S90" s="110"/>
      <c r="T90" s="110"/>
      <c r="U90" s="110"/>
      <c r="V90" s="110"/>
      <c r="W90" s="110"/>
      <c r="X90" s="110"/>
      <c r="Y90" s="110"/>
      <c r="Z90" s="110"/>
      <c r="AA90" s="110"/>
      <c r="AB90" s="110"/>
      <c r="AC90" s="110"/>
      <c r="AD90" s="110"/>
      <c r="AE90" s="110"/>
      <c r="AF90" s="110"/>
      <c r="AG90" s="110"/>
      <c r="AH90" s="110"/>
    </row>
    <row r="91">
      <c r="A91" s="110"/>
      <c r="B91" s="110"/>
      <c r="C91" s="110"/>
      <c r="D91" s="110"/>
      <c r="E91" s="110"/>
      <c r="F91" s="110"/>
      <c r="G91" s="110"/>
      <c r="H91" s="110"/>
      <c r="I91" s="110"/>
      <c r="J91" s="110"/>
      <c r="K91" s="110"/>
      <c r="L91" s="110"/>
      <c r="M91" s="110"/>
      <c r="N91" s="110"/>
      <c r="O91" s="110"/>
      <c r="P91" s="110"/>
      <c r="Q91" s="110"/>
      <c r="R91" s="110"/>
      <c r="S91" s="110"/>
      <c r="T91" s="110"/>
      <c r="U91" s="110"/>
      <c r="V91" s="110"/>
      <c r="W91" s="110"/>
      <c r="X91" s="110"/>
      <c r="Y91" s="110"/>
      <c r="Z91" s="110"/>
      <c r="AA91" s="110"/>
      <c r="AB91" s="110"/>
      <c r="AC91" s="110"/>
      <c r="AD91" s="110"/>
      <c r="AE91" s="110"/>
      <c r="AF91" s="110"/>
      <c r="AG91" s="110"/>
      <c r="AH91" s="110"/>
    </row>
    <row r="92">
      <c r="A92" s="110"/>
      <c r="B92" s="110"/>
      <c r="C92" s="110"/>
      <c r="D92" s="110"/>
      <c r="E92" s="110"/>
      <c r="F92" s="110"/>
      <c r="G92" s="110"/>
      <c r="H92" s="110"/>
      <c r="I92" s="110"/>
      <c r="J92" s="110"/>
      <c r="K92" s="110"/>
      <c r="L92" s="110"/>
      <c r="M92" s="110"/>
      <c r="N92" s="110"/>
      <c r="O92" s="110"/>
      <c r="P92" s="110"/>
      <c r="Q92" s="110"/>
      <c r="R92" s="110"/>
      <c r="S92" s="110"/>
      <c r="T92" s="110"/>
      <c r="U92" s="110"/>
      <c r="V92" s="110"/>
      <c r="W92" s="110"/>
      <c r="X92" s="110"/>
      <c r="Y92" s="110"/>
      <c r="Z92" s="110"/>
      <c r="AA92" s="110"/>
      <c r="AB92" s="110"/>
      <c r="AC92" s="110"/>
      <c r="AD92" s="110"/>
      <c r="AE92" s="110"/>
      <c r="AF92" s="110"/>
      <c r="AG92" s="110"/>
      <c r="AH92" s="110"/>
    </row>
    <row r="93">
      <c r="A93" s="110"/>
      <c r="B93" s="110"/>
      <c r="C93" s="110"/>
      <c r="D93" s="110"/>
      <c r="E93" s="110"/>
      <c r="F93" s="110"/>
      <c r="G93" s="110"/>
      <c r="H93" s="110"/>
      <c r="I93" s="110"/>
      <c r="J93" s="110"/>
      <c r="K93" s="110"/>
      <c r="L93" s="110"/>
      <c r="M93" s="110"/>
      <c r="N93" s="110"/>
      <c r="O93" s="110"/>
      <c r="P93" s="110"/>
      <c r="Q93" s="110"/>
      <c r="R93" s="110"/>
      <c r="S93" s="110"/>
      <c r="T93" s="110"/>
      <c r="U93" s="110"/>
      <c r="V93" s="110"/>
      <c r="W93" s="110"/>
      <c r="X93" s="110"/>
      <c r="Y93" s="110"/>
      <c r="Z93" s="110"/>
      <c r="AA93" s="110"/>
      <c r="AB93" s="110"/>
      <c r="AC93" s="110"/>
      <c r="AD93" s="110"/>
      <c r="AE93" s="110"/>
      <c r="AF93" s="110"/>
      <c r="AG93" s="110"/>
      <c r="AH93" s="110"/>
    </row>
    <row r="94">
      <c r="A94" s="110"/>
      <c r="B94" s="110"/>
      <c r="C94" s="110"/>
      <c r="D94" s="110"/>
      <c r="E94" s="110"/>
      <c r="F94" s="110"/>
      <c r="G94" s="110"/>
      <c r="H94" s="110"/>
      <c r="I94" s="110"/>
      <c r="J94" s="110"/>
      <c r="K94" s="110"/>
      <c r="L94" s="110"/>
      <c r="M94" s="110"/>
      <c r="N94" s="110"/>
      <c r="O94" s="110"/>
      <c r="P94" s="110"/>
      <c r="Q94" s="110"/>
      <c r="R94" s="110"/>
      <c r="S94" s="110"/>
      <c r="T94" s="110"/>
      <c r="U94" s="110"/>
      <c r="V94" s="110"/>
      <c r="W94" s="110"/>
      <c r="X94" s="110"/>
      <c r="Y94" s="110"/>
      <c r="Z94" s="110"/>
      <c r="AA94" s="110"/>
      <c r="AB94" s="110"/>
      <c r="AC94" s="110"/>
      <c r="AD94" s="110"/>
      <c r="AE94" s="110"/>
      <c r="AF94" s="110"/>
      <c r="AG94" s="110"/>
      <c r="AH94" s="110"/>
    </row>
    <row r="95">
      <c r="A95" s="110"/>
      <c r="B95" s="110"/>
      <c r="C95" s="110"/>
      <c r="D95" s="110"/>
      <c r="E95" s="110"/>
      <c r="F95" s="110"/>
      <c r="G95" s="110"/>
      <c r="H95" s="110"/>
      <c r="I95" s="110"/>
      <c r="J95" s="110"/>
      <c r="K95" s="110"/>
      <c r="L95" s="110"/>
      <c r="M95" s="110"/>
      <c r="N95" s="110"/>
      <c r="O95" s="110"/>
      <c r="P95" s="110"/>
      <c r="Q95" s="110"/>
      <c r="R95" s="110"/>
      <c r="S95" s="110"/>
      <c r="T95" s="110"/>
      <c r="U95" s="110"/>
      <c r="V95" s="110"/>
      <c r="W95" s="110"/>
      <c r="X95" s="110"/>
      <c r="Y95" s="110"/>
      <c r="Z95" s="110"/>
      <c r="AA95" s="110"/>
      <c r="AB95" s="110"/>
      <c r="AC95" s="110"/>
      <c r="AD95" s="110"/>
      <c r="AE95" s="110"/>
      <c r="AF95" s="110"/>
      <c r="AG95" s="110"/>
      <c r="AH95" s="110"/>
    </row>
    <row r="96">
      <c r="A96" s="110"/>
      <c r="B96" s="110"/>
      <c r="C96" s="110"/>
      <c r="D96" s="110"/>
      <c r="E96" s="110"/>
      <c r="F96" s="110"/>
      <c r="G96" s="110"/>
      <c r="H96" s="110"/>
      <c r="I96" s="110"/>
      <c r="J96" s="110"/>
      <c r="K96" s="110"/>
      <c r="L96" s="110"/>
      <c r="M96" s="110"/>
      <c r="N96" s="110"/>
      <c r="O96" s="110"/>
      <c r="P96" s="110"/>
      <c r="Q96" s="110"/>
      <c r="R96" s="110"/>
      <c r="S96" s="110"/>
      <c r="T96" s="110"/>
      <c r="U96" s="110"/>
      <c r="V96" s="110"/>
      <c r="W96" s="110"/>
      <c r="X96" s="110"/>
      <c r="Y96" s="110"/>
      <c r="Z96" s="110"/>
      <c r="AA96" s="110"/>
      <c r="AB96" s="110"/>
      <c r="AC96" s="110"/>
      <c r="AD96" s="110"/>
      <c r="AE96" s="110"/>
      <c r="AF96" s="110"/>
      <c r="AG96" s="110"/>
      <c r="AH96" s="110"/>
    </row>
    <row r="97">
      <c r="A97" s="110"/>
      <c r="B97" s="110"/>
      <c r="C97" s="110"/>
      <c r="D97" s="110"/>
      <c r="E97" s="110"/>
      <c r="F97" s="110"/>
      <c r="G97" s="110"/>
      <c r="H97" s="110"/>
      <c r="I97" s="110"/>
      <c r="J97" s="110"/>
      <c r="K97" s="110"/>
      <c r="L97" s="110"/>
      <c r="M97" s="110"/>
      <c r="N97" s="110"/>
      <c r="O97" s="110"/>
      <c r="P97" s="110"/>
      <c r="Q97" s="110"/>
      <c r="R97" s="110"/>
      <c r="S97" s="110"/>
      <c r="T97" s="110"/>
      <c r="U97" s="110"/>
      <c r="V97" s="110"/>
      <c r="W97" s="110"/>
      <c r="X97" s="110"/>
      <c r="Y97" s="110"/>
      <c r="Z97" s="110"/>
      <c r="AA97" s="110"/>
      <c r="AB97" s="110"/>
      <c r="AC97" s="110"/>
      <c r="AD97" s="110"/>
      <c r="AE97" s="110"/>
      <c r="AF97" s="110"/>
      <c r="AG97" s="110"/>
      <c r="AH97" s="110"/>
    </row>
    <row r="98">
      <c r="A98" s="110"/>
      <c r="B98" s="110"/>
      <c r="C98" s="110"/>
      <c r="D98" s="110"/>
      <c r="E98" s="110"/>
      <c r="F98" s="110"/>
      <c r="G98" s="110"/>
      <c r="H98" s="110"/>
      <c r="I98" s="110"/>
      <c r="J98" s="110"/>
      <c r="K98" s="110"/>
      <c r="L98" s="110"/>
      <c r="M98" s="110"/>
      <c r="N98" s="110"/>
      <c r="O98" s="110"/>
      <c r="P98" s="110"/>
      <c r="Q98" s="110"/>
      <c r="R98" s="110"/>
      <c r="S98" s="110"/>
      <c r="T98" s="110"/>
      <c r="U98" s="110"/>
      <c r="V98" s="110"/>
      <c r="W98" s="110"/>
      <c r="X98" s="110"/>
      <c r="Y98" s="110"/>
      <c r="Z98" s="110"/>
      <c r="AA98" s="110"/>
      <c r="AB98" s="110"/>
      <c r="AC98" s="110"/>
      <c r="AD98" s="110"/>
      <c r="AE98" s="110"/>
      <c r="AF98" s="110"/>
      <c r="AG98" s="110"/>
      <c r="AH98" s="110"/>
    </row>
    <row r="99">
      <c r="A99" s="110"/>
      <c r="B99" s="110"/>
      <c r="C99" s="110"/>
      <c r="D99" s="110"/>
      <c r="E99" s="110"/>
      <c r="F99" s="110"/>
      <c r="G99" s="110"/>
      <c r="H99" s="110"/>
      <c r="I99" s="110"/>
      <c r="J99" s="110"/>
      <c r="K99" s="110"/>
      <c r="L99" s="110"/>
      <c r="M99" s="110"/>
      <c r="N99" s="110"/>
      <c r="O99" s="110"/>
      <c r="P99" s="110"/>
      <c r="Q99" s="110"/>
      <c r="R99" s="110"/>
      <c r="S99" s="110"/>
      <c r="T99" s="110"/>
      <c r="U99" s="110"/>
      <c r="V99" s="110"/>
      <c r="W99" s="110"/>
      <c r="X99" s="110"/>
      <c r="Y99" s="110"/>
      <c r="Z99" s="110"/>
      <c r="AA99" s="110"/>
      <c r="AB99" s="110"/>
      <c r="AC99" s="110"/>
      <c r="AD99" s="110"/>
      <c r="AE99" s="110"/>
      <c r="AF99" s="110"/>
      <c r="AG99" s="110"/>
      <c r="AH99" s="110"/>
    </row>
    <row r="100">
      <c r="A100" s="110"/>
      <c r="B100" s="110"/>
      <c r="C100" s="110"/>
      <c r="D100" s="110"/>
      <c r="E100" s="110"/>
      <c r="F100" s="110"/>
      <c r="G100" s="110"/>
      <c r="H100" s="110"/>
      <c r="I100" s="110"/>
      <c r="J100" s="110"/>
      <c r="K100" s="110"/>
      <c r="L100" s="110"/>
      <c r="M100" s="110"/>
      <c r="N100" s="110"/>
      <c r="O100" s="110"/>
      <c r="P100" s="110"/>
      <c r="Q100" s="110"/>
      <c r="R100" s="110"/>
      <c r="S100" s="110"/>
      <c r="T100" s="110"/>
      <c r="U100" s="110"/>
      <c r="V100" s="110"/>
      <c r="W100" s="110"/>
      <c r="X100" s="110"/>
      <c r="Y100" s="110"/>
      <c r="Z100" s="110"/>
      <c r="AA100" s="110"/>
      <c r="AB100" s="110"/>
      <c r="AC100" s="110"/>
      <c r="AD100" s="110"/>
      <c r="AE100" s="110"/>
      <c r="AF100" s="110"/>
      <c r="AG100" s="110"/>
      <c r="AH100" s="110"/>
    </row>
    <row r="101">
      <c r="A101" s="110"/>
      <c r="B101" s="110"/>
      <c r="C101" s="110"/>
      <c r="D101" s="110"/>
      <c r="E101" s="110"/>
      <c r="F101" s="110"/>
      <c r="G101" s="110"/>
      <c r="H101" s="110"/>
      <c r="I101" s="110"/>
      <c r="J101" s="110"/>
      <c r="K101" s="110"/>
      <c r="L101" s="110"/>
      <c r="M101" s="110"/>
      <c r="N101" s="110"/>
      <c r="O101" s="110"/>
      <c r="P101" s="110"/>
      <c r="Q101" s="110"/>
      <c r="R101" s="110"/>
      <c r="S101" s="110"/>
      <c r="T101" s="110"/>
      <c r="U101" s="110"/>
      <c r="V101" s="110"/>
      <c r="W101" s="110"/>
      <c r="X101" s="110"/>
      <c r="Y101" s="110"/>
      <c r="Z101" s="110"/>
      <c r="AA101" s="110"/>
      <c r="AB101" s="110"/>
      <c r="AC101" s="110"/>
      <c r="AD101" s="110"/>
      <c r="AE101" s="110"/>
      <c r="AF101" s="110"/>
      <c r="AG101" s="110"/>
      <c r="AH101" s="110"/>
    </row>
    <row r="102">
      <c r="A102" s="110"/>
      <c r="B102" s="110"/>
      <c r="C102" s="110"/>
      <c r="D102" s="110"/>
      <c r="E102" s="110"/>
      <c r="F102" s="110"/>
      <c r="G102" s="110"/>
      <c r="H102" s="110"/>
      <c r="I102" s="110"/>
      <c r="J102" s="110"/>
      <c r="K102" s="110"/>
      <c r="L102" s="110"/>
      <c r="M102" s="110"/>
      <c r="N102" s="110"/>
      <c r="O102" s="110"/>
      <c r="P102" s="110"/>
      <c r="Q102" s="110"/>
      <c r="R102" s="110"/>
      <c r="S102" s="110"/>
      <c r="T102" s="110"/>
      <c r="U102" s="110"/>
      <c r="V102" s="110"/>
      <c r="W102" s="110"/>
      <c r="X102" s="110"/>
      <c r="Y102" s="110"/>
      <c r="Z102" s="110"/>
      <c r="AA102" s="110"/>
      <c r="AB102" s="110"/>
      <c r="AC102" s="110"/>
      <c r="AD102" s="110"/>
      <c r="AE102" s="110"/>
      <c r="AF102" s="110"/>
      <c r="AG102" s="110"/>
      <c r="AH102" s="110"/>
    </row>
    <row r="103">
      <c r="A103" s="110"/>
      <c r="B103" s="110"/>
      <c r="C103" s="110"/>
      <c r="D103" s="110"/>
      <c r="E103" s="110"/>
      <c r="F103" s="110"/>
      <c r="G103" s="110"/>
      <c r="H103" s="110"/>
      <c r="I103" s="110"/>
      <c r="J103" s="110"/>
      <c r="K103" s="110"/>
      <c r="L103" s="110"/>
      <c r="M103" s="110"/>
      <c r="N103" s="110"/>
      <c r="O103" s="110"/>
      <c r="P103" s="110"/>
      <c r="Q103" s="110"/>
      <c r="R103" s="110"/>
      <c r="S103" s="110"/>
      <c r="T103" s="110"/>
      <c r="U103" s="110"/>
      <c r="V103" s="110"/>
      <c r="W103" s="110"/>
      <c r="X103" s="110"/>
      <c r="Y103" s="110"/>
      <c r="Z103" s="110"/>
      <c r="AA103" s="110"/>
      <c r="AB103" s="110"/>
      <c r="AC103" s="110"/>
      <c r="AD103" s="110"/>
      <c r="AE103" s="110"/>
      <c r="AF103" s="110"/>
      <c r="AG103" s="110"/>
      <c r="AH103" s="110"/>
    </row>
    <row r="104">
      <c r="A104" s="110"/>
      <c r="B104" s="110"/>
      <c r="C104" s="110"/>
      <c r="D104" s="110"/>
      <c r="E104" s="110"/>
      <c r="F104" s="110"/>
      <c r="G104" s="110"/>
      <c r="H104" s="110"/>
      <c r="I104" s="110"/>
      <c r="J104" s="110"/>
      <c r="K104" s="110"/>
      <c r="L104" s="110"/>
      <c r="M104" s="110"/>
      <c r="N104" s="110"/>
      <c r="O104" s="110"/>
      <c r="P104" s="110"/>
      <c r="Q104" s="110"/>
      <c r="R104" s="110"/>
      <c r="S104" s="110"/>
      <c r="T104" s="110"/>
      <c r="U104" s="110"/>
      <c r="V104" s="110"/>
      <c r="W104" s="110"/>
      <c r="X104" s="110"/>
      <c r="Y104" s="110"/>
      <c r="Z104" s="110"/>
      <c r="AA104" s="110"/>
      <c r="AB104" s="110"/>
      <c r="AC104" s="110"/>
      <c r="AD104" s="110"/>
      <c r="AE104" s="110"/>
      <c r="AF104" s="110"/>
      <c r="AG104" s="110"/>
      <c r="AH104" s="110"/>
    </row>
    <row r="105">
      <c r="A105" s="110"/>
      <c r="B105" s="110"/>
      <c r="C105" s="110"/>
      <c r="D105" s="110"/>
      <c r="E105" s="110"/>
      <c r="F105" s="110"/>
      <c r="G105" s="110"/>
      <c r="H105" s="110"/>
      <c r="I105" s="110"/>
      <c r="J105" s="110"/>
      <c r="K105" s="110"/>
      <c r="L105" s="110"/>
      <c r="M105" s="110"/>
      <c r="N105" s="110"/>
      <c r="O105" s="110"/>
      <c r="P105" s="110"/>
      <c r="Q105" s="110"/>
      <c r="R105" s="110"/>
      <c r="S105" s="110"/>
      <c r="T105" s="110"/>
      <c r="U105" s="110"/>
      <c r="V105" s="110"/>
      <c r="W105" s="110"/>
      <c r="X105" s="110"/>
      <c r="Y105" s="110"/>
      <c r="Z105" s="110"/>
      <c r="AA105" s="110"/>
      <c r="AB105" s="110"/>
      <c r="AC105" s="110"/>
      <c r="AD105" s="110"/>
      <c r="AE105" s="110"/>
      <c r="AF105" s="110"/>
      <c r="AG105" s="110"/>
      <c r="AH105" s="110"/>
    </row>
    <row r="106">
      <c r="A106" s="110"/>
      <c r="B106" s="110"/>
      <c r="C106" s="110"/>
      <c r="D106" s="110"/>
      <c r="E106" s="110"/>
      <c r="F106" s="110"/>
      <c r="G106" s="110"/>
      <c r="H106" s="110"/>
      <c r="I106" s="110"/>
      <c r="J106" s="110"/>
      <c r="K106" s="110"/>
      <c r="L106" s="110"/>
      <c r="M106" s="110"/>
      <c r="N106" s="110"/>
      <c r="O106" s="110"/>
      <c r="P106" s="110"/>
      <c r="Q106" s="110"/>
      <c r="R106" s="110"/>
      <c r="S106" s="110"/>
      <c r="T106" s="110"/>
      <c r="U106" s="110"/>
      <c r="V106" s="110"/>
      <c r="W106" s="110"/>
      <c r="X106" s="110"/>
      <c r="Y106" s="110"/>
      <c r="Z106" s="110"/>
      <c r="AA106" s="110"/>
      <c r="AB106" s="110"/>
      <c r="AC106" s="110"/>
      <c r="AD106" s="110"/>
      <c r="AE106" s="110"/>
      <c r="AF106" s="110"/>
      <c r="AG106" s="110"/>
      <c r="AH106" s="110"/>
    </row>
    <row r="107">
      <c r="A107" s="110"/>
      <c r="B107" s="110"/>
      <c r="C107" s="110"/>
      <c r="D107" s="110"/>
      <c r="E107" s="110"/>
      <c r="F107" s="110"/>
      <c r="G107" s="110"/>
      <c r="H107" s="110"/>
      <c r="I107" s="110"/>
      <c r="J107" s="110"/>
      <c r="K107" s="110"/>
      <c r="L107" s="110"/>
      <c r="M107" s="110"/>
      <c r="N107" s="110"/>
      <c r="O107" s="110"/>
      <c r="P107" s="110"/>
      <c r="Q107" s="110"/>
      <c r="R107" s="110"/>
      <c r="S107" s="110"/>
      <c r="T107" s="110"/>
      <c r="U107" s="110"/>
      <c r="V107" s="110"/>
      <c r="W107" s="110"/>
      <c r="X107" s="110"/>
      <c r="Y107" s="110"/>
      <c r="Z107" s="110"/>
      <c r="AA107" s="110"/>
      <c r="AB107" s="110"/>
      <c r="AC107" s="110"/>
      <c r="AD107" s="110"/>
      <c r="AE107" s="110"/>
      <c r="AF107" s="110"/>
      <c r="AG107" s="110"/>
      <c r="AH107" s="110"/>
    </row>
    <row r="108">
      <c r="A108" s="110"/>
      <c r="B108" s="110"/>
      <c r="C108" s="110"/>
      <c r="D108" s="110"/>
      <c r="E108" s="110"/>
      <c r="F108" s="110"/>
      <c r="G108" s="110"/>
      <c r="H108" s="110"/>
      <c r="I108" s="110"/>
      <c r="J108" s="110"/>
      <c r="K108" s="110"/>
      <c r="L108" s="110"/>
      <c r="M108" s="110"/>
      <c r="N108" s="110"/>
      <c r="O108" s="110"/>
      <c r="P108" s="110"/>
      <c r="Q108" s="110"/>
      <c r="R108" s="110"/>
      <c r="S108" s="110"/>
      <c r="T108" s="110"/>
      <c r="U108" s="110"/>
      <c r="V108" s="110"/>
      <c r="W108" s="110"/>
      <c r="X108" s="110"/>
      <c r="Y108" s="110"/>
      <c r="Z108" s="110"/>
      <c r="AA108" s="110"/>
      <c r="AB108" s="110"/>
      <c r="AC108" s="110"/>
      <c r="AD108" s="110"/>
      <c r="AE108" s="110"/>
      <c r="AF108" s="110"/>
      <c r="AG108" s="110"/>
      <c r="AH108" s="110"/>
    </row>
    <row r="109">
      <c r="A109" s="110"/>
      <c r="B109" s="110"/>
      <c r="C109" s="110"/>
      <c r="D109" s="110"/>
      <c r="E109" s="110"/>
      <c r="F109" s="110"/>
      <c r="G109" s="110"/>
      <c r="H109" s="110"/>
      <c r="I109" s="110"/>
      <c r="J109" s="110"/>
      <c r="K109" s="110"/>
      <c r="L109" s="110"/>
      <c r="M109" s="110"/>
      <c r="N109" s="110"/>
      <c r="O109" s="110"/>
      <c r="P109" s="110"/>
      <c r="Q109" s="110"/>
      <c r="R109" s="110"/>
      <c r="S109" s="110"/>
      <c r="T109" s="110"/>
      <c r="U109" s="110"/>
      <c r="V109" s="110"/>
      <c r="W109" s="110"/>
      <c r="X109" s="110"/>
      <c r="Y109" s="110"/>
      <c r="Z109" s="110"/>
      <c r="AA109" s="110"/>
      <c r="AB109" s="110"/>
      <c r="AC109" s="110"/>
      <c r="AD109" s="110"/>
      <c r="AE109" s="110"/>
      <c r="AF109" s="110"/>
      <c r="AG109" s="110"/>
      <c r="AH109" s="110"/>
    </row>
    <row r="110">
      <c r="A110" s="110"/>
      <c r="B110" s="110"/>
      <c r="C110" s="110"/>
      <c r="D110" s="110"/>
      <c r="E110" s="110"/>
      <c r="F110" s="110"/>
      <c r="G110" s="110"/>
      <c r="H110" s="110"/>
      <c r="I110" s="110"/>
      <c r="J110" s="110"/>
      <c r="K110" s="110"/>
      <c r="L110" s="110"/>
      <c r="M110" s="110"/>
      <c r="N110" s="110"/>
      <c r="O110" s="110"/>
      <c r="P110" s="110"/>
      <c r="Q110" s="110"/>
      <c r="R110" s="110"/>
      <c r="S110" s="110"/>
      <c r="T110" s="110"/>
      <c r="U110" s="110"/>
      <c r="V110" s="110"/>
      <c r="W110" s="110"/>
      <c r="X110" s="110"/>
      <c r="Y110" s="110"/>
      <c r="Z110" s="110"/>
      <c r="AA110" s="110"/>
      <c r="AB110" s="110"/>
      <c r="AC110" s="110"/>
      <c r="AD110" s="110"/>
      <c r="AE110" s="110"/>
      <c r="AF110" s="110"/>
      <c r="AG110" s="110"/>
      <c r="AH110" s="110"/>
    </row>
    <row r="111">
      <c r="A111" s="110"/>
      <c r="B111" s="110"/>
      <c r="C111" s="110"/>
      <c r="D111" s="110"/>
      <c r="E111" s="110"/>
      <c r="F111" s="110"/>
      <c r="G111" s="110"/>
      <c r="H111" s="110"/>
      <c r="I111" s="110"/>
      <c r="J111" s="110"/>
      <c r="K111" s="110"/>
      <c r="L111" s="110"/>
      <c r="M111" s="110"/>
      <c r="N111" s="110"/>
      <c r="O111" s="110"/>
      <c r="P111" s="110"/>
      <c r="Q111" s="110"/>
      <c r="R111" s="110"/>
      <c r="S111" s="110"/>
      <c r="T111" s="110"/>
      <c r="U111" s="110"/>
      <c r="V111" s="110"/>
      <c r="W111" s="110"/>
      <c r="X111" s="110"/>
      <c r="Y111" s="110"/>
      <c r="Z111" s="110"/>
      <c r="AA111" s="110"/>
      <c r="AB111" s="110"/>
      <c r="AC111" s="110"/>
      <c r="AD111" s="110"/>
      <c r="AE111" s="110"/>
      <c r="AF111" s="110"/>
      <c r="AG111" s="110"/>
      <c r="AH111" s="110"/>
    </row>
    <row r="112">
      <c r="A112" s="110"/>
      <c r="B112" s="110"/>
      <c r="C112" s="110"/>
      <c r="D112" s="110"/>
      <c r="E112" s="110"/>
      <c r="F112" s="110"/>
      <c r="G112" s="110"/>
      <c r="H112" s="110"/>
      <c r="I112" s="110"/>
      <c r="J112" s="110"/>
      <c r="K112" s="110"/>
      <c r="L112" s="110"/>
      <c r="M112" s="110"/>
      <c r="N112" s="110"/>
      <c r="O112" s="110"/>
      <c r="P112" s="110"/>
      <c r="Q112" s="110"/>
      <c r="R112" s="110"/>
      <c r="S112" s="110"/>
      <c r="T112" s="110"/>
      <c r="U112" s="110"/>
      <c r="V112" s="110"/>
      <c r="W112" s="110"/>
      <c r="X112" s="110"/>
      <c r="Y112" s="110"/>
      <c r="Z112" s="110"/>
      <c r="AA112" s="110"/>
      <c r="AB112" s="110"/>
      <c r="AC112" s="110"/>
      <c r="AD112" s="110"/>
      <c r="AE112" s="110"/>
      <c r="AF112" s="110"/>
      <c r="AG112" s="110"/>
      <c r="AH112" s="110"/>
    </row>
    <row r="113">
      <c r="A113" s="110"/>
      <c r="B113" s="110"/>
      <c r="C113" s="110"/>
      <c r="D113" s="110"/>
      <c r="E113" s="110"/>
      <c r="F113" s="110"/>
      <c r="G113" s="110"/>
      <c r="H113" s="110"/>
      <c r="I113" s="110"/>
      <c r="J113" s="110"/>
      <c r="K113" s="110"/>
      <c r="L113" s="110"/>
      <c r="M113" s="110"/>
      <c r="N113" s="110"/>
      <c r="O113" s="110"/>
      <c r="P113" s="110"/>
      <c r="Q113" s="110"/>
      <c r="R113" s="110"/>
      <c r="S113" s="110"/>
      <c r="T113" s="110"/>
      <c r="U113" s="110"/>
      <c r="V113" s="110"/>
      <c r="W113" s="110"/>
      <c r="X113" s="110"/>
      <c r="Y113" s="110"/>
      <c r="Z113" s="110"/>
      <c r="AA113" s="110"/>
      <c r="AB113" s="110"/>
      <c r="AC113" s="110"/>
      <c r="AD113" s="110"/>
      <c r="AE113" s="110"/>
      <c r="AF113" s="110"/>
      <c r="AG113" s="110"/>
      <c r="AH113" s="110"/>
    </row>
    <row r="114">
      <c r="A114" s="110"/>
      <c r="B114" s="110"/>
      <c r="C114" s="110"/>
      <c r="D114" s="110"/>
      <c r="E114" s="110"/>
      <c r="F114" s="110"/>
      <c r="G114" s="110"/>
      <c r="H114" s="110"/>
      <c r="I114" s="110"/>
      <c r="J114" s="110"/>
      <c r="K114" s="110"/>
      <c r="L114" s="110"/>
      <c r="M114" s="110"/>
      <c r="N114" s="110"/>
      <c r="O114" s="110"/>
      <c r="P114" s="110"/>
      <c r="Q114" s="110"/>
      <c r="R114" s="110"/>
      <c r="S114" s="110"/>
      <c r="T114" s="110"/>
      <c r="U114" s="110"/>
      <c r="V114" s="110"/>
      <c r="W114" s="110"/>
      <c r="X114" s="110"/>
      <c r="Y114" s="110"/>
      <c r="Z114" s="110"/>
      <c r="AA114" s="110"/>
      <c r="AB114" s="110"/>
      <c r="AC114" s="110"/>
      <c r="AD114" s="110"/>
      <c r="AE114" s="110"/>
      <c r="AF114" s="110"/>
      <c r="AG114" s="110"/>
      <c r="AH114" s="110"/>
    </row>
    <row r="115">
      <c r="A115" s="110"/>
      <c r="B115" s="110"/>
      <c r="C115" s="110"/>
      <c r="D115" s="110"/>
      <c r="E115" s="110"/>
      <c r="F115" s="110"/>
      <c r="G115" s="110"/>
      <c r="H115" s="110"/>
      <c r="I115" s="110"/>
      <c r="J115" s="110"/>
      <c r="K115" s="110"/>
      <c r="L115" s="110"/>
      <c r="M115" s="110"/>
      <c r="N115" s="110"/>
      <c r="O115" s="110"/>
      <c r="P115" s="110"/>
      <c r="Q115" s="110"/>
      <c r="R115" s="110"/>
      <c r="S115" s="110"/>
      <c r="T115" s="110"/>
      <c r="U115" s="110"/>
      <c r="V115" s="110"/>
      <c r="W115" s="110"/>
      <c r="X115" s="110"/>
      <c r="Y115" s="110"/>
      <c r="Z115" s="110"/>
      <c r="AA115" s="110"/>
      <c r="AB115" s="110"/>
      <c r="AC115" s="110"/>
      <c r="AD115" s="110"/>
      <c r="AE115" s="110"/>
      <c r="AF115" s="110"/>
      <c r="AG115" s="110"/>
      <c r="AH115" s="110"/>
    </row>
    <row r="116">
      <c r="A116" s="110"/>
      <c r="B116" s="110"/>
      <c r="C116" s="110"/>
      <c r="D116" s="110"/>
      <c r="E116" s="110"/>
      <c r="F116" s="110"/>
      <c r="G116" s="110"/>
      <c r="H116" s="110"/>
      <c r="I116" s="110"/>
      <c r="J116" s="110"/>
      <c r="K116" s="110"/>
      <c r="L116" s="110"/>
      <c r="M116" s="110"/>
      <c r="N116" s="110"/>
      <c r="O116" s="110"/>
      <c r="P116" s="110"/>
      <c r="Q116" s="110"/>
      <c r="R116" s="110"/>
      <c r="S116" s="110"/>
      <c r="T116" s="110"/>
      <c r="U116" s="110"/>
      <c r="V116" s="110"/>
      <c r="W116" s="110"/>
      <c r="X116" s="110"/>
      <c r="Y116" s="110"/>
      <c r="Z116" s="110"/>
      <c r="AA116" s="110"/>
      <c r="AB116" s="110"/>
      <c r="AC116" s="110"/>
      <c r="AD116" s="110"/>
      <c r="AE116" s="110"/>
      <c r="AF116" s="110"/>
      <c r="AG116" s="110"/>
      <c r="AH116" s="110"/>
    </row>
    <row r="117">
      <c r="A117" s="110"/>
      <c r="B117" s="110"/>
      <c r="C117" s="110"/>
      <c r="D117" s="110"/>
      <c r="E117" s="110"/>
      <c r="F117" s="110"/>
      <c r="G117" s="110"/>
      <c r="H117" s="110"/>
      <c r="I117" s="110"/>
      <c r="J117" s="110"/>
      <c r="K117" s="110"/>
      <c r="L117" s="110"/>
      <c r="M117" s="110"/>
      <c r="N117" s="110"/>
      <c r="O117" s="110"/>
      <c r="P117" s="110"/>
      <c r="Q117" s="110"/>
      <c r="R117" s="110"/>
      <c r="S117" s="110"/>
      <c r="T117" s="110"/>
      <c r="U117" s="110"/>
      <c r="V117" s="110"/>
      <c r="W117" s="110"/>
      <c r="X117" s="110"/>
      <c r="Y117" s="110"/>
      <c r="Z117" s="110"/>
      <c r="AA117" s="110"/>
      <c r="AB117" s="110"/>
      <c r="AC117" s="110"/>
      <c r="AD117" s="110"/>
      <c r="AE117" s="110"/>
      <c r="AF117" s="110"/>
      <c r="AG117" s="110"/>
      <c r="AH117" s="110"/>
    </row>
    <row r="118">
      <c r="A118" s="110"/>
      <c r="B118" s="110"/>
      <c r="C118" s="110"/>
      <c r="D118" s="110"/>
      <c r="E118" s="110"/>
      <c r="F118" s="110"/>
      <c r="G118" s="110"/>
      <c r="H118" s="110"/>
      <c r="I118" s="110"/>
      <c r="J118" s="110"/>
      <c r="K118" s="110"/>
      <c r="L118" s="110"/>
      <c r="M118" s="110"/>
      <c r="N118" s="110"/>
      <c r="O118" s="110"/>
      <c r="P118" s="110"/>
      <c r="Q118" s="110"/>
      <c r="R118" s="110"/>
      <c r="S118" s="110"/>
      <c r="T118" s="110"/>
      <c r="U118" s="110"/>
      <c r="V118" s="110"/>
      <c r="W118" s="110"/>
      <c r="X118" s="110"/>
      <c r="Y118" s="110"/>
      <c r="Z118" s="110"/>
      <c r="AA118" s="110"/>
      <c r="AB118" s="110"/>
      <c r="AC118" s="110"/>
      <c r="AD118" s="110"/>
      <c r="AE118" s="110"/>
      <c r="AF118" s="110"/>
      <c r="AG118" s="110"/>
      <c r="AH118" s="110"/>
    </row>
    <row r="119">
      <c r="A119" s="110"/>
      <c r="B119" s="110"/>
      <c r="C119" s="110"/>
      <c r="D119" s="110"/>
      <c r="E119" s="110"/>
      <c r="F119" s="110"/>
      <c r="G119" s="110"/>
      <c r="H119" s="110"/>
      <c r="I119" s="110"/>
      <c r="J119" s="110"/>
      <c r="K119" s="110"/>
      <c r="L119" s="110"/>
      <c r="M119" s="110"/>
      <c r="N119" s="110"/>
      <c r="O119" s="110"/>
      <c r="P119" s="110"/>
      <c r="Q119" s="110"/>
      <c r="R119" s="110"/>
      <c r="S119" s="110"/>
      <c r="T119" s="110"/>
      <c r="U119" s="110"/>
      <c r="V119" s="110"/>
      <c r="W119" s="110"/>
      <c r="X119" s="110"/>
      <c r="Y119" s="110"/>
      <c r="Z119" s="110"/>
      <c r="AA119" s="110"/>
      <c r="AB119" s="110"/>
      <c r="AC119" s="110"/>
      <c r="AD119" s="110"/>
      <c r="AE119" s="110"/>
      <c r="AF119" s="110"/>
      <c r="AG119" s="110"/>
      <c r="AH119" s="110"/>
    </row>
    <row r="120">
      <c r="A120" s="110"/>
      <c r="B120" s="110"/>
      <c r="C120" s="110"/>
      <c r="D120" s="110"/>
      <c r="E120" s="110"/>
      <c r="F120" s="110"/>
      <c r="G120" s="110"/>
      <c r="H120" s="110"/>
      <c r="I120" s="110"/>
      <c r="J120" s="110"/>
      <c r="K120" s="110"/>
      <c r="L120" s="110"/>
      <c r="M120" s="110"/>
      <c r="N120" s="110"/>
      <c r="O120" s="110"/>
      <c r="P120" s="110"/>
      <c r="Q120" s="110"/>
      <c r="R120" s="110"/>
      <c r="S120" s="110"/>
      <c r="T120" s="110"/>
      <c r="U120" s="110"/>
      <c r="V120" s="110"/>
      <c r="W120" s="110"/>
      <c r="X120" s="110"/>
      <c r="Y120" s="110"/>
      <c r="Z120" s="110"/>
      <c r="AA120" s="110"/>
      <c r="AB120" s="110"/>
      <c r="AC120" s="110"/>
      <c r="AD120" s="110"/>
      <c r="AE120" s="110"/>
      <c r="AF120" s="110"/>
      <c r="AG120" s="110"/>
      <c r="AH120" s="110"/>
    </row>
    <row r="121">
      <c r="A121" s="110"/>
      <c r="B121" s="110"/>
      <c r="C121" s="110"/>
      <c r="D121" s="110"/>
      <c r="E121" s="110"/>
      <c r="F121" s="110"/>
      <c r="G121" s="110"/>
      <c r="H121" s="110"/>
      <c r="I121" s="110"/>
      <c r="J121" s="110"/>
      <c r="K121" s="110"/>
      <c r="L121" s="110"/>
      <c r="M121" s="110"/>
      <c r="N121" s="110"/>
      <c r="O121" s="110"/>
      <c r="P121" s="110"/>
      <c r="Q121" s="110"/>
      <c r="R121" s="110"/>
      <c r="S121" s="110"/>
      <c r="T121" s="110"/>
      <c r="U121" s="110"/>
      <c r="V121" s="110"/>
      <c r="W121" s="110"/>
      <c r="X121" s="110"/>
      <c r="Y121" s="110"/>
      <c r="Z121" s="110"/>
      <c r="AA121" s="110"/>
      <c r="AB121" s="110"/>
      <c r="AC121" s="110"/>
      <c r="AD121" s="110"/>
      <c r="AE121" s="110"/>
      <c r="AF121" s="110"/>
      <c r="AG121" s="110"/>
      <c r="AH121" s="110"/>
    </row>
    <row r="122">
      <c r="A122" s="110"/>
      <c r="B122" s="110"/>
      <c r="C122" s="110"/>
      <c r="D122" s="110"/>
      <c r="E122" s="110"/>
      <c r="F122" s="110"/>
      <c r="G122" s="110"/>
      <c r="H122" s="110"/>
      <c r="I122" s="110"/>
      <c r="J122" s="110"/>
      <c r="K122" s="110"/>
      <c r="L122" s="110"/>
      <c r="M122" s="110"/>
      <c r="N122" s="110"/>
      <c r="O122" s="110"/>
      <c r="P122" s="110"/>
      <c r="Q122" s="110"/>
      <c r="R122" s="110"/>
      <c r="S122" s="110"/>
      <c r="T122" s="110"/>
      <c r="U122" s="110"/>
      <c r="V122" s="110"/>
      <c r="W122" s="110"/>
      <c r="X122" s="110"/>
      <c r="Y122" s="110"/>
      <c r="Z122" s="110"/>
      <c r="AA122" s="110"/>
      <c r="AB122" s="110"/>
      <c r="AC122" s="110"/>
      <c r="AD122" s="110"/>
      <c r="AE122" s="110"/>
      <c r="AF122" s="110"/>
      <c r="AG122" s="110"/>
      <c r="AH122" s="110"/>
    </row>
    <row r="123">
      <c r="A123" s="110"/>
      <c r="B123" s="110"/>
      <c r="C123" s="110"/>
      <c r="D123" s="110"/>
      <c r="E123" s="110"/>
      <c r="F123" s="110"/>
      <c r="G123" s="110"/>
      <c r="H123" s="110"/>
      <c r="I123" s="110"/>
      <c r="J123" s="110"/>
      <c r="K123" s="110"/>
      <c r="L123" s="110"/>
      <c r="M123" s="110"/>
      <c r="N123" s="110"/>
      <c r="O123" s="110"/>
      <c r="P123" s="110"/>
      <c r="Q123" s="110"/>
      <c r="R123" s="110"/>
      <c r="S123" s="110"/>
      <c r="T123" s="110"/>
      <c r="U123" s="110"/>
      <c r="V123" s="110"/>
      <c r="W123" s="110"/>
      <c r="X123" s="110"/>
      <c r="Y123" s="110"/>
      <c r="Z123" s="110"/>
      <c r="AA123" s="110"/>
      <c r="AB123" s="110"/>
      <c r="AC123" s="110"/>
      <c r="AD123" s="110"/>
      <c r="AE123" s="110"/>
      <c r="AF123" s="110"/>
      <c r="AG123" s="110"/>
      <c r="AH123" s="110"/>
    </row>
    <row r="124">
      <c r="A124" s="110"/>
      <c r="B124" s="110"/>
      <c r="C124" s="110"/>
      <c r="D124" s="110"/>
      <c r="E124" s="110"/>
      <c r="F124" s="110"/>
      <c r="G124" s="110"/>
      <c r="H124" s="110"/>
      <c r="I124" s="110"/>
      <c r="J124" s="110"/>
      <c r="K124" s="110"/>
      <c r="L124" s="110"/>
      <c r="M124" s="110"/>
      <c r="N124" s="110"/>
      <c r="O124" s="110"/>
      <c r="P124" s="110"/>
      <c r="Q124" s="110"/>
      <c r="R124" s="110"/>
      <c r="S124" s="110"/>
      <c r="T124" s="110"/>
      <c r="U124" s="110"/>
      <c r="V124" s="110"/>
      <c r="W124" s="110"/>
      <c r="X124" s="110"/>
      <c r="Y124" s="110"/>
      <c r="Z124" s="110"/>
      <c r="AA124" s="110"/>
      <c r="AB124" s="110"/>
      <c r="AC124" s="110"/>
      <c r="AD124" s="110"/>
      <c r="AE124" s="110"/>
      <c r="AF124" s="110"/>
      <c r="AG124" s="110"/>
      <c r="AH124" s="110"/>
    </row>
    <row r="125">
      <c r="A125" s="110"/>
      <c r="B125" s="110"/>
      <c r="C125" s="110"/>
      <c r="D125" s="110"/>
      <c r="E125" s="110"/>
      <c r="F125" s="110"/>
      <c r="G125" s="110"/>
      <c r="H125" s="110"/>
      <c r="I125" s="110"/>
      <c r="J125" s="110"/>
      <c r="K125" s="110"/>
      <c r="L125" s="110"/>
      <c r="M125" s="110"/>
      <c r="N125" s="110"/>
      <c r="O125" s="110"/>
      <c r="P125" s="110"/>
      <c r="Q125" s="110"/>
      <c r="R125" s="110"/>
      <c r="S125" s="110"/>
      <c r="T125" s="110"/>
      <c r="U125" s="110"/>
      <c r="V125" s="110"/>
      <c r="W125" s="110"/>
      <c r="X125" s="110"/>
      <c r="Y125" s="110"/>
      <c r="Z125" s="110"/>
      <c r="AA125" s="110"/>
      <c r="AB125" s="110"/>
      <c r="AC125" s="110"/>
      <c r="AD125" s="110"/>
      <c r="AE125" s="110"/>
      <c r="AF125" s="110"/>
      <c r="AG125" s="110"/>
      <c r="AH125" s="110"/>
    </row>
    <row r="126">
      <c r="A126" s="110"/>
      <c r="B126" s="110"/>
      <c r="C126" s="110"/>
      <c r="D126" s="110"/>
      <c r="E126" s="110"/>
      <c r="F126" s="110"/>
      <c r="G126" s="110"/>
      <c r="H126" s="110"/>
      <c r="I126" s="110"/>
      <c r="J126" s="110"/>
      <c r="K126" s="110"/>
      <c r="L126" s="110"/>
      <c r="M126" s="110"/>
      <c r="N126" s="110"/>
      <c r="O126" s="110"/>
      <c r="P126" s="110"/>
      <c r="Q126" s="110"/>
      <c r="R126" s="110"/>
      <c r="S126" s="110"/>
      <c r="T126" s="110"/>
      <c r="U126" s="110"/>
      <c r="V126" s="110"/>
      <c r="W126" s="110"/>
      <c r="X126" s="110"/>
      <c r="Y126" s="110"/>
      <c r="Z126" s="110"/>
      <c r="AA126" s="110"/>
      <c r="AB126" s="110"/>
      <c r="AC126" s="110"/>
      <c r="AD126" s="110"/>
      <c r="AE126" s="110"/>
      <c r="AF126" s="110"/>
      <c r="AG126" s="110"/>
      <c r="AH126" s="110"/>
    </row>
    <row r="127">
      <c r="A127" s="110"/>
      <c r="B127" s="110"/>
      <c r="C127" s="110"/>
      <c r="D127" s="110"/>
      <c r="E127" s="110"/>
      <c r="F127" s="110"/>
      <c r="G127" s="110"/>
      <c r="H127" s="110"/>
      <c r="I127" s="110"/>
      <c r="J127" s="110"/>
      <c r="K127" s="110"/>
      <c r="L127" s="110"/>
      <c r="M127" s="110"/>
      <c r="N127" s="110"/>
      <c r="O127" s="110"/>
      <c r="P127" s="110"/>
      <c r="Q127" s="110"/>
      <c r="R127" s="110"/>
      <c r="S127" s="110"/>
      <c r="T127" s="110"/>
      <c r="U127" s="110"/>
      <c r="V127" s="110"/>
      <c r="W127" s="110"/>
      <c r="X127" s="110"/>
      <c r="Y127" s="110"/>
      <c r="Z127" s="110"/>
      <c r="AA127" s="110"/>
      <c r="AB127" s="110"/>
      <c r="AC127" s="110"/>
      <c r="AD127" s="110"/>
      <c r="AE127" s="110"/>
      <c r="AF127" s="110"/>
      <c r="AG127" s="110"/>
      <c r="AH127" s="110"/>
    </row>
    <row r="128">
      <c r="A128" s="110"/>
      <c r="B128" s="110"/>
      <c r="C128" s="110"/>
      <c r="D128" s="110"/>
      <c r="E128" s="110"/>
      <c r="F128" s="110"/>
      <c r="G128" s="110"/>
      <c r="H128" s="110"/>
      <c r="I128" s="110"/>
      <c r="J128" s="110"/>
      <c r="K128" s="110"/>
      <c r="L128" s="110"/>
      <c r="M128" s="110"/>
      <c r="N128" s="110"/>
      <c r="O128" s="110"/>
      <c r="P128" s="110"/>
      <c r="Q128" s="110"/>
      <c r="R128" s="110"/>
      <c r="S128" s="110"/>
      <c r="T128" s="110"/>
      <c r="U128" s="110"/>
      <c r="V128" s="110"/>
      <c r="W128" s="110"/>
      <c r="X128" s="110"/>
      <c r="Y128" s="110"/>
      <c r="Z128" s="110"/>
      <c r="AA128" s="110"/>
      <c r="AB128" s="110"/>
      <c r="AC128" s="110"/>
      <c r="AD128" s="110"/>
      <c r="AE128" s="110"/>
      <c r="AF128" s="110"/>
      <c r="AG128" s="110"/>
      <c r="AH128" s="110"/>
    </row>
    <row r="129">
      <c r="A129" s="110"/>
      <c r="B129" s="110"/>
      <c r="C129" s="110"/>
      <c r="D129" s="110"/>
      <c r="E129" s="110"/>
      <c r="F129" s="110"/>
      <c r="G129" s="110"/>
      <c r="H129" s="110"/>
      <c r="I129" s="110"/>
      <c r="J129" s="110"/>
      <c r="K129" s="110"/>
      <c r="L129" s="110"/>
      <c r="M129" s="110"/>
      <c r="N129" s="110"/>
      <c r="O129" s="110"/>
      <c r="P129" s="110"/>
      <c r="Q129" s="110"/>
      <c r="R129" s="110"/>
      <c r="S129" s="110"/>
      <c r="T129" s="110"/>
      <c r="U129" s="110"/>
      <c r="V129" s="110"/>
      <c r="W129" s="110"/>
      <c r="X129" s="110"/>
      <c r="Y129" s="110"/>
      <c r="Z129" s="110"/>
      <c r="AA129" s="110"/>
      <c r="AB129" s="110"/>
      <c r="AC129" s="110"/>
      <c r="AD129" s="110"/>
      <c r="AE129" s="110"/>
      <c r="AF129" s="110"/>
      <c r="AG129" s="110"/>
      <c r="AH129" s="110"/>
    </row>
    <row r="130">
      <c r="A130" s="110"/>
      <c r="B130" s="110"/>
      <c r="C130" s="110"/>
      <c r="D130" s="110"/>
      <c r="E130" s="110"/>
      <c r="F130" s="110"/>
      <c r="G130" s="110"/>
      <c r="H130" s="110"/>
      <c r="I130" s="110"/>
      <c r="J130" s="110"/>
      <c r="K130" s="110"/>
      <c r="L130" s="110"/>
      <c r="M130" s="110"/>
      <c r="N130" s="110"/>
      <c r="O130" s="110"/>
      <c r="P130" s="110"/>
      <c r="Q130" s="110"/>
      <c r="R130" s="110"/>
      <c r="S130" s="110"/>
      <c r="T130" s="110"/>
      <c r="U130" s="110"/>
      <c r="V130" s="110"/>
      <c r="W130" s="110"/>
      <c r="X130" s="110"/>
      <c r="Y130" s="110"/>
      <c r="Z130" s="110"/>
      <c r="AA130" s="110"/>
      <c r="AB130" s="110"/>
      <c r="AC130" s="110"/>
      <c r="AD130" s="110"/>
      <c r="AE130" s="110"/>
      <c r="AF130" s="110"/>
      <c r="AG130" s="110"/>
      <c r="AH130" s="110"/>
    </row>
    <row r="131">
      <c r="A131" s="110"/>
      <c r="B131" s="110"/>
      <c r="C131" s="110"/>
      <c r="D131" s="110"/>
      <c r="E131" s="110"/>
      <c r="F131" s="110"/>
      <c r="G131" s="110"/>
      <c r="H131" s="110"/>
      <c r="I131" s="110"/>
      <c r="J131" s="110"/>
      <c r="K131" s="110"/>
      <c r="L131" s="110"/>
      <c r="M131" s="110"/>
      <c r="N131" s="110"/>
      <c r="O131" s="110"/>
      <c r="P131" s="110"/>
      <c r="Q131" s="110"/>
      <c r="R131" s="110"/>
      <c r="S131" s="110"/>
      <c r="T131" s="110"/>
      <c r="U131" s="110"/>
      <c r="V131" s="110"/>
      <c r="W131" s="110"/>
      <c r="X131" s="110"/>
      <c r="Y131" s="110"/>
      <c r="Z131" s="110"/>
      <c r="AA131" s="110"/>
      <c r="AB131" s="110"/>
      <c r="AC131" s="110"/>
      <c r="AD131" s="110"/>
      <c r="AE131" s="110"/>
      <c r="AF131" s="110"/>
      <c r="AG131" s="110"/>
      <c r="AH131" s="110"/>
    </row>
    <row r="132">
      <c r="A132" s="110"/>
      <c r="B132" s="110"/>
      <c r="C132" s="110"/>
      <c r="D132" s="110"/>
      <c r="E132" s="110"/>
      <c r="F132" s="110"/>
      <c r="G132" s="110"/>
      <c r="H132" s="110"/>
      <c r="I132" s="110"/>
      <c r="J132" s="110"/>
      <c r="K132" s="110"/>
      <c r="L132" s="110"/>
      <c r="M132" s="110"/>
      <c r="N132" s="110"/>
      <c r="O132" s="110"/>
      <c r="P132" s="110"/>
      <c r="Q132" s="110"/>
      <c r="R132" s="110"/>
      <c r="S132" s="110"/>
      <c r="T132" s="110"/>
      <c r="U132" s="110"/>
      <c r="V132" s="110"/>
      <c r="W132" s="110"/>
      <c r="X132" s="110"/>
      <c r="Y132" s="110"/>
      <c r="Z132" s="110"/>
      <c r="AA132" s="110"/>
      <c r="AB132" s="110"/>
      <c r="AC132" s="110"/>
      <c r="AD132" s="110"/>
      <c r="AE132" s="110"/>
      <c r="AF132" s="110"/>
      <c r="AG132" s="110"/>
      <c r="AH132" s="110"/>
    </row>
    <row r="133">
      <c r="A133" s="110"/>
      <c r="B133" s="110"/>
      <c r="C133" s="110"/>
      <c r="D133" s="110"/>
      <c r="E133" s="110"/>
      <c r="F133" s="110"/>
      <c r="G133" s="110"/>
      <c r="H133" s="110"/>
      <c r="I133" s="110"/>
      <c r="J133" s="110"/>
      <c r="K133" s="110"/>
      <c r="L133" s="110"/>
      <c r="M133" s="110"/>
      <c r="N133" s="110"/>
      <c r="O133" s="110"/>
      <c r="P133" s="110"/>
      <c r="Q133" s="110"/>
      <c r="R133" s="110"/>
      <c r="S133" s="110"/>
      <c r="T133" s="110"/>
      <c r="U133" s="110"/>
      <c r="V133" s="110"/>
      <c r="W133" s="110"/>
      <c r="X133" s="110"/>
      <c r="Y133" s="110"/>
      <c r="Z133" s="110"/>
      <c r="AA133" s="110"/>
      <c r="AB133" s="110"/>
      <c r="AC133" s="110"/>
      <c r="AD133" s="110"/>
      <c r="AE133" s="110"/>
      <c r="AF133" s="110"/>
      <c r="AG133" s="110"/>
      <c r="AH133" s="110"/>
    </row>
    <row r="134">
      <c r="A134" s="110"/>
      <c r="B134" s="110"/>
      <c r="C134" s="110"/>
      <c r="D134" s="110"/>
      <c r="E134" s="110"/>
      <c r="F134" s="110"/>
      <c r="G134" s="110"/>
      <c r="H134" s="110"/>
      <c r="I134" s="110"/>
      <c r="J134" s="110"/>
      <c r="K134" s="110"/>
      <c r="L134" s="110"/>
      <c r="M134" s="110"/>
      <c r="N134" s="110"/>
      <c r="O134" s="110"/>
      <c r="P134" s="110"/>
      <c r="Q134" s="110"/>
      <c r="R134" s="110"/>
      <c r="S134" s="110"/>
      <c r="T134" s="110"/>
      <c r="U134" s="110"/>
      <c r="V134" s="110"/>
      <c r="W134" s="110"/>
      <c r="X134" s="110"/>
      <c r="Y134" s="110"/>
      <c r="Z134" s="110"/>
      <c r="AA134" s="110"/>
      <c r="AB134" s="110"/>
      <c r="AC134" s="110"/>
      <c r="AD134" s="110"/>
      <c r="AE134" s="110"/>
      <c r="AF134" s="110"/>
      <c r="AG134" s="110"/>
      <c r="AH134" s="110"/>
    </row>
    <row r="135">
      <c r="A135" s="110"/>
      <c r="B135" s="110"/>
      <c r="C135" s="110"/>
      <c r="D135" s="110"/>
      <c r="E135" s="110"/>
      <c r="F135" s="110"/>
      <c r="G135" s="110"/>
      <c r="H135" s="110"/>
      <c r="I135" s="110"/>
      <c r="J135" s="110"/>
      <c r="K135" s="110"/>
      <c r="L135" s="110"/>
      <c r="M135" s="110"/>
      <c r="N135" s="110"/>
      <c r="O135" s="110"/>
      <c r="P135" s="110"/>
      <c r="Q135" s="110"/>
      <c r="R135" s="110"/>
      <c r="S135" s="110"/>
      <c r="T135" s="110"/>
      <c r="U135" s="110"/>
      <c r="V135" s="110"/>
      <c r="W135" s="110"/>
      <c r="X135" s="110"/>
      <c r="Y135" s="110"/>
      <c r="Z135" s="110"/>
      <c r="AA135" s="110"/>
      <c r="AB135" s="110"/>
      <c r="AC135" s="110"/>
      <c r="AD135" s="110"/>
      <c r="AE135" s="110"/>
      <c r="AF135" s="110"/>
      <c r="AG135" s="110"/>
      <c r="AH135" s="110"/>
    </row>
    <row r="136">
      <c r="A136" s="110"/>
      <c r="B136" s="110"/>
      <c r="C136" s="110"/>
      <c r="D136" s="110"/>
      <c r="E136" s="110"/>
      <c r="F136" s="110"/>
      <c r="G136" s="110"/>
      <c r="H136" s="110"/>
      <c r="I136" s="110"/>
      <c r="J136" s="110"/>
      <c r="K136" s="110"/>
      <c r="L136" s="110"/>
      <c r="M136" s="110"/>
      <c r="N136" s="110"/>
      <c r="O136" s="110"/>
      <c r="P136" s="110"/>
      <c r="Q136" s="110"/>
      <c r="R136" s="110"/>
      <c r="S136" s="110"/>
      <c r="T136" s="110"/>
      <c r="U136" s="110"/>
      <c r="V136" s="110"/>
      <c r="W136" s="110"/>
      <c r="X136" s="110"/>
      <c r="Y136" s="110"/>
      <c r="Z136" s="110"/>
      <c r="AA136" s="110"/>
      <c r="AB136" s="110"/>
      <c r="AC136" s="110"/>
      <c r="AD136" s="110"/>
      <c r="AE136" s="110"/>
      <c r="AF136" s="110"/>
      <c r="AG136" s="110"/>
      <c r="AH136" s="110"/>
    </row>
    <row r="137">
      <c r="A137" s="110"/>
      <c r="B137" s="110"/>
      <c r="C137" s="110"/>
      <c r="D137" s="110"/>
      <c r="E137" s="110"/>
      <c r="F137" s="110"/>
      <c r="G137" s="110"/>
      <c r="H137" s="110"/>
      <c r="I137" s="110"/>
      <c r="J137" s="110"/>
      <c r="K137" s="110"/>
      <c r="L137" s="110"/>
      <c r="M137" s="110"/>
      <c r="N137" s="110"/>
      <c r="O137" s="110"/>
      <c r="P137" s="110"/>
      <c r="Q137" s="110"/>
      <c r="R137" s="110"/>
      <c r="S137" s="110"/>
      <c r="T137" s="110"/>
      <c r="U137" s="110"/>
      <c r="V137" s="110"/>
      <c r="W137" s="110"/>
      <c r="X137" s="110"/>
      <c r="Y137" s="110"/>
      <c r="Z137" s="110"/>
      <c r="AA137" s="110"/>
      <c r="AB137" s="110"/>
      <c r="AC137" s="110"/>
      <c r="AD137" s="110"/>
      <c r="AE137" s="110"/>
      <c r="AF137" s="110"/>
      <c r="AG137" s="110"/>
      <c r="AH137" s="110"/>
    </row>
    <row r="138">
      <c r="A138" s="110"/>
      <c r="B138" s="110"/>
      <c r="C138" s="110"/>
      <c r="D138" s="110"/>
      <c r="E138" s="110"/>
      <c r="F138" s="110"/>
      <c r="G138" s="110"/>
      <c r="H138" s="110"/>
      <c r="I138" s="110"/>
      <c r="J138" s="110"/>
      <c r="K138" s="110"/>
      <c r="L138" s="110"/>
      <c r="M138" s="110"/>
      <c r="N138" s="110"/>
      <c r="O138" s="110"/>
      <c r="P138" s="110"/>
      <c r="Q138" s="110"/>
      <c r="R138" s="110"/>
      <c r="S138" s="110"/>
      <c r="T138" s="110"/>
      <c r="U138" s="110"/>
      <c r="V138" s="110"/>
      <c r="W138" s="110"/>
      <c r="X138" s="110"/>
      <c r="Y138" s="110"/>
      <c r="Z138" s="110"/>
      <c r="AA138" s="110"/>
      <c r="AB138" s="110"/>
      <c r="AC138" s="110"/>
      <c r="AD138" s="110"/>
      <c r="AE138" s="110"/>
      <c r="AF138" s="110"/>
      <c r="AG138" s="110"/>
      <c r="AH138" s="110"/>
    </row>
    <row r="139">
      <c r="A139" s="110"/>
      <c r="B139" s="110"/>
      <c r="C139" s="110"/>
      <c r="D139" s="110"/>
      <c r="E139" s="110"/>
      <c r="F139" s="110"/>
      <c r="G139" s="110"/>
      <c r="H139" s="110"/>
      <c r="I139" s="110"/>
      <c r="J139" s="110"/>
      <c r="K139" s="110"/>
      <c r="L139" s="110"/>
      <c r="M139" s="110"/>
      <c r="N139" s="110"/>
      <c r="O139" s="110"/>
      <c r="P139" s="110"/>
      <c r="Q139" s="110"/>
      <c r="R139" s="110"/>
      <c r="S139" s="110"/>
      <c r="T139" s="110"/>
      <c r="U139" s="110"/>
      <c r="V139" s="110"/>
      <c r="W139" s="110"/>
      <c r="X139" s="110"/>
      <c r="Y139" s="110"/>
      <c r="Z139" s="110"/>
      <c r="AA139" s="110"/>
      <c r="AB139" s="110"/>
      <c r="AC139" s="110"/>
      <c r="AD139" s="110"/>
      <c r="AE139" s="110"/>
      <c r="AF139" s="110"/>
      <c r="AG139" s="110"/>
      <c r="AH139" s="110"/>
    </row>
    <row r="140">
      <c r="A140" s="110"/>
      <c r="B140" s="110"/>
      <c r="C140" s="110"/>
      <c r="D140" s="110"/>
      <c r="E140" s="110"/>
      <c r="F140" s="110"/>
      <c r="G140" s="110"/>
      <c r="H140" s="110"/>
      <c r="I140" s="110"/>
      <c r="J140" s="110"/>
      <c r="K140" s="110"/>
      <c r="L140" s="110"/>
      <c r="M140" s="110"/>
      <c r="N140" s="110"/>
      <c r="O140" s="110"/>
      <c r="P140" s="110"/>
      <c r="Q140" s="110"/>
      <c r="R140" s="110"/>
      <c r="S140" s="110"/>
      <c r="T140" s="110"/>
      <c r="U140" s="110"/>
      <c r="V140" s="110"/>
      <c r="W140" s="110"/>
      <c r="X140" s="110"/>
      <c r="Y140" s="110"/>
      <c r="Z140" s="110"/>
      <c r="AA140" s="110"/>
      <c r="AB140" s="110"/>
      <c r="AC140" s="110"/>
      <c r="AD140" s="110"/>
      <c r="AE140" s="110"/>
      <c r="AF140" s="110"/>
      <c r="AG140" s="110"/>
      <c r="AH140" s="110"/>
    </row>
    <row r="141">
      <c r="A141" s="110"/>
      <c r="B141" s="110"/>
      <c r="C141" s="110"/>
      <c r="D141" s="110"/>
      <c r="E141" s="110"/>
      <c r="F141" s="110"/>
      <c r="G141" s="110"/>
      <c r="H141" s="110"/>
      <c r="I141" s="110"/>
      <c r="J141" s="110"/>
      <c r="K141" s="110"/>
      <c r="L141" s="110"/>
      <c r="M141" s="110"/>
      <c r="N141" s="110"/>
      <c r="O141" s="110"/>
      <c r="P141" s="110"/>
      <c r="Q141" s="110"/>
      <c r="R141" s="110"/>
      <c r="S141" s="110"/>
      <c r="T141" s="110"/>
      <c r="U141" s="110"/>
      <c r="V141" s="110"/>
      <c r="W141" s="110"/>
      <c r="X141" s="110"/>
      <c r="Y141" s="110"/>
      <c r="Z141" s="110"/>
      <c r="AA141" s="110"/>
      <c r="AB141" s="110"/>
      <c r="AC141" s="110"/>
      <c r="AD141" s="110"/>
      <c r="AE141" s="110"/>
      <c r="AF141" s="110"/>
      <c r="AG141" s="110"/>
      <c r="AH141" s="110"/>
    </row>
    <row r="142">
      <c r="A142" s="110"/>
      <c r="B142" s="110"/>
      <c r="C142" s="110"/>
      <c r="D142" s="110"/>
      <c r="E142" s="110"/>
      <c r="F142" s="110"/>
      <c r="G142" s="110"/>
      <c r="H142" s="110"/>
      <c r="I142" s="110"/>
      <c r="J142" s="110"/>
      <c r="K142" s="110"/>
      <c r="L142" s="110"/>
      <c r="M142" s="110"/>
      <c r="N142" s="110"/>
      <c r="O142" s="110"/>
      <c r="P142" s="110"/>
      <c r="Q142" s="110"/>
      <c r="R142" s="110"/>
      <c r="S142" s="110"/>
      <c r="T142" s="110"/>
      <c r="U142" s="110"/>
      <c r="V142" s="110"/>
      <c r="W142" s="110"/>
      <c r="X142" s="110"/>
      <c r="Y142" s="110"/>
      <c r="Z142" s="110"/>
      <c r="AA142" s="110"/>
      <c r="AB142" s="110"/>
      <c r="AC142" s="110"/>
      <c r="AD142" s="110"/>
      <c r="AE142" s="110"/>
      <c r="AF142" s="110"/>
      <c r="AG142" s="110"/>
      <c r="AH142" s="110"/>
    </row>
    <row r="143">
      <c r="A143" s="110"/>
      <c r="B143" s="110"/>
      <c r="C143" s="110"/>
      <c r="D143" s="110"/>
      <c r="E143" s="110"/>
      <c r="F143" s="110"/>
      <c r="G143" s="110"/>
      <c r="H143" s="110"/>
      <c r="I143" s="110"/>
      <c r="J143" s="110"/>
      <c r="K143" s="110"/>
      <c r="L143" s="110"/>
      <c r="M143" s="110"/>
      <c r="N143" s="110"/>
      <c r="O143" s="110"/>
      <c r="P143" s="110"/>
      <c r="Q143" s="110"/>
      <c r="R143" s="110"/>
      <c r="S143" s="110"/>
      <c r="T143" s="110"/>
      <c r="U143" s="110"/>
      <c r="V143" s="110"/>
      <c r="W143" s="110"/>
      <c r="X143" s="110"/>
      <c r="Y143" s="110"/>
      <c r="Z143" s="110"/>
      <c r="AA143" s="110"/>
      <c r="AB143" s="110"/>
      <c r="AC143" s="110"/>
      <c r="AD143" s="110"/>
      <c r="AE143" s="110"/>
      <c r="AF143" s="110"/>
      <c r="AG143" s="110"/>
      <c r="AH143" s="110"/>
    </row>
    <row r="144">
      <c r="A144" s="110"/>
      <c r="B144" s="110"/>
      <c r="C144" s="110"/>
      <c r="D144" s="110"/>
      <c r="E144" s="110"/>
      <c r="F144" s="110"/>
      <c r="G144" s="110"/>
      <c r="H144" s="110"/>
      <c r="I144" s="110"/>
      <c r="J144" s="110"/>
      <c r="K144" s="110"/>
      <c r="L144" s="110"/>
      <c r="M144" s="110"/>
      <c r="N144" s="110"/>
      <c r="O144" s="110"/>
      <c r="P144" s="110"/>
      <c r="Q144" s="110"/>
      <c r="R144" s="110"/>
      <c r="S144" s="110"/>
      <c r="T144" s="110"/>
      <c r="U144" s="110"/>
      <c r="V144" s="110"/>
      <c r="W144" s="110"/>
      <c r="X144" s="110"/>
      <c r="Y144" s="110"/>
      <c r="Z144" s="110"/>
      <c r="AA144" s="110"/>
      <c r="AB144" s="110"/>
      <c r="AC144" s="110"/>
      <c r="AD144" s="110"/>
      <c r="AE144" s="110"/>
      <c r="AF144" s="110"/>
      <c r="AG144" s="110"/>
      <c r="AH144" s="110"/>
    </row>
    <row r="145">
      <c r="A145" s="110"/>
      <c r="B145" s="110"/>
      <c r="C145" s="110"/>
      <c r="D145" s="110"/>
      <c r="E145" s="110"/>
      <c r="F145" s="110"/>
      <c r="G145" s="110"/>
      <c r="H145" s="110"/>
      <c r="I145" s="110"/>
      <c r="J145" s="110"/>
      <c r="K145" s="110"/>
      <c r="L145" s="110"/>
      <c r="M145" s="110"/>
      <c r="N145" s="110"/>
      <c r="O145" s="110"/>
      <c r="P145" s="110"/>
      <c r="Q145" s="110"/>
      <c r="R145" s="110"/>
      <c r="S145" s="110"/>
      <c r="T145" s="110"/>
      <c r="U145" s="110"/>
      <c r="V145" s="110"/>
      <c r="W145" s="110"/>
      <c r="X145" s="110"/>
      <c r="Y145" s="110"/>
      <c r="Z145" s="110"/>
      <c r="AA145" s="110"/>
      <c r="AB145" s="110"/>
      <c r="AC145" s="110"/>
      <c r="AD145" s="110"/>
      <c r="AE145" s="110"/>
      <c r="AF145" s="110"/>
      <c r="AG145" s="110"/>
      <c r="AH145" s="110"/>
    </row>
    <row r="146">
      <c r="A146" s="110"/>
      <c r="B146" s="110"/>
      <c r="C146" s="110"/>
      <c r="D146" s="110"/>
      <c r="E146" s="110"/>
      <c r="F146" s="110"/>
      <c r="G146" s="110"/>
      <c r="H146" s="110"/>
      <c r="I146" s="110"/>
      <c r="J146" s="110"/>
      <c r="K146" s="110"/>
      <c r="L146" s="110"/>
      <c r="M146" s="110"/>
      <c r="N146" s="110"/>
      <c r="O146" s="110"/>
      <c r="P146" s="110"/>
      <c r="Q146" s="110"/>
      <c r="R146" s="110"/>
      <c r="S146" s="110"/>
      <c r="T146" s="110"/>
      <c r="U146" s="110"/>
      <c r="V146" s="110"/>
      <c r="W146" s="110"/>
      <c r="X146" s="110"/>
      <c r="Y146" s="110"/>
      <c r="Z146" s="110"/>
      <c r="AA146" s="110"/>
      <c r="AB146" s="110"/>
      <c r="AC146" s="110"/>
      <c r="AD146" s="110"/>
      <c r="AE146" s="110"/>
      <c r="AF146" s="110"/>
      <c r="AG146" s="110"/>
      <c r="AH146" s="110"/>
    </row>
    <row r="147">
      <c r="A147" s="110"/>
      <c r="B147" s="110"/>
      <c r="C147" s="110"/>
      <c r="D147" s="110"/>
      <c r="E147" s="110"/>
      <c r="F147" s="110"/>
      <c r="G147" s="110"/>
      <c r="H147" s="110"/>
      <c r="I147" s="110"/>
      <c r="J147" s="110"/>
      <c r="K147" s="110"/>
      <c r="L147" s="110"/>
      <c r="M147" s="110"/>
      <c r="N147" s="110"/>
      <c r="O147" s="110"/>
      <c r="P147" s="110"/>
      <c r="Q147" s="110"/>
      <c r="R147" s="110"/>
      <c r="S147" s="110"/>
      <c r="T147" s="110"/>
      <c r="U147" s="110"/>
      <c r="V147" s="110"/>
      <c r="W147" s="110"/>
      <c r="X147" s="110"/>
      <c r="Y147" s="110"/>
      <c r="Z147" s="110"/>
      <c r="AA147" s="110"/>
      <c r="AB147" s="110"/>
      <c r="AC147" s="110"/>
      <c r="AD147" s="110"/>
      <c r="AE147" s="110"/>
      <c r="AF147" s="110"/>
      <c r="AG147" s="110"/>
      <c r="AH147" s="110"/>
    </row>
    <row r="148">
      <c r="A148" s="110"/>
      <c r="B148" s="110"/>
      <c r="C148" s="110"/>
      <c r="D148" s="110"/>
      <c r="E148" s="110"/>
      <c r="F148" s="110"/>
      <c r="G148" s="110"/>
      <c r="H148" s="110"/>
      <c r="I148" s="110"/>
      <c r="J148" s="110"/>
      <c r="K148" s="110"/>
      <c r="L148" s="110"/>
      <c r="M148" s="110"/>
      <c r="N148" s="110"/>
      <c r="O148" s="110"/>
      <c r="P148" s="110"/>
      <c r="Q148" s="110"/>
      <c r="R148" s="110"/>
      <c r="S148" s="110"/>
      <c r="T148" s="110"/>
      <c r="U148" s="110"/>
      <c r="V148" s="110"/>
      <c r="W148" s="110"/>
      <c r="X148" s="110"/>
      <c r="Y148" s="110"/>
      <c r="Z148" s="110"/>
      <c r="AA148" s="110"/>
      <c r="AB148" s="110"/>
      <c r="AC148" s="110"/>
      <c r="AD148" s="110"/>
      <c r="AE148" s="110"/>
      <c r="AF148" s="110"/>
      <c r="AG148" s="110"/>
      <c r="AH148" s="110"/>
    </row>
    <row r="149">
      <c r="A149" s="110"/>
      <c r="B149" s="110"/>
      <c r="C149" s="110"/>
      <c r="D149" s="110"/>
      <c r="E149" s="110"/>
      <c r="F149" s="110"/>
      <c r="G149" s="110"/>
      <c r="H149" s="110"/>
      <c r="I149" s="110"/>
      <c r="J149" s="110"/>
      <c r="K149" s="110"/>
      <c r="L149" s="110"/>
      <c r="M149" s="110"/>
      <c r="N149" s="110"/>
      <c r="O149" s="110"/>
      <c r="P149" s="110"/>
      <c r="Q149" s="110"/>
      <c r="R149" s="110"/>
      <c r="S149" s="110"/>
      <c r="T149" s="110"/>
      <c r="U149" s="110"/>
      <c r="V149" s="110"/>
      <c r="W149" s="110"/>
      <c r="X149" s="110"/>
      <c r="Y149" s="110"/>
      <c r="Z149" s="110"/>
      <c r="AA149" s="110"/>
      <c r="AB149" s="110"/>
      <c r="AC149" s="110"/>
      <c r="AD149" s="110"/>
      <c r="AE149" s="110"/>
      <c r="AF149" s="110"/>
      <c r="AG149" s="110"/>
      <c r="AH149" s="110"/>
    </row>
    <row r="150">
      <c r="A150" s="110"/>
      <c r="B150" s="110"/>
      <c r="C150" s="110"/>
      <c r="D150" s="110"/>
      <c r="E150" s="110"/>
      <c r="F150" s="110"/>
      <c r="G150" s="110"/>
      <c r="H150" s="110"/>
      <c r="I150" s="110"/>
      <c r="J150" s="110"/>
      <c r="K150" s="110"/>
      <c r="L150" s="110"/>
      <c r="M150" s="110"/>
      <c r="N150" s="110"/>
      <c r="O150" s="110"/>
      <c r="P150" s="110"/>
      <c r="Q150" s="110"/>
      <c r="R150" s="110"/>
      <c r="S150" s="110"/>
      <c r="T150" s="110"/>
      <c r="U150" s="110"/>
      <c r="V150" s="110"/>
      <c r="W150" s="110"/>
      <c r="X150" s="110"/>
      <c r="Y150" s="110"/>
      <c r="Z150" s="110"/>
      <c r="AA150" s="110"/>
      <c r="AB150" s="110"/>
      <c r="AC150" s="110"/>
      <c r="AD150" s="110"/>
      <c r="AE150" s="110"/>
      <c r="AF150" s="110"/>
      <c r="AG150" s="110"/>
      <c r="AH150" s="110"/>
    </row>
    <row r="151">
      <c r="A151" s="110"/>
      <c r="B151" s="110"/>
      <c r="C151" s="110"/>
      <c r="D151" s="110"/>
      <c r="E151" s="110"/>
      <c r="F151" s="110"/>
      <c r="G151" s="110"/>
      <c r="H151" s="110"/>
      <c r="I151" s="110"/>
      <c r="J151" s="110"/>
      <c r="K151" s="110"/>
      <c r="L151" s="110"/>
      <c r="M151" s="110"/>
      <c r="N151" s="110"/>
      <c r="O151" s="110"/>
      <c r="P151" s="110"/>
      <c r="Q151" s="110"/>
      <c r="R151" s="110"/>
      <c r="S151" s="110"/>
      <c r="T151" s="110"/>
      <c r="U151" s="110"/>
      <c r="V151" s="110"/>
      <c r="W151" s="110"/>
      <c r="X151" s="110"/>
      <c r="Y151" s="110"/>
      <c r="Z151" s="110"/>
      <c r="AA151" s="110"/>
      <c r="AB151" s="110"/>
      <c r="AC151" s="110"/>
      <c r="AD151" s="110"/>
      <c r="AE151" s="110"/>
      <c r="AF151" s="110"/>
      <c r="AG151" s="110"/>
      <c r="AH151" s="110"/>
    </row>
    <row r="152">
      <c r="A152" s="110"/>
      <c r="B152" s="110"/>
      <c r="C152" s="110"/>
      <c r="D152" s="110"/>
      <c r="E152" s="110"/>
      <c r="F152" s="110"/>
      <c r="G152" s="110"/>
      <c r="H152" s="110"/>
      <c r="I152" s="110"/>
      <c r="J152" s="110"/>
      <c r="K152" s="110"/>
      <c r="L152" s="110"/>
      <c r="M152" s="110"/>
      <c r="N152" s="110"/>
      <c r="O152" s="110"/>
      <c r="P152" s="110"/>
      <c r="Q152" s="110"/>
      <c r="R152" s="110"/>
      <c r="S152" s="110"/>
      <c r="T152" s="110"/>
      <c r="U152" s="110"/>
      <c r="V152" s="110"/>
      <c r="W152" s="110"/>
      <c r="X152" s="110"/>
      <c r="Y152" s="110"/>
      <c r="Z152" s="110"/>
      <c r="AA152" s="110"/>
      <c r="AB152" s="110"/>
      <c r="AC152" s="110"/>
      <c r="AD152" s="110"/>
      <c r="AE152" s="110"/>
      <c r="AF152" s="110"/>
      <c r="AG152" s="110"/>
      <c r="AH152" s="110"/>
    </row>
    <row r="153">
      <c r="A153" s="110"/>
      <c r="B153" s="110"/>
      <c r="C153" s="110"/>
      <c r="D153" s="110"/>
      <c r="E153" s="110"/>
      <c r="F153" s="110"/>
      <c r="G153" s="110"/>
      <c r="H153" s="110"/>
      <c r="I153" s="110"/>
      <c r="J153" s="110"/>
      <c r="K153" s="110"/>
      <c r="L153" s="110"/>
      <c r="M153" s="110"/>
      <c r="N153" s="110"/>
      <c r="O153" s="110"/>
      <c r="P153" s="110"/>
      <c r="Q153" s="110"/>
      <c r="R153" s="110"/>
      <c r="S153" s="110"/>
      <c r="T153" s="110"/>
      <c r="U153" s="110"/>
      <c r="V153" s="110"/>
      <c r="W153" s="110"/>
      <c r="X153" s="110"/>
      <c r="Y153" s="110"/>
      <c r="Z153" s="110"/>
      <c r="AA153" s="110"/>
      <c r="AB153" s="110"/>
      <c r="AC153" s="110"/>
      <c r="AD153" s="110"/>
      <c r="AE153" s="110"/>
      <c r="AF153" s="110"/>
      <c r="AG153" s="110"/>
      <c r="AH153" s="110"/>
    </row>
    <row r="154">
      <c r="A154" s="110"/>
      <c r="B154" s="110"/>
      <c r="C154" s="110"/>
      <c r="D154" s="110"/>
      <c r="E154" s="110"/>
      <c r="F154" s="110"/>
      <c r="G154" s="110"/>
      <c r="H154" s="110"/>
      <c r="I154" s="110"/>
      <c r="J154" s="110"/>
      <c r="K154" s="110"/>
      <c r="L154" s="110"/>
      <c r="M154" s="110"/>
      <c r="N154" s="110"/>
      <c r="O154" s="110"/>
      <c r="P154" s="110"/>
      <c r="Q154" s="110"/>
      <c r="R154" s="110"/>
      <c r="S154" s="110"/>
      <c r="T154" s="110"/>
      <c r="U154" s="110"/>
      <c r="V154" s="110"/>
      <c r="W154" s="110"/>
      <c r="X154" s="110"/>
      <c r="Y154" s="110"/>
      <c r="Z154" s="110"/>
      <c r="AA154" s="110"/>
      <c r="AB154" s="110"/>
      <c r="AC154" s="110"/>
      <c r="AD154" s="110"/>
      <c r="AE154" s="110"/>
      <c r="AF154" s="110"/>
      <c r="AG154" s="110"/>
      <c r="AH154" s="110"/>
    </row>
    <row r="155">
      <c r="A155" s="110"/>
      <c r="B155" s="110"/>
      <c r="C155" s="110"/>
      <c r="D155" s="110"/>
      <c r="E155" s="110"/>
      <c r="F155" s="110"/>
      <c r="G155" s="110"/>
      <c r="H155" s="110"/>
      <c r="I155" s="110"/>
      <c r="J155" s="110"/>
      <c r="K155" s="110"/>
      <c r="L155" s="110"/>
      <c r="M155" s="110"/>
      <c r="N155" s="110"/>
      <c r="O155" s="110"/>
      <c r="P155" s="110"/>
      <c r="Q155" s="110"/>
      <c r="R155" s="110"/>
      <c r="S155" s="110"/>
      <c r="T155" s="110"/>
      <c r="U155" s="110"/>
      <c r="V155" s="110"/>
      <c r="W155" s="110"/>
      <c r="X155" s="110"/>
      <c r="Y155" s="110"/>
      <c r="Z155" s="110"/>
      <c r="AA155" s="110"/>
      <c r="AB155" s="110"/>
      <c r="AC155" s="110"/>
      <c r="AD155" s="110"/>
      <c r="AE155" s="110"/>
      <c r="AF155" s="110"/>
      <c r="AG155" s="110"/>
      <c r="AH155" s="110"/>
    </row>
    <row r="156">
      <c r="A156" s="110"/>
      <c r="B156" s="110"/>
      <c r="C156" s="110"/>
      <c r="D156" s="110"/>
      <c r="E156" s="110"/>
      <c r="F156" s="110"/>
      <c r="G156" s="110"/>
      <c r="H156" s="110"/>
      <c r="I156" s="110"/>
      <c r="J156" s="110"/>
      <c r="K156" s="110"/>
      <c r="L156" s="110"/>
      <c r="M156" s="110"/>
      <c r="N156" s="110"/>
      <c r="O156" s="110"/>
      <c r="P156" s="110"/>
      <c r="Q156" s="110"/>
      <c r="R156" s="110"/>
      <c r="S156" s="110"/>
      <c r="T156" s="110"/>
      <c r="U156" s="110"/>
      <c r="V156" s="110"/>
      <c r="W156" s="110"/>
      <c r="X156" s="110"/>
      <c r="Y156" s="110"/>
      <c r="Z156" s="110"/>
      <c r="AA156" s="110"/>
      <c r="AB156" s="110"/>
      <c r="AC156" s="110"/>
      <c r="AD156" s="110"/>
      <c r="AE156" s="110"/>
      <c r="AF156" s="110"/>
      <c r="AG156" s="110"/>
      <c r="AH156" s="110"/>
    </row>
    <row r="157">
      <c r="A157" s="110"/>
      <c r="B157" s="110"/>
      <c r="C157" s="110"/>
      <c r="D157" s="110"/>
      <c r="E157" s="110"/>
      <c r="F157" s="110"/>
      <c r="G157" s="110"/>
      <c r="H157" s="110"/>
      <c r="I157" s="110"/>
      <c r="J157" s="110"/>
      <c r="K157" s="110"/>
      <c r="L157" s="110"/>
      <c r="M157" s="110"/>
      <c r="N157" s="110"/>
      <c r="O157" s="110"/>
      <c r="P157" s="110"/>
      <c r="Q157" s="110"/>
      <c r="R157" s="110"/>
      <c r="S157" s="110"/>
      <c r="T157" s="110"/>
      <c r="U157" s="110"/>
      <c r="V157" s="110"/>
      <c r="W157" s="110"/>
      <c r="X157" s="110"/>
      <c r="Y157" s="110"/>
      <c r="Z157" s="110"/>
      <c r="AA157" s="110"/>
      <c r="AB157" s="110"/>
      <c r="AC157" s="110"/>
      <c r="AD157" s="110"/>
      <c r="AE157" s="110"/>
      <c r="AF157" s="110"/>
      <c r="AG157" s="110"/>
      <c r="AH157" s="110"/>
    </row>
    <row r="158">
      <c r="A158" s="110"/>
      <c r="B158" s="110"/>
      <c r="C158" s="110"/>
      <c r="D158" s="110"/>
      <c r="E158" s="110"/>
      <c r="F158" s="110"/>
      <c r="G158" s="110"/>
      <c r="H158" s="110"/>
      <c r="I158" s="110"/>
      <c r="J158" s="110"/>
      <c r="K158" s="110"/>
      <c r="L158" s="110"/>
      <c r="M158" s="110"/>
      <c r="N158" s="110"/>
      <c r="O158" s="110"/>
      <c r="P158" s="110"/>
      <c r="Q158" s="110"/>
      <c r="R158" s="110"/>
      <c r="S158" s="110"/>
      <c r="T158" s="110"/>
      <c r="U158" s="110"/>
      <c r="V158" s="110"/>
      <c r="W158" s="110"/>
      <c r="X158" s="110"/>
      <c r="Y158" s="110"/>
      <c r="Z158" s="110"/>
      <c r="AA158" s="110"/>
      <c r="AB158" s="110"/>
      <c r="AC158" s="110"/>
      <c r="AD158" s="110"/>
      <c r="AE158" s="110"/>
      <c r="AF158" s="110"/>
      <c r="AG158" s="110"/>
      <c r="AH158" s="110"/>
    </row>
    <row r="159">
      <c r="A159" s="110"/>
      <c r="B159" s="110"/>
      <c r="C159" s="110"/>
      <c r="D159" s="110"/>
      <c r="E159" s="110"/>
      <c r="F159" s="110"/>
      <c r="G159" s="110"/>
      <c r="H159" s="110"/>
      <c r="I159" s="110"/>
      <c r="J159" s="110"/>
      <c r="K159" s="110"/>
      <c r="L159" s="110"/>
      <c r="M159" s="110"/>
      <c r="N159" s="110"/>
      <c r="O159" s="110"/>
      <c r="P159" s="110"/>
      <c r="Q159" s="110"/>
      <c r="R159" s="110"/>
      <c r="S159" s="110"/>
      <c r="T159" s="110"/>
      <c r="U159" s="110"/>
      <c r="V159" s="110"/>
      <c r="W159" s="110"/>
      <c r="X159" s="110"/>
      <c r="Y159" s="110"/>
      <c r="Z159" s="110"/>
      <c r="AA159" s="110"/>
      <c r="AB159" s="110"/>
      <c r="AC159" s="110"/>
      <c r="AD159" s="110"/>
      <c r="AE159" s="110"/>
      <c r="AF159" s="110"/>
      <c r="AG159" s="110"/>
      <c r="AH159" s="110"/>
    </row>
    <row r="160">
      <c r="A160" s="110"/>
      <c r="B160" s="110"/>
      <c r="C160" s="110"/>
      <c r="D160" s="110"/>
      <c r="E160" s="110"/>
      <c r="F160" s="110"/>
      <c r="G160" s="110"/>
      <c r="H160" s="110"/>
      <c r="I160" s="110"/>
      <c r="J160" s="110"/>
      <c r="K160" s="110"/>
      <c r="L160" s="110"/>
      <c r="M160" s="110"/>
      <c r="N160" s="110"/>
      <c r="O160" s="110"/>
      <c r="P160" s="110"/>
      <c r="Q160" s="110"/>
      <c r="R160" s="110"/>
      <c r="S160" s="110"/>
      <c r="T160" s="110"/>
      <c r="U160" s="110"/>
      <c r="V160" s="110"/>
      <c r="W160" s="110"/>
      <c r="X160" s="110"/>
      <c r="Y160" s="110"/>
      <c r="Z160" s="110"/>
      <c r="AA160" s="110"/>
      <c r="AB160" s="110"/>
      <c r="AC160" s="110"/>
      <c r="AD160" s="110"/>
      <c r="AE160" s="110"/>
      <c r="AF160" s="110"/>
      <c r="AG160" s="110"/>
      <c r="AH160" s="110"/>
    </row>
    <row r="161">
      <c r="A161" s="110"/>
      <c r="B161" s="110"/>
      <c r="C161" s="110"/>
      <c r="D161" s="110"/>
      <c r="E161" s="110"/>
      <c r="F161" s="110"/>
      <c r="G161" s="110"/>
      <c r="H161" s="110"/>
      <c r="I161" s="110"/>
      <c r="J161" s="110"/>
      <c r="K161" s="110"/>
      <c r="L161" s="110"/>
      <c r="M161" s="110"/>
      <c r="N161" s="110"/>
      <c r="O161" s="110"/>
      <c r="P161" s="110"/>
      <c r="Q161" s="110"/>
      <c r="R161" s="110"/>
      <c r="S161" s="110"/>
      <c r="T161" s="110"/>
      <c r="U161" s="110"/>
      <c r="V161" s="110"/>
      <c r="W161" s="110"/>
      <c r="X161" s="110"/>
      <c r="Y161" s="110"/>
      <c r="Z161" s="110"/>
      <c r="AA161" s="110"/>
      <c r="AB161" s="110"/>
      <c r="AC161" s="110"/>
      <c r="AD161" s="110"/>
      <c r="AE161" s="110"/>
      <c r="AF161" s="110"/>
      <c r="AG161" s="110"/>
      <c r="AH161" s="110"/>
    </row>
    <row r="162">
      <c r="A162" s="110"/>
      <c r="B162" s="110"/>
      <c r="C162" s="110"/>
      <c r="D162" s="110"/>
      <c r="E162" s="110"/>
      <c r="F162" s="110"/>
      <c r="G162" s="110"/>
      <c r="H162" s="110"/>
      <c r="I162" s="110"/>
      <c r="J162" s="110"/>
      <c r="K162" s="110"/>
      <c r="L162" s="110"/>
      <c r="M162" s="110"/>
      <c r="N162" s="110"/>
      <c r="O162" s="110"/>
      <c r="P162" s="110"/>
      <c r="Q162" s="110"/>
      <c r="R162" s="110"/>
      <c r="S162" s="110"/>
      <c r="T162" s="110"/>
      <c r="U162" s="110"/>
      <c r="V162" s="110"/>
      <c r="W162" s="110"/>
      <c r="X162" s="110"/>
      <c r="Y162" s="110"/>
      <c r="Z162" s="110"/>
      <c r="AA162" s="110"/>
      <c r="AB162" s="110"/>
      <c r="AC162" s="110"/>
      <c r="AD162" s="110"/>
      <c r="AE162" s="110"/>
      <c r="AF162" s="110"/>
      <c r="AG162" s="110"/>
      <c r="AH162" s="110"/>
    </row>
    <row r="163">
      <c r="A163" s="110"/>
      <c r="B163" s="110"/>
      <c r="C163" s="110"/>
      <c r="D163" s="110"/>
      <c r="E163" s="110"/>
      <c r="F163" s="110"/>
      <c r="G163" s="110"/>
      <c r="H163" s="110"/>
      <c r="I163" s="110"/>
      <c r="J163" s="110"/>
      <c r="K163" s="110"/>
      <c r="L163" s="110"/>
      <c r="M163" s="110"/>
      <c r="N163" s="110"/>
      <c r="O163" s="110"/>
      <c r="P163" s="110"/>
      <c r="Q163" s="110"/>
      <c r="R163" s="110"/>
      <c r="S163" s="110"/>
      <c r="T163" s="110"/>
      <c r="U163" s="110"/>
      <c r="V163" s="110"/>
      <c r="W163" s="110"/>
      <c r="X163" s="110"/>
      <c r="Y163" s="110"/>
      <c r="Z163" s="110"/>
      <c r="AA163" s="110"/>
      <c r="AB163" s="110"/>
      <c r="AC163" s="110"/>
      <c r="AD163" s="110"/>
      <c r="AE163" s="110"/>
      <c r="AF163" s="110"/>
      <c r="AG163" s="110"/>
      <c r="AH163" s="110"/>
    </row>
    <row r="164">
      <c r="A164" s="110"/>
      <c r="B164" s="110"/>
      <c r="C164" s="110"/>
      <c r="D164" s="110"/>
      <c r="E164" s="110"/>
      <c r="F164" s="110"/>
      <c r="G164" s="110"/>
      <c r="H164" s="110"/>
      <c r="I164" s="110"/>
      <c r="J164" s="110"/>
      <c r="K164" s="110"/>
      <c r="L164" s="110"/>
      <c r="M164" s="110"/>
      <c r="N164" s="110"/>
      <c r="O164" s="110"/>
      <c r="P164" s="110"/>
      <c r="Q164" s="110"/>
      <c r="R164" s="110"/>
      <c r="S164" s="110"/>
      <c r="T164" s="110"/>
      <c r="U164" s="110"/>
      <c r="V164" s="110"/>
      <c r="W164" s="110"/>
      <c r="X164" s="110"/>
      <c r="Y164" s="110"/>
      <c r="Z164" s="110"/>
      <c r="AA164" s="110"/>
      <c r="AB164" s="110"/>
      <c r="AC164" s="110"/>
      <c r="AD164" s="110"/>
      <c r="AE164" s="110"/>
      <c r="AF164" s="110"/>
      <c r="AG164" s="110"/>
      <c r="AH164" s="110"/>
    </row>
    <row r="165">
      <c r="A165" s="110"/>
      <c r="B165" s="110"/>
      <c r="C165" s="110"/>
      <c r="D165" s="110"/>
      <c r="E165" s="110"/>
      <c r="F165" s="110"/>
      <c r="G165" s="110"/>
      <c r="H165" s="110"/>
      <c r="I165" s="110"/>
      <c r="J165" s="110"/>
      <c r="K165" s="110"/>
      <c r="L165" s="110"/>
      <c r="M165" s="110"/>
      <c r="N165" s="110"/>
      <c r="O165" s="110"/>
      <c r="P165" s="110"/>
      <c r="Q165" s="110"/>
      <c r="R165" s="110"/>
      <c r="S165" s="110"/>
      <c r="T165" s="110"/>
      <c r="U165" s="110"/>
      <c r="V165" s="110"/>
      <c r="W165" s="110"/>
      <c r="X165" s="110"/>
      <c r="Y165" s="110"/>
      <c r="Z165" s="110"/>
      <c r="AA165" s="110"/>
      <c r="AB165" s="110"/>
      <c r="AC165" s="110"/>
      <c r="AD165" s="110"/>
      <c r="AE165" s="110"/>
      <c r="AF165" s="110"/>
      <c r="AG165" s="110"/>
      <c r="AH165" s="110"/>
    </row>
    <row r="166">
      <c r="A166" s="110"/>
      <c r="B166" s="110"/>
      <c r="C166" s="110"/>
      <c r="D166" s="110"/>
      <c r="E166" s="110"/>
      <c r="F166" s="110"/>
      <c r="G166" s="110"/>
      <c r="H166" s="110"/>
      <c r="I166" s="110"/>
      <c r="J166" s="110"/>
      <c r="K166" s="110"/>
      <c r="L166" s="110"/>
      <c r="M166" s="110"/>
      <c r="N166" s="110"/>
      <c r="O166" s="110"/>
      <c r="P166" s="110"/>
      <c r="Q166" s="110"/>
      <c r="R166" s="110"/>
      <c r="S166" s="110"/>
      <c r="T166" s="110"/>
      <c r="U166" s="110"/>
      <c r="V166" s="110"/>
      <c r="W166" s="110"/>
      <c r="X166" s="110"/>
      <c r="Y166" s="110"/>
      <c r="Z166" s="110"/>
      <c r="AA166" s="110"/>
      <c r="AB166" s="110"/>
      <c r="AC166" s="110"/>
      <c r="AD166" s="110"/>
      <c r="AE166" s="110"/>
      <c r="AF166" s="110"/>
      <c r="AG166" s="110"/>
      <c r="AH166" s="110"/>
    </row>
    <row r="167">
      <c r="A167" s="110"/>
      <c r="B167" s="110"/>
      <c r="C167" s="110"/>
      <c r="D167" s="110"/>
      <c r="E167" s="110"/>
      <c r="F167" s="110"/>
      <c r="G167" s="110"/>
      <c r="H167" s="110"/>
      <c r="I167" s="110"/>
      <c r="J167" s="110"/>
      <c r="K167" s="110"/>
      <c r="L167" s="110"/>
      <c r="M167" s="110"/>
      <c r="N167" s="110"/>
      <c r="O167" s="110"/>
      <c r="P167" s="110"/>
      <c r="Q167" s="110"/>
      <c r="R167" s="110"/>
      <c r="S167" s="110"/>
      <c r="T167" s="110"/>
      <c r="U167" s="110"/>
      <c r="V167" s="110"/>
      <c r="W167" s="110"/>
      <c r="X167" s="110"/>
      <c r="Y167" s="110"/>
      <c r="Z167" s="110"/>
      <c r="AA167" s="110"/>
      <c r="AB167" s="110"/>
      <c r="AC167" s="110"/>
      <c r="AD167" s="110"/>
      <c r="AE167" s="110"/>
      <c r="AF167" s="110"/>
      <c r="AG167" s="110"/>
      <c r="AH167" s="110"/>
    </row>
    <row r="168">
      <c r="A168" s="110"/>
      <c r="B168" s="110"/>
      <c r="C168" s="110"/>
      <c r="D168" s="110"/>
      <c r="E168" s="110"/>
      <c r="F168" s="110"/>
      <c r="G168" s="110"/>
      <c r="H168" s="110"/>
      <c r="I168" s="110"/>
      <c r="J168" s="110"/>
      <c r="K168" s="110"/>
      <c r="L168" s="110"/>
      <c r="M168" s="110"/>
      <c r="N168" s="110"/>
      <c r="O168" s="110"/>
      <c r="P168" s="110"/>
      <c r="Q168" s="110"/>
      <c r="R168" s="110"/>
      <c r="S168" s="110"/>
      <c r="T168" s="110"/>
      <c r="U168" s="110"/>
      <c r="V168" s="110"/>
      <c r="W168" s="110"/>
      <c r="X168" s="110"/>
      <c r="Y168" s="110"/>
      <c r="Z168" s="110"/>
      <c r="AA168" s="110"/>
      <c r="AB168" s="110"/>
      <c r="AC168" s="110"/>
      <c r="AD168" s="110"/>
      <c r="AE168" s="110"/>
      <c r="AF168" s="110"/>
      <c r="AG168" s="110"/>
      <c r="AH168" s="110"/>
    </row>
    <row r="169">
      <c r="A169" s="110"/>
      <c r="B169" s="110"/>
      <c r="C169" s="110"/>
      <c r="D169" s="110"/>
      <c r="E169" s="110"/>
      <c r="F169" s="110"/>
      <c r="G169" s="110"/>
      <c r="H169" s="110"/>
      <c r="I169" s="110"/>
      <c r="J169" s="110"/>
      <c r="K169" s="110"/>
      <c r="L169" s="110"/>
      <c r="M169" s="110"/>
      <c r="N169" s="110"/>
      <c r="O169" s="110"/>
      <c r="P169" s="110"/>
      <c r="Q169" s="110"/>
      <c r="R169" s="110"/>
      <c r="S169" s="110"/>
      <c r="T169" s="110"/>
      <c r="U169" s="110"/>
      <c r="V169" s="110"/>
      <c r="W169" s="110"/>
      <c r="X169" s="110"/>
      <c r="Y169" s="110"/>
      <c r="Z169" s="110"/>
      <c r="AA169" s="110"/>
      <c r="AB169" s="110"/>
      <c r="AC169" s="110"/>
      <c r="AD169" s="110"/>
      <c r="AE169" s="110"/>
      <c r="AF169" s="110"/>
      <c r="AG169" s="110"/>
      <c r="AH169" s="110"/>
    </row>
    <row r="170">
      <c r="A170" s="110"/>
      <c r="B170" s="110"/>
      <c r="C170" s="110"/>
      <c r="D170" s="110"/>
      <c r="E170" s="110"/>
      <c r="F170" s="110"/>
      <c r="G170" s="110"/>
      <c r="H170" s="110"/>
      <c r="I170" s="110"/>
      <c r="J170" s="110"/>
      <c r="K170" s="110"/>
      <c r="L170" s="110"/>
      <c r="M170" s="110"/>
      <c r="N170" s="110"/>
      <c r="O170" s="110"/>
      <c r="P170" s="110"/>
      <c r="Q170" s="110"/>
      <c r="R170" s="110"/>
      <c r="S170" s="110"/>
      <c r="T170" s="110"/>
      <c r="U170" s="110"/>
      <c r="V170" s="110"/>
      <c r="W170" s="110"/>
      <c r="X170" s="110"/>
      <c r="Y170" s="110"/>
      <c r="Z170" s="110"/>
      <c r="AA170" s="110"/>
      <c r="AB170" s="110"/>
      <c r="AC170" s="110"/>
      <c r="AD170" s="110"/>
      <c r="AE170" s="110"/>
      <c r="AF170" s="110"/>
      <c r="AG170" s="110"/>
      <c r="AH170" s="110"/>
    </row>
    <row r="171">
      <c r="A171" s="110"/>
      <c r="B171" s="110"/>
      <c r="C171" s="110"/>
      <c r="D171" s="110"/>
      <c r="E171" s="110"/>
      <c r="F171" s="110"/>
      <c r="G171" s="110"/>
      <c r="H171" s="110"/>
      <c r="I171" s="110"/>
      <c r="J171" s="110"/>
      <c r="K171" s="110"/>
      <c r="L171" s="110"/>
      <c r="M171" s="110"/>
      <c r="N171" s="110"/>
      <c r="O171" s="110"/>
      <c r="P171" s="110"/>
      <c r="Q171" s="110"/>
      <c r="R171" s="110"/>
      <c r="S171" s="110"/>
      <c r="T171" s="110"/>
      <c r="U171" s="110"/>
      <c r="V171" s="110"/>
      <c r="W171" s="110"/>
      <c r="X171" s="110"/>
      <c r="Y171" s="110"/>
      <c r="Z171" s="110"/>
      <c r="AA171" s="110"/>
      <c r="AB171" s="110"/>
      <c r="AC171" s="110"/>
      <c r="AD171" s="110"/>
      <c r="AE171" s="110"/>
      <c r="AF171" s="110"/>
      <c r="AG171" s="110"/>
      <c r="AH171" s="110"/>
    </row>
    <row r="172">
      <c r="A172" s="110"/>
      <c r="B172" s="110"/>
      <c r="C172" s="110"/>
      <c r="D172" s="110"/>
      <c r="E172" s="110"/>
      <c r="F172" s="110"/>
      <c r="G172" s="110"/>
      <c r="H172" s="110"/>
      <c r="I172" s="110"/>
      <c r="J172" s="110"/>
      <c r="K172" s="110"/>
      <c r="L172" s="110"/>
      <c r="M172" s="110"/>
      <c r="N172" s="110"/>
      <c r="O172" s="110"/>
      <c r="P172" s="110"/>
      <c r="Q172" s="110"/>
      <c r="R172" s="110"/>
      <c r="S172" s="110"/>
      <c r="T172" s="110"/>
      <c r="U172" s="110"/>
      <c r="V172" s="110"/>
      <c r="W172" s="110"/>
      <c r="X172" s="110"/>
      <c r="Y172" s="110"/>
      <c r="Z172" s="110"/>
      <c r="AA172" s="110"/>
      <c r="AB172" s="110"/>
      <c r="AC172" s="110"/>
      <c r="AD172" s="110"/>
      <c r="AE172" s="110"/>
      <c r="AF172" s="110"/>
      <c r="AG172" s="110"/>
      <c r="AH172" s="110"/>
    </row>
    <row r="173">
      <c r="A173" s="110"/>
      <c r="B173" s="110"/>
      <c r="C173" s="110"/>
      <c r="D173" s="110"/>
      <c r="E173" s="110"/>
      <c r="F173" s="110"/>
      <c r="G173" s="110"/>
      <c r="H173" s="110"/>
      <c r="I173" s="110"/>
      <c r="J173" s="110"/>
      <c r="K173" s="110"/>
      <c r="L173" s="110"/>
      <c r="M173" s="110"/>
      <c r="N173" s="110"/>
      <c r="O173" s="110"/>
      <c r="P173" s="110"/>
      <c r="Q173" s="110"/>
      <c r="R173" s="110"/>
      <c r="S173" s="110"/>
      <c r="T173" s="110"/>
      <c r="U173" s="110"/>
      <c r="V173" s="110"/>
      <c r="W173" s="110"/>
      <c r="X173" s="110"/>
      <c r="Y173" s="110"/>
      <c r="Z173" s="110"/>
      <c r="AA173" s="110"/>
      <c r="AB173" s="110"/>
      <c r="AC173" s="110"/>
      <c r="AD173" s="110"/>
      <c r="AE173" s="110"/>
      <c r="AF173" s="110"/>
      <c r="AG173" s="110"/>
      <c r="AH173" s="110"/>
    </row>
    <row r="174">
      <c r="A174" s="110"/>
      <c r="B174" s="110"/>
      <c r="C174" s="110"/>
      <c r="D174" s="110"/>
      <c r="E174" s="110"/>
      <c r="F174" s="110"/>
      <c r="G174" s="110"/>
      <c r="H174" s="110"/>
      <c r="I174" s="110"/>
      <c r="J174" s="110"/>
      <c r="K174" s="110"/>
      <c r="L174" s="110"/>
      <c r="M174" s="110"/>
      <c r="N174" s="110"/>
      <c r="O174" s="110"/>
      <c r="P174" s="110"/>
      <c r="Q174" s="110"/>
      <c r="R174" s="110"/>
      <c r="S174" s="110"/>
      <c r="T174" s="110"/>
      <c r="U174" s="110"/>
      <c r="V174" s="110"/>
      <c r="W174" s="110"/>
      <c r="X174" s="110"/>
      <c r="Y174" s="110"/>
      <c r="Z174" s="110"/>
      <c r="AA174" s="110"/>
      <c r="AB174" s="110"/>
      <c r="AC174" s="110"/>
      <c r="AD174" s="110"/>
      <c r="AE174" s="110"/>
      <c r="AF174" s="110"/>
      <c r="AG174" s="110"/>
      <c r="AH174" s="110"/>
    </row>
    <row r="175">
      <c r="A175" s="110"/>
      <c r="B175" s="110"/>
      <c r="C175" s="110"/>
      <c r="D175" s="110"/>
      <c r="E175" s="110"/>
      <c r="F175" s="110"/>
      <c r="G175" s="110"/>
      <c r="H175" s="110"/>
      <c r="I175" s="110"/>
      <c r="J175" s="110"/>
      <c r="K175" s="110"/>
      <c r="L175" s="110"/>
      <c r="M175" s="110"/>
      <c r="N175" s="110"/>
      <c r="O175" s="110"/>
      <c r="P175" s="110"/>
      <c r="Q175" s="110"/>
      <c r="R175" s="110"/>
      <c r="S175" s="110"/>
      <c r="T175" s="110"/>
      <c r="U175" s="110"/>
      <c r="V175" s="110"/>
      <c r="W175" s="110"/>
      <c r="X175" s="110"/>
      <c r="Y175" s="110"/>
      <c r="Z175" s="110"/>
      <c r="AA175" s="110"/>
      <c r="AB175" s="110"/>
      <c r="AC175" s="110"/>
      <c r="AD175" s="110"/>
      <c r="AE175" s="110"/>
      <c r="AF175" s="110"/>
      <c r="AG175" s="110"/>
      <c r="AH175" s="110"/>
    </row>
    <row r="176">
      <c r="A176" s="110"/>
      <c r="B176" s="110"/>
      <c r="C176" s="110"/>
      <c r="D176" s="110"/>
      <c r="E176" s="110"/>
      <c r="F176" s="110"/>
      <c r="G176" s="110"/>
      <c r="H176" s="110"/>
      <c r="I176" s="110"/>
      <c r="J176" s="110"/>
      <c r="K176" s="110"/>
      <c r="L176" s="110"/>
      <c r="M176" s="110"/>
      <c r="N176" s="110"/>
      <c r="O176" s="110"/>
      <c r="P176" s="110"/>
      <c r="Q176" s="110"/>
      <c r="R176" s="110"/>
      <c r="S176" s="110"/>
      <c r="T176" s="110"/>
      <c r="U176" s="110"/>
      <c r="V176" s="110"/>
      <c r="W176" s="110"/>
      <c r="X176" s="110"/>
      <c r="Y176" s="110"/>
      <c r="Z176" s="110"/>
      <c r="AA176" s="110"/>
      <c r="AB176" s="110"/>
      <c r="AC176" s="110"/>
      <c r="AD176" s="110"/>
      <c r="AE176" s="110"/>
      <c r="AF176" s="110"/>
      <c r="AG176" s="110"/>
      <c r="AH176" s="110"/>
    </row>
    <row r="177">
      <c r="A177" s="110"/>
      <c r="B177" s="110"/>
      <c r="C177" s="110"/>
      <c r="D177" s="110"/>
      <c r="E177" s="110"/>
      <c r="F177" s="110"/>
      <c r="G177" s="110"/>
      <c r="H177" s="110"/>
      <c r="I177" s="110"/>
      <c r="J177" s="110"/>
      <c r="K177" s="110"/>
      <c r="L177" s="110"/>
      <c r="M177" s="110"/>
      <c r="N177" s="110"/>
      <c r="O177" s="110"/>
      <c r="P177" s="110"/>
      <c r="Q177" s="110"/>
      <c r="R177" s="110"/>
      <c r="S177" s="110"/>
      <c r="T177" s="110"/>
      <c r="U177" s="110"/>
      <c r="V177" s="110"/>
      <c r="W177" s="110"/>
      <c r="X177" s="110"/>
      <c r="Y177" s="110"/>
      <c r="Z177" s="110"/>
      <c r="AA177" s="110"/>
      <c r="AB177" s="110"/>
      <c r="AC177" s="110"/>
      <c r="AD177" s="110"/>
      <c r="AE177" s="110"/>
      <c r="AF177" s="110"/>
      <c r="AG177" s="110"/>
      <c r="AH177" s="110"/>
    </row>
    <row r="178">
      <c r="A178" s="110"/>
      <c r="B178" s="110"/>
      <c r="C178" s="110"/>
      <c r="D178" s="110"/>
      <c r="E178" s="110"/>
      <c r="F178" s="110"/>
      <c r="G178" s="110"/>
      <c r="H178" s="110"/>
      <c r="I178" s="110"/>
      <c r="J178" s="110"/>
      <c r="K178" s="110"/>
      <c r="L178" s="110"/>
      <c r="M178" s="110"/>
      <c r="N178" s="110"/>
      <c r="O178" s="110"/>
      <c r="P178" s="110"/>
      <c r="Q178" s="110"/>
      <c r="R178" s="110"/>
      <c r="S178" s="110"/>
      <c r="T178" s="110"/>
      <c r="U178" s="110"/>
      <c r="V178" s="110"/>
      <c r="W178" s="110"/>
      <c r="X178" s="110"/>
      <c r="Y178" s="110"/>
      <c r="Z178" s="110"/>
      <c r="AA178" s="110"/>
      <c r="AB178" s="110"/>
      <c r="AC178" s="110"/>
      <c r="AD178" s="110"/>
      <c r="AE178" s="110"/>
      <c r="AF178" s="110"/>
      <c r="AG178" s="110"/>
      <c r="AH178" s="110"/>
    </row>
    <row r="179">
      <c r="A179" s="110"/>
      <c r="B179" s="110"/>
      <c r="C179" s="110"/>
      <c r="D179" s="110"/>
      <c r="E179" s="110"/>
      <c r="F179" s="110"/>
      <c r="G179" s="110"/>
      <c r="H179" s="110"/>
      <c r="I179" s="110"/>
      <c r="J179" s="110"/>
      <c r="K179" s="110"/>
      <c r="L179" s="110"/>
      <c r="M179" s="110"/>
      <c r="N179" s="110"/>
      <c r="O179" s="110"/>
      <c r="P179" s="110"/>
      <c r="Q179" s="110"/>
      <c r="R179" s="110"/>
      <c r="S179" s="110"/>
      <c r="T179" s="110"/>
      <c r="U179" s="110"/>
      <c r="V179" s="110"/>
      <c r="W179" s="110"/>
      <c r="X179" s="110"/>
      <c r="Y179" s="110"/>
      <c r="Z179" s="110"/>
      <c r="AA179" s="110"/>
      <c r="AB179" s="110"/>
      <c r="AC179" s="110"/>
      <c r="AD179" s="110"/>
      <c r="AE179" s="110"/>
      <c r="AF179" s="110"/>
      <c r="AG179" s="110"/>
      <c r="AH179" s="110"/>
    </row>
    <row r="180">
      <c r="A180" s="110"/>
      <c r="B180" s="110"/>
      <c r="C180" s="110"/>
      <c r="D180" s="110"/>
      <c r="E180" s="110"/>
      <c r="F180" s="110"/>
      <c r="G180" s="110"/>
      <c r="H180" s="110"/>
      <c r="I180" s="110"/>
      <c r="J180" s="110"/>
      <c r="K180" s="110"/>
      <c r="L180" s="110"/>
      <c r="M180" s="110"/>
      <c r="N180" s="110"/>
      <c r="O180" s="110"/>
      <c r="P180" s="110"/>
      <c r="Q180" s="110"/>
      <c r="R180" s="110"/>
      <c r="S180" s="110"/>
      <c r="T180" s="110"/>
      <c r="U180" s="110"/>
      <c r="V180" s="110"/>
      <c r="W180" s="110"/>
      <c r="X180" s="110"/>
      <c r="Y180" s="110"/>
      <c r="Z180" s="110"/>
      <c r="AA180" s="110"/>
      <c r="AB180" s="110"/>
      <c r="AC180" s="110"/>
      <c r="AD180" s="110"/>
      <c r="AE180" s="110"/>
      <c r="AF180" s="110"/>
      <c r="AG180" s="110"/>
      <c r="AH180" s="110"/>
    </row>
    <row r="181">
      <c r="A181" s="110"/>
      <c r="B181" s="110"/>
      <c r="C181" s="110"/>
      <c r="D181" s="110"/>
      <c r="E181" s="110"/>
      <c r="F181" s="110"/>
      <c r="G181" s="110"/>
      <c r="H181" s="110"/>
      <c r="I181" s="110"/>
      <c r="J181" s="110"/>
      <c r="K181" s="110"/>
      <c r="L181" s="110"/>
      <c r="M181" s="110"/>
      <c r="N181" s="110"/>
      <c r="O181" s="110"/>
      <c r="P181" s="110"/>
      <c r="Q181" s="110"/>
      <c r="R181" s="110"/>
      <c r="S181" s="110"/>
      <c r="T181" s="110"/>
      <c r="U181" s="110"/>
      <c r="V181" s="110"/>
      <c r="W181" s="110"/>
      <c r="X181" s="110"/>
      <c r="Y181" s="110"/>
      <c r="Z181" s="110"/>
      <c r="AA181" s="110"/>
      <c r="AB181" s="110"/>
      <c r="AC181" s="110"/>
      <c r="AD181" s="110"/>
      <c r="AE181" s="110"/>
      <c r="AF181" s="110"/>
      <c r="AG181" s="110"/>
      <c r="AH181" s="110"/>
    </row>
    <row r="182">
      <c r="A182" s="110"/>
      <c r="B182" s="110"/>
      <c r="C182" s="110"/>
      <c r="D182" s="110"/>
      <c r="E182" s="110"/>
      <c r="F182" s="110"/>
      <c r="G182" s="110"/>
      <c r="H182" s="110"/>
      <c r="I182" s="110"/>
      <c r="J182" s="110"/>
      <c r="K182" s="110"/>
      <c r="L182" s="110"/>
      <c r="M182" s="110"/>
      <c r="N182" s="110"/>
      <c r="O182" s="110"/>
      <c r="P182" s="110"/>
      <c r="Q182" s="110"/>
      <c r="R182" s="110"/>
      <c r="S182" s="110"/>
      <c r="T182" s="110"/>
      <c r="U182" s="110"/>
      <c r="V182" s="110"/>
      <c r="W182" s="110"/>
      <c r="X182" s="110"/>
      <c r="Y182" s="110"/>
      <c r="Z182" s="110"/>
      <c r="AA182" s="110"/>
      <c r="AB182" s="110"/>
      <c r="AC182" s="110"/>
      <c r="AD182" s="110"/>
      <c r="AE182" s="110"/>
      <c r="AF182" s="110"/>
      <c r="AG182" s="110"/>
      <c r="AH182" s="110"/>
    </row>
    <row r="183">
      <c r="A183" s="110"/>
      <c r="B183" s="110"/>
      <c r="C183" s="110"/>
      <c r="D183" s="110"/>
      <c r="E183" s="110"/>
      <c r="F183" s="110"/>
      <c r="G183" s="110"/>
      <c r="H183" s="110"/>
      <c r="I183" s="110"/>
      <c r="J183" s="110"/>
      <c r="K183" s="110"/>
      <c r="L183" s="110"/>
      <c r="M183" s="110"/>
      <c r="N183" s="110"/>
      <c r="O183" s="110"/>
      <c r="P183" s="110"/>
      <c r="Q183" s="110"/>
      <c r="R183" s="110"/>
      <c r="S183" s="110"/>
      <c r="T183" s="110"/>
      <c r="U183" s="110"/>
      <c r="V183" s="110"/>
      <c r="W183" s="110"/>
      <c r="X183" s="110"/>
      <c r="Y183" s="110"/>
      <c r="Z183" s="110"/>
      <c r="AA183" s="110"/>
      <c r="AB183" s="110"/>
      <c r="AC183" s="110"/>
      <c r="AD183" s="110"/>
      <c r="AE183" s="110"/>
      <c r="AF183" s="110"/>
      <c r="AG183" s="110"/>
      <c r="AH183" s="110"/>
    </row>
    <row r="184">
      <c r="A184" s="110"/>
      <c r="B184" s="110"/>
      <c r="C184" s="110"/>
      <c r="D184" s="110"/>
      <c r="E184" s="110"/>
      <c r="F184" s="110"/>
      <c r="G184" s="110"/>
      <c r="H184" s="110"/>
      <c r="I184" s="110"/>
      <c r="J184" s="110"/>
      <c r="K184" s="110"/>
      <c r="L184" s="110"/>
      <c r="M184" s="110"/>
      <c r="N184" s="110"/>
      <c r="O184" s="110"/>
      <c r="P184" s="110"/>
      <c r="Q184" s="110"/>
      <c r="R184" s="110"/>
      <c r="S184" s="110"/>
      <c r="T184" s="110"/>
      <c r="U184" s="110"/>
      <c r="V184" s="110"/>
      <c r="W184" s="110"/>
      <c r="X184" s="110"/>
      <c r="Y184" s="110"/>
      <c r="Z184" s="110"/>
      <c r="AA184" s="110"/>
      <c r="AB184" s="110"/>
      <c r="AC184" s="110"/>
      <c r="AD184" s="110"/>
      <c r="AE184" s="110"/>
      <c r="AF184" s="110"/>
      <c r="AG184" s="110"/>
      <c r="AH184" s="110"/>
    </row>
    <row r="185">
      <c r="A185" s="110"/>
      <c r="B185" s="110"/>
      <c r="C185" s="110"/>
      <c r="D185" s="110"/>
      <c r="E185" s="110"/>
      <c r="F185" s="110"/>
      <c r="G185" s="110"/>
      <c r="H185" s="110"/>
      <c r="I185" s="110"/>
      <c r="J185" s="110"/>
      <c r="K185" s="110"/>
      <c r="L185" s="110"/>
      <c r="M185" s="110"/>
      <c r="N185" s="110"/>
      <c r="O185" s="110"/>
      <c r="P185" s="110"/>
      <c r="Q185" s="110"/>
      <c r="R185" s="110"/>
      <c r="S185" s="110"/>
      <c r="T185" s="110"/>
      <c r="U185" s="110"/>
      <c r="V185" s="110"/>
      <c r="W185" s="110"/>
      <c r="X185" s="110"/>
      <c r="Y185" s="110"/>
      <c r="Z185" s="110"/>
      <c r="AA185" s="110"/>
      <c r="AB185" s="110"/>
      <c r="AC185" s="110"/>
      <c r="AD185" s="110"/>
      <c r="AE185" s="110"/>
      <c r="AF185" s="110"/>
      <c r="AG185" s="110"/>
      <c r="AH185" s="110"/>
    </row>
    <row r="186">
      <c r="A186" s="110"/>
      <c r="B186" s="110"/>
      <c r="C186" s="110"/>
      <c r="D186" s="110"/>
      <c r="E186" s="110"/>
      <c r="F186" s="110"/>
      <c r="G186" s="110"/>
      <c r="H186" s="110"/>
      <c r="I186" s="110"/>
      <c r="J186" s="110"/>
      <c r="K186" s="110"/>
      <c r="L186" s="110"/>
      <c r="M186" s="110"/>
      <c r="N186" s="110"/>
      <c r="O186" s="110"/>
      <c r="P186" s="110"/>
      <c r="Q186" s="110"/>
      <c r="R186" s="110"/>
      <c r="S186" s="110"/>
      <c r="T186" s="110"/>
      <c r="U186" s="110"/>
      <c r="V186" s="110"/>
      <c r="W186" s="110"/>
      <c r="X186" s="110"/>
      <c r="Y186" s="110"/>
      <c r="Z186" s="110"/>
      <c r="AA186" s="110"/>
      <c r="AB186" s="110"/>
      <c r="AC186" s="110"/>
      <c r="AD186" s="110"/>
      <c r="AE186" s="110"/>
      <c r="AF186" s="110"/>
      <c r="AG186" s="110"/>
      <c r="AH186" s="110"/>
    </row>
    <row r="187">
      <c r="A187" s="110"/>
      <c r="B187" s="110"/>
      <c r="C187" s="110"/>
      <c r="D187" s="110"/>
      <c r="E187" s="110"/>
      <c r="F187" s="110"/>
      <c r="G187" s="110"/>
      <c r="H187" s="110"/>
      <c r="I187" s="110"/>
      <c r="J187" s="110"/>
      <c r="K187" s="110"/>
      <c r="L187" s="110"/>
      <c r="M187" s="110"/>
      <c r="N187" s="110"/>
      <c r="O187" s="110"/>
      <c r="P187" s="110"/>
      <c r="Q187" s="110"/>
      <c r="R187" s="110"/>
      <c r="S187" s="110"/>
      <c r="T187" s="110"/>
      <c r="U187" s="110"/>
      <c r="V187" s="110"/>
      <c r="W187" s="110"/>
      <c r="X187" s="110"/>
      <c r="Y187" s="110"/>
      <c r="Z187" s="110"/>
      <c r="AA187" s="110"/>
      <c r="AB187" s="110"/>
      <c r="AC187" s="110"/>
      <c r="AD187" s="110"/>
      <c r="AE187" s="110"/>
      <c r="AF187" s="110"/>
      <c r="AG187" s="110"/>
      <c r="AH187" s="110"/>
    </row>
    <row r="188">
      <c r="A188" s="110"/>
      <c r="B188" s="110"/>
      <c r="C188" s="110"/>
      <c r="D188" s="110"/>
      <c r="E188" s="110"/>
      <c r="F188" s="110"/>
      <c r="G188" s="110"/>
      <c r="H188" s="110"/>
      <c r="I188" s="110"/>
      <c r="J188" s="110"/>
      <c r="K188" s="110"/>
      <c r="L188" s="110"/>
      <c r="M188" s="110"/>
      <c r="N188" s="110"/>
      <c r="O188" s="110"/>
      <c r="P188" s="110"/>
      <c r="Q188" s="110"/>
      <c r="R188" s="110"/>
      <c r="S188" s="110"/>
      <c r="T188" s="110"/>
      <c r="U188" s="110"/>
      <c r="V188" s="110"/>
      <c r="W188" s="110"/>
      <c r="X188" s="110"/>
      <c r="Y188" s="110"/>
      <c r="Z188" s="110"/>
      <c r="AA188" s="110"/>
      <c r="AB188" s="110"/>
      <c r="AC188" s="110"/>
      <c r="AD188" s="110"/>
      <c r="AE188" s="110"/>
      <c r="AF188" s="110"/>
      <c r="AG188" s="110"/>
      <c r="AH188" s="110"/>
    </row>
    <row r="189">
      <c r="A189" s="110"/>
      <c r="B189" s="110"/>
      <c r="C189" s="110"/>
      <c r="D189" s="110"/>
      <c r="E189" s="110"/>
      <c r="F189" s="110"/>
      <c r="G189" s="110"/>
      <c r="H189" s="110"/>
      <c r="I189" s="110"/>
      <c r="J189" s="110"/>
      <c r="K189" s="110"/>
      <c r="L189" s="110"/>
      <c r="M189" s="110"/>
      <c r="N189" s="110"/>
      <c r="O189" s="110"/>
      <c r="P189" s="110"/>
      <c r="Q189" s="110"/>
      <c r="R189" s="110"/>
      <c r="S189" s="110"/>
      <c r="T189" s="110"/>
      <c r="U189" s="110"/>
      <c r="V189" s="110"/>
      <c r="W189" s="110"/>
      <c r="X189" s="110"/>
      <c r="Y189" s="110"/>
      <c r="Z189" s="110"/>
      <c r="AA189" s="110"/>
      <c r="AB189" s="110"/>
      <c r="AC189" s="110"/>
      <c r="AD189" s="110"/>
      <c r="AE189" s="110"/>
      <c r="AF189" s="110"/>
      <c r="AG189" s="110"/>
      <c r="AH189" s="110"/>
    </row>
    <row r="190">
      <c r="A190" s="110"/>
      <c r="B190" s="110"/>
      <c r="C190" s="110"/>
      <c r="D190" s="110"/>
      <c r="E190" s="110"/>
      <c r="F190" s="110"/>
      <c r="G190" s="110"/>
      <c r="H190" s="110"/>
      <c r="I190" s="110"/>
      <c r="J190" s="110"/>
      <c r="K190" s="110"/>
      <c r="L190" s="110"/>
      <c r="M190" s="110"/>
      <c r="N190" s="110"/>
      <c r="O190" s="110"/>
      <c r="P190" s="110"/>
      <c r="Q190" s="110"/>
      <c r="R190" s="110"/>
      <c r="S190" s="110"/>
      <c r="T190" s="110"/>
      <c r="U190" s="110"/>
      <c r="V190" s="110"/>
      <c r="W190" s="110"/>
      <c r="X190" s="110"/>
      <c r="Y190" s="110"/>
      <c r="Z190" s="110"/>
      <c r="AA190" s="110"/>
      <c r="AB190" s="110"/>
      <c r="AC190" s="110"/>
      <c r="AD190" s="110"/>
      <c r="AE190" s="110"/>
      <c r="AF190" s="110"/>
      <c r="AG190" s="110"/>
      <c r="AH190" s="110"/>
    </row>
    <row r="191">
      <c r="A191" s="110"/>
      <c r="B191" s="110"/>
      <c r="C191" s="110"/>
      <c r="D191" s="110"/>
      <c r="E191" s="110"/>
      <c r="F191" s="110"/>
      <c r="G191" s="110"/>
      <c r="H191" s="110"/>
      <c r="I191" s="110"/>
      <c r="J191" s="110"/>
      <c r="K191" s="110"/>
      <c r="L191" s="110"/>
      <c r="M191" s="110"/>
      <c r="N191" s="110"/>
      <c r="O191" s="110"/>
      <c r="P191" s="110"/>
      <c r="Q191" s="110"/>
      <c r="R191" s="110"/>
      <c r="S191" s="110"/>
      <c r="T191" s="110"/>
      <c r="U191" s="110"/>
      <c r="V191" s="110"/>
      <c r="W191" s="110"/>
      <c r="X191" s="110"/>
      <c r="Y191" s="110"/>
      <c r="Z191" s="110"/>
      <c r="AA191" s="110"/>
      <c r="AB191" s="110"/>
      <c r="AC191" s="110"/>
      <c r="AD191" s="110"/>
      <c r="AE191" s="110"/>
      <c r="AF191" s="110"/>
      <c r="AG191" s="110"/>
      <c r="AH191" s="110"/>
    </row>
    <row r="192">
      <c r="A192" s="110"/>
      <c r="B192" s="110"/>
      <c r="C192" s="110"/>
      <c r="D192" s="110"/>
      <c r="E192" s="110"/>
      <c r="F192" s="110"/>
      <c r="G192" s="110"/>
      <c r="H192" s="110"/>
      <c r="I192" s="110"/>
      <c r="J192" s="110"/>
      <c r="K192" s="110"/>
      <c r="L192" s="110"/>
      <c r="M192" s="110"/>
      <c r="N192" s="110"/>
      <c r="O192" s="110"/>
      <c r="P192" s="110"/>
      <c r="Q192" s="110"/>
      <c r="R192" s="110"/>
      <c r="S192" s="110"/>
      <c r="T192" s="110"/>
      <c r="U192" s="110"/>
      <c r="V192" s="110"/>
      <c r="W192" s="110"/>
      <c r="X192" s="110"/>
      <c r="Y192" s="110"/>
      <c r="Z192" s="110"/>
      <c r="AA192" s="110"/>
      <c r="AB192" s="110"/>
      <c r="AC192" s="110"/>
      <c r="AD192" s="110"/>
      <c r="AE192" s="110"/>
      <c r="AF192" s="110"/>
      <c r="AG192" s="110"/>
      <c r="AH192" s="110"/>
    </row>
    <row r="193">
      <c r="A193" s="110"/>
      <c r="B193" s="110"/>
      <c r="C193" s="110"/>
      <c r="D193" s="110"/>
      <c r="E193" s="110"/>
      <c r="F193" s="110"/>
      <c r="G193" s="110"/>
      <c r="H193" s="110"/>
      <c r="I193" s="110"/>
      <c r="J193" s="110"/>
      <c r="K193" s="110"/>
      <c r="L193" s="110"/>
      <c r="M193" s="110"/>
      <c r="N193" s="110"/>
      <c r="O193" s="110"/>
      <c r="P193" s="110"/>
      <c r="Q193" s="110"/>
      <c r="R193" s="110"/>
      <c r="S193" s="110"/>
      <c r="T193" s="110"/>
      <c r="U193" s="110"/>
      <c r="V193" s="110"/>
      <c r="W193" s="110"/>
      <c r="X193" s="110"/>
      <c r="Y193" s="110"/>
      <c r="Z193" s="110"/>
      <c r="AA193" s="110"/>
      <c r="AB193" s="110"/>
      <c r="AC193" s="110"/>
      <c r="AD193" s="110"/>
      <c r="AE193" s="110"/>
      <c r="AF193" s="110"/>
      <c r="AG193" s="110"/>
      <c r="AH193" s="110"/>
    </row>
    <row r="194">
      <c r="A194" s="110"/>
      <c r="B194" s="110"/>
      <c r="C194" s="110"/>
      <c r="D194" s="110"/>
      <c r="E194" s="110"/>
      <c r="F194" s="110"/>
      <c r="G194" s="110"/>
      <c r="H194" s="110"/>
      <c r="I194" s="110"/>
      <c r="J194" s="110"/>
      <c r="K194" s="110"/>
      <c r="L194" s="110"/>
      <c r="M194" s="110"/>
      <c r="N194" s="110"/>
      <c r="O194" s="110"/>
      <c r="P194" s="110"/>
      <c r="Q194" s="110"/>
      <c r="R194" s="110"/>
      <c r="S194" s="110"/>
      <c r="T194" s="110"/>
      <c r="U194" s="110"/>
      <c r="V194" s="110"/>
      <c r="W194" s="110"/>
      <c r="X194" s="110"/>
      <c r="Y194" s="110"/>
      <c r="Z194" s="110"/>
      <c r="AA194" s="110"/>
      <c r="AB194" s="110"/>
      <c r="AC194" s="110"/>
      <c r="AD194" s="110"/>
      <c r="AE194" s="110"/>
      <c r="AF194" s="110"/>
      <c r="AG194" s="110"/>
      <c r="AH194" s="110"/>
    </row>
    <row r="195">
      <c r="A195" s="110"/>
      <c r="B195" s="110"/>
      <c r="C195" s="110"/>
      <c r="D195" s="110"/>
      <c r="E195" s="110"/>
      <c r="F195" s="110"/>
      <c r="G195" s="110"/>
      <c r="H195" s="110"/>
      <c r="I195" s="110"/>
      <c r="J195" s="110"/>
      <c r="K195" s="110"/>
      <c r="L195" s="110"/>
      <c r="M195" s="110"/>
      <c r="N195" s="110"/>
      <c r="O195" s="110"/>
      <c r="P195" s="110"/>
      <c r="Q195" s="110"/>
      <c r="R195" s="110"/>
      <c r="S195" s="110"/>
      <c r="T195" s="110"/>
      <c r="U195" s="110"/>
      <c r="V195" s="110"/>
      <c r="W195" s="110"/>
      <c r="X195" s="110"/>
      <c r="Y195" s="110"/>
      <c r="Z195" s="110"/>
      <c r="AA195" s="110"/>
      <c r="AB195" s="110"/>
      <c r="AC195" s="110"/>
      <c r="AD195" s="110"/>
      <c r="AE195" s="110"/>
      <c r="AF195" s="110"/>
      <c r="AG195" s="110"/>
      <c r="AH195" s="110"/>
    </row>
    <row r="196">
      <c r="A196" s="110"/>
      <c r="B196" s="110"/>
      <c r="C196" s="110"/>
      <c r="D196" s="110"/>
      <c r="E196" s="110"/>
      <c r="F196" s="110"/>
      <c r="G196" s="110"/>
      <c r="H196" s="110"/>
      <c r="I196" s="110"/>
      <c r="J196" s="110"/>
      <c r="K196" s="110"/>
      <c r="L196" s="110"/>
      <c r="M196" s="110"/>
      <c r="N196" s="110"/>
      <c r="O196" s="110"/>
      <c r="P196" s="110"/>
      <c r="Q196" s="110"/>
      <c r="R196" s="110"/>
      <c r="S196" s="110"/>
      <c r="T196" s="110"/>
      <c r="U196" s="110"/>
      <c r="V196" s="110"/>
      <c r="W196" s="110"/>
      <c r="X196" s="110"/>
      <c r="Y196" s="110"/>
      <c r="Z196" s="110"/>
      <c r="AA196" s="110"/>
      <c r="AB196" s="110"/>
      <c r="AC196" s="110"/>
      <c r="AD196" s="110"/>
      <c r="AE196" s="110"/>
      <c r="AF196" s="110"/>
      <c r="AG196" s="110"/>
      <c r="AH196" s="110"/>
    </row>
    <row r="197">
      <c r="A197" s="110"/>
      <c r="B197" s="110"/>
      <c r="C197" s="110"/>
      <c r="D197" s="110"/>
      <c r="E197" s="110"/>
      <c r="F197" s="110"/>
      <c r="G197" s="110"/>
      <c r="H197" s="110"/>
      <c r="I197" s="110"/>
      <c r="J197" s="110"/>
      <c r="K197" s="110"/>
      <c r="L197" s="110"/>
      <c r="M197" s="110"/>
      <c r="N197" s="110"/>
      <c r="O197" s="110"/>
      <c r="P197" s="110"/>
      <c r="Q197" s="110"/>
      <c r="R197" s="110"/>
      <c r="S197" s="110"/>
      <c r="T197" s="110"/>
      <c r="U197" s="110"/>
      <c r="V197" s="110"/>
      <c r="W197" s="110"/>
      <c r="X197" s="110"/>
      <c r="Y197" s="110"/>
      <c r="Z197" s="110"/>
      <c r="AA197" s="110"/>
      <c r="AB197" s="110"/>
      <c r="AC197" s="110"/>
      <c r="AD197" s="110"/>
      <c r="AE197" s="110"/>
      <c r="AF197" s="110"/>
      <c r="AG197" s="110"/>
      <c r="AH197" s="110"/>
    </row>
    <row r="198">
      <c r="A198" s="110"/>
      <c r="B198" s="110"/>
      <c r="C198" s="110"/>
      <c r="D198" s="110"/>
      <c r="E198" s="110"/>
      <c r="F198" s="110"/>
      <c r="G198" s="110"/>
      <c r="H198" s="110"/>
      <c r="I198" s="110"/>
      <c r="J198" s="110"/>
      <c r="K198" s="110"/>
      <c r="L198" s="110"/>
      <c r="M198" s="110"/>
      <c r="N198" s="110"/>
      <c r="O198" s="110"/>
      <c r="P198" s="110"/>
      <c r="Q198" s="110"/>
      <c r="R198" s="110"/>
      <c r="S198" s="110"/>
      <c r="T198" s="110"/>
      <c r="U198" s="110"/>
      <c r="V198" s="110"/>
      <c r="W198" s="110"/>
      <c r="X198" s="110"/>
      <c r="Y198" s="110"/>
      <c r="Z198" s="110"/>
      <c r="AA198" s="110"/>
      <c r="AB198" s="110"/>
      <c r="AC198" s="110"/>
      <c r="AD198" s="110"/>
      <c r="AE198" s="110"/>
      <c r="AF198" s="110"/>
      <c r="AG198" s="110"/>
      <c r="AH198" s="110"/>
    </row>
    <row r="199">
      <c r="A199" s="110"/>
      <c r="B199" s="110"/>
      <c r="C199" s="110"/>
      <c r="D199" s="110"/>
      <c r="E199" s="110"/>
      <c r="F199" s="110"/>
      <c r="G199" s="110"/>
      <c r="H199" s="110"/>
      <c r="I199" s="110"/>
      <c r="J199" s="110"/>
      <c r="K199" s="110"/>
      <c r="L199" s="110"/>
      <c r="M199" s="110"/>
      <c r="N199" s="110"/>
      <c r="O199" s="110"/>
      <c r="P199" s="110"/>
      <c r="Q199" s="110"/>
      <c r="R199" s="110"/>
      <c r="S199" s="110"/>
      <c r="T199" s="110"/>
      <c r="U199" s="110"/>
      <c r="V199" s="110"/>
      <c r="W199" s="110"/>
      <c r="X199" s="110"/>
      <c r="Y199" s="110"/>
      <c r="Z199" s="110"/>
      <c r="AA199" s="110"/>
      <c r="AB199" s="110"/>
      <c r="AC199" s="110"/>
      <c r="AD199" s="110"/>
      <c r="AE199" s="110"/>
      <c r="AF199" s="110"/>
      <c r="AG199" s="110"/>
      <c r="AH199" s="110"/>
    </row>
    <row r="200">
      <c r="A200" s="110"/>
      <c r="B200" s="110"/>
      <c r="C200" s="110"/>
      <c r="D200" s="110"/>
      <c r="E200" s="110"/>
      <c r="F200" s="110"/>
      <c r="G200" s="110"/>
      <c r="H200" s="110"/>
      <c r="I200" s="110"/>
      <c r="J200" s="110"/>
      <c r="K200" s="110"/>
      <c r="L200" s="110"/>
      <c r="M200" s="110"/>
      <c r="N200" s="110"/>
      <c r="O200" s="110"/>
      <c r="P200" s="110"/>
      <c r="Q200" s="110"/>
      <c r="R200" s="110"/>
      <c r="S200" s="110"/>
      <c r="T200" s="110"/>
      <c r="U200" s="110"/>
      <c r="V200" s="110"/>
      <c r="W200" s="110"/>
      <c r="X200" s="110"/>
      <c r="Y200" s="110"/>
      <c r="Z200" s="110"/>
      <c r="AA200" s="110"/>
      <c r="AB200" s="110"/>
      <c r="AC200" s="110"/>
      <c r="AD200" s="110"/>
      <c r="AE200" s="110"/>
      <c r="AF200" s="110"/>
      <c r="AG200" s="110"/>
      <c r="AH200" s="110"/>
    </row>
    <row r="201">
      <c r="A201" s="110"/>
      <c r="B201" s="110"/>
      <c r="C201" s="110"/>
      <c r="D201" s="110"/>
      <c r="E201" s="110"/>
      <c r="F201" s="110"/>
      <c r="G201" s="110"/>
      <c r="H201" s="110"/>
      <c r="I201" s="110"/>
      <c r="J201" s="110"/>
      <c r="K201" s="110"/>
      <c r="L201" s="110"/>
      <c r="M201" s="110"/>
      <c r="N201" s="110"/>
      <c r="O201" s="110"/>
      <c r="P201" s="110"/>
      <c r="Q201" s="110"/>
      <c r="R201" s="110"/>
      <c r="S201" s="110"/>
      <c r="T201" s="110"/>
      <c r="U201" s="110"/>
      <c r="V201" s="110"/>
      <c r="W201" s="110"/>
      <c r="X201" s="110"/>
      <c r="Y201" s="110"/>
      <c r="Z201" s="110"/>
      <c r="AA201" s="110"/>
      <c r="AB201" s="110"/>
      <c r="AC201" s="110"/>
      <c r="AD201" s="110"/>
      <c r="AE201" s="110"/>
      <c r="AF201" s="110"/>
      <c r="AG201" s="110"/>
      <c r="AH201" s="110"/>
    </row>
    <row r="202">
      <c r="A202" s="110"/>
      <c r="B202" s="110"/>
      <c r="C202" s="110"/>
      <c r="D202" s="110"/>
      <c r="E202" s="110"/>
      <c r="F202" s="110"/>
      <c r="G202" s="110"/>
      <c r="H202" s="110"/>
      <c r="I202" s="110"/>
      <c r="J202" s="110"/>
      <c r="K202" s="110"/>
      <c r="L202" s="110"/>
      <c r="M202" s="110"/>
      <c r="N202" s="110"/>
      <c r="O202" s="110"/>
      <c r="P202" s="110"/>
      <c r="Q202" s="110"/>
      <c r="R202" s="110"/>
      <c r="S202" s="110"/>
      <c r="T202" s="110"/>
      <c r="U202" s="110"/>
      <c r="V202" s="110"/>
      <c r="W202" s="110"/>
      <c r="X202" s="110"/>
      <c r="Y202" s="110"/>
      <c r="Z202" s="110"/>
      <c r="AA202" s="110"/>
      <c r="AB202" s="110"/>
      <c r="AC202" s="110"/>
      <c r="AD202" s="110"/>
      <c r="AE202" s="110"/>
      <c r="AF202" s="110"/>
      <c r="AG202" s="110"/>
      <c r="AH202" s="110"/>
    </row>
    <row r="203">
      <c r="A203" s="110"/>
      <c r="B203" s="110"/>
      <c r="C203" s="110"/>
      <c r="D203" s="110"/>
      <c r="E203" s="110"/>
      <c r="F203" s="110"/>
      <c r="G203" s="110"/>
      <c r="H203" s="110"/>
      <c r="I203" s="110"/>
      <c r="J203" s="110"/>
      <c r="K203" s="110"/>
      <c r="L203" s="110"/>
      <c r="M203" s="110"/>
      <c r="N203" s="110"/>
      <c r="O203" s="110"/>
      <c r="P203" s="110"/>
      <c r="Q203" s="110"/>
      <c r="R203" s="110"/>
      <c r="S203" s="110"/>
      <c r="T203" s="110"/>
      <c r="U203" s="110"/>
      <c r="V203" s="110"/>
      <c r="W203" s="110"/>
      <c r="X203" s="110"/>
      <c r="Y203" s="110"/>
      <c r="Z203" s="110"/>
      <c r="AA203" s="110"/>
      <c r="AB203" s="110"/>
      <c r="AC203" s="110"/>
      <c r="AD203" s="110"/>
      <c r="AE203" s="110"/>
      <c r="AF203" s="110"/>
      <c r="AG203" s="110"/>
      <c r="AH203" s="110"/>
    </row>
    <row r="204">
      <c r="A204" s="110"/>
      <c r="B204" s="110"/>
      <c r="C204" s="110"/>
      <c r="D204" s="110"/>
      <c r="E204" s="110"/>
      <c r="F204" s="110"/>
      <c r="G204" s="110"/>
      <c r="H204" s="110"/>
      <c r="I204" s="110"/>
      <c r="J204" s="110"/>
      <c r="K204" s="110"/>
      <c r="L204" s="110"/>
      <c r="M204" s="110"/>
      <c r="N204" s="110"/>
      <c r="O204" s="110"/>
      <c r="P204" s="110"/>
      <c r="Q204" s="110"/>
      <c r="R204" s="110"/>
      <c r="S204" s="110"/>
      <c r="T204" s="110"/>
      <c r="U204" s="110"/>
      <c r="V204" s="110"/>
      <c r="W204" s="110"/>
      <c r="X204" s="110"/>
      <c r="Y204" s="110"/>
      <c r="Z204" s="110"/>
      <c r="AA204" s="110"/>
      <c r="AB204" s="110"/>
      <c r="AC204" s="110"/>
      <c r="AD204" s="110"/>
      <c r="AE204" s="110"/>
      <c r="AF204" s="110"/>
      <c r="AG204" s="110"/>
      <c r="AH204" s="110"/>
    </row>
    <row r="205">
      <c r="A205" s="110"/>
      <c r="B205" s="110"/>
      <c r="C205" s="110"/>
      <c r="D205" s="110"/>
      <c r="E205" s="110"/>
      <c r="F205" s="110"/>
      <c r="G205" s="110"/>
      <c r="H205" s="110"/>
      <c r="I205" s="110"/>
      <c r="J205" s="110"/>
      <c r="K205" s="110"/>
      <c r="L205" s="110"/>
      <c r="M205" s="110"/>
      <c r="N205" s="110"/>
      <c r="O205" s="110"/>
      <c r="P205" s="110"/>
      <c r="Q205" s="110"/>
      <c r="R205" s="110"/>
      <c r="S205" s="110"/>
      <c r="T205" s="110"/>
      <c r="U205" s="110"/>
      <c r="V205" s="110"/>
      <c r="W205" s="110"/>
      <c r="X205" s="110"/>
      <c r="Y205" s="110"/>
      <c r="Z205" s="110"/>
      <c r="AA205" s="110"/>
      <c r="AB205" s="110"/>
      <c r="AC205" s="110"/>
      <c r="AD205" s="110"/>
      <c r="AE205" s="110"/>
      <c r="AF205" s="110"/>
      <c r="AG205" s="110"/>
      <c r="AH205" s="110"/>
    </row>
    <row r="206">
      <c r="A206" s="110"/>
      <c r="B206" s="110"/>
      <c r="C206" s="110"/>
      <c r="D206" s="110"/>
      <c r="E206" s="110"/>
      <c r="F206" s="110"/>
      <c r="G206" s="110"/>
      <c r="H206" s="110"/>
      <c r="I206" s="110"/>
      <c r="J206" s="110"/>
      <c r="K206" s="110"/>
      <c r="L206" s="110"/>
      <c r="M206" s="110"/>
      <c r="N206" s="110"/>
      <c r="O206" s="110"/>
      <c r="P206" s="110"/>
      <c r="Q206" s="110"/>
      <c r="R206" s="110"/>
      <c r="S206" s="110"/>
      <c r="T206" s="110"/>
      <c r="U206" s="110"/>
      <c r="V206" s="110"/>
      <c r="W206" s="110"/>
      <c r="X206" s="110"/>
      <c r="Y206" s="110"/>
      <c r="Z206" s="110"/>
      <c r="AA206" s="110"/>
      <c r="AB206" s="110"/>
      <c r="AC206" s="110"/>
      <c r="AD206" s="110"/>
      <c r="AE206" s="110"/>
      <c r="AF206" s="110"/>
      <c r="AG206" s="110"/>
      <c r="AH206" s="110"/>
    </row>
    <row r="207">
      <c r="A207" s="110"/>
      <c r="B207" s="110"/>
      <c r="C207" s="110"/>
      <c r="D207" s="110"/>
      <c r="E207" s="110"/>
      <c r="F207" s="110"/>
      <c r="G207" s="110"/>
      <c r="H207" s="110"/>
      <c r="I207" s="110"/>
      <c r="J207" s="110"/>
      <c r="K207" s="110"/>
      <c r="L207" s="110"/>
      <c r="M207" s="110"/>
      <c r="N207" s="110"/>
      <c r="O207" s="110"/>
      <c r="P207" s="110"/>
      <c r="Q207" s="110"/>
      <c r="R207" s="110"/>
      <c r="S207" s="110"/>
      <c r="T207" s="110"/>
      <c r="U207" s="110"/>
      <c r="V207" s="110"/>
      <c r="W207" s="110"/>
      <c r="X207" s="110"/>
      <c r="Y207" s="110"/>
      <c r="Z207" s="110"/>
      <c r="AA207" s="110"/>
      <c r="AB207" s="110"/>
      <c r="AC207" s="110"/>
      <c r="AD207" s="110"/>
      <c r="AE207" s="110"/>
      <c r="AF207" s="110"/>
      <c r="AG207" s="110"/>
      <c r="AH207" s="110"/>
    </row>
    <row r="208">
      <c r="A208" s="110"/>
      <c r="B208" s="110"/>
      <c r="C208" s="110"/>
      <c r="D208" s="110"/>
      <c r="E208" s="110"/>
      <c r="F208" s="110"/>
      <c r="G208" s="110"/>
      <c r="H208" s="110"/>
      <c r="I208" s="110"/>
      <c r="J208" s="110"/>
      <c r="K208" s="110"/>
      <c r="L208" s="110"/>
      <c r="M208" s="110"/>
      <c r="N208" s="110"/>
      <c r="O208" s="110"/>
      <c r="P208" s="110"/>
      <c r="Q208" s="110"/>
      <c r="R208" s="110"/>
      <c r="S208" s="110"/>
      <c r="T208" s="110"/>
      <c r="U208" s="110"/>
      <c r="V208" s="110"/>
      <c r="W208" s="110"/>
      <c r="X208" s="110"/>
      <c r="Y208" s="110"/>
      <c r="Z208" s="110"/>
      <c r="AA208" s="110"/>
      <c r="AB208" s="110"/>
      <c r="AC208" s="110"/>
      <c r="AD208" s="110"/>
      <c r="AE208" s="110"/>
      <c r="AF208" s="110"/>
      <c r="AG208" s="110"/>
      <c r="AH208" s="110"/>
    </row>
    <row r="209">
      <c r="A209" s="110"/>
      <c r="B209" s="110"/>
      <c r="C209" s="110"/>
      <c r="D209" s="110"/>
      <c r="E209" s="110"/>
      <c r="F209" s="110"/>
      <c r="G209" s="110"/>
      <c r="H209" s="110"/>
      <c r="I209" s="110"/>
      <c r="J209" s="110"/>
      <c r="K209" s="110"/>
      <c r="L209" s="110"/>
      <c r="M209" s="110"/>
      <c r="N209" s="110"/>
      <c r="O209" s="110"/>
      <c r="P209" s="110"/>
      <c r="Q209" s="110"/>
      <c r="R209" s="110"/>
      <c r="S209" s="110"/>
      <c r="T209" s="110"/>
      <c r="U209" s="110"/>
      <c r="V209" s="110"/>
      <c r="W209" s="110"/>
      <c r="X209" s="110"/>
      <c r="Y209" s="110"/>
      <c r="Z209" s="110"/>
      <c r="AA209" s="110"/>
      <c r="AB209" s="110"/>
      <c r="AC209" s="110"/>
      <c r="AD209" s="110"/>
      <c r="AE209" s="110"/>
      <c r="AF209" s="110"/>
      <c r="AG209" s="110"/>
      <c r="AH209" s="110"/>
    </row>
    <row r="210">
      <c r="A210" s="110"/>
      <c r="B210" s="110"/>
      <c r="C210" s="110"/>
      <c r="D210" s="110"/>
      <c r="E210" s="110"/>
      <c r="F210" s="110"/>
      <c r="G210" s="110"/>
      <c r="H210" s="110"/>
      <c r="I210" s="110"/>
      <c r="J210" s="110"/>
      <c r="K210" s="110"/>
      <c r="L210" s="110"/>
      <c r="M210" s="110"/>
      <c r="N210" s="110"/>
      <c r="O210" s="110"/>
      <c r="P210" s="110"/>
      <c r="Q210" s="110"/>
      <c r="R210" s="110"/>
      <c r="S210" s="110"/>
      <c r="T210" s="110"/>
      <c r="U210" s="110"/>
      <c r="V210" s="110"/>
      <c r="W210" s="110"/>
      <c r="X210" s="110"/>
      <c r="Y210" s="110"/>
      <c r="Z210" s="110"/>
      <c r="AA210" s="110"/>
      <c r="AB210" s="110"/>
      <c r="AC210" s="110"/>
      <c r="AD210" s="110"/>
      <c r="AE210" s="110"/>
      <c r="AF210" s="110"/>
      <c r="AG210" s="110"/>
      <c r="AH210" s="110"/>
    </row>
    <row r="211">
      <c r="A211" s="110"/>
      <c r="B211" s="110"/>
      <c r="C211" s="110"/>
      <c r="D211" s="110"/>
      <c r="E211" s="110"/>
      <c r="F211" s="110"/>
      <c r="G211" s="110"/>
      <c r="H211" s="110"/>
      <c r="I211" s="110"/>
      <c r="J211" s="110"/>
      <c r="K211" s="110"/>
      <c r="L211" s="110"/>
      <c r="M211" s="110"/>
      <c r="N211" s="110"/>
      <c r="O211" s="110"/>
      <c r="P211" s="110"/>
      <c r="Q211" s="110"/>
      <c r="R211" s="110"/>
      <c r="S211" s="110"/>
      <c r="T211" s="110"/>
      <c r="U211" s="110"/>
      <c r="V211" s="110"/>
      <c r="W211" s="110"/>
      <c r="X211" s="110"/>
      <c r="Y211" s="110"/>
      <c r="Z211" s="110"/>
      <c r="AA211" s="110"/>
      <c r="AB211" s="110"/>
      <c r="AC211" s="110"/>
      <c r="AD211" s="110"/>
      <c r="AE211" s="110"/>
      <c r="AF211" s="110"/>
      <c r="AG211" s="110"/>
      <c r="AH211" s="110"/>
    </row>
    <row r="212">
      <c r="A212" s="110"/>
      <c r="B212" s="110"/>
      <c r="C212" s="110"/>
      <c r="D212" s="110"/>
      <c r="E212" s="110"/>
      <c r="F212" s="110"/>
      <c r="G212" s="110"/>
      <c r="H212" s="110"/>
      <c r="I212" s="110"/>
      <c r="J212" s="110"/>
      <c r="K212" s="110"/>
      <c r="L212" s="110"/>
      <c r="M212" s="110"/>
      <c r="N212" s="110"/>
      <c r="O212" s="110"/>
      <c r="P212" s="110"/>
      <c r="Q212" s="110"/>
      <c r="R212" s="110"/>
      <c r="S212" s="110"/>
      <c r="T212" s="110"/>
      <c r="U212" s="110"/>
      <c r="V212" s="110"/>
      <c r="W212" s="110"/>
      <c r="X212" s="110"/>
      <c r="Y212" s="110"/>
      <c r="Z212" s="110"/>
      <c r="AA212" s="110"/>
      <c r="AB212" s="110"/>
      <c r="AC212" s="110"/>
      <c r="AD212" s="110"/>
      <c r="AE212" s="110"/>
      <c r="AF212" s="110"/>
      <c r="AG212" s="110"/>
      <c r="AH212" s="110"/>
    </row>
    <row r="213">
      <c r="A213" s="110"/>
      <c r="B213" s="110"/>
      <c r="C213" s="110"/>
      <c r="D213" s="110"/>
      <c r="E213" s="110"/>
      <c r="F213" s="110"/>
      <c r="G213" s="110"/>
      <c r="H213" s="110"/>
      <c r="I213" s="110"/>
      <c r="J213" s="110"/>
      <c r="K213" s="110"/>
      <c r="L213" s="110"/>
      <c r="M213" s="110"/>
      <c r="N213" s="110"/>
      <c r="O213" s="110"/>
      <c r="P213" s="110"/>
      <c r="Q213" s="110"/>
      <c r="R213" s="110"/>
      <c r="S213" s="110"/>
      <c r="T213" s="110"/>
      <c r="U213" s="110"/>
      <c r="V213" s="110"/>
      <c r="W213" s="110"/>
      <c r="X213" s="110"/>
      <c r="Y213" s="110"/>
      <c r="Z213" s="110"/>
      <c r="AA213" s="110"/>
      <c r="AB213" s="110"/>
      <c r="AC213" s="110"/>
      <c r="AD213" s="110"/>
      <c r="AE213" s="110"/>
      <c r="AF213" s="110"/>
      <c r="AG213" s="110"/>
      <c r="AH213" s="110"/>
    </row>
    <row r="214">
      <c r="A214" s="110"/>
      <c r="B214" s="110"/>
      <c r="C214" s="110"/>
      <c r="D214" s="110"/>
      <c r="E214" s="110"/>
      <c r="F214" s="110"/>
      <c r="G214" s="110"/>
      <c r="H214" s="110"/>
      <c r="I214" s="110"/>
      <c r="J214" s="110"/>
      <c r="K214" s="110"/>
      <c r="L214" s="110"/>
      <c r="M214" s="110"/>
      <c r="N214" s="110"/>
      <c r="O214" s="110"/>
      <c r="P214" s="110"/>
      <c r="Q214" s="110"/>
      <c r="R214" s="110"/>
      <c r="S214" s="110"/>
      <c r="T214" s="110"/>
      <c r="U214" s="110"/>
      <c r="V214" s="110"/>
      <c r="W214" s="110"/>
      <c r="X214" s="110"/>
      <c r="Y214" s="110"/>
      <c r="Z214" s="110"/>
      <c r="AA214" s="110"/>
      <c r="AB214" s="110"/>
      <c r="AC214" s="110"/>
      <c r="AD214" s="110"/>
      <c r="AE214" s="110"/>
      <c r="AF214" s="110"/>
      <c r="AG214" s="110"/>
      <c r="AH214" s="110"/>
    </row>
    <row r="215">
      <c r="A215" s="110"/>
      <c r="B215" s="110"/>
      <c r="C215" s="110"/>
      <c r="D215" s="110"/>
      <c r="E215" s="110"/>
      <c r="F215" s="110"/>
      <c r="G215" s="110"/>
      <c r="H215" s="110"/>
      <c r="I215" s="110"/>
      <c r="J215" s="110"/>
      <c r="K215" s="110"/>
      <c r="L215" s="110"/>
      <c r="M215" s="110"/>
      <c r="N215" s="110"/>
      <c r="O215" s="110"/>
      <c r="P215" s="110"/>
      <c r="Q215" s="110"/>
      <c r="R215" s="110"/>
      <c r="S215" s="110"/>
      <c r="T215" s="110"/>
      <c r="U215" s="110"/>
      <c r="V215" s="110"/>
      <c r="W215" s="110"/>
      <c r="X215" s="110"/>
      <c r="Y215" s="110"/>
      <c r="Z215" s="110"/>
      <c r="AA215" s="110"/>
      <c r="AB215" s="110"/>
      <c r="AC215" s="110"/>
      <c r="AD215" s="110"/>
      <c r="AE215" s="110"/>
      <c r="AF215" s="110"/>
      <c r="AG215" s="110"/>
      <c r="AH215" s="110"/>
    </row>
    <row r="216">
      <c r="A216" s="110"/>
      <c r="B216" s="110"/>
      <c r="C216" s="110"/>
      <c r="D216" s="110"/>
      <c r="E216" s="110"/>
      <c r="F216" s="110"/>
      <c r="G216" s="110"/>
      <c r="H216" s="110"/>
      <c r="I216" s="110"/>
      <c r="J216" s="110"/>
      <c r="K216" s="110"/>
      <c r="L216" s="110"/>
      <c r="M216" s="110"/>
      <c r="N216" s="110"/>
      <c r="O216" s="110"/>
      <c r="P216" s="110"/>
      <c r="Q216" s="110"/>
      <c r="R216" s="110"/>
      <c r="S216" s="110"/>
      <c r="T216" s="110"/>
      <c r="U216" s="110"/>
      <c r="V216" s="110"/>
      <c r="W216" s="110"/>
      <c r="X216" s="110"/>
      <c r="Y216" s="110"/>
      <c r="Z216" s="110"/>
      <c r="AA216" s="110"/>
      <c r="AB216" s="110"/>
      <c r="AC216" s="110"/>
      <c r="AD216" s="110"/>
      <c r="AE216" s="110"/>
      <c r="AF216" s="110"/>
      <c r="AG216" s="110"/>
      <c r="AH216" s="110"/>
    </row>
    <row r="217">
      <c r="A217" s="110"/>
      <c r="B217" s="110"/>
      <c r="C217" s="110"/>
      <c r="D217" s="110"/>
      <c r="E217" s="110"/>
      <c r="F217" s="110"/>
      <c r="G217" s="110"/>
      <c r="H217" s="110"/>
      <c r="I217" s="110"/>
      <c r="J217" s="110"/>
      <c r="K217" s="110"/>
      <c r="L217" s="110"/>
      <c r="M217" s="110"/>
      <c r="N217" s="110"/>
      <c r="O217" s="110"/>
      <c r="P217" s="110"/>
      <c r="Q217" s="110"/>
      <c r="R217" s="110"/>
      <c r="S217" s="110"/>
      <c r="T217" s="110"/>
      <c r="U217" s="110"/>
      <c r="V217" s="110"/>
      <c r="W217" s="110"/>
      <c r="X217" s="110"/>
      <c r="Y217" s="110"/>
      <c r="Z217" s="110"/>
      <c r="AA217" s="110"/>
      <c r="AB217" s="110"/>
      <c r="AC217" s="110"/>
      <c r="AD217" s="110"/>
      <c r="AE217" s="110"/>
      <c r="AF217" s="110"/>
      <c r="AG217" s="110"/>
      <c r="AH217" s="110"/>
    </row>
    <row r="218">
      <c r="A218" s="110"/>
      <c r="B218" s="110"/>
      <c r="C218" s="110"/>
      <c r="D218" s="110"/>
      <c r="E218" s="110"/>
      <c r="F218" s="110"/>
      <c r="G218" s="110"/>
      <c r="H218" s="110"/>
      <c r="I218" s="110"/>
      <c r="J218" s="110"/>
      <c r="K218" s="110"/>
      <c r="L218" s="110"/>
      <c r="M218" s="110"/>
      <c r="N218" s="110"/>
      <c r="O218" s="110"/>
      <c r="P218" s="110"/>
      <c r="Q218" s="110"/>
      <c r="R218" s="110"/>
      <c r="S218" s="110"/>
      <c r="T218" s="110"/>
      <c r="U218" s="110"/>
      <c r="V218" s="110"/>
      <c r="W218" s="110"/>
      <c r="X218" s="110"/>
      <c r="Y218" s="110"/>
      <c r="Z218" s="110"/>
      <c r="AA218" s="110"/>
      <c r="AB218" s="110"/>
      <c r="AC218" s="110"/>
      <c r="AD218" s="110"/>
      <c r="AE218" s="110"/>
      <c r="AF218" s="110"/>
      <c r="AG218" s="110"/>
      <c r="AH218" s="110"/>
    </row>
    <row r="219">
      <c r="A219" s="110"/>
      <c r="B219" s="110"/>
      <c r="C219" s="110"/>
      <c r="D219" s="110"/>
      <c r="E219" s="110"/>
      <c r="F219" s="110"/>
      <c r="G219" s="110"/>
      <c r="H219" s="110"/>
      <c r="I219" s="110"/>
      <c r="J219" s="110"/>
      <c r="K219" s="110"/>
      <c r="L219" s="110"/>
      <c r="M219" s="110"/>
      <c r="N219" s="110"/>
      <c r="O219" s="110"/>
      <c r="P219" s="110"/>
      <c r="Q219" s="110"/>
      <c r="R219" s="110"/>
      <c r="S219" s="110"/>
      <c r="T219" s="110"/>
      <c r="U219" s="110"/>
      <c r="V219" s="110"/>
      <c r="W219" s="110"/>
      <c r="X219" s="110"/>
      <c r="Y219" s="110"/>
      <c r="Z219" s="110"/>
      <c r="AA219" s="110"/>
      <c r="AB219" s="110"/>
      <c r="AC219" s="110"/>
      <c r="AD219" s="110"/>
      <c r="AE219" s="110"/>
      <c r="AF219" s="110"/>
      <c r="AG219" s="110"/>
      <c r="AH219" s="110"/>
    </row>
    <row r="220">
      <c r="A220" s="110"/>
      <c r="B220" s="110"/>
      <c r="C220" s="110"/>
      <c r="D220" s="110"/>
      <c r="E220" s="110"/>
      <c r="F220" s="110"/>
      <c r="G220" s="110"/>
      <c r="H220" s="110"/>
      <c r="I220" s="110"/>
      <c r="J220" s="110"/>
      <c r="K220" s="110"/>
      <c r="L220" s="110"/>
      <c r="M220" s="110"/>
      <c r="N220" s="110"/>
      <c r="O220" s="110"/>
      <c r="P220" s="110"/>
      <c r="Q220" s="110"/>
      <c r="R220" s="110"/>
      <c r="S220" s="110"/>
      <c r="T220" s="110"/>
      <c r="U220" s="110"/>
      <c r="V220" s="110"/>
      <c r="W220" s="110"/>
      <c r="X220" s="110"/>
      <c r="Y220" s="110"/>
      <c r="Z220" s="110"/>
      <c r="AA220" s="110"/>
      <c r="AB220" s="110"/>
      <c r="AC220" s="110"/>
      <c r="AD220" s="110"/>
      <c r="AE220" s="110"/>
      <c r="AF220" s="110"/>
      <c r="AG220" s="110"/>
      <c r="AH220" s="110"/>
    </row>
    <row r="221">
      <c r="A221" s="110"/>
      <c r="B221" s="110"/>
      <c r="C221" s="110"/>
      <c r="D221" s="110"/>
      <c r="E221" s="110"/>
      <c r="F221" s="110"/>
      <c r="G221" s="110"/>
      <c r="H221" s="110"/>
      <c r="I221" s="110"/>
      <c r="J221" s="110"/>
      <c r="K221" s="110"/>
      <c r="L221" s="110"/>
      <c r="M221" s="110"/>
      <c r="N221" s="110"/>
      <c r="O221" s="110"/>
      <c r="P221" s="110"/>
      <c r="Q221" s="110"/>
      <c r="R221" s="110"/>
      <c r="S221" s="110"/>
      <c r="T221" s="110"/>
      <c r="U221" s="110"/>
      <c r="V221" s="110"/>
      <c r="W221" s="110"/>
      <c r="X221" s="110"/>
      <c r="Y221" s="110"/>
      <c r="Z221" s="110"/>
      <c r="AA221" s="110"/>
      <c r="AB221" s="110"/>
      <c r="AC221" s="110"/>
      <c r="AD221" s="110"/>
      <c r="AE221" s="110"/>
      <c r="AF221" s="110"/>
      <c r="AG221" s="110"/>
      <c r="AH221" s="110"/>
    </row>
    <row r="222">
      <c r="A222" s="110"/>
      <c r="B222" s="110"/>
      <c r="C222" s="110"/>
      <c r="D222" s="110"/>
      <c r="E222" s="110"/>
      <c r="F222" s="110"/>
      <c r="G222" s="110"/>
      <c r="H222" s="110"/>
      <c r="I222" s="110"/>
      <c r="J222" s="110"/>
      <c r="K222" s="110"/>
      <c r="L222" s="110"/>
      <c r="M222" s="110"/>
      <c r="N222" s="110"/>
      <c r="O222" s="110"/>
      <c r="P222" s="110"/>
      <c r="Q222" s="110"/>
      <c r="R222" s="110"/>
      <c r="S222" s="110"/>
      <c r="T222" s="110"/>
      <c r="U222" s="110"/>
      <c r="V222" s="110"/>
      <c r="W222" s="110"/>
      <c r="X222" s="110"/>
      <c r="Y222" s="110"/>
      <c r="Z222" s="110"/>
      <c r="AA222" s="110"/>
      <c r="AB222" s="110"/>
      <c r="AC222" s="110"/>
      <c r="AD222" s="110"/>
      <c r="AE222" s="110"/>
      <c r="AF222" s="110"/>
      <c r="AG222" s="110"/>
      <c r="AH222" s="110"/>
    </row>
    <row r="223">
      <c r="A223" s="110"/>
      <c r="B223" s="110"/>
      <c r="C223" s="110"/>
      <c r="D223" s="110"/>
      <c r="E223" s="110"/>
      <c r="F223" s="110"/>
      <c r="G223" s="110"/>
      <c r="H223" s="110"/>
      <c r="I223" s="110"/>
      <c r="J223" s="110"/>
      <c r="K223" s="110"/>
      <c r="L223" s="110"/>
      <c r="M223" s="110"/>
      <c r="N223" s="110"/>
      <c r="O223" s="110"/>
      <c r="P223" s="110"/>
      <c r="Q223" s="110"/>
      <c r="R223" s="110"/>
      <c r="S223" s="110"/>
      <c r="T223" s="110"/>
      <c r="U223" s="110"/>
      <c r="V223" s="110"/>
      <c r="W223" s="110"/>
      <c r="X223" s="110"/>
      <c r="Y223" s="110"/>
      <c r="Z223" s="110"/>
      <c r="AA223" s="110"/>
      <c r="AB223" s="110"/>
      <c r="AC223" s="110"/>
      <c r="AD223" s="110"/>
      <c r="AE223" s="110"/>
      <c r="AF223" s="110"/>
      <c r="AG223" s="110"/>
      <c r="AH223" s="110"/>
    </row>
    <row r="224">
      <c r="A224" s="110"/>
      <c r="B224" s="110"/>
      <c r="C224" s="110"/>
      <c r="D224" s="110"/>
      <c r="E224" s="110"/>
      <c r="F224" s="110"/>
      <c r="G224" s="110"/>
      <c r="H224" s="110"/>
      <c r="I224" s="110"/>
      <c r="J224" s="110"/>
      <c r="K224" s="110"/>
      <c r="L224" s="110"/>
      <c r="M224" s="110"/>
      <c r="N224" s="110"/>
      <c r="O224" s="110"/>
      <c r="P224" s="110"/>
      <c r="Q224" s="110"/>
      <c r="R224" s="110"/>
      <c r="S224" s="110"/>
      <c r="T224" s="110"/>
      <c r="U224" s="110"/>
      <c r="V224" s="110"/>
      <c r="W224" s="110"/>
      <c r="X224" s="110"/>
      <c r="Y224" s="110"/>
      <c r="Z224" s="110"/>
      <c r="AA224" s="110"/>
      <c r="AB224" s="110"/>
      <c r="AC224" s="110"/>
      <c r="AD224" s="110"/>
      <c r="AE224" s="110"/>
      <c r="AF224" s="110"/>
      <c r="AG224" s="110"/>
      <c r="AH224" s="110"/>
    </row>
    <row r="225">
      <c r="A225" s="110"/>
      <c r="B225" s="110"/>
      <c r="C225" s="110"/>
      <c r="D225" s="110"/>
      <c r="E225" s="110"/>
      <c r="F225" s="110"/>
      <c r="G225" s="110"/>
      <c r="H225" s="110"/>
      <c r="I225" s="110"/>
      <c r="J225" s="110"/>
      <c r="K225" s="110"/>
      <c r="L225" s="110"/>
      <c r="M225" s="110"/>
      <c r="N225" s="110"/>
      <c r="O225" s="110"/>
      <c r="P225" s="110"/>
      <c r="Q225" s="110"/>
      <c r="R225" s="110"/>
      <c r="S225" s="110"/>
      <c r="T225" s="110"/>
      <c r="U225" s="110"/>
      <c r="V225" s="110"/>
      <c r="W225" s="110"/>
      <c r="X225" s="110"/>
      <c r="Y225" s="110"/>
      <c r="Z225" s="110"/>
      <c r="AA225" s="110"/>
      <c r="AB225" s="110"/>
      <c r="AC225" s="110"/>
      <c r="AD225" s="110"/>
      <c r="AE225" s="110"/>
      <c r="AF225" s="110"/>
      <c r="AG225" s="110"/>
      <c r="AH225" s="110"/>
    </row>
    <row r="226">
      <c r="A226" s="110"/>
      <c r="B226" s="110"/>
      <c r="C226" s="110"/>
      <c r="D226" s="110"/>
      <c r="E226" s="110"/>
      <c r="F226" s="110"/>
      <c r="G226" s="110"/>
      <c r="H226" s="110"/>
      <c r="I226" s="110"/>
      <c r="J226" s="110"/>
      <c r="K226" s="110"/>
      <c r="L226" s="110"/>
      <c r="M226" s="110"/>
      <c r="N226" s="110"/>
      <c r="O226" s="110"/>
      <c r="P226" s="110"/>
      <c r="Q226" s="110"/>
      <c r="R226" s="110"/>
      <c r="S226" s="110"/>
      <c r="T226" s="110"/>
      <c r="U226" s="110"/>
      <c r="V226" s="110"/>
      <c r="W226" s="110"/>
      <c r="X226" s="110"/>
      <c r="Y226" s="110"/>
      <c r="Z226" s="110"/>
      <c r="AA226" s="110"/>
      <c r="AB226" s="110"/>
      <c r="AC226" s="110"/>
      <c r="AD226" s="110"/>
      <c r="AE226" s="110"/>
      <c r="AF226" s="110"/>
      <c r="AG226" s="110"/>
      <c r="AH226" s="110"/>
    </row>
    <row r="227">
      <c r="A227" s="110"/>
      <c r="B227" s="110"/>
      <c r="C227" s="110"/>
      <c r="D227" s="110"/>
      <c r="E227" s="110"/>
      <c r="F227" s="110"/>
      <c r="G227" s="110"/>
      <c r="H227" s="110"/>
      <c r="I227" s="110"/>
      <c r="J227" s="110"/>
      <c r="K227" s="110"/>
      <c r="L227" s="110"/>
      <c r="M227" s="110"/>
      <c r="N227" s="110"/>
      <c r="O227" s="110"/>
      <c r="P227" s="110"/>
      <c r="Q227" s="110"/>
      <c r="R227" s="110"/>
      <c r="S227" s="110"/>
      <c r="T227" s="110"/>
      <c r="U227" s="110"/>
      <c r="V227" s="110"/>
      <c r="W227" s="110"/>
      <c r="X227" s="110"/>
      <c r="Y227" s="110"/>
      <c r="Z227" s="110"/>
      <c r="AA227" s="110"/>
      <c r="AB227" s="110"/>
      <c r="AC227" s="110"/>
      <c r="AD227" s="110"/>
      <c r="AE227" s="110"/>
      <c r="AF227" s="110"/>
      <c r="AG227" s="110"/>
      <c r="AH227" s="110"/>
    </row>
    <row r="228">
      <c r="A228" s="110"/>
      <c r="B228" s="110"/>
      <c r="C228" s="110"/>
      <c r="D228" s="110"/>
      <c r="E228" s="110"/>
      <c r="F228" s="110"/>
      <c r="G228" s="110"/>
      <c r="H228" s="110"/>
      <c r="I228" s="110"/>
      <c r="J228" s="110"/>
      <c r="K228" s="110"/>
      <c r="L228" s="110"/>
      <c r="M228" s="110"/>
      <c r="N228" s="110"/>
      <c r="O228" s="110"/>
      <c r="P228" s="110"/>
      <c r="Q228" s="110"/>
      <c r="R228" s="110"/>
      <c r="S228" s="110"/>
      <c r="T228" s="110"/>
      <c r="U228" s="110"/>
      <c r="V228" s="110"/>
      <c r="W228" s="110"/>
      <c r="X228" s="110"/>
      <c r="Y228" s="110"/>
      <c r="Z228" s="110"/>
      <c r="AA228" s="110"/>
      <c r="AB228" s="110"/>
      <c r="AC228" s="110"/>
      <c r="AD228" s="110"/>
      <c r="AE228" s="110"/>
      <c r="AF228" s="110"/>
      <c r="AG228" s="110"/>
      <c r="AH228" s="110"/>
    </row>
    <row r="229">
      <c r="A229" s="110"/>
      <c r="B229" s="110"/>
      <c r="C229" s="110"/>
      <c r="D229" s="110"/>
      <c r="E229" s="110"/>
      <c r="F229" s="110"/>
      <c r="G229" s="110"/>
      <c r="H229" s="110"/>
      <c r="I229" s="110"/>
      <c r="J229" s="110"/>
      <c r="K229" s="110"/>
      <c r="L229" s="110"/>
      <c r="M229" s="110"/>
      <c r="N229" s="110"/>
      <c r="O229" s="110"/>
      <c r="P229" s="110"/>
      <c r="Q229" s="110"/>
      <c r="R229" s="110"/>
      <c r="S229" s="110"/>
      <c r="T229" s="110"/>
      <c r="U229" s="110"/>
      <c r="V229" s="110"/>
      <c r="W229" s="110"/>
      <c r="X229" s="110"/>
      <c r="Y229" s="110"/>
      <c r="Z229" s="110"/>
      <c r="AA229" s="110"/>
      <c r="AB229" s="110"/>
      <c r="AC229" s="110"/>
      <c r="AD229" s="110"/>
      <c r="AE229" s="110"/>
      <c r="AF229" s="110"/>
      <c r="AG229" s="110"/>
      <c r="AH229" s="110"/>
    </row>
    <row r="230">
      <c r="A230" s="110"/>
      <c r="B230" s="110"/>
      <c r="C230" s="110"/>
      <c r="D230" s="110"/>
      <c r="E230" s="110"/>
      <c r="F230" s="110"/>
      <c r="G230" s="110"/>
      <c r="H230" s="110"/>
      <c r="I230" s="110"/>
      <c r="J230" s="110"/>
      <c r="K230" s="110"/>
      <c r="L230" s="110"/>
      <c r="M230" s="110"/>
      <c r="N230" s="110"/>
      <c r="O230" s="110"/>
      <c r="P230" s="110"/>
      <c r="Q230" s="110"/>
      <c r="R230" s="110"/>
      <c r="S230" s="110"/>
      <c r="T230" s="110"/>
      <c r="U230" s="110"/>
      <c r="V230" s="110"/>
      <c r="W230" s="110"/>
      <c r="X230" s="110"/>
      <c r="Y230" s="110"/>
      <c r="Z230" s="110"/>
      <c r="AA230" s="110"/>
      <c r="AB230" s="110"/>
      <c r="AC230" s="110"/>
      <c r="AD230" s="110"/>
      <c r="AE230" s="110"/>
      <c r="AF230" s="110"/>
      <c r="AG230" s="110"/>
      <c r="AH230" s="110"/>
    </row>
    <row r="231">
      <c r="A231" s="110"/>
      <c r="B231" s="110"/>
      <c r="C231" s="110"/>
      <c r="D231" s="110"/>
      <c r="E231" s="110"/>
      <c r="F231" s="110"/>
      <c r="G231" s="110"/>
      <c r="H231" s="110"/>
      <c r="I231" s="110"/>
      <c r="J231" s="110"/>
      <c r="K231" s="110"/>
      <c r="L231" s="110"/>
      <c r="M231" s="110"/>
      <c r="N231" s="110"/>
      <c r="O231" s="110"/>
      <c r="P231" s="110"/>
      <c r="Q231" s="110"/>
      <c r="R231" s="110"/>
      <c r="S231" s="110"/>
      <c r="T231" s="110"/>
      <c r="U231" s="110"/>
      <c r="V231" s="110"/>
      <c r="W231" s="110"/>
      <c r="X231" s="110"/>
      <c r="Y231" s="110"/>
      <c r="Z231" s="110"/>
      <c r="AA231" s="110"/>
      <c r="AB231" s="110"/>
      <c r="AC231" s="110"/>
      <c r="AD231" s="110"/>
      <c r="AE231" s="110"/>
      <c r="AF231" s="110"/>
      <c r="AG231" s="110"/>
      <c r="AH231" s="110"/>
    </row>
    <row r="232">
      <c r="A232" s="110"/>
      <c r="B232" s="110"/>
      <c r="C232" s="110"/>
      <c r="D232" s="110"/>
      <c r="E232" s="110"/>
      <c r="F232" s="110"/>
      <c r="G232" s="110"/>
      <c r="H232" s="110"/>
      <c r="I232" s="110"/>
      <c r="J232" s="110"/>
      <c r="K232" s="110"/>
      <c r="L232" s="110"/>
      <c r="M232" s="110"/>
      <c r="N232" s="110"/>
      <c r="O232" s="110"/>
      <c r="P232" s="110"/>
      <c r="Q232" s="110"/>
      <c r="R232" s="110"/>
      <c r="S232" s="110"/>
      <c r="T232" s="110"/>
      <c r="U232" s="110"/>
      <c r="V232" s="110"/>
      <c r="W232" s="110"/>
      <c r="X232" s="110"/>
      <c r="Y232" s="110"/>
      <c r="Z232" s="110"/>
      <c r="AA232" s="110"/>
      <c r="AB232" s="110"/>
      <c r="AC232" s="110"/>
      <c r="AD232" s="110"/>
      <c r="AE232" s="110"/>
      <c r="AF232" s="110"/>
      <c r="AG232" s="110"/>
      <c r="AH232" s="110"/>
    </row>
    <row r="233">
      <c r="A233" s="110"/>
      <c r="B233" s="110"/>
      <c r="C233" s="110"/>
      <c r="D233" s="110"/>
      <c r="E233" s="110"/>
      <c r="F233" s="110"/>
      <c r="G233" s="110"/>
      <c r="H233" s="110"/>
      <c r="I233" s="110"/>
      <c r="J233" s="110"/>
      <c r="K233" s="110"/>
      <c r="L233" s="110"/>
      <c r="M233" s="110"/>
      <c r="N233" s="110"/>
      <c r="O233" s="110"/>
      <c r="P233" s="110"/>
      <c r="Q233" s="110"/>
      <c r="R233" s="110"/>
      <c r="S233" s="110"/>
      <c r="T233" s="110"/>
      <c r="U233" s="110"/>
      <c r="V233" s="110"/>
      <c r="W233" s="110"/>
      <c r="X233" s="110"/>
      <c r="Y233" s="110"/>
      <c r="Z233" s="110"/>
      <c r="AA233" s="110"/>
      <c r="AB233" s="110"/>
      <c r="AC233" s="110"/>
      <c r="AD233" s="110"/>
      <c r="AE233" s="110"/>
      <c r="AF233" s="110"/>
      <c r="AG233" s="110"/>
      <c r="AH233" s="110"/>
    </row>
    <row r="234">
      <c r="A234" s="110"/>
      <c r="B234" s="110"/>
      <c r="C234" s="110"/>
      <c r="D234" s="110"/>
      <c r="E234" s="110"/>
      <c r="F234" s="110"/>
      <c r="G234" s="110"/>
      <c r="H234" s="110"/>
      <c r="I234" s="110"/>
      <c r="J234" s="110"/>
      <c r="K234" s="110"/>
      <c r="L234" s="110"/>
      <c r="M234" s="110"/>
      <c r="N234" s="110"/>
      <c r="O234" s="110"/>
      <c r="P234" s="110"/>
      <c r="Q234" s="110"/>
      <c r="R234" s="110"/>
      <c r="S234" s="110"/>
      <c r="T234" s="110"/>
      <c r="U234" s="110"/>
      <c r="V234" s="110"/>
      <c r="W234" s="110"/>
      <c r="X234" s="110"/>
      <c r="Y234" s="110"/>
      <c r="Z234" s="110"/>
      <c r="AA234" s="110"/>
      <c r="AB234" s="110"/>
      <c r="AC234" s="110"/>
      <c r="AD234" s="110"/>
      <c r="AE234" s="110"/>
      <c r="AF234" s="110"/>
      <c r="AG234" s="110"/>
      <c r="AH234" s="110"/>
    </row>
    <row r="235">
      <c r="A235" s="110"/>
      <c r="B235" s="110"/>
      <c r="C235" s="110"/>
      <c r="D235" s="110"/>
      <c r="E235" s="110"/>
      <c r="F235" s="110"/>
      <c r="G235" s="110"/>
      <c r="H235" s="110"/>
      <c r="I235" s="110"/>
      <c r="J235" s="110"/>
      <c r="K235" s="110"/>
      <c r="L235" s="110"/>
      <c r="M235" s="110"/>
      <c r="N235" s="110"/>
      <c r="O235" s="110"/>
      <c r="P235" s="110"/>
      <c r="Q235" s="110"/>
      <c r="R235" s="110"/>
      <c r="S235" s="110"/>
      <c r="T235" s="110"/>
      <c r="U235" s="110"/>
      <c r="V235" s="110"/>
      <c r="W235" s="110"/>
      <c r="X235" s="110"/>
      <c r="Y235" s="110"/>
      <c r="Z235" s="110"/>
      <c r="AA235" s="110"/>
      <c r="AB235" s="110"/>
      <c r="AC235" s="110"/>
      <c r="AD235" s="110"/>
      <c r="AE235" s="110"/>
      <c r="AF235" s="110"/>
      <c r="AG235" s="110"/>
      <c r="AH235" s="110"/>
    </row>
    <row r="236">
      <c r="A236" s="110"/>
      <c r="B236" s="110"/>
      <c r="C236" s="110"/>
      <c r="D236" s="110"/>
      <c r="E236" s="110"/>
      <c r="F236" s="110"/>
      <c r="G236" s="110"/>
      <c r="H236" s="110"/>
      <c r="I236" s="110"/>
      <c r="J236" s="110"/>
      <c r="K236" s="110"/>
      <c r="L236" s="110"/>
      <c r="M236" s="110"/>
      <c r="N236" s="110"/>
      <c r="O236" s="110"/>
      <c r="P236" s="110"/>
      <c r="Q236" s="110"/>
      <c r="R236" s="110"/>
      <c r="S236" s="110"/>
      <c r="T236" s="110"/>
      <c r="U236" s="110"/>
      <c r="V236" s="110"/>
      <c r="W236" s="110"/>
      <c r="X236" s="110"/>
      <c r="Y236" s="110"/>
      <c r="Z236" s="110"/>
      <c r="AA236" s="110"/>
      <c r="AB236" s="110"/>
      <c r="AC236" s="110"/>
      <c r="AD236" s="110"/>
      <c r="AE236" s="110"/>
      <c r="AF236" s="110"/>
      <c r="AG236" s="110"/>
      <c r="AH236" s="110"/>
    </row>
    <row r="237">
      <c r="A237" s="110"/>
      <c r="B237" s="110"/>
      <c r="C237" s="110"/>
      <c r="D237" s="110"/>
      <c r="E237" s="110"/>
      <c r="F237" s="110"/>
      <c r="G237" s="110"/>
      <c r="H237" s="110"/>
      <c r="I237" s="110"/>
      <c r="J237" s="110"/>
      <c r="K237" s="110"/>
      <c r="L237" s="110"/>
      <c r="M237" s="110"/>
      <c r="N237" s="110"/>
      <c r="O237" s="110"/>
      <c r="P237" s="110"/>
      <c r="Q237" s="110"/>
      <c r="R237" s="110"/>
      <c r="S237" s="110"/>
      <c r="T237" s="110"/>
      <c r="U237" s="110"/>
      <c r="V237" s="110"/>
      <c r="W237" s="110"/>
      <c r="X237" s="110"/>
      <c r="Y237" s="110"/>
      <c r="Z237" s="110"/>
      <c r="AA237" s="110"/>
      <c r="AB237" s="110"/>
      <c r="AC237" s="110"/>
      <c r="AD237" s="110"/>
      <c r="AE237" s="110"/>
      <c r="AF237" s="110"/>
      <c r="AG237" s="110"/>
      <c r="AH237" s="110"/>
    </row>
    <row r="238">
      <c r="A238" s="110"/>
      <c r="B238" s="110"/>
      <c r="C238" s="110"/>
      <c r="D238" s="110"/>
      <c r="E238" s="110"/>
      <c r="F238" s="110"/>
      <c r="G238" s="110"/>
      <c r="H238" s="110"/>
      <c r="I238" s="110"/>
      <c r="J238" s="110"/>
      <c r="K238" s="110"/>
      <c r="L238" s="110"/>
      <c r="M238" s="110"/>
      <c r="N238" s="110"/>
      <c r="O238" s="110"/>
      <c r="P238" s="110"/>
      <c r="Q238" s="110"/>
      <c r="R238" s="110"/>
      <c r="S238" s="110"/>
      <c r="T238" s="110"/>
      <c r="U238" s="110"/>
      <c r="V238" s="110"/>
      <c r="W238" s="110"/>
      <c r="X238" s="110"/>
      <c r="Y238" s="110"/>
      <c r="Z238" s="110"/>
      <c r="AA238" s="110"/>
      <c r="AB238" s="110"/>
      <c r="AC238" s="110"/>
      <c r="AD238" s="110"/>
      <c r="AE238" s="110"/>
      <c r="AF238" s="110"/>
      <c r="AG238" s="110"/>
      <c r="AH238" s="110"/>
    </row>
    <row r="239">
      <c r="A239" s="110"/>
      <c r="B239" s="110"/>
      <c r="C239" s="110"/>
      <c r="D239" s="110"/>
      <c r="E239" s="110"/>
      <c r="F239" s="110"/>
      <c r="G239" s="110"/>
      <c r="H239" s="110"/>
      <c r="I239" s="110"/>
      <c r="J239" s="110"/>
      <c r="K239" s="110"/>
      <c r="L239" s="110"/>
      <c r="M239" s="110"/>
      <c r="N239" s="110"/>
      <c r="O239" s="110"/>
      <c r="P239" s="110"/>
      <c r="Q239" s="110"/>
      <c r="R239" s="110"/>
      <c r="S239" s="110"/>
      <c r="T239" s="110"/>
      <c r="U239" s="110"/>
      <c r="V239" s="110"/>
      <c r="W239" s="110"/>
      <c r="X239" s="110"/>
      <c r="Y239" s="110"/>
      <c r="Z239" s="110"/>
      <c r="AA239" s="110"/>
      <c r="AB239" s="110"/>
      <c r="AC239" s="110"/>
      <c r="AD239" s="110"/>
      <c r="AE239" s="110"/>
      <c r="AF239" s="110"/>
      <c r="AG239" s="110"/>
      <c r="AH239" s="110"/>
    </row>
    <row r="240">
      <c r="A240" s="110"/>
      <c r="B240" s="110"/>
      <c r="C240" s="110"/>
      <c r="D240" s="110"/>
      <c r="E240" s="110"/>
      <c r="F240" s="110"/>
      <c r="G240" s="110"/>
      <c r="H240" s="110"/>
      <c r="I240" s="110"/>
      <c r="J240" s="110"/>
      <c r="K240" s="110"/>
      <c r="L240" s="110"/>
      <c r="M240" s="110"/>
      <c r="N240" s="110"/>
      <c r="O240" s="110"/>
      <c r="P240" s="110"/>
      <c r="Q240" s="110"/>
      <c r="R240" s="110"/>
      <c r="S240" s="110"/>
      <c r="T240" s="110"/>
      <c r="U240" s="110"/>
      <c r="V240" s="110"/>
      <c r="W240" s="110"/>
      <c r="X240" s="110"/>
      <c r="Y240" s="110"/>
      <c r="Z240" s="110"/>
      <c r="AA240" s="110"/>
      <c r="AB240" s="110"/>
      <c r="AC240" s="110"/>
      <c r="AD240" s="110"/>
      <c r="AE240" s="110"/>
      <c r="AF240" s="110"/>
      <c r="AG240" s="110"/>
      <c r="AH240" s="110"/>
    </row>
    <row r="241">
      <c r="A241" s="110"/>
      <c r="B241" s="110"/>
      <c r="C241" s="110"/>
      <c r="D241" s="110"/>
      <c r="E241" s="110"/>
      <c r="F241" s="110"/>
      <c r="G241" s="110"/>
      <c r="H241" s="110"/>
      <c r="I241" s="110"/>
      <c r="J241" s="110"/>
      <c r="K241" s="110"/>
      <c r="L241" s="110"/>
      <c r="M241" s="110"/>
      <c r="N241" s="110"/>
      <c r="O241" s="110"/>
      <c r="P241" s="110"/>
      <c r="Q241" s="110"/>
      <c r="R241" s="110"/>
      <c r="S241" s="110"/>
      <c r="T241" s="110"/>
      <c r="U241" s="110"/>
      <c r="V241" s="110"/>
      <c r="W241" s="110"/>
      <c r="X241" s="110"/>
      <c r="Y241" s="110"/>
      <c r="Z241" s="110"/>
      <c r="AA241" s="110"/>
      <c r="AB241" s="110"/>
      <c r="AC241" s="110"/>
      <c r="AD241" s="110"/>
      <c r="AE241" s="110"/>
      <c r="AF241" s="110"/>
      <c r="AG241" s="110"/>
      <c r="AH241" s="110"/>
    </row>
    <row r="242">
      <c r="A242" s="110"/>
      <c r="B242" s="110"/>
      <c r="C242" s="110"/>
      <c r="D242" s="110"/>
      <c r="E242" s="110"/>
      <c r="F242" s="110"/>
      <c r="G242" s="110"/>
      <c r="H242" s="110"/>
      <c r="I242" s="110"/>
      <c r="J242" s="110"/>
      <c r="K242" s="110"/>
      <c r="L242" s="110"/>
      <c r="M242" s="110"/>
      <c r="N242" s="110"/>
      <c r="O242" s="110"/>
      <c r="P242" s="110"/>
      <c r="Q242" s="110"/>
      <c r="R242" s="110"/>
      <c r="S242" s="110"/>
      <c r="T242" s="110"/>
      <c r="U242" s="110"/>
      <c r="V242" s="110"/>
      <c r="W242" s="110"/>
      <c r="X242" s="110"/>
      <c r="Y242" s="110"/>
      <c r="Z242" s="110"/>
      <c r="AA242" s="110"/>
      <c r="AB242" s="110"/>
      <c r="AC242" s="110"/>
      <c r="AD242" s="110"/>
      <c r="AE242" s="110"/>
      <c r="AF242" s="110"/>
      <c r="AG242" s="110"/>
      <c r="AH242" s="110"/>
    </row>
    <row r="243">
      <c r="A243" s="110"/>
      <c r="B243" s="110"/>
      <c r="C243" s="110"/>
      <c r="D243" s="110"/>
      <c r="E243" s="110"/>
      <c r="F243" s="110"/>
      <c r="G243" s="110"/>
      <c r="H243" s="110"/>
      <c r="I243" s="110"/>
      <c r="J243" s="110"/>
      <c r="K243" s="110"/>
      <c r="L243" s="110"/>
      <c r="M243" s="110"/>
      <c r="N243" s="110"/>
      <c r="O243" s="110"/>
      <c r="P243" s="110"/>
      <c r="Q243" s="110"/>
      <c r="R243" s="110"/>
      <c r="S243" s="110"/>
      <c r="T243" s="110"/>
      <c r="U243" s="110"/>
      <c r="V243" s="110"/>
      <c r="W243" s="110"/>
      <c r="X243" s="110"/>
      <c r="Y243" s="110"/>
      <c r="Z243" s="110"/>
      <c r="AA243" s="110"/>
      <c r="AB243" s="110"/>
      <c r="AC243" s="110"/>
      <c r="AD243" s="110"/>
      <c r="AE243" s="110"/>
      <c r="AF243" s="110"/>
      <c r="AG243" s="110"/>
      <c r="AH243" s="110"/>
    </row>
    <row r="244">
      <c r="A244" s="110"/>
      <c r="B244" s="110"/>
      <c r="C244" s="110"/>
      <c r="D244" s="110"/>
      <c r="E244" s="110"/>
      <c r="F244" s="110"/>
      <c r="G244" s="110"/>
      <c r="H244" s="110"/>
      <c r="I244" s="110"/>
      <c r="J244" s="110"/>
      <c r="K244" s="110"/>
      <c r="L244" s="110"/>
      <c r="M244" s="110"/>
      <c r="N244" s="110"/>
      <c r="O244" s="110"/>
      <c r="P244" s="110"/>
      <c r="Q244" s="110"/>
      <c r="R244" s="110"/>
      <c r="S244" s="110"/>
      <c r="T244" s="110"/>
      <c r="U244" s="110"/>
      <c r="V244" s="110"/>
      <c r="W244" s="110"/>
      <c r="X244" s="110"/>
      <c r="Y244" s="110"/>
      <c r="Z244" s="110"/>
      <c r="AA244" s="110"/>
      <c r="AB244" s="110"/>
      <c r="AC244" s="110"/>
      <c r="AD244" s="110"/>
      <c r="AE244" s="110"/>
      <c r="AF244" s="110"/>
      <c r="AG244" s="110"/>
      <c r="AH244" s="110"/>
    </row>
    <row r="245">
      <c r="A245" s="110"/>
      <c r="B245" s="110"/>
      <c r="C245" s="110"/>
      <c r="D245" s="110"/>
      <c r="E245" s="110"/>
      <c r="F245" s="110"/>
      <c r="G245" s="110"/>
      <c r="H245" s="110"/>
      <c r="I245" s="110"/>
      <c r="J245" s="110"/>
      <c r="K245" s="110"/>
      <c r="L245" s="110"/>
      <c r="M245" s="110"/>
      <c r="N245" s="110"/>
      <c r="O245" s="110"/>
      <c r="P245" s="110"/>
      <c r="Q245" s="110"/>
      <c r="R245" s="110"/>
      <c r="S245" s="110"/>
      <c r="T245" s="110"/>
      <c r="U245" s="110"/>
      <c r="V245" s="110"/>
      <c r="W245" s="110"/>
      <c r="X245" s="110"/>
      <c r="Y245" s="110"/>
      <c r="Z245" s="110"/>
      <c r="AA245" s="110"/>
      <c r="AB245" s="110"/>
      <c r="AC245" s="110"/>
      <c r="AD245" s="110"/>
      <c r="AE245" s="110"/>
      <c r="AF245" s="110"/>
      <c r="AG245" s="110"/>
      <c r="AH245" s="110"/>
    </row>
    <row r="246">
      <c r="A246" s="110"/>
      <c r="B246" s="110"/>
      <c r="C246" s="110"/>
      <c r="D246" s="110"/>
      <c r="E246" s="110"/>
      <c r="F246" s="110"/>
      <c r="G246" s="110"/>
      <c r="H246" s="110"/>
      <c r="I246" s="110"/>
      <c r="J246" s="110"/>
      <c r="K246" s="110"/>
      <c r="L246" s="110"/>
      <c r="M246" s="110"/>
      <c r="N246" s="110"/>
      <c r="O246" s="110"/>
      <c r="P246" s="110"/>
      <c r="Q246" s="110"/>
      <c r="R246" s="110"/>
      <c r="S246" s="110"/>
      <c r="T246" s="110"/>
      <c r="U246" s="110"/>
      <c r="V246" s="110"/>
      <c r="W246" s="110"/>
      <c r="X246" s="110"/>
      <c r="Y246" s="110"/>
      <c r="Z246" s="110"/>
      <c r="AA246" s="110"/>
      <c r="AB246" s="110"/>
      <c r="AC246" s="110"/>
      <c r="AD246" s="110"/>
      <c r="AE246" s="110"/>
      <c r="AF246" s="110"/>
      <c r="AG246" s="110"/>
      <c r="AH246" s="110"/>
    </row>
    <row r="247">
      <c r="A247" s="110"/>
      <c r="B247" s="110"/>
      <c r="C247" s="110"/>
      <c r="D247" s="110"/>
      <c r="E247" s="110"/>
      <c r="F247" s="110"/>
      <c r="G247" s="110"/>
      <c r="H247" s="110"/>
      <c r="I247" s="110"/>
      <c r="J247" s="110"/>
      <c r="K247" s="110"/>
      <c r="L247" s="110"/>
      <c r="M247" s="110"/>
      <c r="N247" s="110"/>
      <c r="O247" s="110"/>
      <c r="P247" s="110"/>
      <c r="Q247" s="110"/>
      <c r="R247" s="110"/>
      <c r="S247" s="110"/>
      <c r="T247" s="110"/>
      <c r="U247" s="110"/>
      <c r="V247" s="110"/>
      <c r="W247" s="110"/>
      <c r="X247" s="110"/>
      <c r="Y247" s="110"/>
      <c r="Z247" s="110"/>
      <c r="AA247" s="110"/>
      <c r="AB247" s="110"/>
      <c r="AC247" s="110"/>
      <c r="AD247" s="110"/>
      <c r="AE247" s="110"/>
      <c r="AF247" s="110"/>
      <c r="AG247" s="110"/>
      <c r="AH247" s="110"/>
    </row>
    <row r="248">
      <c r="A248" s="110"/>
      <c r="B248" s="110"/>
      <c r="C248" s="110"/>
      <c r="D248" s="110"/>
      <c r="E248" s="110"/>
      <c r="F248" s="110"/>
      <c r="G248" s="110"/>
      <c r="H248" s="110"/>
      <c r="I248" s="110"/>
      <c r="J248" s="110"/>
      <c r="K248" s="110"/>
      <c r="L248" s="110"/>
      <c r="M248" s="110"/>
      <c r="N248" s="110"/>
      <c r="O248" s="110"/>
      <c r="P248" s="110"/>
      <c r="Q248" s="110"/>
      <c r="R248" s="110"/>
      <c r="S248" s="110"/>
      <c r="T248" s="110"/>
      <c r="U248" s="110"/>
      <c r="V248" s="110"/>
      <c r="W248" s="110"/>
      <c r="X248" s="110"/>
      <c r="Y248" s="110"/>
      <c r="Z248" s="110"/>
      <c r="AA248" s="110"/>
      <c r="AB248" s="110"/>
      <c r="AC248" s="110"/>
      <c r="AD248" s="110"/>
      <c r="AE248" s="110"/>
      <c r="AF248" s="110"/>
      <c r="AG248" s="110"/>
      <c r="AH248" s="110"/>
    </row>
    <row r="249">
      <c r="A249" s="110"/>
      <c r="B249" s="110"/>
      <c r="C249" s="110"/>
      <c r="D249" s="110"/>
      <c r="E249" s="110"/>
      <c r="F249" s="110"/>
      <c r="G249" s="110"/>
      <c r="H249" s="110"/>
      <c r="I249" s="110"/>
      <c r="J249" s="110"/>
      <c r="K249" s="110"/>
      <c r="L249" s="110"/>
      <c r="M249" s="110"/>
      <c r="N249" s="110"/>
      <c r="O249" s="110"/>
      <c r="P249" s="110"/>
      <c r="Q249" s="110"/>
      <c r="R249" s="110"/>
      <c r="S249" s="110"/>
      <c r="T249" s="110"/>
      <c r="U249" s="110"/>
      <c r="V249" s="110"/>
      <c r="W249" s="110"/>
      <c r="X249" s="110"/>
      <c r="Y249" s="110"/>
      <c r="Z249" s="110"/>
      <c r="AA249" s="110"/>
      <c r="AB249" s="110"/>
      <c r="AC249" s="110"/>
      <c r="AD249" s="110"/>
      <c r="AE249" s="110"/>
      <c r="AF249" s="110"/>
      <c r="AG249" s="110"/>
      <c r="AH249" s="110"/>
    </row>
    <row r="250">
      <c r="A250" s="110"/>
      <c r="B250" s="110"/>
      <c r="C250" s="110"/>
      <c r="D250" s="110"/>
      <c r="E250" s="110"/>
      <c r="F250" s="110"/>
      <c r="G250" s="110"/>
      <c r="H250" s="110"/>
      <c r="I250" s="110"/>
      <c r="J250" s="110"/>
      <c r="K250" s="110"/>
      <c r="L250" s="110"/>
      <c r="M250" s="110"/>
      <c r="N250" s="110"/>
      <c r="O250" s="110"/>
      <c r="P250" s="110"/>
      <c r="Q250" s="110"/>
      <c r="R250" s="110"/>
      <c r="S250" s="110"/>
      <c r="T250" s="110"/>
      <c r="U250" s="110"/>
      <c r="V250" s="110"/>
      <c r="W250" s="110"/>
      <c r="X250" s="110"/>
      <c r="Y250" s="110"/>
      <c r="Z250" s="110"/>
      <c r="AA250" s="110"/>
      <c r="AB250" s="110"/>
      <c r="AC250" s="110"/>
      <c r="AD250" s="110"/>
      <c r="AE250" s="110"/>
      <c r="AF250" s="110"/>
      <c r="AG250" s="110"/>
      <c r="AH250" s="110"/>
    </row>
    <row r="251">
      <c r="A251" s="110"/>
      <c r="B251" s="110"/>
      <c r="C251" s="110"/>
      <c r="D251" s="110"/>
      <c r="E251" s="110"/>
      <c r="F251" s="110"/>
      <c r="G251" s="110"/>
      <c r="H251" s="110"/>
      <c r="I251" s="110"/>
      <c r="J251" s="110"/>
      <c r="K251" s="110"/>
      <c r="L251" s="110"/>
      <c r="M251" s="110"/>
      <c r="N251" s="110"/>
      <c r="O251" s="110"/>
      <c r="P251" s="110"/>
      <c r="Q251" s="110"/>
      <c r="R251" s="110"/>
      <c r="S251" s="110"/>
      <c r="T251" s="110"/>
      <c r="U251" s="110"/>
      <c r="V251" s="110"/>
      <c r="W251" s="110"/>
      <c r="X251" s="110"/>
      <c r="Y251" s="110"/>
      <c r="Z251" s="110"/>
      <c r="AA251" s="110"/>
      <c r="AB251" s="110"/>
      <c r="AC251" s="110"/>
      <c r="AD251" s="110"/>
      <c r="AE251" s="110"/>
      <c r="AF251" s="110"/>
      <c r="AG251" s="110"/>
      <c r="AH251" s="110"/>
    </row>
    <row r="252">
      <c r="A252" s="110"/>
      <c r="B252" s="110"/>
      <c r="C252" s="110"/>
      <c r="D252" s="110"/>
      <c r="E252" s="110"/>
      <c r="F252" s="110"/>
      <c r="G252" s="110"/>
      <c r="H252" s="110"/>
      <c r="I252" s="110"/>
      <c r="J252" s="110"/>
      <c r="K252" s="110"/>
      <c r="L252" s="110"/>
      <c r="M252" s="110"/>
      <c r="N252" s="110"/>
      <c r="O252" s="110"/>
      <c r="P252" s="110"/>
      <c r="Q252" s="110"/>
      <c r="R252" s="110"/>
      <c r="S252" s="110"/>
      <c r="T252" s="110"/>
      <c r="U252" s="110"/>
      <c r="V252" s="110"/>
      <c r="W252" s="110"/>
      <c r="X252" s="110"/>
      <c r="Y252" s="110"/>
      <c r="Z252" s="110"/>
      <c r="AA252" s="110"/>
      <c r="AB252" s="110"/>
      <c r="AC252" s="110"/>
      <c r="AD252" s="110"/>
      <c r="AE252" s="110"/>
      <c r="AF252" s="110"/>
      <c r="AG252" s="110"/>
      <c r="AH252" s="110"/>
    </row>
    <row r="253">
      <c r="A253" s="110"/>
      <c r="B253" s="110"/>
      <c r="C253" s="110"/>
      <c r="D253" s="110"/>
      <c r="E253" s="110"/>
      <c r="F253" s="110"/>
      <c r="G253" s="110"/>
      <c r="H253" s="110"/>
      <c r="I253" s="110"/>
      <c r="J253" s="110"/>
      <c r="K253" s="110"/>
      <c r="L253" s="110"/>
      <c r="M253" s="110"/>
      <c r="N253" s="110"/>
      <c r="O253" s="110"/>
      <c r="P253" s="110"/>
      <c r="Q253" s="110"/>
      <c r="R253" s="110"/>
      <c r="S253" s="110"/>
      <c r="T253" s="110"/>
      <c r="U253" s="110"/>
      <c r="V253" s="110"/>
      <c r="W253" s="110"/>
      <c r="X253" s="110"/>
      <c r="Y253" s="110"/>
      <c r="Z253" s="110"/>
      <c r="AA253" s="110"/>
      <c r="AB253" s="110"/>
      <c r="AC253" s="110"/>
      <c r="AD253" s="110"/>
      <c r="AE253" s="110"/>
      <c r="AF253" s="110"/>
      <c r="AG253" s="110"/>
      <c r="AH253" s="110"/>
    </row>
    <row r="254">
      <c r="A254" s="110"/>
      <c r="B254" s="110"/>
      <c r="C254" s="110"/>
      <c r="D254" s="110"/>
      <c r="E254" s="110"/>
      <c r="F254" s="110"/>
      <c r="G254" s="110"/>
      <c r="H254" s="110"/>
      <c r="I254" s="110"/>
      <c r="J254" s="110"/>
      <c r="K254" s="110"/>
      <c r="L254" s="110"/>
      <c r="M254" s="110"/>
      <c r="N254" s="110"/>
      <c r="O254" s="110"/>
      <c r="P254" s="110"/>
      <c r="Q254" s="110"/>
      <c r="R254" s="110"/>
      <c r="S254" s="110"/>
      <c r="T254" s="110"/>
      <c r="U254" s="110"/>
      <c r="V254" s="110"/>
      <c r="W254" s="110"/>
      <c r="X254" s="110"/>
      <c r="Y254" s="110"/>
      <c r="Z254" s="110"/>
      <c r="AA254" s="110"/>
      <c r="AB254" s="110"/>
      <c r="AC254" s="110"/>
      <c r="AD254" s="110"/>
      <c r="AE254" s="110"/>
      <c r="AF254" s="110"/>
      <c r="AG254" s="110"/>
      <c r="AH254" s="110"/>
    </row>
    <row r="255">
      <c r="A255" s="110"/>
      <c r="B255" s="110"/>
      <c r="C255" s="110"/>
      <c r="D255" s="110"/>
      <c r="E255" s="110"/>
      <c r="F255" s="110"/>
      <c r="G255" s="110"/>
      <c r="H255" s="110"/>
      <c r="I255" s="110"/>
      <c r="J255" s="110"/>
      <c r="K255" s="110"/>
      <c r="L255" s="110"/>
      <c r="M255" s="110"/>
      <c r="N255" s="110"/>
      <c r="O255" s="110"/>
      <c r="P255" s="110"/>
      <c r="Q255" s="110"/>
      <c r="R255" s="110"/>
      <c r="S255" s="110"/>
      <c r="T255" s="110"/>
      <c r="U255" s="110"/>
      <c r="V255" s="110"/>
      <c r="W255" s="110"/>
      <c r="X255" s="110"/>
      <c r="Y255" s="110"/>
      <c r="Z255" s="110"/>
      <c r="AA255" s="110"/>
      <c r="AB255" s="110"/>
      <c r="AC255" s="110"/>
      <c r="AD255" s="110"/>
      <c r="AE255" s="110"/>
      <c r="AF255" s="110"/>
      <c r="AG255" s="110"/>
      <c r="AH255" s="110"/>
    </row>
    <row r="256">
      <c r="A256" s="110"/>
      <c r="B256" s="110"/>
      <c r="C256" s="110"/>
      <c r="D256" s="110"/>
      <c r="E256" s="110"/>
      <c r="F256" s="110"/>
      <c r="G256" s="110"/>
      <c r="H256" s="110"/>
      <c r="I256" s="110"/>
      <c r="J256" s="110"/>
      <c r="K256" s="110"/>
      <c r="L256" s="110"/>
      <c r="M256" s="110"/>
      <c r="N256" s="110"/>
      <c r="O256" s="110"/>
      <c r="P256" s="110"/>
      <c r="Q256" s="110"/>
      <c r="R256" s="110"/>
      <c r="S256" s="110"/>
      <c r="T256" s="110"/>
      <c r="U256" s="110"/>
      <c r="V256" s="110"/>
      <c r="W256" s="110"/>
      <c r="X256" s="110"/>
      <c r="Y256" s="110"/>
      <c r="Z256" s="110"/>
      <c r="AA256" s="110"/>
      <c r="AB256" s="110"/>
      <c r="AC256" s="110"/>
      <c r="AD256" s="110"/>
      <c r="AE256" s="110"/>
      <c r="AF256" s="110"/>
      <c r="AG256" s="110"/>
      <c r="AH256" s="110"/>
    </row>
    <row r="257">
      <c r="A257" s="110"/>
      <c r="B257" s="110"/>
      <c r="C257" s="110"/>
      <c r="D257" s="110"/>
      <c r="E257" s="110"/>
      <c r="F257" s="110"/>
      <c r="G257" s="110"/>
      <c r="H257" s="110"/>
      <c r="I257" s="110"/>
      <c r="J257" s="110"/>
      <c r="K257" s="110"/>
      <c r="L257" s="110"/>
      <c r="M257" s="110"/>
      <c r="N257" s="110"/>
      <c r="O257" s="110"/>
      <c r="P257" s="110"/>
      <c r="Q257" s="110"/>
      <c r="R257" s="110"/>
      <c r="S257" s="110"/>
      <c r="T257" s="110"/>
      <c r="U257" s="110"/>
      <c r="V257" s="110"/>
      <c r="W257" s="110"/>
      <c r="X257" s="110"/>
      <c r="Y257" s="110"/>
      <c r="Z257" s="110"/>
      <c r="AA257" s="110"/>
      <c r="AB257" s="110"/>
      <c r="AC257" s="110"/>
      <c r="AD257" s="110"/>
      <c r="AE257" s="110"/>
      <c r="AF257" s="110"/>
      <c r="AG257" s="110"/>
      <c r="AH257" s="110"/>
    </row>
    <row r="258">
      <c r="A258" s="110"/>
      <c r="B258" s="110"/>
      <c r="C258" s="110"/>
      <c r="D258" s="110"/>
      <c r="E258" s="110"/>
      <c r="F258" s="110"/>
      <c r="G258" s="110"/>
      <c r="H258" s="110"/>
      <c r="I258" s="110"/>
      <c r="J258" s="110"/>
      <c r="K258" s="110"/>
      <c r="L258" s="110"/>
      <c r="M258" s="110"/>
      <c r="N258" s="110"/>
      <c r="O258" s="110"/>
      <c r="P258" s="110"/>
      <c r="Q258" s="110"/>
      <c r="R258" s="110"/>
      <c r="S258" s="110"/>
      <c r="T258" s="110"/>
      <c r="U258" s="110"/>
      <c r="V258" s="110"/>
      <c r="W258" s="110"/>
      <c r="X258" s="110"/>
      <c r="Y258" s="110"/>
      <c r="Z258" s="110"/>
      <c r="AA258" s="110"/>
      <c r="AB258" s="110"/>
      <c r="AC258" s="110"/>
      <c r="AD258" s="110"/>
      <c r="AE258" s="110"/>
      <c r="AF258" s="110"/>
      <c r="AG258" s="110"/>
      <c r="AH258" s="110"/>
    </row>
    <row r="259">
      <c r="A259" s="110"/>
      <c r="B259" s="110"/>
      <c r="C259" s="110"/>
      <c r="D259" s="110"/>
      <c r="E259" s="110"/>
      <c r="F259" s="110"/>
      <c r="G259" s="110"/>
      <c r="H259" s="110"/>
      <c r="I259" s="110"/>
      <c r="J259" s="110"/>
      <c r="K259" s="110"/>
      <c r="L259" s="110"/>
      <c r="M259" s="110"/>
      <c r="N259" s="110"/>
      <c r="O259" s="110"/>
      <c r="P259" s="110"/>
      <c r="Q259" s="110"/>
      <c r="R259" s="110"/>
      <c r="S259" s="110"/>
      <c r="T259" s="110"/>
      <c r="U259" s="110"/>
      <c r="V259" s="110"/>
      <c r="W259" s="110"/>
      <c r="X259" s="110"/>
      <c r="Y259" s="110"/>
      <c r="Z259" s="110"/>
      <c r="AA259" s="110"/>
      <c r="AB259" s="110"/>
      <c r="AC259" s="110"/>
      <c r="AD259" s="110"/>
      <c r="AE259" s="110"/>
      <c r="AF259" s="110"/>
      <c r="AG259" s="110"/>
      <c r="AH259" s="110"/>
    </row>
    <row r="260">
      <c r="A260" s="110"/>
      <c r="B260" s="110"/>
      <c r="C260" s="110"/>
      <c r="D260" s="110"/>
      <c r="E260" s="110"/>
      <c r="F260" s="110"/>
      <c r="G260" s="110"/>
      <c r="H260" s="110"/>
      <c r="I260" s="110"/>
      <c r="J260" s="110"/>
      <c r="K260" s="110"/>
      <c r="L260" s="110"/>
      <c r="M260" s="110"/>
      <c r="N260" s="110"/>
      <c r="O260" s="110"/>
      <c r="P260" s="110"/>
      <c r="Q260" s="110"/>
      <c r="R260" s="110"/>
      <c r="S260" s="110"/>
      <c r="T260" s="110"/>
      <c r="U260" s="110"/>
      <c r="V260" s="110"/>
      <c r="W260" s="110"/>
      <c r="X260" s="110"/>
      <c r="Y260" s="110"/>
      <c r="Z260" s="110"/>
      <c r="AA260" s="110"/>
      <c r="AB260" s="110"/>
      <c r="AC260" s="110"/>
      <c r="AD260" s="110"/>
      <c r="AE260" s="110"/>
      <c r="AF260" s="110"/>
      <c r="AG260" s="110"/>
      <c r="AH260" s="110"/>
    </row>
    <row r="261">
      <c r="A261" s="110"/>
      <c r="B261" s="110"/>
      <c r="C261" s="110"/>
      <c r="D261" s="110"/>
      <c r="E261" s="110"/>
      <c r="F261" s="110"/>
      <c r="G261" s="110"/>
      <c r="H261" s="110"/>
      <c r="I261" s="110"/>
      <c r="J261" s="110"/>
      <c r="K261" s="110"/>
      <c r="L261" s="110"/>
      <c r="M261" s="110"/>
      <c r="N261" s="110"/>
      <c r="O261" s="110"/>
      <c r="P261" s="110"/>
      <c r="Q261" s="110"/>
      <c r="R261" s="110"/>
      <c r="S261" s="110"/>
      <c r="T261" s="110"/>
      <c r="U261" s="110"/>
      <c r="V261" s="110"/>
      <c r="W261" s="110"/>
      <c r="X261" s="110"/>
      <c r="Y261" s="110"/>
      <c r="Z261" s="110"/>
      <c r="AA261" s="110"/>
      <c r="AB261" s="110"/>
      <c r="AC261" s="110"/>
      <c r="AD261" s="110"/>
      <c r="AE261" s="110"/>
      <c r="AF261" s="110"/>
      <c r="AG261" s="110"/>
      <c r="AH261" s="110"/>
    </row>
    <row r="262">
      <c r="A262" s="110"/>
      <c r="B262" s="110"/>
      <c r="C262" s="110"/>
      <c r="D262" s="110"/>
      <c r="E262" s="110"/>
      <c r="F262" s="110"/>
      <c r="G262" s="110"/>
      <c r="H262" s="110"/>
      <c r="I262" s="110"/>
      <c r="J262" s="110"/>
      <c r="K262" s="110"/>
      <c r="L262" s="110"/>
      <c r="M262" s="110"/>
      <c r="N262" s="110"/>
      <c r="O262" s="110"/>
      <c r="P262" s="110"/>
      <c r="Q262" s="110"/>
      <c r="R262" s="110"/>
      <c r="S262" s="110"/>
      <c r="T262" s="110"/>
      <c r="U262" s="110"/>
      <c r="V262" s="110"/>
      <c r="W262" s="110"/>
      <c r="X262" s="110"/>
      <c r="Y262" s="110"/>
      <c r="Z262" s="110"/>
      <c r="AA262" s="110"/>
      <c r="AB262" s="110"/>
      <c r="AC262" s="110"/>
      <c r="AD262" s="110"/>
      <c r="AE262" s="110"/>
      <c r="AF262" s="110"/>
      <c r="AG262" s="110"/>
      <c r="AH262" s="110"/>
    </row>
    <row r="263">
      <c r="A263" s="110"/>
      <c r="B263" s="110"/>
      <c r="C263" s="110"/>
      <c r="D263" s="110"/>
      <c r="E263" s="110"/>
      <c r="F263" s="110"/>
      <c r="G263" s="110"/>
      <c r="H263" s="110"/>
      <c r="I263" s="110"/>
      <c r="J263" s="110"/>
      <c r="K263" s="110"/>
      <c r="L263" s="110"/>
      <c r="M263" s="110"/>
      <c r="N263" s="110"/>
      <c r="O263" s="110"/>
      <c r="P263" s="110"/>
      <c r="Q263" s="110"/>
      <c r="R263" s="110"/>
      <c r="S263" s="110"/>
      <c r="T263" s="110"/>
      <c r="U263" s="110"/>
      <c r="V263" s="110"/>
      <c r="W263" s="110"/>
      <c r="X263" s="110"/>
      <c r="Y263" s="110"/>
      <c r="Z263" s="110"/>
      <c r="AA263" s="110"/>
      <c r="AB263" s="110"/>
      <c r="AC263" s="110"/>
      <c r="AD263" s="110"/>
      <c r="AE263" s="110"/>
      <c r="AF263" s="110"/>
      <c r="AG263" s="110"/>
      <c r="AH263" s="110"/>
    </row>
    <row r="264">
      <c r="A264" s="110"/>
      <c r="B264" s="110"/>
      <c r="C264" s="110"/>
      <c r="D264" s="110"/>
      <c r="E264" s="110"/>
      <c r="F264" s="110"/>
      <c r="G264" s="110"/>
      <c r="H264" s="110"/>
      <c r="I264" s="110"/>
      <c r="J264" s="110"/>
      <c r="K264" s="110"/>
      <c r="L264" s="110"/>
      <c r="M264" s="110"/>
      <c r="N264" s="110"/>
      <c r="O264" s="110"/>
      <c r="P264" s="110"/>
      <c r="Q264" s="110"/>
      <c r="R264" s="110"/>
      <c r="S264" s="110"/>
      <c r="T264" s="110"/>
      <c r="U264" s="110"/>
      <c r="V264" s="110"/>
      <c r="W264" s="110"/>
      <c r="X264" s="110"/>
      <c r="Y264" s="110"/>
      <c r="Z264" s="110"/>
      <c r="AA264" s="110"/>
      <c r="AB264" s="110"/>
      <c r="AC264" s="110"/>
      <c r="AD264" s="110"/>
      <c r="AE264" s="110"/>
      <c r="AF264" s="110"/>
      <c r="AG264" s="110"/>
      <c r="AH264" s="110"/>
    </row>
    <row r="265">
      <c r="A265" s="110"/>
      <c r="B265" s="110"/>
      <c r="C265" s="110"/>
      <c r="D265" s="110"/>
      <c r="E265" s="110"/>
      <c r="F265" s="110"/>
      <c r="G265" s="110"/>
      <c r="H265" s="110"/>
      <c r="I265" s="110"/>
      <c r="J265" s="110"/>
      <c r="K265" s="110"/>
      <c r="L265" s="110"/>
      <c r="M265" s="110"/>
      <c r="N265" s="110"/>
      <c r="O265" s="110"/>
      <c r="P265" s="110"/>
      <c r="Q265" s="110"/>
      <c r="R265" s="110"/>
      <c r="S265" s="110"/>
      <c r="T265" s="110"/>
      <c r="U265" s="110"/>
      <c r="V265" s="110"/>
      <c r="W265" s="110"/>
      <c r="X265" s="110"/>
      <c r="Y265" s="110"/>
      <c r="Z265" s="110"/>
      <c r="AA265" s="110"/>
      <c r="AB265" s="110"/>
      <c r="AC265" s="110"/>
      <c r="AD265" s="110"/>
      <c r="AE265" s="110"/>
      <c r="AF265" s="110"/>
      <c r="AG265" s="110"/>
      <c r="AH265" s="110"/>
    </row>
    <row r="266">
      <c r="A266" s="110"/>
      <c r="B266" s="110"/>
      <c r="C266" s="110"/>
      <c r="D266" s="110"/>
      <c r="E266" s="110"/>
      <c r="F266" s="110"/>
      <c r="G266" s="110"/>
      <c r="H266" s="110"/>
      <c r="I266" s="110"/>
      <c r="J266" s="110"/>
      <c r="K266" s="110"/>
      <c r="L266" s="110"/>
      <c r="M266" s="110"/>
      <c r="N266" s="110"/>
      <c r="O266" s="110"/>
      <c r="P266" s="110"/>
      <c r="Q266" s="110"/>
      <c r="R266" s="110"/>
      <c r="S266" s="110"/>
      <c r="T266" s="110"/>
      <c r="U266" s="110"/>
      <c r="V266" s="110"/>
      <c r="W266" s="110"/>
      <c r="X266" s="110"/>
      <c r="Y266" s="110"/>
      <c r="Z266" s="110"/>
      <c r="AA266" s="110"/>
      <c r="AB266" s="110"/>
      <c r="AC266" s="110"/>
      <c r="AD266" s="110"/>
      <c r="AE266" s="110"/>
      <c r="AF266" s="110"/>
      <c r="AG266" s="110"/>
      <c r="AH266" s="110"/>
    </row>
    <row r="267">
      <c r="A267" s="110"/>
      <c r="B267" s="110"/>
      <c r="C267" s="110"/>
      <c r="D267" s="110"/>
      <c r="E267" s="110"/>
      <c r="F267" s="110"/>
      <c r="G267" s="110"/>
      <c r="H267" s="110"/>
      <c r="I267" s="110"/>
      <c r="J267" s="110"/>
      <c r="K267" s="110"/>
      <c r="L267" s="110"/>
      <c r="M267" s="110"/>
      <c r="N267" s="110"/>
      <c r="O267" s="110"/>
      <c r="P267" s="110"/>
      <c r="Q267" s="110"/>
      <c r="R267" s="110"/>
      <c r="S267" s="110"/>
      <c r="T267" s="110"/>
      <c r="U267" s="110"/>
      <c r="V267" s="110"/>
      <c r="W267" s="110"/>
      <c r="X267" s="110"/>
      <c r="Y267" s="110"/>
      <c r="Z267" s="110"/>
      <c r="AA267" s="110"/>
      <c r="AB267" s="110"/>
      <c r="AC267" s="110"/>
      <c r="AD267" s="110"/>
      <c r="AE267" s="110"/>
      <c r="AF267" s="110"/>
      <c r="AG267" s="110"/>
      <c r="AH267" s="110"/>
    </row>
    <row r="268">
      <c r="A268" s="110"/>
      <c r="B268" s="110"/>
      <c r="C268" s="110"/>
      <c r="D268" s="110"/>
      <c r="E268" s="110"/>
      <c r="F268" s="110"/>
      <c r="G268" s="110"/>
      <c r="H268" s="110"/>
      <c r="I268" s="110"/>
      <c r="J268" s="110"/>
      <c r="K268" s="110"/>
      <c r="L268" s="110"/>
      <c r="M268" s="110"/>
      <c r="N268" s="110"/>
      <c r="O268" s="110"/>
      <c r="P268" s="110"/>
      <c r="Q268" s="110"/>
      <c r="R268" s="110"/>
      <c r="S268" s="110"/>
      <c r="T268" s="110"/>
      <c r="U268" s="110"/>
      <c r="V268" s="110"/>
      <c r="W268" s="110"/>
      <c r="X268" s="110"/>
      <c r="Y268" s="110"/>
      <c r="Z268" s="110"/>
      <c r="AA268" s="110"/>
      <c r="AB268" s="110"/>
      <c r="AC268" s="110"/>
      <c r="AD268" s="110"/>
      <c r="AE268" s="110"/>
      <c r="AF268" s="110"/>
      <c r="AG268" s="110"/>
      <c r="AH268" s="110"/>
    </row>
    <row r="269">
      <c r="A269" s="110"/>
      <c r="B269" s="110"/>
      <c r="C269" s="110"/>
      <c r="D269" s="110"/>
      <c r="E269" s="110"/>
      <c r="F269" s="110"/>
      <c r="G269" s="110"/>
      <c r="H269" s="110"/>
      <c r="I269" s="110"/>
      <c r="J269" s="110"/>
      <c r="K269" s="110"/>
      <c r="L269" s="110"/>
      <c r="M269" s="110"/>
      <c r="N269" s="110"/>
      <c r="O269" s="110"/>
      <c r="P269" s="110"/>
      <c r="Q269" s="110"/>
      <c r="R269" s="110"/>
      <c r="S269" s="110"/>
      <c r="T269" s="110"/>
      <c r="U269" s="110"/>
      <c r="V269" s="110"/>
      <c r="W269" s="110"/>
      <c r="X269" s="110"/>
      <c r="Y269" s="110"/>
      <c r="Z269" s="110"/>
      <c r="AA269" s="110"/>
      <c r="AB269" s="110"/>
      <c r="AC269" s="110"/>
      <c r="AD269" s="110"/>
      <c r="AE269" s="110"/>
      <c r="AF269" s="110"/>
      <c r="AG269" s="110"/>
      <c r="AH269" s="110"/>
    </row>
    <row r="270">
      <c r="A270" s="110"/>
      <c r="B270" s="110"/>
      <c r="C270" s="110"/>
      <c r="D270" s="110"/>
      <c r="E270" s="110"/>
      <c r="F270" s="110"/>
      <c r="G270" s="110"/>
      <c r="H270" s="110"/>
      <c r="I270" s="110"/>
      <c r="J270" s="110"/>
      <c r="K270" s="110"/>
      <c r="L270" s="110"/>
      <c r="M270" s="110"/>
      <c r="N270" s="110"/>
      <c r="O270" s="110"/>
      <c r="P270" s="110"/>
      <c r="Q270" s="110"/>
      <c r="R270" s="110"/>
      <c r="S270" s="110"/>
      <c r="T270" s="110"/>
      <c r="U270" s="110"/>
      <c r="V270" s="110"/>
      <c r="W270" s="110"/>
      <c r="X270" s="110"/>
      <c r="Y270" s="110"/>
      <c r="Z270" s="110"/>
      <c r="AA270" s="110"/>
      <c r="AB270" s="110"/>
      <c r="AC270" s="110"/>
      <c r="AD270" s="110"/>
      <c r="AE270" s="110"/>
      <c r="AF270" s="110"/>
      <c r="AG270" s="110"/>
      <c r="AH270" s="110"/>
    </row>
    <row r="271">
      <c r="A271" s="110"/>
      <c r="B271" s="110"/>
      <c r="C271" s="110"/>
      <c r="D271" s="110"/>
      <c r="E271" s="110"/>
      <c r="F271" s="110"/>
      <c r="G271" s="110"/>
      <c r="H271" s="110"/>
      <c r="I271" s="110"/>
      <c r="J271" s="110"/>
      <c r="K271" s="110"/>
      <c r="L271" s="110"/>
      <c r="M271" s="110"/>
      <c r="N271" s="110"/>
      <c r="O271" s="110"/>
      <c r="P271" s="110"/>
      <c r="Q271" s="110"/>
      <c r="R271" s="110"/>
      <c r="S271" s="110"/>
      <c r="T271" s="110"/>
      <c r="U271" s="110"/>
      <c r="V271" s="110"/>
      <c r="W271" s="110"/>
      <c r="X271" s="110"/>
      <c r="Y271" s="110"/>
      <c r="Z271" s="110"/>
      <c r="AA271" s="110"/>
      <c r="AB271" s="110"/>
      <c r="AC271" s="110"/>
      <c r="AD271" s="110"/>
      <c r="AE271" s="110"/>
      <c r="AF271" s="110"/>
      <c r="AG271" s="110"/>
      <c r="AH271" s="110"/>
    </row>
    <row r="272">
      <c r="A272" s="110"/>
      <c r="B272" s="110"/>
      <c r="C272" s="110"/>
      <c r="D272" s="110"/>
      <c r="E272" s="110"/>
      <c r="F272" s="110"/>
      <c r="G272" s="110"/>
      <c r="H272" s="110"/>
      <c r="I272" s="110"/>
      <c r="J272" s="110"/>
      <c r="K272" s="110"/>
      <c r="L272" s="110"/>
      <c r="M272" s="110"/>
      <c r="N272" s="110"/>
      <c r="O272" s="110"/>
      <c r="P272" s="110"/>
      <c r="Q272" s="110"/>
      <c r="R272" s="110"/>
      <c r="S272" s="110"/>
      <c r="T272" s="110"/>
      <c r="U272" s="110"/>
      <c r="V272" s="110"/>
      <c r="W272" s="110"/>
      <c r="X272" s="110"/>
      <c r="Y272" s="110"/>
      <c r="Z272" s="110"/>
      <c r="AA272" s="110"/>
      <c r="AB272" s="110"/>
      <c r="AC272" s="110"/>
      <c r="AD272" s="110"/>
      <c r="AE272" s="110"/>
      <c r="AF272" s="110"/>
      <c r="AG272" s="110"/>
      <c r="AH272" s="110"/>
    </row>
    <row r="273">
      <c r="A273" s="110"/>
      <c r="B273" s="110"/>
      <c r="C273" s="110"/>
      <c r="D273" s="110"/>
      <c r="E273" s="110"/>
      <c r="F273" s="110"/>
      <c r="G273" s="110"/>
      <c r="H273" s="110"/>
      <c r="I273" s="110"/>
      <c r="J273" s="110"/>
      <c r="K273" s="110"/>
      <c r="L273" s="110"/>
      <c r="M273" s="110"/>
      <c r="N273" s="110"/>
      <c r="O273" s="110"/>
      <c r="P273" s="110"/>
      <c r="Q273" s="110"/>
      <c r="R273" s="110"/>
      <c r="S273" s="110"/>
      <c r="T273" s="110"/>
      <c r="U273" s="110"/>
      <c r="V273" s="110"/>
      <c r="W273" s="110"/>
      <c r="X273" s="110"/>
      <c r="Y273" s="110"/>
      <c r="Z273" s="110"/>
      <c r="AA273" s="110"/>
      <c r="AB273" s="110"/>
      <c r="AC273" s="110"/>
      <c r="AD273" s="110"/>
      <c r="AE273" s="110"/>
      <c r="AF273" s="110"/>
      <c r="AG273" s="110"/>
      <c r="AH273" s="110"/>
    </row>
    <row r="274">
      <c r="A274" s="110"/>
      <c r="B274" s="110"/>
      <c r="C274" s="110"/>
      <c r="D274" s="110"/>
      <c r="E274" s="110"/>
      <c r="F274" s="110"/>
      <c r="G274" s="110"/>
      <c r="H274" s="110"/>
      <c r="I274" s="110"/>
      <c r="J274" s="110"/>
      <c r="K274" s="110"/>
      <c r="L274" s="110"/>
      <c r="M274" s="110"/>
      <c r="N274" s="110"/>
      <c r="O274" s="110"/>
      <c r="P274" s="110"/>
      <c r="Q274" s="110"/>
      <c r="R274" s="110"/>
      <c r="S274" s="110"/>
      <c r="T274" s="110"/>
      <c r="U274" s="110"/>
      <c r="V274" s="110"/>
      <c r="W274" s="110"/>
      <c r="X274" s="110"/>
      <c r="Y274" s="110"/>
      <c r="Z274" s="110"/>
      <c r="AA274" s="110"/>
      <c r="AB274" s="110"/>
      <c r="AC274" s="110"/>
      <c r="AD274" s="110"/>
      <c r="AE274" s="110"/>
      <c r="AF274" s="110"/>
      <c r="AG274" s="110"/>
      <c r="AH274" s="110"/>
    </row>
    <row r="275">
      <c r="A275" s="110"/>
      <c r="B275" s="110"/>
      <c r="C275" s="110"/>
      <c r="D275" s="110"/>
      <c r="E275" s="110"/>
      <c r="F275" s="110"/>
      <c r="G275" s="110"/>
      <c r="H275" s="110"/>
      <c r="I275" s="110"/>
      <c r="J275" s="110"/>
      <c r="K275" s="110"/>
      <c r="L275" s="110"/>
      <c r="M275" s="110"/>
      <c r="N275" s="110"/>
      <c r="O275" s="110"/>
      <c r="P275" s="110"/>
      <c r="Q275" s="110"/>
      <c r="R275" s="110"/>
      <c r="S275" s="110"/>
      <c r="T275" s="110"/>
      <c r="U275" s="110"/>
      <c r="V275" s="110"/>
      <c r="W275" s="110"/>
      <c r="X275" s="110"/>
      <c r="Y275" s="110"/>
      <c r="Z275" s="110"/>
      <c r="AA275" s="110"/>
      <c r="AB275" s="110"/>
      <c r="AC275" s="110"/>
      <c r="AD275" s="110"/>
      <c r="AE275" s="110"/>
      <c r="AF275" s="110"/>
      <c r="AG275" s="110"/>
      <c r="AH275" s="110"/>
    </row>
    <row r="276">
      <c r="A276" s="110"/>
      <c r="B276" s="110"/>
      <c r="C276" s="110"/>
      <c r="D276" s="110"/>
      <c r="E276" s="110"/>
      <c r="F276" s="110"/>
      <c r="G276" s="110"/>
      <c r="H276" s="110"/>
      <c r="I276" s="110"/>
      <c r="J276" s="110"/>
      <c r="K276" s="110"/>
      <c r="L276" s="110"/>
      <c r="M276" s="110"/>
      <c r="N276" s="110"/>
      <c r="O276" s="110"/>
      <c r="P276" s="110"/>
      <c r="Q276" s="110"/>
      <c r="R276" s="110"/>
      <c r="S276" s="110"/>
      <c r="T276" s="110"/>
      <c r="U276" s="110"/>
      <c r="V276" s="110"/>
      <c r="W276" s="110"/>
      <c r="X276" s="110"/>
      <c r="Y276" s="110"/>
      <c r="Z276" s="110"/>
      <c r="AA276" s="110"/>
      <c r="AB276" s="110"/>
      <c r="AC276" s="110"/>
      <c r="AD276" s="110"/>
      <c r="AE276" s="110"/>
      <c r="AF276" s="110"/>
      <c r="AG276" s="110"/>
      <c r="AH276" s="110"/>
    </row>
    <row r="277">
      <c r="A277" s="110"/>
      <c r="B277" s="110"/>
      <c r="C277" s="110"/>
      <c r="D277" s="110"/>
      <c r="E277" s="110"/>
      <c r="F277" s="110"/>
      <c r="G277" s="110"/>
      <c r="H277" s="110"/>
      <c r="I277" s="110"/>
      <c r="J277" s="110"/>
      <c r="K277" s="110"/>
      <c r="L277" s="110"/>
      <c r="M277" s="110"/>
      <c r="N277" s="110"/>
      <c r="O277" s="110"/>
      <c r="P277" s="110"/>
      <c r="Q277" s="110"/>
      <c r="R277" s="110"/>
      <c r="S277" s="110"/>
      <c r="T277" s="110"/>
      <c r="U277" s="110"/>
      <c r="V277" s="110"/>
      <c r="W277" s="110"/>
      <c r="X277" s="110"/>
      <c r="Y277" s="110"/>
      <c r="Z277" s="110"/>
      <c r="AA277" s="110"/>
      <c r="AB277" s="110"/>
      <c r="AC277" s="110"/>
      <c r="AD277" s="110"/>
      <c r="AE277" s="110"/>
      <c r="AF277" s="110"/>
      <c r="AG277" s="110"/>
      <c r="AH277" s="110"/>
    </row>
    <row r="278">
      <c r="A278" s="110"/>
      <c r="B278" s="110"/>
      <c r="C278" s="110"/>
      <c r="D278" s="110"/>
      <c r="E278" s="110"/>
      <c r="F278" s="110"/>
      <c r="G278" s="110"/>
      <c r="H278" s="110"/>
      <c r="I278" s="110"/>
      <c r="J278" s="110"/>
      <c r="K278" s="110"/>
      <c r="L278" s="110"/>
      <c r="M278" s="110"/>
      <c r="N278" s="110"/>
      <c r="O278" s="110"/>
      <c r="P278" s="110"/>
      <c r="Q278" s="110"/>
      <c r="R278" s="110"/>
      <c r="S278" s="110"/>
      <c r="T278" s="110"/>
      <c r="U278" s="110"/>
      <c r="V278" s="110"/>
      <c r="W278" s="110"/>
      <c r="X278" s="110"/>
      <c r="Y278" s="110"/>
      <c r="Z278" s="110"/>
      <c r="AA278" s="110"/>
      <c r="AB278" s="110"/>
      <c r="AC278" s="110"/>
      <c r="AD278" s="110"/>
      <c r="AE278" s="110"/>
      <c r="AF278" s="110"/>
      <c r="AG278" s="110"/>
      <c r="AH278" s="110"/>
    </row>
    <row r="279">
      <c r="A279" s="110"/>
      <c r="B279" s="110"/>
      <c r="C279" s="110"/>
      <c r="D279" s="110"/>
      <c r="E279" s="110"/>
      <c r="F279" s="110"/>
      <c r="G279" s="110"/>
      <c r="H279" s="110"/>
      <c r="I279" s="110"/>
      <c r="J279" s="110"/>
      <c r="K279" s="110"/>
      <c r="L279" s="110"/>
      <c r="M279" s="110"/>
      <c r="N279" s="110"/>
      <c r="O279" s="110"/>
      <c r="P279" s="110"/>
      <c r="Q279" s="110"/>
      <c r="R279" s="110"/>
      <c r="S279" s="110"/>
      <c r="T279" s="110"/>
      <c r="U279" s="110"/>
      <c r="V279" s="110"/>
      <c r="W279" s="110"/>
      <c r="X279" s="110"/>
      <c r="Y279" s="110"/>
      <c r="Z279" s="110"/>
      <c r="AA279" s="110"/>
      <c r="AB279" s="110"/>
      <c r="AC279" s="110"/>
      <c r="AD279" s="110"/>
      <c r="AE279" s="110"/>
      <c r="AF279" s="110"/>
      <c r="AG279" s="110"/>
      <c r="AH279" s="110"/>
    </row>
    <row r="280">
      <c r="A280" s="110"/>
      <c r="B280" s="110"/>
      <c r="C280" s="110"/>
      <c r="D280" s="110"/>
      <c r="E280" s="110"/>
      <c r="F280" s="110"/>
      <c r="G280" s="110"/>
      <c r="H280" s="110"/>
      <c r="I280" s="110"/>
      <c r="J280" s="110"/>
      <c r="K280" s="110"/>
      <c r="L280" s="110"/>
      <c r="M280" s="110"/>
      <c r="N280" s="110"/>
      <c r="O280" s="110"/>
      <c r="P280" s="110"/>
      <c r="Q280" s="110"/>
      <c r="R280" s="110"/>
      <c r="S280" s="110"/>
      <c r="T280" s="110"/>
      <c r="U280" s="110"/>
      <c r="V280" s="110"/>
      <c r="W280" s="110"/>
      <c r="X280" s="110"/>
      <c r="Y280" s="110"/>
      <c r="Z280" s="110"/>
      <c r="AA280" s="110"/>
      <c r="AB280" s="110"/>
      <c r="AC280" s="110"/>
      <c r="AD280" s="110"/>
      <c r="AE280" s="110"/>
      <c r="AF280" s="110"/>
      <c r="AG280" s="110"/>
      <c r="AH280" s="110"/>
    </row>
    <row r="281">
      <c r="A281" s="110"/>
      <c r="B281" s="110"/>
      <c r="C281" s="110"/>
      <c r="D281" s="110"/>
      <c r="E281" s="110"/>
      <c r="F281" s="110"/>
      <c r="G281" s="110"/>
      <c r="H281" s="110"/>
      <c r="I281" s="110"/>
      <c r="J281" s="110"/>
      <c r="K281" s="110"/>
      <c r="L281" s="110"/>
      <c r="M281" s="110"/>
      <c r="N281" s="110"/>
      <c r="O281" s="110"/>
      <c r="P281" s="110"/>
      <c r="Q281" s="110"/>
      <c r="R281" s="110"/>
      <c r="S281" s="110"/>
      <c r="T281" s="110"/>
      <c r="U281" s="110"/>
      <c r="V281" s="110"/>
      <c r="W281" s="110"/>
      <c r="X281" s="110"/>
      <c r="Y281" s="110"/>
      <c r="Z281" s="110"/>
      <c r="AA281" s="110"/>
      <c r="AB281" s="110"/>
      <c r="AC281" s="110"/>
      <c r="AD281" s="110"/>
      <c r="AE281" s="110"/>
      <c r="AF281" s="110"/>
      <c r="AG281" s="110"/>
      <c r="AH281" s="110"/>
    </row>
    <row r="282">
      <c r="A282" s="110"/>
      <c r="B282" s="110"/>
      <c r="C282" s="110"/>
      <c r="D282" s="110"/>
      <c r="E282" s="110"/>
      <c r="F282" s="110"/>
      <c r="G282" s="110"/>
      <c r="H282" s="110"/>
      <c r="I282" s="110"/>
      <c r="J282" s="110"/>
      <c r="K282" s="110"/>
      <c r="L282" s="110"/>
      <c r="M282" s="110"/>
      <c r="N282" s="110"/>
      <c r="O282" s="110"/>
      <c r="P282" s="110"/>
      <c r="Q282" s="110"/>
      <c r="R282" s="110"/>
      <c r="S282" s="110"/>
      <c r="T282" s="110"/>
      <c r="U282" s="110"/>
      <c r="V282" s="110"/>
      <c r="W282" s="110"/>
      <c r="X282" s="110"/>
      <c r="Y282" s="110"/>
      <c r="Z282" s="110"/>
      <c r="AA282" s="110"/>
      <c r="AB282" s="110"/>
      <c r="AC282" s="110"/>
      <c r="AD282" s="110"/>
      <c r="AE282" s="110"/>
      <c r="AF282" s="110"/>
      <c r="AG282" s="110"/>
      <c r="AH282" s="110"/>
    </row>
    <row r="283">
      <c r="A283" s="110"/>
      <c r="B283" s="110"/>
      <c r="C283" s="110"/>
      <c r="D283" s="110"/>
      <c r="E283" s="110"/>
      <c r="F283" s="110"/>
      <c r="G283" s="110"/>
      <c r="H283" s="110"/>
      <c r="I283" s="110"/>
      <c r="J283" s="110"/>
      <c r="K283" s="110"/>
      <c r="L283" s="110"/>
      <c r="M283" s="110"/>
      <c r="N283" s="110"/>
      <c r="O283" s="110"/>
      <c r="P283" s="110"/>
      <c r="Q283" s="110"/>
      <c r="R283" s="110"/>
      <c r="S283" s="110"/>
      <c r="T283" s="110"/>
      <c r="U283" s="110"/>
      <c r="V283" s="110"/>
      <c r="W283" s="110"/>
      <c r="X283" s="110"/>
      <c r="Y283" s="110"/>
      <c r="Z283" s="110"/>
      <c r="AA283" s="110"/>
      <c r="AB283" s="110"/>
      <c r="AC283" s="110"/>
      <c r="AD283" s="110"/>
      <c r="AE283" s="110"/>
      <c r="AF283" s="110"/>
      <c r="AG283" s="110"/>
      <c r="AH283" s="110"/>
    </row>
    <row r="284">
      <c r="A284" s="110"/>
      <c r="B284" s="110"/>
      <c r="C284" s="110"/>
      <c r="D284" s="110"/>
      <c r="E284" s="110"/>
      <c r="F284" s="110"/>
      <c r="G284" s="110"/>
      <c r="H284" s="110"/>
      <c r="I284" s="110"/>
      <c r="J284" s="110"/>
      <c r="K284" s="110"/>
      <c r="L284" s="110"/>
      <c r="M284" s="110"/>
      <c r="N284" s="110"/>
      <c r="O284" s="110"/>
      <c r="P284" s="110"/>
      <c r="Q284" s="110"/>
      <c r="R284" s="110"/>
      <c r="S284" s="110"/>
      <c r="T284" s="110"/>
      <c r="U284" s="110"/>
      <c r="V284" s="110"/>
      <c r="W284" s="110"/>
      <c r="X284" s="110"/>
      <c r="Y284" s="110"/>
      <c r="Z284" s="110"/>
      <c r="AA284" s="110"/>
      <c r="AB284" s="110"/>
      <c r="AC284" s="110"/>
      <c r="AD284" s="110"/>
      <c r="AE284" s="110"/>
      <c r="AF284" s="110"/>
      <c r="AG284" s="110"/>
      <c r="AH284" s="110"/>
    </row>
    <row r="285">
      <c r="A285" s="110"/>
      <c r="B285" s="110"/>
      <c r="C285" s="110"/>
      <c r="D285" s="110"/>
      <c r="E285" s="110"/>
      <c r="F285" s="110"/>
      <c r="G285" s="110"/>
      <c r="H285" s="110"/>
      <c r="I285" s="110"/>
      <c r="J285" s="110"/>
      <c r="K285" s="110"/>
      <c r="L285" s="110"/>
      <c r="M285" s="110"/>
      <c r="N285" s="110"/>
      <c r="O285" s="110"/>
      <c r="P285" s="110"/>
      <c r="Q285" s="110"/>
      <c r="R285" s="110"/>
      <c r="S285" s="110"/>
      <c r="T285" s="110"/>
      <c r="U285" s="110"/>
      <c r="V285" s="110"/>
      <c r="W285" s="110"/>
      <c r="X285" s="110"/>
      <c r="Y285" s="110"/>
      <c r="Z285" s="110"/>
      <c r="AA285" s="110"/>
      <c r="AB285" s="110"/>
      <c r="AC285" s="110"/>
      <c r="AD285" s="110"/>
      <c r="AE285" s="110"/>
      <c r="AF285" s="110"/>
      <c r="AG285" s="110"/>
      <c r="AH285" s="110"/>
    </row>
    <row r="286">
      <c r="A286" s="110"/>
      <c r="B286" s="110"/>
      <c r="C286" s="110"/>
      <c r="D286" s="110"/>
      <c r="E286" s="110"/>
      <c r="F286" s="110"/>
      <c r="G286" s="110"/>
      <c r="H286" s="110"/>
      <c r="I286" s="110"/>
      <c r="J286" s="110"/>
      <c r="K286" s="110"/>
      <c r="L286" s="110"/>
      <c r="M286" s="110"/>
      <c r="N286" s="110"/>
      <c r="O286" s="110"/>
      <c r="P286" s="110"/>
      <c r="Q286" s="110"/>
      <c r="R286" s="110"/>
      <c r="S286" s="110"/>
      <c r="T286" s="110"/>
      <c r="U286" s="110"/>
      <c r="V286" s="110"/>
      <c r="W286" s="110"/>
      <c r="X286" s="110"/>
      <c r="Y286" s="110"/>
      <c r="Z286" s="110"/>
      <c r="AA286" s="110"/>
      <c r="AB286" s="110"/>
      <c r="AC286" s="110"/>
      <c r="AD286" s="110"/>
      <c r="AE286" s="110"/>
      <c r="AF286" s="110"/>
      <c r="AG286" s="110"/>
      <c r="AH286" s="110"/>
    </row>
    <row r="287">
      <c r="A287" s="110"/>
      <c r="B287" s="110"/>
      <c r="C287" s="110"/>
      <c r="D287" s="110"/>
      <c r="E287" s="110"/>
      <c r="F287" s="110"/>
      <c r="G287" s="110"/>
      <c r="H287" s="110"/>
      <c r="I287" s="110"/>
      <c r="J287" s="110"/>
      <c r="K287" s="110"/>
      <c r="L287" s="110"/>
      <c r="M287" s="110"/>
      <c r="N287" s="110"/>
      <c r="O287" s="110"/>
      <c r="P287" s="110"/>
      <c r="Q287" s="110"/>
      <c r="R287" s="110"/>
      <c r="S287" s="110"/>
      <c r="T287" s="110"/>
      <c r="U287" s="110"/>
      <c r="V287" s="110"/>
      <c r="W287" s="110"/>
      <c r="X287" s="110"/>
      <c r="Y287" s="110"/>
      <c r="Z287" s="110"/>
      <c r="AA287" s="110"/>
      <c r="AB287" s="110"/>
      <c r="AC287" s="110"/>
      <c r="AD287" s="110"/>
      <c r="AE287" s="110"/>
      <c r="AF287" s="110"/>
      <c r="AG287" s="110"/>
      <c r="AH287" s="110"/>
    </row>
    <row r="288">
      <c r="A288" s="110"/>
      <c r="B288" s="110"/>
      <c r="C288" s="110"/>
      <c r="D288" s="110"/>
      <c r="E288" s="110"/>
      <c r="F288" s="110"/>
      <c r="G288" s="110"/>
      <c r="H288" s="110"/>
      <c r="I288" s="110"/>
      <c r="J288" s="110"/>
      <c r="K288" s="110"/>
      <c r="L288" s="110"/>
      <c r="M288" s="110"/>
      <c r="N288" s="110"/>
      <c r="O288" s="110"/>
      <c r="P288" s="110"/>
      <c r="Q288" s="110"/>
      <c r="R288" s="110"/>
      <c r="S288" s="110"/>
      <c r="T288" s="110"/>
      <c r="U288" s="110"/>
      <c r="V288" s="110"/>
      <c r="W288" s="110"/>
      <c r="X288" s="110"/>
      <c r="Y288" s="110"/>
      <c r="Z288" s="110"/>
      <c r="AA288" s="110"/>
      <c r="AB288" s="110"/>
      <c r="AC288" s="110"/>
      <c r="AD288" s="110"/>
      <c r="AE288" s="110"/>
      <c r="AF288" s="110"/>
      <c r="AG288" s="110"/>
      <c r="AH288" s="110"/>
    </row>
    <row r="289">
      <c r="A289" s="110"/>
      <c r="B289" s="110"/>
      <c r="C289" s="110"/>
      <c r="D289" s="110"/>
      <c r="E289" s="110"/>
      <c r="F289" s="110"/>
      <c r="G289" s="110"/>
      <c r="H289" s="110"/>
      <c r="I289" s="110"/>
      <c r="J289" s="110"/>
      <c r="K289" s="110"/>
      <c r="L289" s="110"/>
      <c r="M289" s="110"/>
      <c r="N289" s="110"/>
      <c r="O289" s="110"/>
      <c r="P289" s="110"/>
      <c r="Q289" s="110"/>
      <c r="R289" s="110"/>
      <c r="S289" s="110"/>
      <c r="T289" s="110"/>
      <c r="U289" s="110"/>
      <c r="V289" s="110"/>
      <c r="W289" s="110"/>
      <c r="X289" s="110"/>
      <c r="Y289" s="110"/>
      <c r="Z289" s="110"/>
      <c r="AA289" s="110"/>
      <c r="AB289" s="110"/>
      <c r="AC289" s="110"/>
      <c r="AD289" s="110"/>
      <c r="AE289" s="110"/>
      <c r="AF289" s="110"/>
      <c r="AG289" s="110"/>
      <c r="AH289" s="110"/>
    </row>
    <row r="290">
      <c r="A290" s="110"/>
      <c r="B290" s="110"/>
      <c r="C290" s="110"/>
      <c r="D290" s="110"/>
      <c r="E290" s="110"/>
      <c r="F290" s="110"/>
      <c r="G290" s="110"/>
      <c r="H290" s="110"/>
      <c r="I290" s="110"/>
      <c r="J290" s="110"/>
      <c r="K290" s="110"/>
      <c r="L290" s="110"/>
      <c r="M290" s="110"/>
      <c r="N290" s="110"/>
      <c r="O290" s="110"/>
      <c r="P290" s="110"/>
      <c r="Q290" s="110"/>
      <c r="R290" s="110"/>
      <c r="S290" s="110"/>
      <c r="T290" s="110"/>
      <c r="U290" s="110"/>
      <c r="V290" s="110"/>
      <c r="W290" s="110"/>
      <c r="X290" s="110"/>
      <c r="Y290" s="110"/>
      <c r="Z290" s="110"/>
      <c r="AA290" s="110"/>
      <c r="AB290" s="110"/>
      <c r="AC290" s="110"/>
      <c r="AD290" s="110"/>
      <c r="AE290" s="110"/>
      <c r="AF290" s="110"/>
      <c r="AG290" s="110"/>
      <c r="AH290" s="110"/>
    </row>
    <row r="291">
      <c r="A291" s="110"/>
      <c r="B291" s="110"/>
      <c r="C291" s="110"/>
      <c r="D291" s="110"/>
      <c r="E291" s="110"/>
      <c r="F291" s="110"/>
      <c r="G291" s="110"/>
      <c r="H291" s="110"/>
      <c r="I291" s="110"/>
      <c r="J291" s="110"/>
      <c r="K291" s="110"/>
      <c r="L291" s="110"/>
      <c r="M291" s="110"/>
      <c r="N291" s="110"/>
      <c r="O291" s="110"/>
      <c r="P291" s="110"/>
      <c r="Q291" s="110"/>
      <c r="R291" s="110"/>
      <c r="S291" s="110"/>
      <c r="T291" s="110"/>
      <c r="U291" s="110"/>
      <c r="V291" s="110"/>
      <c r="W291" s="110"/>
      <c r="X291" s="110"/>
      <c r="Y291" s="110"/>
      <c r="Z291" s="110"/>
      <c r="AA291" s="110"/>
      <c r="AB291" s="110"/>
      <c r="AC291" s="110"/>
      <c r="AD291" s="110"/>
      <c r="AE291" s="110"/>
      <c r="AF291" s="110"/>
      <c r="AG291" s="110"/>
      <c r="AH291" s="110"/>
    </row>
    <row r="292">
      <c r="A292" s="110"/>
      <c r="B292" s="110"/>
      <c r="C292" s="110"/>
      <c r="D292" s="110"/>
      <c r="E292" s="110"/>
      <c r="F292" s="110"/>
      <c r="G292" s="110"/>
      <c r="H292" s="110"/>
      <c r="I292" s="110"/>
      <c r="J292" s="110"/>
      <c r="K292" s="110"/>
      <c r="L292" s="110"/>
      <c r="M292" s="110"/>
      <c r="N292" s="110"/>
      <c r="O292" s="110"/>
      <c r="P292" s="110"/>
      <c r="Q292" s="110"/>
      <c r="R292" s="110"/>
      <c r="S292" s="110"/>
      <c r="T292" s="110"/>
      <c r="U292" s="110"/>
      <c r="V292" s="110"/>
      <c r="W292" s="110"/>
      <c r="X292" s="110"/>
      <c r="Y292" s="110"/>
      <c r="Z292" s="110"/>
      <c r="AA292" s="110"/>
      <c r="AB292" s="110"/>
      <c r="AC292" s="110"/>
      <c r="AD292" s="110"/>
      <c r="AE292" s="110"/>
      <c r="AF292" s="110"/>
      <c r="AG292" s="110"/>
      <c r="AH292" s="110"/>
    </row>
    <row r="293">
      <c r="A293" s="110"/>
      <c r="B293" s="110"/>
      <c r="C293" s="110"/>
      <c r="D293" s="110"/>
      <c r="E293" s="110"/>
      <c r="F293" s="110"/>
      <c r="G293" s="110"/>
      <c r="H293" s="110"/>
      <c r="I293" s="110"/>
      <c r="J293" s="110"/>
      <c r="K293" s="110"/>
      <c r="L293" s="110"/>
      <c r="M293" s="110"/>
      <c r="N293" s="110"/>
      <c r="O293" s="110"/>
      <c r="P293" s="110"/>
      <c r="Q293" s="110"/>
      <c r="R293" s="110"/>
      <c r="S293" s="110"/>
      <c r="T293" s="110"/>
      <c r="U293" s="110"/>
      <c r="V293" s="110"/>
      <c r="W293" s="110"/>
      <c r="X293" s="110"/>
      <c r="Y293" s="110"/>
      <c r="Z293" s="110"/>
      <c r="AA293" s="110"/>
      <c r="AB293" s="110"/>
      <c r="AC293" s="110"/>
      <c r="AD293" s="110"/>
      <c r="AE293" s="110"/>
      <c r="AF293" s="110"/>
      <c r="AG293" s="110"/>
      <c r="AH293" s="110"/>
    </row>
    <row r="294">
      <c r="A294" s="110"/>
      <c r="B294" s="110"/>
      <c r="C294" s="110"/>
      <c r="D294" s="110"/>
      <c r="E294" s="110"/>
      <c r="F294" s="110"/>
      <c r="G294" s="110"/>
      <c r="H294" s="110"/>
      <c r="I294" s="110"/>
      <c r="J294" s="110"/>
      <c r="K294" s="110"/>
      <c r="L294" s="110"/>
      <c r="M294" s="110"/>
      <c r="N294" s="110"/>
      <c r="O294" s="110"/>
      <c r="P294" s="110"/>
      <c r="Q294" s="110"/>
      <c r="R294" s="110"/>
      <c r="S294" s="110"/>
      <c r="T294" s="110"/>
      <c r="U294" s="110"/>
      <c r="V294" s="110"/>
      <c r="W294" s="110"/>
      <c r="X294" s="110"/>
      <c r="Y294" s="110"/>
      <c r="Z294" s="110"/>
      <c r="AA294" s="110"/>
      <c r="AB294" s="110"/>
      <c r="AC294" s="110"/>
      <c r="AD294" s="110"/>
      <c r="AE294" s="110"/>
      <c r="AF294" s="110"/>
      <c r="AG294" s="110"/>
      <c r="AH294" s="110"/>
    </row>
    <row r="295">
      <c r="A295" s="110"/>
      <c r="B295" s="110"/>
      <c r="C295" s="110"/>
      <c r="D295" s="110"/>
      <c r="E295" s="110"/>
      <c r="F295" s="110"/>
      <c r="G295" s="110"/>
      <c r="H295" s="110"/>
      <c r="I295" s="110"/>
      <c r="J295" s="110"/>
      <c r="K295" s="110"/>
      <c r="L295" s="110"/>
      <c r="M295" s="110"/>
      <c r="N295" s="110"/>
      <c r="O295" s="110"/>
      <c r="P295" s="110"/>
      <c r="Q295" s="110"/>
      <c r="R295" s="110"/>
      <c r="S295" s="110"/>
      <c r="T295" s="110"/>
      <c r="U295" s="110"/>
      <c r="V295" s="110"/>
      <c r="W295" s="110"/>
      <c r="X295" s="110"/>
      <c r="Y295" s="110"/>
      <c r="Z295" s="110"/>
      <c r="AA295" s="110"/>
      <c r="AB295" s="110"/>
      <c r="AC295" s="110"/>
      <c r="AD295" s="110"/>
      <c r="AE295" s="110"/>
      <c r="AF295" s="110"/>
      <c r="AG295" s="110"/>
      <c r="AH295" s="110"/>
    </row>
    <row r="296">
      <c r="A296" s="110"/>
      <c r="B296" s="110"/>
      <c r="C296" s="110"/>
      <c r="D296" s="110"/>
      <c r="E296" s="110"/>
      <c r="F296" s="110"/>
      <c r="G296" s="110"/>
      <c r="H296" s="110"/>
      <c r="I296" s="110"/>
      <c r="J296" s="110"/>
      <c r="K296" s="110"/>
      <c r="L296" s="110"/>
      <c r="M296" s="110"/>
      <c r="N296" s="110"/>
      <c r="O296" s="110"/>
      <c r="P296" s="110"/>
      <c r="Q296" s="110"/>
      <c r="R296" s="110"/>
      <c r="S296" s="110"/>
      <c r="T296" s="110"/>
      <c r="U296" s="110"/>
      <c r="V296" s="110"/>
      <c r="W296" s="110"/>
      <c r="X296" s="110"/>
      <c r="Y296" s="110"/>
      <c r="Z296" s="110"/>
      <c r="AA296" s="110"/>
      <c r="AB296" s="110"/>
      <c r="AC296" s="110"/>
      <c r="AD296" s="110"/>
      <c r="AE296" s="110"/>
      <c r="AF296" s="110"/>
      <c r="AG296" s="110"/>
      <c r="AH296" s="110"/>
    </row>
    <row r="297">
      <c r="A297" s="110"/>
      <c r="B297" s="110"/>
      <c r="C297" s="110"/>
      <c r="D297" s="110"/>
      <c r="E297" s="110"/>
      <c r="F297" s="110"/>
      <c r="G297" s="110"/>
      <c r="H297" s="110"/>
      <c r="I297" s="110"/>
      <c r="J297" s="110"/>
      <c r="K297" s="110"/>
      <c r="L297" s="110"/>
      <c r="M297" s="110"/>
      <c r="N297" s="110"/>
      <c r="O297" s="110"/>
      <c r="P297" s="110"/>
      <c r="Q297" s="110"/>
      <c r="R297" s="110"/>
      <c r="S297" s="110"/>
      <c r="T297" s="110"/>
      <c r="U297" s="110"/>
      <c r="V297" s="110"/>
      <c r="W297" s="110"/>
      <c r="X297" s="110"/>
      <c r="Y297" s="110"/>
      <c r="Z297" s="110"/>
      <c r="AA297" s="110"/>
      <c r="AB297" s="110"/>
      <c r="AC297" s="110"/>
      <c r="AD297" s="110"/>
      <c r="AE297" s="110"/>
      <c r="AF297" s="110"/>
      <c r="AG297" s="110"/>
      <c r="AH297" s="110"/>
    </row>
    <row r="298">
      <c r="A298" s="110"/>
      <c r="B298" s="110"/>
      <c r="C298" s="110"/>
      <c r="D298" s="110"/>
      <c r="E298" s="110"/>
      <c r="F298" s="110"/>
      <c r="G298" s="110"/>
      <c r="H298" s="110"/>
      <c r="I298" s="110"/>
      <c r="J298" s="110"/>
      <c r="K298" s="110"/>
      <c r="L298" s="110"/>
      <c r="M298" s="110"/>
      <c r="N298" s="110"/>
      <c r="O298" s="110"/>
      <c r="P298" s="110"/>
      <c r="Q298" s="110"/>
      <c r="R298" s="110"/>
      <c r="S298" s="110"/>
      <c r="T298" s="110"/>
      <c r="U298" s="110"/>
      <c r="V298" s="110"/>
      <c r="W298" s="110"/>
      <c r="X298" s="110"/>
      <c r="Y298" s="110"/>
      <c r="Z298" s="110"/>
      <c r="AA298" s="110"/>
      <c r="AB298" s="110"/>
      <c r="AC298" s="110"/>
      <c r="AD298" s="110"/>
      <c r="AE298" s="110"/>
      <c r="AF298" s="110"/>
      <c r="AG298" s="110"/>
      <c r="AH298" s="110"/>
    </row>
    <row r="299">
      <c r="A299" s="110"/>
      <c r="B299" s="110"/>
      <c r="C299" s="110"/>
      <c r="D299" s="110"/>
      <c r="E299" s="110"/>
      <c r="F299" s="110"/>
      <c r="G299" s="110"/>
      <c r="H299" s="110"/>
      <c r="I299" s="110"/>
      <c r="J299" s="110"/>
      <c r="K299" s="110"/>
      <c r="L299" s="110"/>
      <c r="M299" s="110"/>
      <c r="N299" s="110"/>
      <c r="O299" s="110"/>
      <c r="P299" s="110"/>
      <c r="Q299" s="110"/>
      <c r="R299" s="110"/>
      <c r="S299" s="110"/>
      <c r="T299" s="110"/>
      <c r="U299" s="110"/>
      <c r="V299" s="110"/>
      <c r="W299" s="110"/>
      <c r="X299" s="110"/>
      <c r="Y299" s="110"/>
      <c r="Z299" s="110"/>
      <c r="AA299" s="110"/>
      <c r="AB299" s="110"/>
      <c r="AC299" s="110"/>
      <c r="AD299" s="110"/>
      <c r="AE299" s="110"/>
      <c r="AF299" s="110"/>
      <c r="AG299" s="110"/>
      <c r="AH299" s="110"/>
    </row>
    <row r="300">
      <c r="A300" s="110"/>
      <c r="B300" s="110"/>
      <c r="C300" s="110"/>
      <c r="D300" s="110"/>
      <c r="E300" s="110"/>
      <c r="F300" s="110"/>
      <c r="G300" s="110"/>
      <c r="H300" s="110"/>
      <c r="I300" s="110"/>
      <c r="J300" s="110"/>
      <c r="K300" s="110"/>
      <c r="L300" s="110"/>
      <c r="M300" s="110"/>
      <c r="N300" s="110"/>
      <c r="O300" s="110"/>
      <c r="P300" s="110"/>
      <c r="Q300" s="110"/>
      <c r="R300" s="110"/>
      <c r="S300" s="110"/>
      <c r="T300" s="110"/>
      <c r="U300" s="110"/>
      <c r="V300" s="110"/>
      <c r="W300" s="110"/>
      <c r="X300" s="110"/>
      <c r="Y300" s="110"/>
      <c r="Z300" s="110"/>
      <c r="AA300" s="110"/>
      <c r="AB300" s="110"/>
      <c r="AC300" s="110"/>
      <c r="AD300" s="110"/>
      <c r="AE300" s="110"/>
      <c r="AF300" s="110"/>
      <c r="AG300" s="110"/>
      <c r="AH300" s="110"/>
    </row>
    <row r="301">
      <c r="A301" s="110"/>
      <c r="B301" s="110"/>
      <c r="C301" s="110"/>
      <c r="D301" s="110"/>
      <c r="E301" s="110"/>
      <c r="F301" s="110"/>
      <c r="G301" s="110"/>
      <c r="H301" s="110"/>
      <c r="I301" s="110"/>
      <c r="J301" s="110"/>
      <c r="K301" s="110"/>
      <c r="L301" s="110"/>
      <c r="M301" s="110"/>
      <c r="N301" s="110"/>
      <c r="O301" s="110"/>
      <c r="P301" s="110"/>
      <c r="Q301" s="110"/>
      <c r="R301" s="110"/>
      <c r="S301" s="110"/>
      <c r="T301" s="110"/>
      <c r="U301" s="110"/>
      <c r="V301" s="110"/>
      <c r="W301" s="110"/>
      <c r="X301" s="110"/>
      <c r="Y301" s="110"/>
      <c r="Z301" s="110"/>
      <c r="AA301" s="110"/>
      <c r="AB301" s="110"/>
      <c r="AC301" s="110"/>
      <c r="AD301" s="110"/>
      <c r="AE301" s="110"/>
      <c r="AF301" s="110"/>
      <c r="AG301" s="110"/>
      <c r="AH301" s="110"/>
    </row>
    <row r="302">
      <c r="A302" s="110"/>
      <c r="B302" s="110"/>
      <c r="C302" s="110"/>
      <c r="D302" s="110"/>
      <c r="E302" s="110"/>
      <c r="F302" s="110"/>
      <c r="G302" s="110"/>
      <c r="H302" s="110"/>
      <c r="I302" s="110"/>
      <c r="J302" s="110"/>
      <c r="K302" s="110"/>
      <c r="L302" s="110"/>
      <c r="M302" s="110"/>
      <c r="N302" s="110"/>
      <c r="O302" s="110"/>
      <c r="P302" s="110"/>
      <c r="Q302" s="110"/>
      <c r="R302" s="110"/>
      <c r="S302" s="110"/>
      <c r="T302" s="110"/>
      <c r="U302" s="110"/>
      <c r="V302" s="110"/>
      <c r="W302" s="110"/>
      <c r="X302" s="110"/>
      <c r="Y302" s="110"/>
      <c r="Z302" s="110"/>
      <c r="AA302" s="110"/>
      <c r="AB302" s="110"/>
      <c r="AC302" s="110"/>
      <c r="AD302" s="110"/>
      <c r="AE302" s="110"/>
      <c r="AF302" s="110"/>
      <c r="AG302" s="110"/>
      <c r="AH302" s="110"/>
    </row>
    <row r="303">
      <c r="A303" s="110"/>
      <c r="B303" s="110"/>
      <c r="C303" s="110"/>
      <c r="D303" s="110"/>
      <c r="E303" s="110"/>
      <c r="F303" s="110"/>
      <c r="G303" s="110"/>
      <c r="H303" s="110"/>
      <c r="I303" s="110"/>
      <c r="J303" s="110"/>
      <c r="K303" s="110"/>
      <c r="L303" s="110"/>
      <c r="M303" s="110"/>
      <c r="N303" s="110"/>
      <c r="O303" s="110"/>
      <c r="P303" s="110"/>
      <c r="Q303" s="110"/>
      <c r="R303" s="110"/>
      <c r="S303" s="110"/>
      <c r="T303" s="110"/>
      <c r="U303" s="110"/>
      <c r="V303" s="110"/>
      <c r="W303" s="110"/>
      <c r="X303" s="110"/>
      <c r="Y303" s="110"/>
      <c r="Z303" s="110"/>
      <c r="AA303" s="110"/>
      <c r="AB303" s="110"/>
      <c r="AC303" s="110"/>
      <c r="AD303" s="110"/>
      <c r="AE303" s="110"/>
      <c r="AF303" s="110"/>
      <c r="AG303" s="110"/>
      <c r="AH303" s="110"/>
    </row>
    <row r="304">
      <c r="A304" s="110"/>
      <c r="B304" s="110"/>
      <c r="C304" s="110"/>
      <c r="D304" s="110"/>
      <c r="E304" s="110"/>
      <c r="F304" s="110"/>
      <c r="G304" s="110"/>
      <c r="H304" s="110"/>
      <c r="I304" s="110"/>
      <c r="J304" s="110"/>
      <c r="K304" s="110"/>
      <c r="L304" s="110"/>
      <c r="M304" s="110"/>
      <c r="N304" s="110"/>
      <c r="O304" s="110"/>
      <c r="P304" s="110"/>
      <c r="Q304" s="110"/>
      <c r="R304" s="110"/>
      <c r="S304" s="110"/>
      <c r="T304" s="110"/>
      <c r="U304" s="110"/>
      <c r="V304" s="110"/>
      <c r="W304" s="110"/>
      <c r="X304" s="110"/>
      <c r="Y304" s="110"/>
      <c r="Z304" s="110"/>
      <c r="AA304" s="110"/>
      <c r="AB304" s="110"/>
      <c r="AC304" s="110"/>
      <c r="AD304" s="110"/>
      <c r="AE304" s="110"/>
      <c r="AF304" s="110"/>
      <c r="AG304" s="110"/>
      <c r="AH304" s="110"/>
    </row>
    <row r="305">
      <c r="A305" s="110"/>
      <c r="B305" s="110"/>
      <c r="C305" s="110"/>
      <c r="D305" s="110"/>
      <c r="E305" s="110"/>
      <c r="F305" s="110"/>
      <c r="G305" s="110"/>
      <c r="H305" s="110"/>
      <c r="I305" s="110"/>
      <c r="J305" s="110"/>
      <c r="K305" s="110"/>
      <c r="L305" s="110"/>
      <c r="M305" s="110"/>
      <c r="N305" s="110"/>
      <c r="O305" s="110"/>
      <c r="P305" s="110"/>
      <c r="Q305" s="110"/>
      <c r="R305" s="110"/>
      <c r="S305" s="110"/>
      <c r="T305" s="110"/>
      <c r="U305" s="110"/>
      <c r="V305" s="110"/>
      <c r="W305" s="110"/>
      <c r="X305" s="110"/>
      <c r="Y305" s="110"/>
      <c r="Z305" s="110"/>
      <c r="AA305" s="110"/>
      <c r="AB305" s="110"/>
      <c r="AC305" s="110"/>
      <c r="AD305" s="110"/>
      <c r="AE305" s="110"/>
      <c r="AF305" s="110"/>
      <c r="AG305" s="110"/>
      <c r="AH305" s="110"/>
    </row>
    <row r="306">
      <c r="A306" s="110"/>
      <c r="B306" s="110"/>
      <c r="C306" s="110"/>
      <c r="D306" s="110"/>
      <c r="E306" s="110"/>
      <c r="F306" s="110"/>
      <c r="G306" s="110"/>
      <c r="H306" s="110"/>
      <c r="I306" s="110"/>
      <c r="J306" s="110"/>
      <c r="K306" s="110"/>
      <c r="L306" s="110"/>
      <c r="M306" s="110"/>
      <c r="N306" s="110"/>
      <c r="O306" s="110"/>
      <c r="P306" s="110"/>
      <c r="Q306" s="110"/>
      <c r="R306" s="110"/>
      <c r="S306" s="110"/>
      <c r="T306" s="110"/>
      <c r="U306" s="110"/>
      <c r="V306" s="110"/>
      <c r="W306" s="110"/>
      <c r="X306" s="110"/>
      <c r="Y306" s="110"/>
      <c r="Z306" s="110"/>
      <c r="AA306" s="110"/>
      <c r="AB306" s="110"/>
      <c r="AC306" s="110"/>
      <c r="AD306" s="110"/>
      <c r="AE306" s="110"/>
      <c r="AF306" s="110"/>
      <c r="AG306" s="110"/>
      <c r="AH306" s="110"/>
    </row>
    <row r="307">
      <c r="A307" s="110"/>
      <c r="B307" s="110"/>
      <c r="C307" s="110"/>
      <c r="D307" s="110"/>
      <c r="E307" s="110"/>
      <c r="F307" s="110"/>
      <c r="G307" s="110"/>
      <c r="H307" s="110"/>
      <c r="I307" s="110"/>
      <c r="J307" s="110"/>
      <c r="K307" s="110"/>
      <c r="L307" s="110"/>
      <c r="M307" s="110"/>
      <c r="N307" s="110"/>
      <c r="O307" s="110"/>
      <c r="P307" s="110"/>
      <c r="Q307" s="110"/>
      <c r="R307" s="110"/>
      <c r="S307" s="110"/>
      <c r="T307" s="110"/>
      <c r="U307" s="110"/>
      <c r="V307" s="110"/>
      <c r="W307" s="110"/>
      <c r="X307" s="110"/>
      <c r="Y307" s="110"/>
      <c r="Z307" s="110"/>
      <c r="AA307" s="110"/>
      <c r="AB307" s="110"/>
      <c r="AC307" s="110"/>
      <c r="AD307" s="110"/>
      <c r="AE307" s="110"/>
      <c r="AF307" s="110"/>
      <c r="AG307" s="110"/>
      <c r="AH307" s="110"/>
    </row>
    <row r="308">
      <c r="A308" s="110"/>
      <c r="B308" s="110"/>
      <c r="C308" s="110"/>
      <c r="D308" s="110"/>
      <c r="E308" s="110"/>
      <c r="F308" s="110"/>
      <c r="G308" s="110"/>
      <c r="H308" s="110"/>
      <c r="I308" s="110"/>
      <c r="J308" s="110"/>
      <c r="K308" s="110"/>
      <c r="L308" s="110"/>
      <c r="M308" s="110"/>
      <c r="N308" s="110"/>
      <c r="O308" s="110"/>
      <c r="P308" s="110"/>
      <c r="Q308" s="110"/>
      <c r="R308" s="110"/>
      <c r="S308" s="110"/>
      <c r="T308" s="110"/>
      <c r="U308" s="110"/>
      <c r="V308" s="110"/>
      <c r="W308" s="110"/>
      <c r="X308" s="110"/>
      <c r="Y308" s="110"/>
      <c r="Z308" s="110"/>
      <c r="AA308" s="110"/>
      <c r="AB308" s="110"/>
      <c r="AC308" s="110"/>
      <c r="AD308" s="110"/>
      <c r="AE308" s="110"/>
      <c r="AF308" s="110"/>
      <c r="AG308" s="110"/>
      <c r="AH308" s="110"/>
    </row>
    <row r="309">
      <c r="A309" s="110"/>
      <c r="B309" s="110"/>
      <c r="C309" s="110"/>
      <c r="D309" s="110"/>
      <c r="E309" s="110"/>
      <c r="F309" s="110"/>
      <c r="G309" s="110"/>
      <c r="H309" s="110"/>
      <c r="I309" s="110"/>
      <c r="J309" s="110"/>
      <c r="K309" s="110"/>
      <c r="L309" s="110"/>
      <c r="M309" s="110"/>
      <c r="N309" s="110"/>
      <c r="O309" s="110"/>
      <c r="P309" s="110"/>
      <c r="Q309" s="110"/>
      <c r="R309" s="110"/>
      <c r="S309" s="110"/>
      <c r="T309" s="110"/>
      <c r="U309" s="110"/>
      <c r="V309" s="110"/>
      <c r="W309" s="110"/>
      <c r="X309" s="110"/>
      <c r="Y309" s="110"/>
      <c r="Z309" s="110"/>
      <c r="AA309" s="110"/>
      <c r="AB309" s="110"/>
      <c r="AC309" s="110"/>
      <c r="AD309" s="110"/>
      <c r="AE309" s="110"/>
      <c r="AF309" s="110"/>
      <c r="AG309" s="110"/>
      <c r="AH309" s="110"/>
    </row>
    <row r="310">
      <c r="A310" s="110"/>
      <c r="B310" s="110"/>
      <c r="C310" s="110"/>
      <c r="D310" s="110"/>
      <c r="E310" s="110"/>
      <c r="F310" s="110"/>
      <c r="G310" s="110"/>
      <c r="H310" s="110"/>
      <c r="I310" s="110"/>
      <c r="J310" s="110"/>
      <c r="K310" s="110"/>
      <c r="L310" s="110"/>
      <c r="M310" s="110"/>
      <c r="N310" s="110"/>
      <c r="O310" s="110"/>
      <c r="P310" s="110"/>
      <c r="Q310" s="110"/>
      <c r="R310" s="110"/>
      <c r="S310" s="110"/>
      <c r="T310" s="110"/>
      <c r="U310" s="110"/>
      <c r="V310" s="110"/>
      <c r="W310" s="110"/>
      <c r="X310" s="110"/>
      <c r="Y310" s="110"/>
      <c r="Z310" s="110"/>
      <c r="AA310" s="110"/>
      <c r="AB310" s="110"/>
      <c r="AC310" s="110"/>
      <c r="AD310" s="110"/>
      <c r="AE310" s="110"/>
      <c r="AF310" s="110"/>
      <c r="AG310" s="110"/>
      <c r="AH310" s="110"/>
    </row>
    <row r="311">
      <c r="A311" s="110"/>
      <c r="B311" s="110"/>
      <c r="C311" s="110"/>
      <c r="D311" s="110"/>
      <c r="E311" s="110"/>
      <c r="F311" s="110"/>
      <c r="G311" s="110"/>
      <c r="H311" s="110"/>
      <c r="I311" s="110"/>
      <c r="J311" s="110"/>
      <c r="K311" s="110"/>
      <c r="L311" s="110"/>
      <c r="M311" s="110"/>
      <c r="N311" s="110"/>
      <c r="O311" s="110"/>
      <c r="P311" s="110"/>
      <c r="Q311" s="110"/>
      <c r="R311" s="110"/>
      <c r="S311" s="110"/>
      <c r="T311" s="110"/>
      <c r="U311" s="110"/>
      <c r="V311" s="110"/>
      <c r="W311" s="110"/>
      <c r="X311" s="110"/>
      <c r="Y311" s="110"/>
      <c r="Z311" s="110"/>
      <c r="AA311" s="110"/>
      <c r="AB311" s="110"/>
      <c r="AC311" s="110"/>
      <c r="AD311" s="110"/>
      <c r="AE311" s="110"/>
      <c r="AF311" s="110"/>
      <c r="AG311" s="110"/>
      <c r="AH311" s="110"/>
    </row>
    <row r="312">
      <c r="A312" s="110"/>
      <c r="B312" s="110"/>
      <c r="C312" s="110"/>
      <c r="D312" s="110"/>
      <c r="E312" s="110"/>
      <c r="F312" s="110"/>
      <c r="G312" s="110"/>
      <c r="H312" s="110"/>
      <c r="I312" s="110"/>
      <c r="J312" s="110"/>
      <c r="K312" s="110"/>
      <c r="L312" s="110"/>
      <c r="M312" s="110"/>
      <c r="N312" s="110"/>
      <c r="O312" s="110"/>
      <c r="P312" s="110"/>
      <c r="Q312" s="110"/>
      <c r="R312" s="110"/>
      <c r="S312" s="110"/>
      <c r="T312" s="110"/>
      <c r="U312" s="110"/>
      <c r="V312" s="110"/>
      <c r="W312" s="110"/>
      <c r="X312" s="110"/>
      <c r="Y312" s="110"/>
      <c r="Z312" s="110"/>
      <c r="AA312" s="110"/>
      <c r="AB312" s="110"/>
      <c r="AC312" s="110"/>
      <c r="AD312" s="110"/>
      <c r="AE312" s="110"/>
      <c r="AF312" s="110"/>
      <c r="AG312" s="110"/>
      <c r="AH312" s="110"/>
    </row>
    <row r="313">
      <c r="A313" s="110"/>
      <c r="B313" s="110"/>
      <c r="C313" s="110"/>
      <c r="D313" s="110"/>
      <c r="E313" s="110"/>
      <c r="F313" s="110"/>
      <c r="G313" s="110"/>
      <c r="H313" s="110"/>
      <c r="I313" s="110"/>
      <c r="J313" s="110"/>
      <c r="K313" s="110"/>
      <c r="L313" s="110"/>
      <c r="M313" s="110"/>
      <c r="N313" s="110"/>
      <c r="O313" s="110"/>
      <c r="P313" s="110"/>
      <c r="Q313" s="110"/>
      <c r="R313" s="110"/>
      <c r="S313" s="110"/>
      <c r="T313" s="110"/>
      <c r="U313" s="110"/>
      <c r="V313" s="110"/>
      <c r="W313" s="110"/>
      <c r="X313" s="110"/>
      <c r="Y313" s="110"/>
      <c r="Z313" s="110"/>
      <c r="AA313" s="110"/>
      <c r="AB313" s="110"/>
      <c r="AC313" s="110"/>
      <c r="AD313" s="110"/>
      <c r="AE313" s="110"/>
      <c r="AF313" s="110"/>
      <c r="AG313" s="110"/>
      <c r="AH313" s="110"/>
    </row>
    <row r="314">
      <c r="A314" s="110"/>
      <c r="B314" s="110"/>
      <c r="C314" s="110"/>
      <c r="D314" s="110"/>
      <c r="E314" s="110"/>
      <c r="F314" s="110"/>
      <c r="G314" s="110"/>
      <c r="H314" s="110"/>
      <c r="I314" s="110"/>
      <c r="J314" s="110"/>
      <c r="K314" s="110"/>
      <c r="L314" s="110"/>
      <c r="M314" s="110"/>
      <c r="N314" s="110"/>
      <c r="O314" s="110"/>
      <c r="P314" s="110"/>
      <c r="Q314" s="110"/>
      <c r="R314" s="110"/>
      <c r="S314" s="110"/>
      <c r="T314" s="110"/>
      <c r="U314" s="110"/>
      <c r="V314" s="110"/>
      <c r="W314" s="110"/>
      <c r="X314" s="110"/>
      <c r="Y314" s="110"/>
      <c r="Z314" s="110"/>
      <c r="AA314" s="110"/>
      <c r="AB314" s="110"/>
      <c r="AC314" s="110"/>
      <c r="AD314" s="110"/>
      <c r="AE314" s="110"/>
      <c r="AF314" s="110"/>
      <c r="AG314" s="110"/>
      <c r="AH314" s="110"/>
    </row>
    <row r="315">
      <c r="A315" s="110"/>
      <c r="B315" s="110"/>
      <c r="C315" s="110"/>
      <c r="D315" s="110"/>
      <c r="E315" s="110"/>
      <c r="F315" s="110"/>
      <c r="G315" s="110"/>
      <c r="H315" s="110"/>
      <c r="I315" s="110"/>
      <c r="J315" s="110"/>
      <c r="K315" s="110"/>
      <c r="L315" s="110"/>
      <c r="M315" s="110"/>
      <c r="N315" s="110"/>
      <c r="O315" s="110"/>
      <c r="P315" s="110"/>
      <c r="Q315" s="110"/>
      <c r="R315" s="110"/>
      <c r="S315" s="110"/>
      <c r="T315" s="110"/>
      <c r="U315" s="110"/>
      <c r="V315" s="110"/>
      <c r="W315" s="110"/>
      <c r="X315" s="110"/>
      <c r="Y315" s="110"/>
      <c r="Z315" s="110"/>
      <c r="AA315" s="110"/>
      <c r="AB315" s="110"/>
      <c r="AC315" s="110"/>
      <c r="AD315" s="110"/>
      <c r="AE315" s="110"/>
      <c r="AF315" s="110"/>
      <c r="AG315" s="110"/>
      <c r="AH315" s="110"/>
    </row>
    <row r="316">
      <c r="A316" s="110"/>
      <c r="B316" s="110"/>
      <c r="C316" s="110"/>
      <c r="D316" s="110"/>
      <c r="E316" s="110"/>
      <c r="F316" s="110"/>
      <c r="G316" s="110"/>
      <c r="H316" s="110"/>
      <c r="I316" s="110"/>
      <c r="J316" s="110"/>
      <c r="K316" s="110"/>
      <c r="L316" s="110"/>
      <c r="M316" s="110"/>
      <c r="N316" s="110"/>
      <c r="O316" s="110"/>
      <c r="P316" s="110"/>
      <c r="Q316" s="110"/>
      <c r="R316" s="110"/>
      <c r="S316" s="110"/>
      <c r="T316" s="110"/>
      <c r="U316" s="110"/>
      <c r="V316" s="110"/>
      <c r="W316" s="110"/>
      <c r="X316" s="110"/>
      <c r="Y316" s="110"/>
      <c r="Z316" s="110"/>
      <c r="AA316" s="110"/>
      <c r="AB316" s="110"/>
      <c r="AC316" s="110"/>
      <c r="AD316" s="110"/>
      <c r="AE316" s="110"/>
      <c r="AF316" s="110"/>
      <c r="AG316" s="110"/>
      <c r="AH316" s="110"/>
    </row>
    <row r="317">
      <c r="A317" s="110"/>
      <c r="B317" s="110"/>
      <c r="C317" s="110"/>
      <c r="D317" s="110"/>
      <c r="E317" s="110"/>
      <c r="F317" s="110"/>
      <c r="G317" s="110"/>
      <c r="H317" s="110"/>
      <c r="I317" s="110"/>
      <c r="J317" s="110"/>
      <c r="K317" s="110"/>
      <c r="L317" s="110"/>
      <c r="M317" s="110"/>
      <c r="N317" s="110"/>
      <c r="O317" s="110"/>
      <c r="P317" s="110"/>
      <c r="Q317" s="110"/>
      <c r="R317" s="110"/>
      <c r="S317" s="110"/>
      <c r="T317" s="110"/>
      <c r="U317" s="110"/>
      <c r="V317" s="110"/>
      <c r="W317" s="110"/>
      <c r="X317" s="110"/>
      <c r="Y317" s="110"/>
      <c r="Z317" s="110"/>
      <c r="AA317" s="110"/>
      <c r="AB317" s="110"/>
      <c r="AC317" s="110"/>
      <c r="AD317" s="110"/>
      <c r="AE317" s="110"/>
      <c r="AF317" s="110"/>
      <c r="AG317" s="110"/>
      <c r="AH317" s="110"/>
    </row>
    <row r="318">
      <c r="A318" s="110"/>
      <c r="B318" s="110"/>
      <c r="C318" s="110"/>
      <c r="D318" s="110"/>
      <c r="E318" s="110"/>
      <c r="F318" s="110"/>
      <c r="G318" s="110"/>
      <c r="H318" s="110"/>
      <c r="I318" s="110"/>
      <c r="J318" s="110"/>
      <c r="K318" s="110"/>
      <c r="L318" s="110"/>
      <c r="M318" s="110"/>
      <c r="N318" s="110"/>
      <c r="O318" s="110"/>
      <c r="P318" s="110"/>
      <c r="Q318" s="110"/>
      <c r="R318" s="110"/>
      <c r="S318" s="110"/>
      <c r="T318" s="110"/>
      <c r="U318" s="110"/>
      <c r="V318" s="110"/>
      <c r="W318" s="110"/>
      <c r="X318" s="110"/>
      <c r="Y318" s="110"/>
      <c r="Z318" s="110"/>
      <c r="AA318" s="110"/>
      <c r="AB318" s="110"/>
      <c r="AC318" s="110"/>
      <c r="AD318" s="110"/>
      <c r="AE318" s="110"/>
      <c r="AF318" s="110"/>
      <c r="AG318" s="110"/>
      <c r="AH318" s="110"/>
    </row>
    <row r="319">
      <c r="A319" s="110"/>
      <c r="B319" s="110"/>
      <c r="C319" s="110"/>
      <c r="D319" s="110"/>
      <c r="E319" s="110"/>
      <c r="F319" s="110"/>
      <c r="G319" s="110"/>
      <c r="H319" s="110"/>
      <c r="I319" s="110"/>
      <c r="J319" s="110"/>
      <c r="K319" s="110"/>
      <c r="L319" s="110"/>
      <c r="M319" s="110"/>
      <c r="N319" s="110"/>
      <c r="O319" s="110"/>
      <c r="P319" s="110"/>
      <c r="Q319" s="110"/>
      <c r="R319" s="110"/>
      <c r="S319" s="110"/>
      <c r="T319" s="110"/>
      <c r="U319" s="110"/>
      <c r="V319" s="110"/>
      <c r="W319" s="110"/>
      <c r="X319" s="110"/>
      <c r="Y319" s="110"/>
      <c r="Z319" s="110"/>
      <c r="AA319" s="110"/>
      <c r="AB319" s="110"/>
      <c r="AC319" s="110"/>
      <c r="AD319" s="110"/>
      <c r="AE319" s="110"/>
      <c r="AF319" s="110"/>
      <c r="AG319" s="110"/>
      <c r="AH319" s="110"/>
    </row>
    <row r="320">
      <c r="A320" s="110"/>
      <c r="B320" s="110"/>
      <c r="C320" s="110"/>
      <c r="D320" s="110"/>
      <c r="E320" s="110"/>
      <c r="F320" s="110"/>
      <c r="G320" s="110"/>
      <c r="H320" s="110"/>
      <c r="I320" s="110"/>
      <c r="J320" s="110"/>
      <c r="K320" s="110"/>
      <c r="L320" s="110"/>
      <c r="M320" s="110"/>
      <c r="N320" s="110"/>
      <c r="O320" s="110"/>
      <c r="P320" s="110"/>
      <c r="Q320" s="110"/>
      <c r="R320" s="110"/>
      <c r="S320" s="110"/>
      <c r="T320" s="110"/>
      <c r="U320" s="110"/>
      <c r="V320" s="110"/>
      <c r="W320" s="110"/>
      <c r="X320" s="110"/>
      <c r="Y320" s="110"/>
      <c r="Z320" s="110"/>
      <c r="AA320" s="110"/>
      <c r="AB320" s="110"/>
      <c r="AC320" s="110"/>
      <c r="AD320" s="110"/>
      <c r="AE320" s="110"/>
      <c r="AF320" s="110"/>
      <c r="AG320" s="110"/>
      <c r="AH320" s="110"/>
    </row>
    <row r="321">
      <c r="A321" s="110"/>
      <c r="B321" s="110"/>
      <c r="C321" s="110"/>
      <c r="D321" s="110"/>
      <c r="E321" s="110"/>
      <c r="F321" s="110"/>
      <c r="G321" s="110"/>
      <c r="H321" s="110"/>
      <c r="I321" s="110"/>
      <c r="J321" s="110"/>
      <c r="K321" s="110"/>
      <c r="L321" s="110"/>
      <c r="M321" s="110"/>
      <c r="N321" s="110"/>
      <c r="O321" s="110"/>
      <c r="P321" s="110"/>
      <c r="Q321" s="110"/>
      <c r="R321" s="110"/>
      <c r="S321" s="110"/>
      <c r="T321" s="110"/>
      <c r="U321" s="110"/>
      <c r="V321" s="110"/>
      <c r="W321" s="110"/>
      <c r="X321" s="110"/>
      <c r="Y321" s="110"/>
      <c r="Z321" s="110"/>
      <c r="AA321" s="110"/>
      <c r="AB321" s="110"/>
      <c r="AC321" s="110"/>
      <c r="AD321" s="110"/>
      <c r="AE321" s="110"/>
      <c r="AF321" s="110"/>
      <c r="AG321" s="110"/>
      <c r="AH321" s="110"/>
    </row>
    <row r="322">
      <c r="A322" s="110"/>
      <c r="B322" s="110"/>
      <c r="C322" s="110"/>
      <c r="D322" s="110"/>
      <c r="E322" s="110"/>
      <c r="F322" s="110"/>
      <c r="G322" s="110"/>
      <c r="H322" s="110"/>
      <c r="I322" s="110"/>
      <c r="J322" s="110"/>
      <c r="K322" s="110"/>
      <c r="L322" s="110"/>
      <c r="M322" s="110"/>
      <c r="N322" s="110"/>
      <c r="O322" s="110"/>
      <c r="P322" s="110"/>
      <c r="Q322" s="110"/>
      <c r="R322" s="110"/>
      <c r="S322" s="110"/>
      <c r="T322" s="110"/>
      <c r="U322" s="110"/>
      <c r="V322" s="110"/>
      <c r="W322" s="110"/>
      <c r="X322" s="110"/>
      <c r="Y322" s="110"/>
      <c r="Z322" s="110"/>
      <c r="AA322" s="110"/>
      <c r="AB322" s="110"/>
      <c r="AC322" s="110"/>
      <c r="AD322" s="110"/>
      <c r="AE322" s="110"/>
      <c r="AF322" s="110"/>
      <c r="AG322" s="110"/>
      <c r="AH322" s="110"/>
    </row>
    <row r="323">
      <c r="A323" s="110"/>
      <c r="B323" s="110"/>
      <c r="C323" s="110"/>
      <c r="D323" s="110"/>
      <c r="E323" s="110"/>
      <c r="F323" s="110"/>
      <c r="G323" s="110"/>
      <c r="H323" s="110"/>
      <c r="I323" s="110"/>
      <c r="J323" s="110"/>
      <c r="K323" s="110"/>
      <c r="L323" s="110"/>
      <c r="M323" s="110"/>
      <c r="N323" s="110"/>
      <c r="O323" s="110"/>
      <c r="P323" s="110"/>
      <c r="Q323" s="110"/>
      <c r="R323" s="110"/>
      <c r="S323" s="110"/>
      <c r="T323" s="110"/>
      <c r="U323" s="110"/>
      <c r="V323" s="110"/>
      <c r="W323" s="110"/>
      <c r="X323" s="110"/>
      <c r="Y323" s="110"/>
      <c r="Z323" s="110"/>
      <c r="AA323" s="110"/>
      <c r="AB323" s="110"/>
      <c r="AC323" s="110"/>
      <c r="AD323" s="110"/>
      <c r="AE323" s="110"/>
      <c r="AF323" s="110"/>
      <c r="AG323" s="110"/>
      <c r="AH323" s="110"/>
    </row>
    <row r="324">
      <c r="A324" s="110"/>
      <c r="B324" s="110"/>
      <c r="C324" s="110"/>
      <c r="D324" s="110"/>
      <c r="E324" s="110"/>
      <c r="F324" s="110"/>
      <c r="G324" s="110"/>
      <c r="H324" s="110"/>
      <c r="I324" s="110"/>
      <c r="J324" s="110"/>
      <c r="K324" s="110"/>
      <c r="L324" s="110"/>
      <c r="M324" s="110"/>
      <c r="N324" s="110"/>
      <c r="O324" s="110"/>
      <c r="P324" s="110"/>
      <c r="Q324" s="110"/>
      <c r="R324" s="110"/>
      <c r="S324" s="110"/>
      <c r="T324" s="110"/>
      <c r="U324" s="110"/>
      <c r="V324" s="110"/>
      <c r="W324" s="110"/>
      <c r="X324" s="110"/>
      <c r="Y324" s="110"/>
      <c r="Z324" s="110"/>
      <c r="AA324" s="110"/>
      <c r="AB324" s="110"/>
      <c r="AC324" s="110"/>
      <c r="AD324" s="110"/>
      <c r="AE324" s="110"/>
      <c r="AF324" s="110"/>
      <c r="AG324" s="110"/>
      <c r="AH324" s="110"/>
    </row>
    <row r="325">
      <c r="A325" s="110"/>
      <c r="B325" s="110"/>
      <c r="C325" s="110"/>
      <c r="D325" s="110"/>
      <c r="E325" s="110"/>
      <c r="F325" s="110"/>
      <c r="G325" s="110"/>
      <c r="H325" s="110"/>
      <c r="I325" s="110"/>
      <c r="J325" s="110"/>
      <c r="K325" s="110"/>
      <c r="L325" s="110"/>
      <c r="M325" s="110"/>
      <c r="N325" s="110"/>
      <c r="O325" s="110"/>
      <c r="P325" s="110"/>
      <c r="Q325" s="110"/>
      <c r="R325" s="110"/>
      <c r="S325" s="110"/>
      <c r="T325" s="110"/>
      <c r="U325" s="110"/>
      <c r="V325" s="110"/>
      <c r="W325" s="110"/>
      <c r="X325" s="110"/>
      <c r="Y325" s="110"/>
      <c r="Z325" s="110"/>
      <c r="AA325" s="110"/>
      <c r="AB325" s="110"/>
      <c r="AC325" s="110"/>
      <c r="AD325" s="110"/>
      <c r="AE325" s="110"/>
      <c r="AF325" s="110"/>
      <c r="AG325" s="110"/>
      <c r="AH325" s="110"/>
    </row>
    <row r="326">
      <c r="A326" s="110"/>
      <c r="B326" s="110"/>
      <c r="C326" s="110"/>
      <c r="D326" s="110"/>
      <c r="E326" s="110"/>
      <c r="F326" s="110"/>
      <c r="G326" s="110"/>
      <c r="H326" s="110"/>
      <c r="I326" s="110"/>
      <c r="J326" s="110"/>
      <c r="K326" s="110"/>
      <c r="L326" s="110"/>
      <c r="M326" s="110"/>
      <c r="N326" s="110"/>
      <c r="O326" s="110"/>
      <c r="P326" s="110"/>
      <c r="Q326" s="110"/>
      <c r="R326" s="110"/>
      <c r="S326" s="110"/>
      <c r="T326" s="110"/>
      <c r="U326" s="110"/>
      <c r="V326" s="110"/>
      <c r="W326" s="110"/>
      <c r="X326" s="110"/>
      <c r="Y326" s="110"/>
      <c r="Z326" s="110"/>
      <c r="AA326" s="110"/>
      <c r="AB326" s="110"/>
      <c r="AC326" s="110"/>
      <c r="AD326" s="110"/>
      <c r="AE326" s="110"/>
      <c r="AF326" s="110"/>
      <c r="AG326" s="110"/>
      <c r="AH326" s="110"/>
    </row>
    <row r="327">
      <c r="A327" s="110"/>
      <c r="B327" s="110"/>
      <c r="C327" s="110"/>
      <c r="D327" s="110"/>
      <c r="E327" s="110"/>
      <c r="F327" s="110"/>
      <c r="G327" s="110"/>
      <c r="H327" s="110"/>
      <c r="I327" s="110"/>
      <c r="J327" s="110"/>
      <c r="K327" s="110"/>
      <c r="L327" s="110"/>
      <c r="M327" s="110"/>
      <c r="N327" s="110"/>
      <c r="O327" s="110"/>
      <c r="P327" s="110"/>
      <c r="Q327" s="110"/>
      <c r="R327" s="110"/>
      <c r="S327" s="110"/>
      <c r="T327" s="110"/>
      <c r="U327" s="110"/>
      <c r="V327" s="110"/>
      <c r="W327" s="110"/>
      <c r="X327" s="110"/>
      <c r="Y327" s="110"/>
      <c r="Z327" s="110"/>
      <c r="AA327" s="110"/>
      <c r="AB327" s="110"/>
      <c r="AC327" s="110"/>
      <c r="AD327" s="110"/>
      <c r="AE327" s="110"/>
      <c r="AF327" s="110"/>
      <c r="AG327" s="110"/>
      <c r="AH327" s="110"/>
    </row>
    <row r="328">
      <c r="A328" s="110"/>
      <c r="B328" s="110"/>
      <c r="C328" s="110"/>
      <c r="D328" s="110"/>
      <c r="E328" s="110"/>
      <c r="F328" s="110"/>
      <c r="G328" s="110"/>
      <c r="H328" s="110"/>
      <c r="I328" s="110"/>
      <c r="J328" s="110"/>
      <c r="K328" s="110"/>
      <c r="L328" s="110"/>
      <c r="M328" s="110"/>
      <c r="N328" s="110"/>
      <c r="O328" s="110"/>
      <c r="P328" s="110"/>
      <c r="Q328" s="110"/>
      <c r="R328" s="110"/>
      <c r="S328" s="110"/>
      <c r="T328" s="110"/>
      <c r="U328" s="110"/>
      <c r="V328" s="110"/>
      <c r="W328" s="110"/>
      <c r="X328" s="110"/>
      <c r="Y328" s="110"/>
      <c r="Z328" s="110"/>
      <c r="AA328" s="110"/>
      <c r="AB328" s="110"/>
      <c r="AC328" s="110"/>
      <c r="AD328" s="110"/>
      <c r="AE328" s="110"/>
      <c r="AF328" s="110"/>
      <c r="AG328" s="110"/>
      <c r="AH328" s="110"/>
    </row>
    <row r="329">
      <c r="A329" s="110"/>
      <c r="B329" s="110"/>
      <c r="C329" s="110"/>
      <c r="D329" s="110"/>
      <c r="E329" s="110"/>
      <c r="F329" s="110"/>
      <c r="G329" s="110"/>
      <c r="H329" s="110"/>
      <c r="I329" s="110"/>
      <c r="J329" s="110"/>
      <c r="K329" s="110"/>
      <c r="L329" s="110"/>
      <c r="M329" s="110"/>
      <c r="N329" s="110"/>
      <c r="O329" s="110"/>
      <c r="P329" s="110"/>
      <c r="Q329" s="110"/>
      <c r="R329" s="110"/>
      <c r="S329" s="110"/>
      <c r="T329" s="110"/>
      <c r="U329" s="110"/>
      <c r="V329" s="110"/>
      <c r="W329" s="110"/>
      <c r="X329" s="110"/>
      <c r="Y329" s="110"/>
      <c r="Z329" s="110"/>
      <c r="AA329" s="110"/>
      <c r="AB329" s="110"/>
      <c r="AC329" s="110"/>
      <c r="AD329" s="110"/>
      <c r="AE329" s="110"/>
      <c r="AF329" s="110"/>
      <c r="AG329" s="110"/>
      <c r="AH329" s="110"/>
    </row>
    <row r="330">
      <c r="A330" s="110"/>
      <c r="B330" s="110"/>
      <c r="C330" s="110"/>
      <c r="D330" s="110"/>
      <c r="E330" s="110"/>
      <c r="F330" s="110"/>
      <c r="G330" s="110"/>
      <c r="H330" s="110"/>
      <c r="I330" s="110"/>
      <c r="J330" s="110"/>
      <c r="K330" s="110"/>
      <c r="L330" s="110"/>
      <c r="M330" s="110"/>
      <c r="N330" s="110"/>
      <c r="O330" s="110"/>
      <c r="P330" s="110"/>
      <c r="Q330" s="110"/>
      <c r="R330" s="110"/>
      <c r="S330" s="110"/>
      <c r="T330" s="110"/>
      <c r="U330" s="110"/>
      <c r="V330" s="110"/>
      <c r="W330" s="110"/>
      <c r="X330" s="110"/>
      <c r="Y330" s="110"/>
      <c r="Z330" s="110"/>
      <c r="AA330" s="110"/>
      <c r="AB330" s="110"/>
      <c r="AC330" s="110"/>
      <c r="AD330" s="110"/>
      <c r="AE330" s="110"/>
      <c r="AF330" s="110"/>
      <c r="AG330" s="110"/>
      <c r="AH330" s="110"/>
    </row>
    <row r="331">
      <c r="A331" s="110"/>
      <c r="B331" s="110"/>
      <c r="C331" s="110"/>
      <c r="D331" s="110"/>
      <c r="E331" s="110"/>
      <c r="F331" s="110"/>
      <c r="G331" s="110"/>
      <c r="H331" s="110"/>
      <c r="I331" s="110"/>
      <c r="J331" s="110"/>
      <c r="K331" s="110"/>
      <c r="L331" s="110"/>
      <c r="M331" s="110"/>
      <c r="N331" s="110"/>
      <c r="O331" s="110"/>
      <c r="P331" s="110"/>
      <c r="Q331" s="110"/>
      <c r="R331" s="110"/>
      <c r="S331" s="110"/>
      <c r="T331" s="110"/>
      <c r="U331" s="110"/>
      <c r="V331" s="110"/>
      <c r="W331" s="110"/>
      <c r="X331" s="110"/>
      <c r="Y331" s="110"/>
      <c r="Z331" s="110"/>
      <c r="AA331" s="110"/>
      <c r="AB331" s="110"/>
      <c r="AC331" s="110"/>
      <c r="AD331" s="110"/>
      <c r="AE331" s="110"/>
      <c r="AF331" s="110"/>
      <c r="AG331" s="110"/>
      <c r="AH331" s="110"/>
    </row>
    <row r="332">
      <c r="A332" s="110"/>
      <c r="B332" s="110"/>
      <c r="C332" s="110"/>
      <c r="D332" s="110"/>
      <c r="E332" s="110"/>
      <c r="F332" s="110"/>
      <c r="G332" s="110"/>
      <c r="H332" s="110"/>
      <c r="I332" s="110"/>
      <c r="J332" s="110"/>
      <c r="K332" s="110"/>
      <c r="L332" s="110"/>
      <c r="M332" s="110"/>
      <c r="N332" s="110"/>
      <c r="O332" s="110"/>
      <c r="P332" s="110"/>
      <c r="Q332" s="110"/>
      <c r="R332" s="110"/>
      <c r="S332" s="110"/>
      <c r="T332" s="110"/>
      <c r="U332" s="110"/>
      <c r="V332" s="110"/>
      <c r="W332" s="110"/>
      <c r="X332" s="110"/>
      <c r="Y332" s="110"/>
      <c r="Z332" s="110"/>
      <c r="AA332" s="110"/>
      <c r="AB332" s="110"/>
      <c r="AC332" s="110"/>
      <c r="AD332" s="110"/>
      <c r="AE332" s="110"/>
      <c r="AF332" s="110"/>
      <c r="AG332" s="110"/>
      <c r="AH332" s="110"/>
    </row>
    <row r="333">
      <c r="A333" s="110"/>
      <c r="B333" s="110"/>
      <c r="C333" s="110"/>
      <c r="D333" s="110"/>
      <c r="E333" s="110"/>
      <c r="F333" s="110"/>
      <c r="G333" s="110"/>
      <c r="H333" s="110"/>
      <c r="I333" s="110"/>
      <c r="J333" s="110"/>
      <c r="K333" s="110"/>
      <c r="L333" s="110"/>
      <c r="M333" s="110"/>
      <c r="N333" s="110"/>
      <c r="O333" s="110"/>
      <c r="P333" s="110"/>
      <c r="Q333" s="110"/>
      <c r="R333" s="110"/>
      <c r="S333" s="110"/>
      <c r="T333" s="110"/>
      <c r="U333" s="110"/>
      <c r="V333" s="110"/>
      <c r="W333" s="110"/>
      <c r="X333" s="110"/>
      <c r="Y333" s="110"/>
      <c r="Z333" s="110"/>
      <c r="AA333" s="110"/>
      <c r="AB333" s="110"/>
      <c r="AC333" s="110"/>
      <c r="AD333" s="110"/>
      <c r="AE333" s="110"/>
      <c r="AF333" s="110"/>
      <c r="AG333" s="110"/>
      <c r="AH333" s="110"/>
    </row>
    <row r="334">
      <c r="A334" s="110"/>
      <c r="B334" s="110"/>
      <c r="C334" s="110"/>
      <c r="D334" s="110"/>
      <c r="E334" s="110"/>
      <c r="F334" s="110"/>
      <c r="G334" s="110"/>
      <c r="H334" s="110"/>
      <c r="I334" s="110"/>
      <c r="J334" s="110"/>
      <c r="K334" s="110"/>
      <c r="L334" s="110"/>
      <c r="M334" s="110"/>
      <c r="N334" s="110"/>
      <c r="O334" s="110"/>
      <c r="P334" s="110"/>
      <c r="Q334" s="110"/>
      <c r="R334" s="110"/>
      <c r="S334" s="110"/>
      <c r="T334" s="110"/>
      <c r="U334" s="110"/>
      <c r="V334" s="110"/>
      <c r="W334" s="110"/>
      <c r="X334" s="110"/>
      <c r="Y334" s="110"/>
      <c r="Z334" s="110"/>
      <c r="AA334" s="110"/>
      <c r="AB334" s="110"/>
      <c r="AC334" s="110"/>
      <c r="AD334" s="110"/>
      <c r="AE334" s="110"/>
      <c r="AF334" s="110"/>
      <c r="AG334" s="110"/>
      <c r="AH334" s="110"/>
    </row>
    <row r="335">
      <c r="A335" s="110"/>
      <c r="B335" s="110"/>
      <c r="C335" s="110"/>
      <c r="D335" s="110"/>
      <c r="E335" s="110"/>
      <c r="F335" s="110"/>
      <c r="G335" s="110"/>
      <c r="H335" s="110"/>
      <c r="I335" s="110"/>
      <c r="J335" s="110"/>
      <c r="K335" s="110"/>
      <c r="L335" s="110"/>
      <c r="M335" s="110"/>
      <c r="N335" s="110"/>
      <c r="O335" s="110"/>
      <c r="P335" s="110"/>
      <c r="Q335" s="110"/>
      <c r="R335" s="110"/>
      <c r="S335" s="110"/>
      <c r="T335" s="110"/>
      <c r="U335" s="110"/>
      <c r="V335" s="110"/>
      <c r="W335" s="110"/>
      <c r="X335" s="110"/>
      <c r="Y335" s="110"/>
      <c r="Z335" s="110"/>
      <c r="AA335" s="110"/>
      <c r="AB335" s="110"/>
      <c r="AC335" s="110"/>
      <c r="AD335" s="110"/>
      <c r="AE335" s="110"/>
      <c r="AF335" s="110"/>
      <c r="AG335" s="110"/>
      <c r="AH335" s="110"/>
    </row>
    <row r="336">
      <c r="A336" s="110"/>
      <c r="B336" s="110"/>
      <c r="C336" s="110"/>
      <c r="D336" s="110"/>
      <c r="E336" s="110"/>
      <c r="F336" s="110"/>
      <c r="G336" s="110"/>
      <c r="H336" s="110"/>
      <c r="I336" s="110"/>
      <c r="J336" s="110"/>
      <c r="K336" s="110"/>
      <c r="L336" s="110"/>
      <c r="M336" s="110"/>
      <c r="N336" s="110"/>
      <c r="O336" s="110"/>
      <c r="P336" s="110"/>
      <c r="Q336" s="110"/>
      <c r="R336" s="110"/>
      <c r="S336" s="110"/>
      <c r="T336" s="110"/>
      <c r="U336" s="110"/>
      <c r="V336" s="110"/>
      <c r="W336" s="110"/>
      <c r="X336" s="110"/>
      <c r="Y336" s="110"/>
      <c r="Z336" s="110"/>
      <c r="AA336" s="110"/>
      <c r="AB336" s="110"/>
      <c r="AC336" s="110"/>
      <c r="AD336" s="110"/>
      <c r="AE336" s="110"/>
      <c r="AF336" s="110"/>
      <c r="AG336" s="110"/>
      <c r="AH336" s="110"/>
    </row>
    <row r="337">
      <c r="A337" s="110"/>
      <c r="B337" s="110"/>
      <c r="C337" s="110"/>
      <c r="D337" s="110"/>
      <c r="E337" s="110"/>
      <c r="F337" s="110"/>
      <c r="G337" s="110"/>
      <c r="H337" s="110"/>
      <c r="I337" s="110"/>
      <c r="J337" s="110"/>
      <c r="K337" s="110"/>
      <c r="L337" s="110"/>
      <c r="M337" s="110"/>
      <c r="N337" s="110"/>
      <c r="O337" s="110"/>
      <c r="P337" s="110"/>
      <c r="Q337" s="110"/>
      <c r="R337" s="110"/>
      <c r="S337" s="110"/>
      <c r="T337" s="110"/>
      <c r="U337" s="110"/>
      <c r="V337" s="110"/>
      <c r="W337" s="110"/>
      <c r="X337" s="110"/>
      <c r="Y337" s="110"/>
      <c r="Z337" s="110"/>
      <c r="AA337" s="110"/>
      <c r="AB337" s="110"/>
      <c r="AC337" s="110"/>
      <c r="AD337" s="110"/>
      <c r="AE337" s="110"/>
      <c r="AF337" s="110"/>
      <c r="AG337" s="110"/>
      <c r="AH337" s="110"/>
    </row>
    <row r="338">
      <c r="A338" s="110"/>
      <c r="B338" s="110"/>
      <c r="C338" s="110"/>
      <c r="D338" s="110"/>
      <c r="E338" s="110"/>
      <c r="F338" s="110"/>
      <c r="G338" s="110"/>
      <c r="H338" s="110"/>
      <c r="I338" s="110"/>
      <c r="J338" s="110"/>
      <c r="K338" s="110"/>
      <c r="L338" s="110"/>
      <c r="M338" s="110"/>
      <c r="N338" s="110"/>
      <c r="O338" s="110"/>
      <c r="P338" s="110"/>
      <c r="Q338" s="110"/>
      <c r="R338" s="110"/>
      <c r="S338" s="110"/>
      <c r="T338" s="110"/>
      <c r="U338" s="110"/>
      <c r="V338" s="110"/>
      <c r="W338" s="110"/>
      <c r="X338" s="110"/>
      <c r="Y338" s="110"/>
      <c r="Z338" s="110"/>
      <c r="AA338" s="110"/>
      <c r="AB338" s="110"/>
      <c r="AC338" s="110"/>
      <c r="AD338" s="110"/>
      <c r="AE338" s="110"/>
      <c r="AF338" s="110"/>
      <c r="AG338" s="110"/>
      <c r="AH338" s="110"/>
    </row>
    <row r="339">
      <c r="A339" s="110"/>
      <c r="B339" s="110"/>
      <c r="C339" s="110"/>
      <c r="D339" s="110"/>
      <c r="E339" s="110"/>
      <c r="F339" s="110"/>
      <c r="G339" s="110"/>
      <c r="H339" s="110"/>
      <c r="I339" s="110"/>
      <c r="J339" s="110"/>
      <c r="K339" s="110"/>
      <c r="L339" s="110"/>
      <c r="M339" s="110"/>
      <c r="N339" s="110"/>
      <c r="O339" s="110"/>
      <c r="P339" s="110"/>
      <c r="Q339" s="110"/>
      <c r="R339" s="110"/>
      <c r="S339" s="110"/>
      <c r="T339" s="110"/>
      <c r="U339" s="110"/>
      <c r="V339" s="110"/>
      <c r="W339" s="110"/>
      <c r="X339" s="110"/>
      <c r="Y339" s="110"/>
      <c r="Z339" s="110"/>
      <c r="AA339" s="110"/>
      <c r="AB339" s="110"/>
      <c r="AC339" s="110"/>
      <c r="AD339" s="110"/>
      <c r="AE339" s="110"/>
      <c r="AF339" s="110"/>
      <c r="AG339" s="110"/>
      <c r="AH339" s="110"/>
    </row>
    <row r="340">
      <c r="A340" s="110"/>
      <c r="B340" s="110"/>
      <c r="C340" s="110"/>
      <c r="D340" s="110"/>
      <c r="E340" s="110"/>
      <c r="F340" s="110"/>
      <c r="G340" s="110"/>
      <c r="H340" s="110"/>
      <c r="I340" s="110"/>
      <c r="J340" s="110"/>
      <c r="K340" s="110"/>
      <c r="L340" s="110"/>
      <c r="M340" s="110"/>
      <c r="N340" s="110"/>
      <c r="O340" s="110"/>
      <c r="P340" s="110"/>
      <c r="Q340" s="110"/>
      <c r="R340" s="110"/>
      <c r="S340" s="110"/>
      <c r="T340" s="110"/>
      <c r="U340" s="110"/>
      <c r="V340" s="110"/>
      <c r="W340" s="110"/>
      <c r="X340" s="110"/>
      <c r="Y340" s="110"/>
      <c r="Z340" s="110"/>
      <c r="AA340" s="110"/>
      <c r="AB340" s="110"/>
      <c r="AC340" s="110"/>
      <c r="AD340" s="110"/>
      <c r="AE340" s="110"/>
      <c r="AF340" s="110"/>
      <c r="AG340" s="110"/>
      <c r="AH340" s="110"/>
    </row>
    <row r="341">
      <c r="A341" s="110"/>
      <c r="B341" s="110"/>
      <c r="C341" s="110"/>
      <c r="D341" s="110"/>
      <c r="E341" s="110"/>
      <c r="F341" s="110"/>
      <c r="G341" s="110"/>
      <c r="H341" s="110"/>
      <c r="I341" s="110"/>
      <c r="J341" s="110"/>
      <c r="K341" s="110"/>
      <c r="L341" s="110"/>
      <c r="M341" s="110"/>
      <c r="N341" s="110"/>
      <c r="O341" s="110"/>
      <c r="P341" s="110"/>
      <c r="Q341" s="110"/>
      <c r="R341" s="110"/>
      <c r="S341" s="110"/>
      <c r="T341" s="110"/>
      <c r="U341" s="110"/>
      <c r="V341" s="110"/>
      <c r="W341" s="110"/>
      <c r="X341" s="110"/>
      <c r="Y341" s="110"/>
      <c r="Z341" s="110"/>
      <c r="AA341" s="110"/>
      <c r="AB341" s="110"/>
      <c r="AC341" s="110"/>
      <c r="AD341" s="110"/>
      <c r="AE341" s="110"/>
      <c r="AF341" s="110"/>
      <c r="AG341" s="110"/>
      <c r="AH341" s="110"/>
    </row>
    <row r="342">
      <c r="A342" s="110"/>
      <c r="B342" s="110"/>
      <c r="C342" s="110"/>
      <c r="D342" s="110"/>
      <c r="E342" s="110"/>
      <c r="F342" s="110"/>
      <c r="G342" s="110"/>
      <c r="H342" s="110"/>
      <c r="I342" s="110"/>
      <c r="J342" s="110"/>
      <c r="K342" s="110"/>
      <c r="L342" s="110"/>
      <c r="M342" s="110"/>
      <c r="N342" s="110"/>
      <c r="O342" s="110"/>
      <c r="P342" s="110"/>
      <c r="Q342" s="110"/>
      <c r="R342" s="110"/>
      <c r="S342" s="110"/>
      <c r="T342" s="110"/>
      <c r="U342" s="110"/>
      <c r="V342" s="110"/>
      <c r="W342" s="110"/>
      <c r="X342" s="110"/>
      <c r="Y342" s="110"/>
      <c r="Z342" s="110"/>
      <c r="AA342" s="110"/>
      <c r="AB342" s="110"/>
      <c r="AC342" s="110"/>
      <c r="AD342" s="110"/>
      <c r="AE342" s="110"/>
      <c r="AF342" s="110"/>
      <c r="AG342" s="110"/>
      <c r="AH342" s="110"/>
    </row>
    <row r="343">
      <c r="A343" s="110"/>
      <c r="B343" s="110"/>
      <c r="C343" s="110"/>
      <c r="D343" s="110"/>
      <c r="E343" s="110"/>
      <c r="F343" s="110"/>
      <c r="G343" s="110"/>
      <c r="H343" s="110"/>
      <c r="I343" s="110"/>
      <c r="J343" s="110"/>
      <c r="K343" s="110"/>
      <c r="L343" s="110"/>
      <c r="M343" s="110"/>
      <c r="N343" s="110"/>
      <c r="O343" s="110"/>
      <c r="P343" s="110"/>
      <c r="Q343" s="110"/>
      <c r="R343" s="110"/>
      <c r="S343" s="110"/>
      <c r="T343" s="110"/>
      <c r="U343" s="110"/>
      <c r="V343" s="110"/>
      <c r="W343" s="110"/>
      <c r="X343" s="110"/>
      <c r="Y343" s="110"/>
      <c r="Z343" s="110"/>
      <c r="AA343" s="110"/>
      <c r="AB343" s="110"/>
      <c r="AC343" s="110"/>
      <c r="AD343" s="110"/>
      <c r="AE343" s="110"/>
      <c r="AF343" s="110"/>
      <c r="AG343" s="110"/>
      <c r="AH343" s="110"/>
    </row>
    <row r="344">
      <c r="A344" s="110"/>
      <c r="B344" s="110"/>
      <c r="C344" s="110"/>
      <c r="D344" s="110"/>
      <c r="E344" s="110"/>
      <c r="F344" s="110"/>
      <c r="G344" s="110"/>
      <c r="H344" s="110"/>
      <c r="I344" s="110"/>
      <c r="J344" s="110"/>
      <c r="K344" s="110"/>
      <c r="L344" s="110"/>
      <c r="M344" s="110"/>
      <c r="N344" s="110"/>
      <c r="O344" s="110"/>
      <c r="P344" s="110"/>
      <c r="Q344" s="110"/>
      <c r="R344" s="110"/>
      <c r="S344" s="110"/>
      <c r="T344" s="110"/>
      <c r="U344" s="110"/>
      <c r="V344" s="110"/>
      <c r="W344" s="110"/>
      <c r="X344" s="110"/>
      <c r="Y344" s="110"/>
      <c r="Z344" s="110"/>
      <c r="AA344" s="110"/>
      <c r="AB344" s="110"/>
      <c r="AC344" s="110"/>
      <c r="AD344" s="110"/>
      <c r="AE344" s="110"/>
      <c r="AF344" s="110"/>
      <c r="AG344" s="110"/>
      <c r="AH344" s="110"/>
    </row>
    <row r="345">
      <c r="A345" s="110"/>
      <c r="B345" s="110"/>
      <c r="C345" s="110"/>
      <c r="D345" s="110"/>
      <c r="E345" s="110"/>
      <c r="F345" s="110"/>
      <c r="G345" s="110"/>
      <c r="H345" s="110"/>
      <c r="I345" s="110"/>
      <c r="J345" s="110"/>
      <c r="K345" s="110"/>
      <c r="L345" s="110"/>
      <c r="M345" s="110"/>
      <c r="N345" s="110"/>
      <c r="O345" s="110"/>
      <c r="P345" s="110"/>
      <c r="Q345" s="110"/>
      <c r="R345" s="110"/>
      <c r="S345" s="110"/>
      <c r="T345" s="110"/>
      <c r="U345" s="110"/>
      <c r="V345" s="110"/>
      <c r="W345" s="110"/>
      <c r="X345" s="110"/>
      <c r="Y345" s="110"/>
      <c r="Z345" s="110"/>
      <c r="AA345" s="110"/>
      <c r="AB345" s="110"/>
      <c r="AC345" s="110"/>
      <c r="AD345" s="110"/>
      <c r="AE345" s="110"/>
      <c r="AF345" s="110"/>
      <c r="AG345" s="110"/>
      <c r="AH345" s="110"/>
    </row>
    <row r="346">
      <c r="A346" s="110"/>
      <c r="B346" s="110"/>
      <c r="C346" s="110"/>
      <c r="D346" s="110"/>
      <c r="E346" s="110"/>
      <c r="F346" s="110"/>
      <c r="G346" s="110"/>
      <c r="H346" s="110"/>
      <c r="I346" s="110"/>
      <c r="J346" s="110"/>
      <c r="K346" s="110"/>
      <c r="L346" s="110"/>
      <c r="M346" s="110"/>
      <c r="N346" s="110"/>
      <c r="O346" s="110"/>
      <c r="P346" s="110"/>
      <c r="Q346" s="110"/>
      <c r="R346" s="110"/>
      <c r="S346" s="110"/>
      <c r="T346" s="110"/>
      <c r="U346" s="110"/>
      <c r="V346" s="110"/>
      <c r="W346" s="110"/>
      <c r="X346" s="110"/>
      <c r="Y346" s="110"/>
      <c r="Z346" s="110"/>
      <c r="AA346" s="110"/>
      <c r="AB346" s="110"/>
      <c r="AC346" s="110"/>
      <c r="AD346" s="110"/>
      <c r="AE346" s="110"/>
      <c r="AF346" s="110"/>
      <c r="AG346" s="110"/>
      <c r="AH346" s="110"/>
    </row>
    <row r="347">
      <c r="A347" s="110"/>
      <c r="B347" s="110"/>
      <c r="C347" s="110"/>
      <c r="D347" s="110"/>
      <c r="E347" s="110"/>
      <c r="F347" s="110"/>
      <c r="G347" s="110"/>
      <c r="H347" s="110"/>
      <c r="I347" s="110"/>
      <c r="J347" s="110"/>
      <c r="K347" s="110"/>
      <c r="L347" s="110"/>
      <c r="M347" s="110"/>
      <c r="N347" s="110"/>
      <c r="O347" s="110"/>
      <c r="P347" s="110"/>
      <c r="Q347" s="110"/>
      <c r="R347" s="110"/>
      <c r="S347" s="110"/>
      <c r="T347" s="110"/>
      <c r="U347" s="110"/>
      <c r="V347" s="110"/>
      <c r="W347" s="110"/>
      <c r="X347" s="110"/>
      <c r="Y347" s="110"/>
      <c r="Z347" s="110"/>
      <c r="AA347" s="110"/>
      <c r="AB347" s="110"/>
      <c r="AC347" s="110"/>
      <c r="AD347" s="110"/>
      <c r="AE347" s="110"/>
      <c r="AF347" s="110"/>
      <c r="AG347" s="110"/>
      <c r="AH347" s="110"/>
    </row>
    <row r="348">
      <c r="A348" s="110"/>
      <c r="B348" s="110"/>
      <c r="C348" s="110"/>
      <c r="D348" s="110"/>
      <c r="E348" s="110"/>
      <c r="F348" s="110"/>
      <c r="G348" s="110"/>
      <c r="H348" s="110"/>
      <c r="I348" s="110"/>
      <c r="J348" s="110"/>
      <c r="K348" s="110"/>
      <c r="L348" s="110"/>
      <c r="M348" s="110"/>
      <c r="N348" s="110"/>
      <c r="O348" s="110"/>
      <c r="P348" s="110"/>
      <c r="Q348" s="110"/>
      <c r="R348" s="110"/>
      <c r="S348" s="110"/>
      <c r="T348" s="110"/>
      <c r="U348" s="110"/>
      <c r="V348" s="110"/>
      <c r="W348" s="110"/>
      <c r="X348" s="110"/>
      <c r="Y348" s="110"/>
      <c r="Z348" s="110"/>
      <c r="AA348" s="110"/>
      <c r="AB348" s="110"/>
      <c r="AC348" s="110"/>
      <c r="AD348" s="110"/>
      <c r="AE348" s="110"/>
      <c r="AF348" s="110"/>
      <c r="AG348" s="110"/>
      <c r="AH348" s="110"/>
    </row>
    <row r="349">
      <c r="A349" s="110"/>
      <c r="B349" s="110"/>
      <c r="C349" s="110"/>
      <c r="D349" s="110"/>
      <c r="E349" s="110"/>
      <c r="F349" s="110"/>
      <c r="G349" s="110"/>
      <c r="H349" s="110"/>
      <c r="I349" s="110"/>
      <c r="J349" s="110"/>
      <c r="K349" s="110"/>
      <c r="L349" s="110"/>
      <c r="M349" s="110"/>
      <c r="N349" s="110"/>
      <c r="O349" s="110"/>
      <c r="P349" s="110"/>
      <c r="Q349" s="110"/>
      <c r="R349" s="110"/>
      <c r="S349" s="110"/>
      <c r="T349" s="110"/>
      <c r="U349" s="110"/>
      <c r="V349" s="110"/>
      <c r="W349" s="110"/>
      <c r="X349" s="110"/>
      <c r="Y349" s="110"/>
      <c r="Z349" s="110"/>
      <c r="AA349" s="110"/>
      <c r="AB349" s="110"/>
      <c r="AC349" s="110"/>
      <c r="AD349" s="110"/>
      <c r="AE349" s="110"/>
      <c r="AF349" s="110"/>
      <c r="AG349" s="110"/>
      <c r="AH349" s="110"/>
    </row>
    <row r="350">
      <c r="A350" s="110"/>
      <c r="B350" s="110"/>
      <c r="C350" s="110"/>
      <c r="D350" s="110"/>
      <c r="E350" s="110"/>
      <c r="F350" s="110"/>
      <c r="G350" s="110"/>
      <c r="H350" s="110"/>
      <c r="I350" s="110"/>
      <c r="J350" s="110"/>
      <c r="K350" s="110"/>
      <c r="L350" s="110"/>
      <c r="M350" s="110"/>
      <c r="N350" s="110"/>
      <c r="O350" s="110"/>
      <c r="P350" s="110"/>
      <c r="Q350" s="110"/>
      <c r="R350" s="110"/>
      <c r="S350" s="110"/>
      <c r="T350" s="110"/>
      <c r="U350" s="110"/>
      <c r="V350" s="110"/>
      <c r="W350" s="110"/>
      <c r="X350" s="110"/>
      <c r="Y350" s="110"/>
      <c r="Z350" s="110"/>
      <c r="AA350" s="110"/>
      <c r="AB350" s="110"/>
      <c r="AC350" s="110"/>
      <c r="AD350" s="110"/>
      <c r="AE350" s="110"/>
      <c r="AF350" s="110"/>
      <c r="AG350" s="110"/>
      <c r="AH350" s="110"/>
    </row>
    <row r="351">
      <c r="A351" s="110"/>
      <c r="B351" s="110"/>
      <c r="C351" s="110"/>
      <c r="D351" s="110"/>
      <c r="E351" s="110"/>
      <c r="F351" s="110"/>
      <c r="G351" s="110"/>
      <c r="H351" s="110"/>
      <c r="I351" s="110"/>
      <c r="J351" s="110"/>
      <c r="K351" s="110"/>
      <c r="L351" s="110"/>
      <c r="M351" s="110"/>
      <c r="N351" s="110"/>
      <c r="O351" s="110"/>
      <c r="P351" s="110"/>
      <c r="Q351" s="110"/>
      <c r="R351" s="110"/>
      <c r="S351" s="110"/>
      <c r="T351" s="110"/>
      <c r="U351" s="110"/>
      <c r="V351" s="110"/>
      <c r="W351" s="110"/>
      <c r="X351" s="110"/>
      <c r="Y351" s="110"/>
      <c r="Z351" s="110"/>
      <c r="AA351" s="110"/>
      <c r="AB351" s="110"/>
      <c r="AC351" s="110"/>
      <c r="AD351" s="110"/>
      <c r="AE351" s="110"/>
      <c r="AF351" s="110"/>
      <c r="AG351" s="110"/>
      <c r="AH351" s="110"/>
    </row>
    <row r="352">
      <c r="A352" s="110"/>
      <c r="B352" s="110"/>
      <c r="C352" s="110"/>
      <c r="D352" s="110"/>
      <c r="E352" s="110"/>
      <c r="F352" s="110"/>
      <c r="G352" s="110"/>
      <c r="H352" s="110"/>
      <c r="I352" s="110"/>
      <c r="J352" s="110"/>
      <c r="K352" s="110"/>
      <c r="L352" s="110"/>
      <c r="M352" s="110"/>
      <c r="N352" s="110"/>
      <c r="O352" s="110"/>
      <c r="P352" s="110"/>
      <c r="Q352" s="110"/>
      <c r="R352" s="110"/>
      <c r="S352" s="110"/>
      <c r="T352" s="110"/>
      <c r="U352" s="110"/>
      <c r="V352" s="110"/>
      <c r="W352" s="110"/>
      <c r="X352" s="110"/>
      <c r="Y352" s="110"/>
      <c r="Z352" s="110"/>
      <c r="AA352" s="110"/>
      <c r="AB352" s="110"/>
      <c r="AC352" s="110"/>
      <c r="AD352" s="110"/>
      <c r="AE352" s="110"/>
      <c r="AF352" s="110"/>
      <c r="AG352" s="110"/>
      <c r="AH352" s="110"/>
    </row>
    <row r="353">
      <c r="A353" s="110"/>
      <c r="B353" s="110"/>
      <c r="C353" s="110"/>
      <c r="D353" s="110"/>
      <c r="E353" s="110"/>
      <c r="F353" s="110"/>
      <c r="G353" s="110"/>
      <c r="H353" s="110"/>
      <c r="I353" s="110"/>
      <c r="J353" s="110"/>
      <c r="K353" s="110"/>
      <c r="L353" s="110"/>
      <c r="M353" s="110"/>
      <c r="N353" s="110"/>
      <c r="O353" s="110"/>
      <c r="P353" s="110"/>
      <c r="Q353" s="110"/>
      <c r="R353" s="110"/>
      <c r="S353" s="110"/>
      <c r="T353" s="110"/>
      <c r="U353" s="110"/>
      <c r="V353" s="110"/>
      <c r="W353" s="110"/>
      <c r="X353" s="110"/>
      <c r="Y353" s="110"/>
      <c r="Z353" s="110"/>
      <c r="AA353" s="110"/>
      <c r="AB353" s="110"/>
      <c r="AC353" s="110"/>
      <c r="AD353" s="110"/>
      <c r="AE353" s="110"/>
      <c r="AF353" s="110"/>
      <c r="AG353" s="110"/>
      <c r="AH353" s="110"/>
    </row>
    <row r="354">
      <c r="A354" s="110"/>
      <c r="B354" s="110"/>
      <c r="C354" s="110"/>
      <c r="D354" s="110"/>
      <c r="E354" s="110"/>
      <c r="F354" s="110"/>
      <c r="G354" s="110"/>
      <c r="H354" s="110"/>
      <c r="I354" s="110"/>
      <c r="J354" s="110"/>
      <c r="K354" s="110"/>
      <c r="L354" s="110"/>
      <c r="M354" s="110"/>
      <c r="N354" s="110"/>
      <c r="O354" s="110"/>
      <c r="P354" s="110"/>
      <c r="Q354" s="110"/>
      <c r="R354" s="110"/>
      <c r="S354" s="110"/>
      <c r="T354" s="110"/>
      <c r="U354" s="110"/>
      <c r="V354" s="110"/>
      <c r="W354" s="110"/>
      <c r="X354" s="110"/>
      <c r="Y354" s="110"/>
      <c r="Z354" s="110"/>
      <c r="AA354" s="110"/>
      <c r="AB354" s="110"/>
      <c r="AC354" s="110"/>
      <c r="AD354" s="110"/>
      <c r="AE354" s="110"/>
      <c r="AF354" s="110"/>
      <c r="AG354" s="110"/>
      <c r="AH354" s="110"/>
    </row>
    <row r="355">
      <c r="A355" s="110"/>
      <c r="B355" s="110"/>
      <c r="C355" s="110"/>
      <c r="D355" s="110"/>
      <c r="E355" s="110"/>
      <c r="F355" s="110"/>
      <c r="G355" s="110"/>
      <c r="H355" s="110"/>
      <c r="I355" s="110"/>
      <c r="J355" s="110"/>
      <c r="K355" s="110"/>
      <c r="L355" s="110"/>
      <c r="M355" s="110"/>
      <c r="N355" s="110"/>
      <c r="O355" s="110"/>
      <c r="P355" s="110"/>
      <c r="Q355" s="110"/>
      <c r="R355" s="110"/>
      <c r="S355" s="110"/>
      <c r="T355" s="110"/>
      <c r="U355" s="110"/>
      <c r="V355" s="110"/>
      <c r="W355" s="110"/>
      <c r="X355" s="110"/>
      <c r="Y355" s="110"/>
      <c r="Z355" s="110"/>
      <c r="AA355" s="110"/>
      <c r="AB355" s="110"/>
      <c r="AC355" s="110"/>
      <c r="AD355" s="110"/>
      <c r="AE355" s="110"/>
      <c r="AF355" s="110"/>
      <c r="AG355" s="110"/>
      <c r="AH355" s="110"/>
    </row>
    <row r="356">
      <c r="A356" s="110"/>
      <c r="B356" s="110"/>
      <c r="C356" s="110"/>
      <c r="D356" s="110"/>
      <c r="E356" s="110"/>
      <c r="F356" s="110"/>
      <c r="G356" s="110"/>
      <c r="H356" s="110"/>
      <c r="I356" s="110"/>
      <c r="J356" s="110"/>
      <c r="K356" s="110"/>
      <c r="L356" s="110"/>
      <c r="M356" s="110"/>
      <c r="N356" s="110"/>
      <c r="O356" s="110"/>
      <c r="P356" s="110"/>
      <c r="Q356" s="110"/>
      <c r="R356" s="110"/>
      <c r="S356" s="110"/>
      <c r="T356" s="110"/>
      <c r="U356" s="110"/>
      <c r="V356" s="110"/>
      <c r="W356" s="110"/>
      <c r="X356" s="110"/>
      <c r="Y356" s="110"/>
      <c r="Z356" s="110"/>
      <c r="AA356" s="110"/>
      <c r="AB356" s="110"/>
      <c r="AC356" s="110"/>
      <c r="AD356" s="110"/>
      <c r="AE356" s="110"/>
      <c r="AF356" s="110"/>
      <c r="AG356" s="110"/>
      <c r="AH356" s="110"/>
    </row>
    <row r="357">
      <c r="A357" s="110"/>
      <c r="B357" s="110"/>
      <c r="C357" s="110"/>
      <c r="D357" s="110"/>
      <c r="E357" s="110"/>
      <c r="F357" s="110"/>
      <c r="G357" s="110"/>
      <c r="H357" s="110"/>
      <c r="I357" s="110"/>
      <c r="J357" s="110"/>
      <c r="K357" s="110"/>
      <c r="L357" s="110"/>
      <c r="M357" s="110"/>
      <c r="N357" s="110"/>
      <c r="O357" s="110"/>
      <c r="P357" s="110"/>
      <c r="Q357" s="110"/>
      <c r="R357" s="110"/>
      <c r="S357" s="110"/>
      <c r="T357" s="110"/>
      <c r="U357" s="110"/>
      <c r="V357" s="110"/>
      <c r="W357" s="110"/>
      <c r="X357" s="110"/>
      <c r="Y357" s="110"/>
      <c r="Z357" s="110"/>
      <c r="AA357" s="110"/>
      <c r="AB357" s="110"/>
      <c r="AC357" s="110"/>
      <c r="AD357" s="110"/>
      <c r="AE357" s="110"/>
      <c r="AF357" s="110"/>
      <c r="AG357" s="110"/>
      <c r="AH357" s="110"/>
    </row>
    <row r="358">
      <c r="A358" s="110"/>
      <c r="B358" s="110"/>
      <c r="C358" s="110"/>
      <c r="D358" s="110"/>
      <c r="E358" s="110"/>
      <c r="F358" s="110"/>
      <c r="G358" s="110"/>
      <c r="H358" s="110"/>
      <c r="I358" s="110"/>
      <c r="J358" s="110"/>
      <c r="K358" s="110"/>
      <c r="L358" s="110"/>
      <c r="M358" s="110"/>
      <c r="N358" s="110"/>
      <c r="O358" s="110"/>
      <c r="P358" s="110"/>
      <c r="Q358" s="110"/>
      <c r="R358" s="110"/>
      <c r="S358" s="110"/>
      <c r="T358" s="110"/>
      <c r="U358" s="110"/>
      <c r="V358" s="110"/>
      <c r="W358" s="110"/>
      <c r="X358" s="110"/>
      <c r="Y358" s="110"/>
      <c r="Z358" s="110"/>
      <c r="AA358" s="110"/>
      <c r="AB358" s="110"/>
      <c r="AC358" s="110"/>
      <c r="AD358" s="110"/>
      <c r="AE358" s="110"/>
      <c r="AF358" s="110"/>
      <c r="AG358" s="110"/>
      <c r="AH358" s="110"/>
    </row>
    <row r="359">
      <c r="A359" s="110"/>
      <c r="B359" s="110"/>
      <c r="C359" s="110"/>
      <c r="D359" s="110"/>
      <c r="E359" s="110"/>
      <c r="F359" s="110"/>
      <c r="G359" s="110"/>
      <c r="H359" s="110"/>
      <c r="I359" s="110"/>
      <c r="J359" s="110"/>
      <c r="K359" s="110"/>
      <c r="L359" s="110"/>
      <c r="M359" s="110"/>
      <c r="N359" s="110"/>
      <c r="O359" s="110"/>
      <c r="P359" s="110"/>
      <c r="Q359" s="110"/>
      <c r="R359" s="110"/>
      <c r="S359" s="110"/>
      <c r="T359" s="110"/>
      <c r="U359" s="110"/>
      <c r="V359" s="110"/>
      <c r="W359" s="110"/>
      <c r="X359" s="110"/>
      <c r="Y359" s="110"/>
      <c r="Z359" s="110"/>
      <c r="AA359" s="110"/>
      <c r="AB359" s="110"/>
      <c r="AC359" s="110"/>
      <c r="AD359" s="110"/>
      <c r="AE359" s="110"/>
      <c r="AF359" s="110"/>
      <c r="AG359" s="110"/>
      <c r="AH359" s="110"/>
    </row>
    <row r="360">
      <c r="A360" s="110"/>
      <c r="B360" s="110"/>
      <c r="C360" s="110"/>
      <c r="D360" s="110"/>
      <c r="E360" s="110"/>
      <c r="F360" s="110"/>
      <c r="G360" s="110"/>
      <c r="H360" s="110"/>
      <c r="I360" s="110"/>
      <c r="J360" s="110"/>
      <c r="K360" s="110"/>
      <c r="L360" s="110"/>
      <c r="M360" s="110"/>
      <c r="N360" s="110"/>
      <c r="O360" s="110"/>
      <c r="P360" s="110"/>
      <c r="Q360" s="110"/>
      <c r="R360" s="110"/>
      <c r="S360" s="110"/>
      <c r="T360" s="110"/>
      <c r="U360" s="110"/>
      <c r="V360" s="110"/>
      <c r="W360" s="110"/>
      <c r="X360" s="110"/>
      <c r="Y360" s="110"/>
      <c r="Z360" s="110"/>
      <c r="AA360" s="110"/>
      <c r="AB360" s="110"/>
      <c r="AC360" s="110"/>
      <c r="AD360" s="110"/>
      <c r="AE360" s="110"/>
      <c r="AF360" s="110"/>
      <c r="AG360" s="110"/>
      <c r="AH360" s="110"/>
    </row>
    <row r="361">
      <c r="A361" s="110"/>
      <c r="B361" s="110"/>
      <c r="C361" s="110"/>
      <c r="D361" s="110"/>
      <c r="E361" s="110"/>
      <c r="F361" s="110"/>
      <c r="G361" s="110"/>
      <c r="H361" s="110"/>
      <c r="I361" s="110"/>
      <c r="J361" s="110"/>
      <c r="K361" s="110"/>
      <c r="L361" s="110"/>
      <c r="M361" s="110"/>
      <c r="N361" s="110"/>
      <c r="O361" s="110"/>
      <c r="P361" s="110"/>
      <c r="Q361" s="110"/>
      <c r="R361" s="110"/>
      <c r="S361" s="110"/>
      <c r="T361" s="110"/>
      <c r="U361" s="110"/>
      <c r="V361" s="110"/>
      <c r="W361" s="110"/>
      <c r="X361" s="110"/>
      <c r="Y361" s="110"/>
      <c r="Z361" s="110"/>
      <c r="AA361" s="110"/>
      <c r="AB361" s="110"/>
      <c r="AC361" s="110"/>
      <c r="AD361" s="110"/>
      <c r="AE361" s="110"/>
      <c r="AF361" s="110"/>
      <c r="AG361" s="110"/>
      <c r="AH361" s="110"/>
    </row>
    <row r="362">
      <c r="A362" s="110"/>
      <c r="B362" s="110"/>
      <c r="C362" s="110"/>
      <c r="D362" s="110"/>
      <c r="E362" s="110"/>
      <c r="F362" s="110"/>
      <c r="G362" s="110"/>
      <c r="H362" s="110"/>
      <c r="I362" s="110"/>
      <c r="J362" s="110"/>
      <c r="K362" s="110"/>
      <c r="L362" s="110"/>
      <c r="M362" s="110"/>
      <c r="N362" s="110"/>
      <c r="O362" s="110"/>
      <c r="P362" s="110"/>
      <c r="Q362" s="110"/>
      <c r="R362" s="110"/>
      <c r="S362" s="110"/>
      <c r="T362" s="110"/>
      <c r="U362" s="110"/>
      <c r="V362" s="110"/>
      <c r="W362" s="110"/>
      <c r="X362" s="110"/>
      <c r="Y362" s="110"/>
      <c r="Z362" s="110"/>
      <c r="AA362" s="110"/>
      <c r="AB362" s="110"/>
      <c r="AC362" s="110"/>
      <c r="AD362" s="110"/>
      <c r="AE362" s="110"/>
      <c r="AF362" s="110"/>
      <c r="AG362" s="110"/>
      <c r="AH362" s="110"/>
    </row>
    <row r="363">
      <c r="A363" s="110"/>
      <c r="B363" s="110"/>
      <c r="C363" s="110"/>
      <c r="D363" s="110"/>
      <c r="E363" s="110"/>
      <c r="F363" s="110"/>
      <c r="G363" s="110"/>
      <c r="H363" s="110"/>
      <c r="I363" s="110"/>
      <c r="J363" s="110"/>
      <c r="K363" s="110"/>
      <c r="L363" s="110"/>
      <c r="M363" s="110"/>
      <c r="N363" s="110"/>
      <c r="O363" s="110"/>
      <c r="P363" s="110"/>
      <c r="Q363" s="110"/>
      <c r="R363" s="110"/>
      <c r="S363" s="110"/>
      <c r="T363" s="110"/>
      <c r="U363" s="110"/>
      <c r="V363" s="110"/>
      <c r="W363" s="110"/>
      <c r="X363" s="110"/>
      <c r="Y363" s="110"/>
      <c r="Z363" s="110"/>
      <c r="AA363" s="110"/>
      <c r="AB363" s="110"/>
      <c r="AC363" s="110"/>
      <c r="AD363" s="110"/>
      <c r="AE363" s="110"/>
      <c r="AF363" s="110"/>
      <c r="AG363" s="110"/>
      <c r="AH363" s="110"/>
    </row>
    <row r="364">
      <c r="A364" s="110"/>
      <c r="B364" s="110"/>
      <c r="C364" s="110"/>
      <c r="D364" s="110"/>
      <c r="E364" s="110"/>
      <c r="F364" s="110"/>
      <c r="G364" s="110"/>
      <c r="H364" s="110"/>
      <c r="I364" s="110"/>
      <c r="J364" s="110"/>
      <c r="K364" s="110"/>
      <c r="L364" s="110"/>
      <c r="M364" s="110"/>
      <c r="N364" s="110"/>
      <c r="O364" s="110"/>
      <c r="P364" s="110"/>
      <c r="Q364" s="110"/>
      <c r="R364" s="110"/>
      <c r="S364" s="110"/>
      <c r="T364" s="110"/>
      <c r="U364" s="110"/>
      <c r="V364" s="110"/>
      <c r="W364" s="110"/>
      <c r="X364" s="110"/>
      <c r="Y364" s="110"/>
      <c r="Z364" s="110"/>
      <c r="AA364" s="110"/>
      <c r="AB364" s="110"/>
      <c r="AC364" s="110"/>
      <c r="AD364" s="110"/>
      <c r="AE364" s="110"/>
      <c r="AF364" s="110"/>
      <c r="AG364" s="110"/>
      <c r="AH364" s="110"/>
    </row>
    <row r="365">
      <c r="A365" s="110"/>
      <c r="B365" s="110"/>
      <c r="C365" s="110"/>
      <c r="D365" s="110"/>
      <c r="E365" s="110"/>
      <c r="F365" s="110"/>
      <c r="G365" s="110"/>
      <c r="H365" s="110"/>
      <c r="I365" s="110"/>
      <c r="J365" s="110"/>
      <c r="K365" s="110"/>
      <c r="L365" s="110"/>
      <c r="M365" s="110"/>
      <c r="N365" s="110"/>
      <c r="O365" s="110"/>
      <c r="P365" s="110"/>
      <c r="Q365" s="110"/>
      <c r="R365" s="110"/>
      <c r="S365" s="110"/>
      <c r="T365" s="110"/>
      <c r="U365" s="110"/>
      <c r="V365" s="110"/>
      <c r="W365" s="110"/>
      <c r="X365" s="110"/>
      <c r="Y365" s="110"/>
      <c r="Z365" s="110"/>
      <c r="AA365" s="110"/>
      <c r="AB365" s="110"/>
      <c r="AC365" s="110"/>
      <c r="AD365" s="110"/>
      <c r="AE365" s="110"/>
      <c r="AF365" s="110"/>
      <c r="AG365" s="110"/>
      <c r="AH365" s="110"/>
    </row>
    <row r="366">
      <c r="A366" s="110"/>
      <c r="B366" s="110"/>
      <c r="C366" s="110"/>
      <c r="D366" s="110"/>
      <c r="E366" s="110"/>
      <c r="F366" s="110"/>
      <c r="G366" s="110"/>
      <c r="H366" s="110"/>
      <c r="I366" s="110"/>
      <c r="J366" s="110"/>
      <c r="K366" s="110"/>
      <c r="L366" s="110"/>
      <c r="M366" s="110"/>
      <c r="N366" s="110"/>
      <c r="O366" s="110"/>
      <c r="P366" s="110"/>
      <c r="Q366" s="110"/>
      <c r="R366" s="110"/>
      <c r="S366" s="110"/>
      <c r="T366" s="110"/>
      <c r="U366" s="110"/>
      <c r="V366" s="110"/>
      <c r="W366" s="110"/>
      <c r="X366" s="110"/>
      <c r="Y366" s="110"/>
      <c r="Z366" s="110"/>
      <c r="AA366" s="110"/>
      <c r="AB366" s="110"/>
      <c r="AC366" s="110"/>
      <c r="AD366" s="110"/>
      <c r="AE366" s="110"/>
      <c r="AF366" s="110"/>
      <c r="AG366" s="110"/>
      <c r="AH366" s="110"/>
    </row>
    <row r="367">
      <c r="A367" s="110"/>
      <c r="B367" s="110"/>
      <c r="C367" s="110"/>
      <c r="D367" s="110"/>
      <c r="E367" s="110"/>
      <c r="F367" s="110"/>
      <c r="G367" s="110"/>
      <c r="H367" s="110"/>
      <c r="I367" s="110"/>
      <c r="J367" s="110"/>
      <c r="K367" s="110"/>
      <c r="L367" s="110"/>
      <c r="M367" s="110"/>
      <c r="N367" s="110"/>
      <c r="O367" s="110"/>
      <c r="P367" s="110"/>
      <c r="Q367" s="110"/>
      <c r="R367" s="110"/>
      <c r="S367" s="110"/>
      <c r="T367" s="110"/>
      <c r="U367" s="110"/>
      <c r="V367" s="110"/>
      <c r="W367" s="110"/>
      <c r="X367" s="110"/>
      <c r="Y367" s="110"/>
      <c r="Z367" s="110"/>
      <c r="AA367" s="110"/>
      <c r="AB367" s="110"/>
      <c r="AC367" s="110"/>
      <c r="AD367" s="110"/>
      <c r="AE367" s="110"/>
      <c r="AF367" s="110"/>
      <c r="AG367" s="110"/>
      <c r="AH367" s="110"/>
    </row>
    <row r="368">
      <c r="A368" s="110"/>
      <c r="B368" s="110"/>
      <c r="C368" s="110"/>
      <c r="D368" s="110"/>
      <c r="E368" s="110"/>
      <c r="F368" s="110"/>
      <c r="G368" s="110"/>
      <c r="H368" s="110"/>
      <c r="I368" s="110"/>
      <c r="J368" s="110"/>
      <c r="K368" s="110"/>
      <c r="L368" s="110"/>
      <c r="M368" s="110"/>
      <c r="N368" s="110"/>
      <c r="O368" s="110"/>
      <c r="P368" s="110"/>
      <c r="Q368" s="110"/>
      <c r="R368" s="110"/>
      <c r="S368" s="110"/>
      <c r="T368" s="110"/>
      <c r="U368" s="110"/>
      <c r="V368" s="110"/>
      <c r="W368" s="110"/>
      <c r="X368" s="110"/>
      <c r="Y368" s="110"/>
      <c r="Z368" s="110"/>
      <c r="AA368" s="110"/>
      <c r="AB368" s="110"/>
      <c r="AC368" s="110"/>
      <c r="AD368" s="110"/>
      <c r="AE368" s="110"/>
      <c r="AF368" s="110"/>
      <c r="AG368" s="110"/>
      <c r="AH368" s="110"/>
    </row>
    <row r="369">
      <c r="A369" s="110"/>
      <c r="B369" s="110"/>
      <c r="C369" s="110"/>
      <c r="D369" s="110"/>
      <c r="E369" s="110"/>
      <c r="F369" s="110"/>
      <c r="G369" s="110"/>
      <c r="H369" s="110"/>
      <c r="I369" s="110"/>
      <c r="J369" s="110"/>
      <c r="K369" s="110"/>
      <c r="L369" s="110"/>
      <c r="M369" s="110"/>
      <c r="N369" s="110"/>
      <c r="O369" s="110"/>
      <c r="P369" s="110"/>
      <c r="Q369" s="110"/>
      <c r="R369" s="110"/>
      <c r="S369" s="110"/>
      <c r="T369" s="110"/>
      <c r="U369" s="110"/>
      <c r="V369" s="110"/>
      <c r="W369" s="110"/>
      <c r="X369" s="110"/>
      <c r="Y369" s="110"/>
      <c r="Z369" s="110"/>
      <c r="AA369" s="110"/>
      <c r="AB369" s="110"/>
      <c r="AC369" s="110"/>
      <c r="AD369" s="110"/>
      <c r="AE369" s="110"/>
      <c r="AF369" s="110"/>
      <c r="AG369" s="110"/>
      <c r="AH369" s="110"/>
    </row>
    <row r="370">
      <c r="A370" s="110"/>
      <c r="B370" s="110"/>
      <c r="C370" s="110"/>
      <c r="D370" s="110"/>
      <c r="E370" s="110"/>
      <c r="F370" s="110"/>
      <c r="G370" s="110"/>
      <c r="H370" s="110"/>
      <c r="I370" s="110"/>
      <c r="J370" s="110"/>
      <c r="K370" s="110"/>
      <c r="L370" s="110"/>
      <c r="M370" s="110"/>
      <c r="N370" s="110"/>
      <c r="O370" s="110"/>
      <c r="P370" s="110"/>
      <c r="Q370" s="110"/>
      <c r="R370" s="110"/>
      <c r="S370" s="110"/>
      <c r="T370" s="110"/>
      <c r="U370" s="110"/>
      <c r="V370" s="110"/>
      <c r="W370" s="110"/>
      <c r="X370" s="110"/>
      <c r="Y370" s="110"/>
      <c r="Z370" s="110"/>
      <c r="AA370" s="110"/>
      <c r="AB370" s="110"/>
      <c r="AC370" s="110"/>
      <c r="AD370" s="110"/>
      <c r="AE370" s="110"/>
      <c r="AF370" s="110"/>
      <c r="AG370" s="110"/>
      <c r="AH370" s="110"/>
    </row>
    <row r="371">
      <c r="A371" s="110"/>
      <c r="B371" s="110"/>
      <c r="C371" s="110"/>
      <c r="D371" s="110"/>
      <c r="E371" s="110"/>
      <c r="F371" s="110"/>
      <c r="G371" s="110"/>
      <c r="H371" s="110"/>
      <c r="I371" s="110"/>
      <c r="J371" s="110"/>
      <c r="K371" s="110"/>
      <c r="L371" s="110"/>
      <c r="M371" s="110"/>
      <c r="N371" s="110"/>
      <c r="O371" s="110"/>
      <c r="P371" s="110"/>
      <c r="Q371" s="110"/>
      <c r="R371" s="110"/>
      <c r="S371" s="110"/>
      <c r="T371" s="110"/>
      <c r="U371" s="110"/>
      <c r="V371" s="110"/>
      <c r="W371" s="110"/>
      <c r="X371" s="110"/>
      <c r="Y371" s="110"/>
      <c r="Z371" s="110"/>
      <c r="AA371" s="110"/>
      <c r="AB371" s="110"/>
      <c r="AC371" s="110"/>
      <c r="AD371" s="110"/>
      <c r="AE371" s="110"/>
      <c r="AF371" s="110"/>
      <c r="AG371" s="110"/>
      <c r="AH371" s="110"/>
    </row>
    <row r="372">
      <c r="A372" s="110"/>
      <c r="B372" s="110"/>
      <c r="C372" s="110"/>
      <c r="D372" s="110"/>
      <c r="E372" s="110"/>
      <c r="F372" s="110"/>
      <c r="G372" s="110"/>
      <c r="H372" s="110"/>
      <c r="I372" s="110"/>
      <c r="J372" s="110"/>
      <c r="K372" s="110"/>
      <c r="L372" s="110"/>
      <c r="M372" s="110"/>
      <c r="N372" s="110"/>
      <c r="O372" s="110"/>
      <c r="P372" s="110"/>
      <c r="Q372" s="110"/>
      <c r="R372" s="110"/>
      <c r="S372" s="110"/>
      <c r="T372" s="110"/>
      <c r="U372" s="110"/>
      <c r="V372" s="110"/>
      <c r="W372" s="110"/>
      <c r="X372" s="110"/>
      <c r="Y372" s="110"/>
      <c r="Z372" s="110"/>
      <c r="AA372" s="110"/>
      <c r="AB372" s="110"/>
      <c r="AC372" s="110"/>
      <c r="AD372" s="110"/>
      <c r="AE372" s="110"/>
      <c r="AF372" s="110"/>
      <c r="AG372" s="110"/>
      <c r="AH372" s="110"/>
    </row>
    <row r="373">
      <c r="A373" s="110"/>
      <c r="B373" s="110"/>
      <c r="C373" s="110"/>
      <c r="D373" s="110"/>
      <c r="E373" s="110"/>
      <c r="F373" s="110"/>
      <c r="G373" s="110"/>
      <c r="H373" s="110"/>
      <c r="I373" s="110"/>
      <c r="J373" s="110"/>
      <c r="K373" s="110"/>
      <c r="L373" s="110"/>
      <c r="M373" s="110"/>
      <c r="N373" s="110"/>
      <c r="O373" s="110"/>
      <c r="P373" s="110"/>
      <c r="Q373" s="110"/>
      <c r="R373" s="110"/>
      <c r="S373" s="110"/>
      <c r="T373" s="110"/>
      <c r="U373" s="110"/>
      <c r="V373" s="110"/>
      <c r="W373" s="110"/>
      <c r="X373" s="110"/>
      <c r="Y373" s="110"/>
      <c r="Z373" s="110"/>
      <c r="AA373" s="110"/>
      <c r="AB373" s="110"/>
      <c r="AC373" s="110"/>
      <c r="AD373" s="110"/>
      <c r="AE373" s="110"/>
      <c r="AF373" s="110"/>
      <c r="AG373" s="110"/>
      <c r="AH373" s="110"/>
    </row>
    <row r="374">
      <c r="A374" s="110"/>
      <c r="B374" s="110"/>
      <c r="C374" s="110"/>
      <c r="D374" s="110"/>
      <c r="E374" s="110"/>
      <c r="F374" s="110"/>
      <c r="G374" s="110"/>
      <c r="H374" s="110"/>
      <c r="I374" s="110"/>
      <c r="J374" s="110"/>
      <c r="K374" s="110"/>
      <c r="L374" s="110"/>
      <c r="M374" s="110"/>
      <c r="N374" s="110"/>
      <c r="O374" s="110"/>
      <c r="P374" s="110"/>
      <c r="Q374" s="110"/>
      <c r="R374" s="110"/>
      <c r="S374" s="110"/>
      <c r="T374" s="110"/>
      <c r="U374" s="110"/>
      <c r="V374" s="110"/>
      <c r="W374" s="110"/>
      <c r="X374" s="110"/>
      <c r="Y374" s="110"/>
      <c r="Z374" s="110"/>
      <c r="AA374" s="110"/>
      <c r="AB374" s="110"/>
      <c r="AC374" s="110"/>
      <c r="AD374" s="110"/>
      <c r="AE374" s="110"/>
      <c r="AF374" s="110"/>
      <c r="AG374" s="110"/>
      <c r="AH374" s="110"/>
    </row>
    <row r="375">
      <c r="A375" s="110"/>
      <c r="B375" s="110"/>
      <c r="C375" s="110"/>
      <c r="D375" s="110"/>
      <c r="E375" s="110"/>
      <c r="F375" s="110"/>
      <c r="G375" s="110"/>
      <c r="H375" s="110"/>
      <c r="I375" s="110"/>
      <c r="J375" s="110"/>
      <c r="K375" s="110"/>
      <c r="L375" s="110"/>
      <c r="M375" s="110"/>
      <c r="N375" s="110"/>
      <c r="O375" s="110"/>
      <c r="P375" s="110"/>
      <c r="Q375" s="110"/>
      <c r="R375" s="110"/>
      <c r="S375" s="110"/>
      <c r="T375" s="110"/>
      <c r="U375" s="110"/>
      <c r="V375" s="110"/>
      <c r="W375" s="110"/>
      <c r="X375" s="110"/>
      <c r="Y375" s="110"/>
      <c r="Z375" s="110"/>
      <c r="AA375" s="110"/>
      <c r="AB375" s="110"/>
      <c r="AC375" s="110"/>
      <c r="AD375" s="110"/>
      <c r="AE375" s="110"/>
      <c r="AF375" s="110"/>
      <c r="AG375" s="110"/>
      <c r="AH375" s="110"/>
    </row>
    <row r="376">
      <c r="A376" s="110"/>
      <c r="B376" s="110"/>
      <c r="C376" s="110"/>
      <c r="D376" s="110"/>
      <c r="E376" s="110"/>
      <c r="F376" s="110"/>
      <c r="G376" s="110"/>
      <c r="H376" s="110"/>
      <c r="I376" s="110"/>
      <c r="J376" s="110"/>
      <c r="K376" s="110"/>
      <c r="L376" s="110"/>
      <c r="M376" s="110"/>
      <c r="N376" s="110"/>
      <c r="O376" s="110"/>
      <c r="P376" s="110"/>
      <c r="Q376" s="110"/>
      <c r="R376" s="110"/>
      <c r="S376" s="110"/>
      <c r="T376" s="110"/>
      <c r="U376" s="110"/>
      <c r="V376" s="110"/>
      <c r="W376" s="110"/>
      <c r="X376" s="110"/>
      <c r="Y376" s="110"/>
      <c r="Z376" s="110"/>
      <c r="AA376" s="110"/>
      <c r="AB376" s="110"/>
      <c r="AC376" s="110"/>
      <c r="AD376" s="110"/>
      <c r="AE376" s="110"/>
      <c r="AF376" s="110"/>
      <c r="AG376" s="110"/>
      <c r="AH376" s="110"/>
    </row>
    <row r="377">
      <c r="A377" s="110"/>
      <c r="B377" s="110"/>
      <c r="C377" s="110"/>
      <c r="D377" s="110"/>
      <c r="E377" s="110"/>
      <c r="F377" s="110"/>
      <c r="G377" s="110"/>
      <c r="H377" s="110"/>
      <c r="I377" s="110"/>
      <c r="J377" s="110"/>
      <c r="K377" s="110"/>
      <c r="L377" s="110"/>
      <c r="M377" s="110"/>
      <c r="N377" s="110"/>
      <c r="O377" s="110"/>
      <c r="P377" s="110"/>
      <c r="Q377" s="110"/>
      <c r="R377" s="110"/>
      <c r="S377" s="110"/>
      <c r="T377" s="110"/>
      <c r="U377" s="110"/>
      <c r="V377" s="110"/>
      <c r="W377" s="110"/>
      <c r="X377" s="110"/>
      <c r="Y377" s="110"/>
      <c r="Z377" s="110"/>
      <c r="AA377" s="110"/>
      <c r="AB377" s="110"/>
      <c r="AC377" s="110"/>
      <c r="AD377" s="110"/>
      <c r="AE377" s="110"/>
      <c r="AF377" s="110"/>
      <c r="AG377" s="110"/>
      <c r="AH377" s="110"/>
    </row>
    <row r="378">
      <c r="A378" s="110"/>
      <c r="B378" s="110"/>
      <c r="C378" s="110"/>
      <c r="D378" s="110"/>
      <c r="E378" s="110"/>
      <c r="F378" s="110"/>
      <c r="G378" s="110"/>
      <c r="H378" s="110"/>
      <c r="I378" s="110"/>
      <c r="J378" s="110"/>
      <c r="K378" s="110"/>
      <c r="L378" s="110"/>
      <c r="M378" s="110"/>
      <c r="N378" s="110"/>
      <c r="O378" s="110"/>
      <c r="P378" s="110"/>
      <c r="Q378" s="110"/>
      <c r="R378" s="110"/>
      <c r="S378" s="110"/>
      <c r="T378" s="110"/>
      <c r="U378" s="110"/>
      <c r="V378" s="110"/>
      <c r="W378" s="110"/>
      <c r="X378" s="110"/>
      <c r="Y378" s="110"/>
      <c r="Z378" s="110"/>
      <c r="AA378" s="110"/>
      <c r="AB378" s="110"/>
      <c r="AC378" s="110"/>
      <c r="AD378" s="110"/>
      <c r="AE378" s="110"/>
      <c r="AF378" s="110"/>
      <c r="AG378" s="110"/>
      <c r="AH378" s="110"/>
    </row>
    <row r="379">
      <c r="A379" s="110"/>
      <c r="B379" s="110"/>
      <c r="C379" s="110"/>
      <c r="D379" s="110"/>
      <c r="E379" s="110"/>
      <c r="F379" s="110"/>
      <c r="G379" s="110"/>
      <c r="H379" s="110"/>
      <c r="I379" s="110"/>
      <c r="J379" s="110"/>
      <c r="K379" s="110"/>
      <c r="L379" s="110"/>
      <c r="M379" s="110"/>
      <c r="N379" s="110"/>
      <c r="O379" s="110"/>
      <c r="P379" s="110"/>
      <c r="Q379" s="110"/>
      <c r="R379" s="110"/>
      <c r="S379" s="110"/>
      <c r="T379" s="110"/>
      <c r="U379" s="110"/>
      <c r="V379" s="110"/>
      <c r="W379" s="110"/>
      <c r="X379" s="110"/>
      <c r="Y379" s="110"/>
      <c r="Z379" s="110"/>
      <c r="AA379" s="110"/>
      <c r="AB379" s="110"/>
      <c r="AC379" s="110"/>
      <c r="AD379" s="110"/>
      <c r="AE379" s="110"/>
      <c r="AF379" s="110"/>
      <c r="AG379" s="110"/>
      <c r="AH379" s="110"/>
    </row>
    <row r="380">
      <c r="A380" s="110"/>
      <c r="B380" s="110"/>
      <c r="C380" s="110"/>
      <c r="D380" s="110"/>
      <c r="E380" s="110"/>
      <c r="F380" s="110"/>
      <c r="G380" s="110"/>
      <c r="H380" s="110"/>
      <c r="I380" s="110"/>
      <c r="J380" s="110"/>
      <c r="K380" s="110"/>
      <c r="L380" s="110"/>
      <c r="M380" s="110"/>
      <c r="N380" s="110"/>
      <c r="O380" s="110"/>
      <c r="P380" s="110"/>
      <c r="Q380" s="110"/>
      <c r="R380" s="110"/>
      <c r="S380" s="110"/>
      <c r="T380" s="110"/>
      <c r="U380" s="110"/>
      <c r="V380" s="110"/>
      <c r="W380" s="110"/>
      <c r="X380" s="110"/>
      <c r="Y380" s="110"/>
      <c r="Z380" s="110"/>
      <c r="AA380" s="110"/>
      <c r="AB380" s="110"/>
      <c r="AC380" s="110"/>
      <c r="AD380" s="110"/>
      <c r="AE380" s="110"/>
      <c r="AF380" s="110"/>
      <c r="AG380" s="110"/>
      <c r="AH380" s="110"/>
    </row>
    <row r="381">
      <c r="A381" s="110"/>
      <c r="B381" s="110"/>
      <c r="C381" s="110"/>
      <c r="D381" s="110"/>
      <c r="E381" s="110"/>
      <c r="F381" s="110"/>
      <c r="G381" s="110"/>
      <c r="H381" s="110"/>
      <c r="I381" s="110"/>
      <c r="J381" s="110"/>
      <c r="K381" s="110"/>
      <c r="L381" s="110"/>
      <c r="M381" s="110"/>
      <c r="N381" s="110"/>
      <c r="O381" s="110"/>
      <c r="P381" s="110"/>
      <c r="Q381" s="110"/>
      <c r="R381" s="110"/>
      <c r="S381" s="110"/>
      <c r="T381" s="110"/>
      <c r="U381" s="110"/>
      <c r="V381" s="110"/>
      <c r="W381" s="110"/>
      <c r="X381" s="110"/>
      <c r="Y381" s="110"/>
      <c r="Z381" s="110"/>
      <c r="AA381" s="110"/>
      <c r="AB381" s="110"/>
      <c r="AC381" s="110"/>
      <c r="AD381" s="110"/>
      <c r="AE381" s="110"/>
      <c r="AF381" s="110"/>
      <c r="AG381" s="110"/>
      <c r="AH381" s="110"/>
    </row>
    <row r="382">
      <c r="A382" s="110"/>
      <c r="B382" s="110"/>
      <c r="C382" s="110"/>
      <c r="D382" s="110"/>
      <c r="E382" s="110"/>
      <c r="F382" s="110"/>
      <c r="G382" s="110"/>
      <c r="H382" s="110"/>
      <c r="I382" s="110"/>
      <c r="J382" s="110"/>
      <c r="K382" s="110"/>
      <c r="L382" s="110"/>
      <c r="M382" s="110"/>
      <c r="N382" s="110"/>
      <c r="O382" s="110"/>
      <c r="P382" s="110"/>
      <c r="Q382" s="110"/>
      <c r="R382" s="110"/>
      <c r="S382" s="110"/>
      <c r="T382" s="110"/>
      <c r="U382" s="110"/>
      <c r="V382" s="110"/>
      <c r="W382" s="110"/>
      <c r="X382" s="110"/>
      <c r="Y382" s="110"/>
      <c r="Z382" s="110"/>
      <c r="AA382" s="110"/>
      <c r="AB382" s="110"/>
      <c r="AC382" s="110"/>
      <c r="AD382" s="110"/>
      <c r="AE382" s="110"/>
      <c r="AF382" s="110"/>
      <c r="AG382" s="110"/>
      <c r="AH382" s="110"/>
    </row>
    <row r="383">
      <c r="A383" s="110"/>
      <c r="B383" s="110"/>
      <c r="C383" s="110"/>
      <c r="D383" s="110"/>
      <c r="E383" s="110"/>
      <c r="F383" s="110"/>
      <c r="G383" s="110"/>
      <c r="H383" s="110"/>
      <c r="I383" s="110"/>
      <c r="J383" s="110"/>
      <c r="K383" s="110"/>
      <c r="L383" s="110"/>
      <c r="M383" s="110"/>
      <c r="N383" s="110"/>
      <c r="O383" s="110"/>
      <c r="P383" s="110"/>
      <c r="Q383" s="110"/>
      <c r="R383" s="110"/>
      <c r="S383" s="110"/>
      <c r="T383" s="110"/>
      <c r="U383" s="110"/>
      <c r="V383" s="110"/>
      <c r="W383" s="110"/>
      <c r="X383" s="110"/>
      <c r="Y383" s="110"/>
      <c r="Z383" s="110"/>
      <c r="AA383" s="110"/>
      <c r="AB383" s="110"/>
      <c r="AC383" s="110"/>
      <c r="AD383" s="110"/>
      <c r="AE383" s="110"/>
      <c r="AF383" s="110"/>
      <c r="AG383" s="110"/>
      <c r="AH383" s="110"/>
    </row>
    <row r="384">
      <c r="A384" s="110"/>
      <c r="B384" s="110"/>
      <c r="C384" s="110"/>
      <c r="D384" s="110"/>
      <c r="E384" s="110"/>
      <c r="F384" s="110"/>
      <c r="G384" s="110"/>
      <c r="H384" s="110"/>
      <c r="I384" s="110"/>
      <c r="J384" s="110"/>
      <c r="K384" s="110"/>
      <c r="L384" s="110"/>
      <c r="M384" s="110"/>
      <c r="N384" s="110"/>
      <c r="O384" s="110"/>
      <c r="P384" s="110"/>
      <c r="Q384" s="110"/>
      <c r="R384" s="110"/>
      <c r="S384" s="110"/>
      <c r="T384" s="110"/>
      <c r="U384" s="110"/>
      <c r="V384" s="110"/>
      <c r="W384" s="110"/>
      <c r="X384" s="110"/>
      <c r="Y384" s="110"/>
      <c r="Z384" s="110"/>
      <c r="AA384" s="110"/>
      <c r="AB384" s="110"/>
      <c r="AC384" s="110"/>
      <c r="AD384" s="110"/>
      <c r="AE384" s="110"/>
      <c r="AF384" s="110"/>
      <c r="AG384" s="110"/>
      <c r="AH384" s="110"/>
    </row>
    <row r="385">
      <c r="A385" s="110"/>
      <c r="B385" s="110"/>
      <c r="C385" s="110"/>
      <c r="D385" s="110"/>
      <c r="E385" s="110"/>
      <c r="F385" s="110"/>
      <c r="G385" s="110"/>
      <c r="H385" s="110"/>
      <c r="I385" s="110"/>
      <c r="J385" s="110"/>
      <c r="K385" s="110"/>
      <c r="L385" s="110"/>
      <c r="M385" s="110"/>
      <c r="N385" s="110"/>
      <c r="O385" s="110"/>
      <c r="P385" s="110"/>
      <c r="Q385" s="110"/>
      <c r="R385" s="110"/>
      <c r="S385" s="110"/>
      <c r="T385" s="110"/>
      <c r="U385" s="110"/>
      <c r="V385" s="110"/>
      <c r="W385" s="110"/>
      <c r="X385" s="110"/>
      <c r="Y385" s="110"/>
      <c r="Z385" s="110"/>
      <c r="AA385" s="110"/>
      <c r="AB385" s="110"/>
      <c r="AC385" s="110"/>
      <c r="AD385" s="110"/>
      <c r="AE385" s="110"/>
      <c r="AF385" s="110"/>
      <c r="AG385" s="110"/>
      <c r="AH385" s="110"/>
    </row>
    <row r="386">
      <c r="A386" s="110"/>
      <c r="B386" s="110"/>
      <c r="C386" s="110"/>
      <c r="D386" s="110"/>
      <c r="E386" s="110"/>
      <c r="F386" s="110"/>
      <c r="G386" s="110"/>
      <c r="H386" s="110"/>
      <c r="I386" s="110"/>
      <c r="J386" s="110"/>
      <c r="K386" s="110"/>
      <c r="L386" s="110"/>
      <c r="M386" s="110"/>
      <c r="N386" s="110"/>
      <c r="O386" s="110"/>
      <c r="P386" s="110"/>
      <c r="Q386" s="110"/>
      <c r="R386" s="110"/>
      <c r="S386" s="110"/>
      <c r="T386" s="110"/>
      <c r="U386" s="110"/>
      <c r="V386" s="110"/>
      <c r="W386" s="110"/>
      <c r="X386" s="110"/>
      <c r="Y386" s="110"/>
      <c r="Z386" s="110"/>
      <c r="AA386" s="110"/>
      <c r="AB386" s="110"/>
      <c r="AC386" s="110"/>
      <c r="AD386" s="110"/>
      <c r="AE386" s="110"/>
      <c r="AF386" s="110"/>
      <c r="AG386" s="110"/>
      <c r="AH386" s="110"/>
    </row>
    <row r="387">
      <c r="A387" s="110"/>
      <c r="B387" s="110"/>
      <c r="C387" s="110"/>
      <c r="D387" s="110"/>
      <c r="E387" s="110"/>
      <c r="F387" s="110"/>
      <c r="G387" s="110"/>
      <c r="H387" s="110"/>
      <c r="I387" s="110"/>
      <c r="J387" s="110"/>
      <c r="K387" s="110"/>
      <c r="L387" s="110"/>
      <c r="M387" s="110"/>
      <c r="N387" s="110"/>
      <c r="O387" s="110"/>
      <c r="P387" s="110"/>
      <c r="Q387" s="110"/>
      <c r="R387" s="110"/>
      <c r="S387" s="110"/>
      <c r="T387" s="110"/>
      <c r="U387" s="110"/>
      <c r="V387" s="110"/>
      <c r="W387" s="110"/>
      <c r="X387" s="110"/>
      <c r="Y387" s="110"/>
      <c r="Z387" s="110"/>
      <c r="AA387" s="110"/>
      <c r="AB387" s="110"/>
      <c r="AC387" s="110"/>
      <c r="AD387" s="110"/>
      <c r="AE387" s="110"/>
      <c r="AF387" s="110"/>
      <c r="AG387" s="110"/>
      <c r="AH387" s="110"/>
    </row>
    <row r="388">
      <c r="A388" s="110"/>
      <c r="B388" s="110"/>
      <c r="C388" s="110"/>
      <c r="D388" s="110"/>
      <c r="E388" s="110"/>
      <c r="F388" s="110"/>
      <c r="G388" s="110"/>
      <c r="H388" s="110"/>
      <c r="I388" s="110"/>
      <c r="J388" s="110"/>
      <c r="K388" s="110"/>
      <c r="L388" s="110"/>
      <c r="M388" s="110"/>
      <c r="N388" s="110"/>
      <c r="O388" s="110"/>
      <c r="P388" s="110"/>
      <c r="Q388" s="110"/>
      <c r="R388" s="110"/>
      <c r="S388" s="110"/>
      <c r="T388" s="110"/>
      <c r="U388" s="110"/>
      <c r="V388" s="110"/>
      <c r="W388" s="110"/>
      <c r="X388" s="110"/>
      <c r="Y388" s="110"/>
      <c r="Z388" s="110"/>
      <c r="AA388" s="110"/>
      <c r="AB388" s="110"/>
      <c r="AC388" s="110"/>
      <c r="AD388" s="110"/>
      <c r="AE388" s="110"/>
      <c r="AF388" s="110"/>
      <c r="AG388" s="110"/>
      <c r="AH388" s="110"/>
    </row>
    <row r="389">
      <c r="A389" s="110"/>
      <c r="B389" s="110"/>
      <c r="C389" s="110"/>
      <c r="D389" s="110"/>
      <c r="E389" s="110"/>
      <c r="F389" s="110"/>
      <c r="G389" s="110"/>
      <c r="H389" s="110"/>
      <c r="I389" s="110"/>
      <c r="J389" s="110"/>
      <c r="K389" s="110"/>
      <c r="L389" s="110"/>
      <c r="M389" s="110"/>
      <c r="N389" s="110"/>
      <c r="O389" s="110"/>
      <c r="P389" s="110"/>
      <c r="Q389" s="110"/>
      <c r="R389" s="110"/>
      <c r="S389" s="110"/>
      <c r="T389" s="110"/>
      <c r="U389" s="110"/>
      <c r="V389" s="110"/>
      <c r="W389" s="110"/>
      <c r="X389" s="110"/>
      <c r="Y389" s="110"/>
      <c r="Z389" s="110"/>
      <c r="AA389" s="110"/>
      <c r="AB389" s="110"/>
      <c r="AC389" s="110"/>
      <c r="AD389" s="110"/>
      <c r="AE389" s="110"/>
      <c r="AF389" s="110"/>
      <c r="AG389" s="110"/>
      <c r="AH389" s="110"/>
    </row>
    <row r="390">
      <c r="A390" s="110"/>
      <c r="B390" s="110"/>
      <c r="C390" s="110"/>
      <c r="D390" s="110"/>
      <c r="E390" s="110"/>
      <c r="F390" s="110"/>
      <c r="G390" s="110"/>
      <c r="H390" s="110"/>
      <c r="I390" s="110"/>
      <c r="J390" s="110"/>
      <c r="K390" s="110"/>
      <c r="L390" s="110"/>
      <c r="M390" s="110"/>
      <c r="N390" s="110"/>
      <c r="O390" s="110"/>
      <c r="P390" s="110"/>
      <c r="Q390" s="110"/>
      <c r="R390" s="110"/>
      <c r="S390" s="110"/>
      <c r="T390" s="110"/>
      <c r="U390" s="110"/>
      <c r="V390" s="110"/>
      <c r="W390" s="110"/>
      <c r="X390" s="110"/>
      <c r="Y390" s="110"/>
      <c r="Z390" s="110"/>
      <c r="AA390" s="110"/>
      <c r="AB390" s="110"/>
      <c r="AC390" s="110"/>
      <c r="AD390" s="110"/>
      <c r="AE390" s="110"/>
      <c r="AF390" s="110"/>
      <c r="AG390" s="110"/>
      <c r="AH390" s="110"/>
    </row>
    <row r="391">
      <c r="A391" s="110"/>
      <c r="B391" s="110"/>
      <c r="C391" s="110"/>
      <c r="D391" s="110"/>
      <c r="E391" s="110"/>
      <c r="F391" s="110"/>
      <c r="G391" s="110"/>
      <c r="H391" s="110"/>
      <c r="I391" s="110"/>
      <c r="J391" s="110"/>
      <c r="K391" s="110"/>
      <c r="L391" s="110"/>
      <c r="M391" s="110"/>
      <c r="N391" s="110"/>
      <c r="O391" s="110"/>
      <c r="P391" s="110"/>
      <c r="Q391" s="110"/>
      <c r="R391" s="110"/>
      <c r="S391" s="110"/>
      <c r="T391" s="110"/>
      <c r="U391" s="110"/>
      <c r="V391" s="110"/>
      <c r="W391" s="110"/>
      <c r="X391" s="110"/>
      <c r="Y391" s="110"/>
      <c r="Z391" s="110"/>
      <c r="AA391" s="110"/>
      <c r="AB391" s="110"/>
      <c r="AC391" s="110"/>
      <c r="AD391" s="110"/>
      <c r="AE391" s="110"/>
      <c r="AF391" s="110"/>
      <c r="AG391" s="110"/>
      <c r="AH391" s="110"/>
    </row>
    <row r="392">
      <c r="A392" s="110"/>
      <c r="B392" s="110"/>
      <c r="C392" s="110"/>
      <c r="D392" s="110"/>
      <c r="E392" s="110"/>
      <c r="F392" s="110"/>
      <c r="G392" s="110"/>
      <c r="H392" s="110"/>
      <c r="I392" s="110"/>
      <c r="J392" s="110"/>
      <c r="K392" s="110"/>
      <c r="L392" s="110"/>
      <c r="M392" s="110"/>
      <c r="N392" s="110"/>
      <c r="O392" s="110"/>
      <c r="P392" s="110"/>
      <c r="Q392" s="110"/>
      <c r="R392" s="110"/>
      <c r="S392" s="110"/>
      <c r="T392" s="110"/>
      <c r="U392" s="110"/>
      <c r="V392" s="110"/>
      <c r="W392" s="110"/>
      <c r="X392" s="110"/>
      <c r="Y392" s="110"/>
      <c r="Z392" s="110"/>
      <c r="AA392" s="110"/>
      <c r="AB392" s="110"/>
      <c r="AC392" s="110"/>
      <c r="AD392" s="110"/>
      <c r="AE392" s="110"/>
      <c r="AF392" s="110"/>
      <c r="AG392" s="110"/>
      <c r="AH392" s="110"/>
    </row>
    <row r="393">
      <c r="A393" s="110"/>
      <c r="B393" s="110"/>
      <c r="C393" s="110"/>
      <c r="D393" s="110"/>
      <c r="E393" s="110"/>
      <c r="F393" s="110"/>
      <c r="G393" s="110"/>
      <c r="H393" s="110"/>
      <c r="I393" s="110"/>
      <c r="J393" s="110"/>
      <c r="K393" s="110"/>
      <c r="L393" s="110"/>
      <c r="M393" s="110"/>
      <c r="N393" s="110"/>
      <c r="O393" s="110"/>
      <c r="P393" s="110"/>
      <c r="Q393" s="110"/>
      <c r="R393" s="110"/>
      <c r="S393" s="110"/>
      <c r="T393" s="110"/>
      <c r="U393" s="110"/>
      <c r="V393" s="110"/>
      <c r="W393" s="110"/>
      <c r="X393" s="110"/>
      <c r="Y393" s="110"/>
      <c r="Z393" s="110"/>
      <c r="AA393" s="110"/>
      <c r="AB393" s="110"/>
      <c r="AC393" s="110"/>
      <c r="AD393" s="110"/>
      <c r="AE393" s="110"/>
      <c r="AF393" s="110"/>
      <c r="AG393" s="110"/>
      <c r="AH393" s="110"/>
    </row>
    <row r="394">
      <c r="A394" s="110"/>
      <c r="B394" s="110"/>
      <c r="C394" s="110"/>
      <c r="D394" s="110"/>
      <c r="E394" s="110"/>
      <c r="F394" s="110"/>
      <c r="G394" s="110"/>
      <c r="H394" s="110"/>
      <c r="I394" s="110"/>
      <c r="J394" s="110"/>
      <c r="K394" s="110"/>
      <c r="L394" s="110"/>
      <c r="M394" s="110"/>
      <c r="N394" s="110"/>
      <c r="O394" s="110"/>
      <c r="P394" s="110"/>
      <c r="Q394" s="110"/>
      <c r="R394" s="110"/>
      <c r="S394" s="110"/>
      <c r="T394" s="110"/>
      <c r="U394" s="110"/>
      <c r="V394" s="110"/>
      <c r="W394" s="110"/>
      <c r="X394" s="110"/>
      <c r="Y394" s="110"/>
      <c r="Z394" s="110"/>
      <c r="AA394" s="110"/>
      <c r="AB394" s="110"/>
      <c r="AC394" s="110"/>
      <c r="AD394" s="110"/>
      <c r="AE394" s="110"/>
      <c r="AF394" s="110"/>
      <c r="AG394" s="110"/>
      <c r="AH394" s="110"/>
    </row>
    <row r="395">
      <c r="A395" s="110"/>
      <c r="B395" s="110"/>
      <c r="C395" s="110"/>
      <c r="D395" s="110"/>
      <c r="E395" s="110"/>
      <c r="F395" s="110"/>
      <c r="G395" s="110"/>
      <c r="H395" s="110"/>
      <c r="I395" s="110"/>
      <c r="J395" s="110"/>
      <c r="K395" s="110"/>
      <c r="L395" s="110"/>
      <c r="M395" s="110"/>
      <c r="N395" s="110"/>
      <c r="O395" s="110"/>
      <c r="P395" s="110"/>
      <c r="Q395" s="110"/>
      <c r="R395" s="110"/>
      <c r="S395" s="110"/>
      <c r="T395" s="110"/>
      <c r="U395" s="110"/>
      <c r="V395" s="110"/>
      <c r="W395" s="110"/>
      <c r="X395" s="110"/>
      <c r="Y395" s="110"/>
      <c r="Z395" s="110"/>
      <c r="AA395" s="110"/>
      <c r="AB395" s="110"/>
      <c r="AC395" s="110"/>
      <c r="AD395" s="110"/>
      <c r="AE395" s="110"/>
      <c r="AF395" s="110"/>
      <c r="AG395" s="110"/>
      <c r="AH395" s="110"/>
    </row>
    <row r="396">
      <c r="A396" s="110"/>
      <c r="B396" s="110"/>
      <c r="C396" s="110"/>
      <c r="D396" s="110"/>
      <c r="E396" s="110"/>
      <c r="F396" s="110"/>
      <c r="G396" s="110"/>
      <c r="H396" s="110"/>
      <c r="I396" s="110"/>
      <c r="J396" s="110"/>
      <c r="K396" s="110"/>
      <c r="L396" s="110"/>
      <c r="M396" s="110"/>
      <c r="N396" s="110"/>
      <c r="O396" s="110"/>
      <c r="P396" s="110"/>
      <c r="Q396" s="110"/>
      <c r="R396" s="110"/>
      <c r="S396" s="110"/>
      <c r="T396" s="110"/>
      <c r="U396" s="110"/>
      <c r="V396" s="110"/>
      <c r="W396" s="110"/>
      <c r="X396" s="110"/>
      <c r="Y396" s="110"/>
      <c r="Z396" s="110"/>
      <c r="AA396" s="110"/>
      <c r="AB396" s="110"/>
      <c r="AC396" s="110"/>
      <c r="AD396" s="110"/>
      <c r="AE396" s="110"/>
      <c r="AF396" s="110"/>
      <c r="AG396" s="110"/>
      <c r="AH396" s="110"/>
    </row>
    <row r="397">
      <c r="A397" s="110"/>
      <c r="B397" s="110"/>
      <c r="C397" s="110"/>
      <c r="D397" s="110"/>
      <c r="E397" s="110"/>
      <c r="F397" s="110"/>
      <c r="G397" s="110"/>
      <c r="H397" s="110"/>
      <c r="I397" s="110"/>
      <c r="J397" s="110"/>
      <c r="K397" s="110"/>
      <c r="L397" s="110"/>
      <c r="M397" s="110"/>
      <c r="N397" s="110"/>
      <c r="O397" s="110"/>
      <c r="P397" s="110"/>
      <c r="Q397" s="110"/>
      <c r="R397" s="110"/>
      <c r="S397" s="110"/>
      <c r="T397" s="110"/>
      <c r="U397" s="110"/>
      <c r="V397" s="110"/>
      <c r="W397" s="110"/>
      <c r="X397" s="110"/>
      <c r="Y397" s="110"/>
      <c r="Z397" s="110"/>
      <c r="AA397" s="110"/>
      <c r="AB397" s="110"/>
      <c r="AC397" s="110"/>
      <c r="AD397" s="110"/>
      <c r="AE397" s="110"/>
      <c r="AF397" s="110"/>
      <c r="AG397" s="110"/>
      <c r="AH397" s="110"/>
    </row>
    <row r="398">
      <c r="A398" s="110"/>
      <c r="B398" s="110"/>
      <c r="C398" s="110"/>
      <c r="D398" s="110"/>
      <c r="E398" s="110"/>
      <c r="F398" s="110"/>
      <c r="G398" s="110"/>
      <c r="H398" s="110"/>
      <c r="I398" s="110"/>
      <c r="J398" s="110"/>
      <c r="K398" s="110"/>
      <c r="L398" s="110"/>
      <c r="M398" s="110"/>
      <c r="N398" s="110"/>
      <c r="O398" s="110"/>
      <c r="P398" s="110"/>
      <c r="Q398" s="110"/>
      <c r="R398" s="110"/>
      <c r="S398" s="110"/>
      <c r="T398" s="110"/>
      <c r="U398" s="110"/>
      <c r="V398" s="110"/>
      <c r="W398" s="110"/>
      <c r="X398" s="110"/>
      <c r="Y398" s="110"/>
      <c r="Z398" s="110"/>
      <c r="AA398" s="110"/>
      <c r="AB398" s="110"/>
      <c r="AC398" s="110"/>
      <c r="AD398" s="110"/>
      <c r="AE398" s="110"/>
      <c r="AF398" s="110"/>
      <c r="AG398" s="110"/>
      <c r="AH398" s="110"/>
    </row>
    <row r="399">
      <c r="A399" s="110"/>
      <c r="B399" s="110"/>
      <c r="C399" s="110"/>
      <c r="D399" s="110"/>
      <c r="E399" s="110"/>
      <c r="F399" s="110"/>
      <c r="G399" s="110"/>
      <c r="H399" s="110"/>
      <c r="I399" s="110"/>
      <c r="J399" s="110"/>
      <c r="K399" s="110"/>
      <c r="L399" s="110"/>
      <c r="M399" s="110"/>
      <c r="N399" s="110"/>
      <c r="O399" s="110"/>
      <c r="P399" s="110"/>
      <c r="Q399" s="110"/>
      <c r="R399" s="110"/>
      <c r="S399" s="110"/>
      <c r="T399" s="110"/>
      <c r="U399" s="110"/>
      <c r="V399" s="110"/>
      <c r="W399" s="110"/>
      <c r="X399" s="110"/>
      <c r="Y399" s="110"/>
      <c r="Z399" s="110"/>
      <c r="AA399" s="110"/>
      <c r="AB399" s="110"/>
      <c r="AC399" s="110"/>
      <c r="AD399" s="110"/>
      <c r="AE399" s="110"/>
      <c r="AF399" s="110"/>
      <c r="AG399" s="110"/>
      <c r="AH399" s="110"/>
    </row>
    <row r="400">
      <c r="A400" s="110"/>
      <c r="B400" s="110"/>
      <c r="C400" s="110"/>
      <c r="D400" s="110"/>
      <c r="E400" s="110"/>
      <c r="F400" s="110"/>
      <c r="G400" s="110"/>
      <c r="H400" s="110"/>
      <c r="I400" s="110"/>
      <c r="J400" s="110"/>
      <c r="K400" s="110"/>
      <c r="L400" s="110"/>
      <c r="M400" s="110"/>
      <c r="N400" s="110"/>
      <c r="O400" s="110"/>
      <c r="P400" s="110"/>
      <c r="Q400" s="110"/>
      <c r="R400" s="110"/>
      <c r="S400" s="110"/>
      <c r="T400" s="110"/>
      <c r="U400" s="110"/>
      <c r="V400" s="110"/>
      <c r="W400" s="110"/>
      <c r="X400" s="110"/>
      <c r="Y400" s="110"/>
      <c r="Z400" s="110"/>
      <c r="AA400" s="110"/>
      <c r="AB400" s="110"/>
      <c r="AC400" s="110"/>
      <c r="AD400" s="110"/>
      <c r="AE400" s="110"/>
      <c r="AF400" s="110"/>
      <c r="AG400" s="110"/>
      <c r="AH400" s="110"/>
    </row>
    <row r="401">
      <c r="A401" s="110"/>
      <c r="B401" s="110"/>
      <c r="C401" s="110"/>
      <c r="D401" s="110"/>
      <c r="E401" s="110"/>
      <c r="F401" s="110"/>
      <c r="G401" s="110"/>
      <c r="H401" s="110"/>
      <c r="I401" s="110"/>
      <c r="J401" s="110"/>
      <c r="K401" s="110"/>
      <c r="L401" s="110"/>
      <c r="M401" s="110"/>
      <c r="N401" s="110"/>
      <c r="O401" s="110"/>
      <c r="P401" s="110"/>
      <c r="Q401" s="110"/>
      <c r="R401" s="110"/>
      <c r="S401" s="110"/>
      <c r="T401" s="110"/>
      <c r="U401" s="110"/>
      <c r="V401" s="110"/>
      <c r="W401" s="110"/>
      <c r="X401" s="110"/>
      <c r="Y401" s="110"/>
      <c r="Z401" s="110"/>
      <c r="AA401" s="110"/>
      <c r="AB401" s="110"/>
      <c r="AC401" s="110"/>
      <c r="AD401" s="110"/>
      <c r="AE401" s="110"/>
      <c r="AF401" s="110"/>
      <c r="AG401" s="110"/>
      <c r="AH401" s="110"/>
    </row>
    <row r="402">
      <c r="A402" s="110"/>
      <c r="B402" s="110"/>
      <c r="C402" s="110"/>
      <c r="D402" s="110"/>
      <c r="E402" s="110"/>
      <c r="F402" s="110"/>
      <c r="G402" s="110"/>
      <c r="H402" s="110"/>
      <c r="I402" s="110"/>
      <c r="J402" s="110"/>
      <c r="K402" s="110"/>
      <c r="L402" s="110"/>
      <c r="M402" s="110"/>
      <c r="N402" s="110"/>
      <c r="O402" s="110"/>
      <c r="P402" s="110"/>
      <c r="Q402" s="110"/>
      <c r="R402" s="110"/>
      <c r="S402" s="110"/>
      <c r="T402" s="110"/>
      <c r="U402" s="110"/>
      <c r="V402" s="110"/>
      <c r="W402" s="110"/>
      <c r="X402" s="110"/>
      <c r="Y402" s="110"/>
      <c r="Z402" s="110"/>
      <c r="AA402" s="110"/>
      <c r="AB402" s="110"/>
      <c r="AC402" s="110"/>
      <c r="AD402" s="110"/>
      <c r="AE402" s="110"/>
      <c r="AF402" s="110"/>
      <c r="AG402" s="110"/>
      <c r="AH402" s="110"/>
    </row>
    <row r="403">
      <c r="A403" s="110"/>
      <c r="B403" s="110"/>
      <c r="C403" s="110"/>
      <c r="D403" s="110"/>
      <c r="E403" s="110"/>
      <c r="F403" s="110"/>
      <c r="G403" s="110"/>
      <c r="H403" s="110"/>
      <c r="I403" s="110"/>
      <c r="J403" s="110"/>
      <c r="K403" s="110"/>
      <c r="L403" s="110"/>
      <c r="M403" s="110"/>
      <c r="N403" s="110"/>
      <c r="O403" s="110"/>
      <c r="P403" s="110"/>
      <c r="Q403" s="110"/>
      <c r="R403" s="110"/>
      <c r="S403" s="110"/>
      <c r="T403" s="110"/>
      <c r="U403" s="110"/>
      <c r="V403" s="110"/>
      <c r="W403" s="110"/>
      <c r="X403" s="110"/>
      <c r="Y403" s="110"/>
      <c r="Z403" s="110"/>
      <c r="AA403" s="110"/>
      <c r="AB403" s="110"/>
      <c r="AC403" s="110"/>
      <c r="AD403" s="110"/>
      <c r="AE403" s="110"/>
      <c r="AF403" s="110"/>
      <c r="AG403" s="110"/>
      <c r="AH403" s="110"/>
    </row>
    <row r="404">
      <c r="A404" s="110"/>
      <c r="B404" s="110"/>
      <c r="C404" s="110"/>
      <c r="D404" s="110"/>
      <c r="E404" s="110"/>
      <c r="F404" s="110"/>
      <c r="G404" s="110"/>
      <c r="H404" s="110"/>
      <c r="I404" s="110"/>
      <c r="J404" s="110"/>
      <c r="K404" s="110"/>
      <c r="L404" s="110"/>
      <c r="M404" s="110"/>
      <c r="N404" s="110"/>
      <c r="O404" s="110"/>
      <c r="P404" s="110"/>
      <c r="Q404" s="110"/>
      <c r="R404" s="110"/>
      <c r="S404" s="110"/>
      <c r="T404" s="110"/>
      <c r="U404" s="110"/>
      <c r="V404" s="110"/>
      <c r="W404" s="110"/>
      <c r="X404" s="110"/>
      <c r="Y404" s="110"/>
      <c r="Z404" s="110"/>
      <c r="AA404" s="110"/>
      <c r="AB404" s="110"/>
      <c r="AC404" s="110"/>
      <c r="AD404" s="110"/>
      <c r="AE404" s="110"/>
      <c r="AF404" s="110"/>
      <c r="AG404" s="110"/>
      <c r="AH404" s="110"/>
    </row>
    <row r="405">
      <c r="A405" s="110"/>
      <c r="B405" s="110"/>
      <c r="C405" s="110"/>
      <c r="D405" s="110"/>
      <c r="E405" s="110"/>
      <c r="F405" s="110"/>
      <c r="G405" s="110"/>
      <c r="H405" s="110"/>
      <c r="I405" s="110"/>
      <c r="J405" s="110"/>
      <c r="K405" s="110"/>
      <c r="L405" s="110"/>
      <c r="M405" s="110"/>
      <c r="N405" s="110"/>
      <c r="O405" s="110"/>
      <c r="P405" s="110"/>
      <c r="Q405" s="110"/>
      <c r="R405" s="110"/>
      <c r="S405" s="110"/>
      <c r="T405" s="110"/>
      <c r="U405" s="110"/>
      <c r="V405" s="110"/>
      <c r="W405" s="110"/>
      <c r="X405" s="110"/>
      <c r="Y405" s="110"/>
      <c r="Z405" s="110"/>
      <c r="AA405" s="110"/>
      <c r="AB405" s="110"/>
      <c r="AC405" s="110"/>
      <c r="AD405" s="110"/>
      <c r="AE405" s="110"/>
      <c r="AF405" s="110"/>
      <c r="AG405" s="110"/>
      <c r="AH405" s="110"/>
    </row>
    <row r="406">
      <c r="A406" s="110"/>
      <c r="B406" s="110"/>
      <c r="C406" s="110"/>
      <c r="D406" s="110"/>
      <c r="E406" s="110"/>
      <c r="F406" s="110"/>
      <c r="G406" s="110"/>
      <c r="H406" s="110"/>
      <c r="I406" s="110"/>
      <c r="J406" s="110"/>
      <c r="K406" s="110"/>
      <c r="L406" s="110"/>
      <c r="M406" s="110"/>
      <c r="N406" s="110"/>
      <c r="O406" s="110"/>
      <c r="P406" s="110"/>
      <c r="Q406" s="110"/>
      <c r="R406" s="110"/>
      <c r="S406" s="110"/>
      <c r="T406" s="110"/>
      <c r="U406" s="110"/>
      <c r="V406" s="110"/>
      <c r="W406" s="110"/>
      <c r="X406" s="110"/>
      <c r="Y406" s="110"/>
      <c r="Z406" s="110"/>
      <c r="AA406" s="110"/>
      <c r="AB406" s="110"/>
      <c r="AC406" s="110"/>
      <c r="AD406" s="110"/>
      <c r="AE406" s="110"/>
      <c r="AF406" s="110"/>
      <c r="AG406" s="110"/>
      <c r="AH406" s="110"/>
    </row>
    <row r="407">
      <c r="A407" s="110"/>
      <c r="B407" s="110"/>
      <c r="C407" s="110"/>
      <c r="D407" s="110"/>
      <c r="E407" s="110"/>
      <c r="F407" s="110"/>
      <c r="G407" s="110"/>
      <c r="H407" s="110"/>
      <c r="I407" s="110"/>
      <c r="J407" s="110"/>
      <c r="K407" s="110"/>
      <c r="L407" s="110"/>
      <c r="M407" s="110"/>
      <c r="N407" s="110"/>
      <c r="O407" s="110"/>
      <c r="P407" s="110"/>
      <c r="Q407" s="110"/>
      <c r="R407" s="110"/>
      <c r="S407" s="110"/>
      <c r="T407" s="110"/>
      <c r="U407" s="110"/>
      <c r="V407" s="110"/>
      <c r="W407" s="110"/>
      <c r="X407" s="110"/>
      <c r="Y407" s="110"/>
      <c r="Z407" s="110"/>
      <c r="AA407" s="110"/>
      <c r="AB407" s="110"/>
      <c r="AC407" s="110"/>
      <c r="AD407" s="110"/>
      <c r="AE407" s="110"/>
      <c r="AF407" s="110"/>
      <c r="AG407" s="110"/>
      <c r="AH407" s="110"/>
    </row>
    <row r="408">
      <c r="A408" s="110"/>
      <c r="B408" s="110"/>
      <c r="C408" s="110"/>
      <c r="D408" s="110"/>
      <c r="E408" s="110"/>
      <c r="F408" s="110"/>
      <c r="G408" s="110"/>
      <c r="H408" s="110"/>
      <c r="I408" s="110"/>
      <c r="J408" s="110"/>
      <c r="K408" s="110"/>
      <c r="L408" s="110"/>
      <c r="M408" s="110"/>
      <c r="N408" s="110"/>
      <c r="O408" s="110"/>
      <c r="P408" s="110"/>
      <c r="Q408" s="110"/>
      <c r="R408" s="110"/>
      <c r="S408" s="110"/>
      <c r="T408" s="110"/>
      <c r="U408" s="110"/>
      <c r="V408" s="110"/>
      <c r="W408" s="110"/>
      <c r="X408" s="110"/>
      <c r="Y408" s="110"/>
      <c r="Z408" s="110"/>
      <c r="AA408" s="110"/>
      <c r="AB408" s="110"/>
      <c r="AC408" s="110"/>
      <c r="AD408" s="110"/>
      <c r="AE408" s="110"/>
      <c r="AF408" s="110"/>
      <c r="AG408" s="110"/>
      <c r="AH408" s="110"/>
    </row>
    <row r="409">
      <c r="A409" s="110"/>
      <c r="B409" s="110"/>
      <c r="C409" s="110"/>
      <c r="D409" s="110"/>
      <c r="E409" s="110"/>
      <c r="F409" s="110"/>
      <c r="G409" s="110"/>
      <c r="H409" s="110"/>
      <c r="I409" s="110"/>
      <c r="J409" s="110"/>
      <c r="K409" s="110"/>
      <c r="L409" s="110"/>
      <c r="M409" s="110"/>
      <c r="N409" s="110"/>
      <c r="O409" s="110"/>
      <c r="P409" s="110"/>
      <c r="Q409" s="110"/>
      <c r="R409" s="110"/>
      <c r="S409" s="110"/>
      <c r="T409" s="110"/>
      <c r="U409" s="110"/>
      <c r="V409" s="110"/>
      <c r="W409" s="110"/>
      <c r="X409" s="110"/>
      <c r="Y409" s="110"/>
      <c r="Z409" s="110"/>
      <c r="AA409" s="110"/>
      <c r="AB409" s="110"/>
      <c r="AC409" s="110"/>
      <c r="AD409" s="110"/>
      <c r="AE409" s="110"/>
      <c r="AF409" s="110"/>
      <c r="AG409" s="110"/>
      <c r="AH409" s="110"/>
    </row>
    <row r="410">
      <c r="A410" s="110"/>
      <c r="B410" s="110"/>
      <c r="C410" s="110"/>
      <c r="D410" s="110"/>
      <c r="E410" s="110"/>
      <c r="F410" s="110"/>
      <c r="G410" s="110"/>
      <c r="H410" s="110"/>
      <c r="I410" s="110"/>
      <c r="J410" s="110"/>
      <c r="K410" s="110"/>
      <c r="L410" s="110"/>
      <c r="M410" s="110"/>
      <c r="N410" s="110"/>
      <c r="O410" s="110"/>
      <c r="P410" s="110"/>
      <c r="Q410" s="110"/>
      <c r="R410" s="110"/>
      <c r="S410" s="110"/>
      <c r="T410" s="110"/>
      <c r="U410" s="110"/>
      <c r="V410" s="110"/>
      <c r="W410" s="110"/>
      <c r="X410" s="110"/>
      <c r="Y410" s="110"/>
      <c r="Z410" s="110"/>
      <c r="AA410" s="110"/>
      <c r="AB410" s="110"/>
      <c r="AC410" s="110"/>
      <c r="AD410" s="110"/>
      <c r="AE410" s="110"/>
      <c r="AF410" s="110"/>
      <c r="AG410" s="110"/>
      <c r="AH410" s="110"/>
    </row>
    <row r="411">
      <c r="A411" s="110"/>
      <c r="B411" s="110"/>
      <c r="C411" s="110"/>
      <c r="D411" s="110"/>
      <c r="E411" s="110"/>
      <c r="F411" s="110"/>
      <c r="G411" s="110"/>
      <c r="H411" s="110"/>
      <c r="I411" s="110"/>
      <c r="J411" s="110"/>
      <c r="K411" s="110"/>
      <c r="L411" s="110"/>
      <c r="M411" s="110"/>
      <c r="N411" s="110"/>
      <c r="O411" s="110"/>
      <c r="P411" s="110"/>
      <c r="Q411" s="110"/>
      <c r="R411" s="110"/>
      <c r="S411" s="110"/>
      <c r="T411" s="110"/>
      <c r="U411" s="110"/>
      <c r="V411" s="110"/>
      <c r="W411" s="110"/>
      <c r="X411" s="110"/>
      <c r="Y411" s="110"/>
      <c r="Z411" s="110"/>
      <c r="AA411" s="110"/>
      <c r="AB411" s="110"/>
      <c r="AC411" s="110"/>
      <c r="AD411" s="110"/>
      <c r="AE411" s="110"/>
      <c r="AF411" s="110"/>
      <c r="AG411" s="110"/>
      <c r="AH411" s="110"/>
    </row>
    <row r="412">
      <c r="A412" s="110"/>
      <c r="B412" s="110"/>
      <c r="C412" s="110"/>
      <c r="D412" s="110"/>
      <c r="E412" s="110"/>
      <c r="F412" s="110"/>
      <c r="G412" s="110"/>
      <c r="H412" s="110"/>
      <c r="I412" s="110"/>
      <c r="J412" s="110"/>
      <c r="K412" s="110"/>
      <c r="L412" s="110"/>
      <c r="M412" s="110"/>
      <c r="N412" s="110"/>
      <c r="O412" s="110"/>
      <c r="P412" s="110"/>
      <c r="Q412" s="110"/>
      <c r="R412" s="110"/>
      <c r="S412" s="110"/>
      <c r="T412" s="110"/>
      <c r="U412" s="110"/>
      <c r="V412" s="110"/>
      <c r="W412" s="110"/>
      <c r="X412" s="110"/>
      <c r="Y412" s="110"/>
      <c r="Z412" s="110"/>
      <c r="AA412" s="110"/>
      <c r="AB412" s="110"/>
      <c r="AC412" s="110"/>
      <c r="AD412" s="110"/>
      <c r="AE412" s="110"/>
      <c r="AF412" s="110"/>
      <c r="AG412" s="110"/>
      <c r="AH412" s="110"/>
    </row>
    <row r="413">
      <c r="A413" s="110"/>
      <c r="B413" s="110"/>
      <c r="C413" s="110"/>
      <c r="D413" s="110"/>
      <c r="E413" s="110"/>
      <c r="F413" s="110"/>
      <c r="G413" s="110"/>
      <c r="H413" s="110"/>
      <c r="I413" s="110"/>
      <c r="J413" s="110"/>
      <c r="K413" s="110"/>
      <c r="L413" s="110"/>
      <c r="M413" s="110"/>
      <c r="N413" s="110"/>
      <c r="O413" s="110"/>
      <c r="P413" s="110"/>
      <c r="Q413" s="110"/>
      <c r="R413" s="110"/>
      <c r="S413" s="110"/>
      <c r="T413" s="110"/>
      <c r="U413" s="110"/>
      <c r="V413" s="110"/>
      <c r="W413" s="110"/>
      <c r="X413" s="110"/>
      <c r="Y413" s="110"/>
      <c r="Z413" s="110"/>
      <c r="AA413" s="110"/>
      <c r="AB413" s="110"/>
      <c r="AC413" s="110"/>
      <c r="AD413" s="110"/>
      <c r="AE413" s="110"/>
      <c r="AF413" s="110"/>
      <c r="AG413" s="110"/>
      <c r="AH413" s="110"/>
    </row>
    <row r="414">
      <c r="A414" s="110"/>
      <c r="B414" s="110"/>
      <c r="C414" s="110"/>
      <c r="D414" s="110"/>
      <c r="E414" s="110"/>
      <c r="F414" s="110"/>
      <c r="G414" s="110"/>
      <c r="H414" s="110"/>
      <c r="I414" s="110"/>
      <c r="J414" s="110"/>
      <c r="K414" s="110"/>
      <c r="L414" s="110"/>
      <c r="M414" s="110"/>
      <c r="N414" s="110"/>
      <c r="O414" s="110"/>
      <c r="P414" s="110"/>
      <c r="Q414" s="110"/>
      <c r="R414" s="110"/>
      <c r="S414" s="110"/>
      <c r="T414" s="110"/>
      <c r="U414" s="110"/>
      <c r="V414" s="110"/>
      <c r="W414" s="110"/>
      <c r="X414" s="110"/>
      <c r="Y414" s="110"/>
      <c r="Z414" s="110"/>
      <c r="AA414" s="110"/>
      <c r="AB414" s="110"/>
      <c r="AC414" s="110"/>
      <c r="AD414" s="110"/>
      <c r="AE414" s="110"/>
      <c r="AF414" s="110"/>
      <c r="AG414" s="110"/>
      <c r="AH414" s="110"/>
    </row>
    <row r="415">
      <c r="A415" s="110"/>
      <c r="B415" s="110"/>
      <c r="C415" s="110"/>
      <c r="D415" s="110"/>
      <c r="E415" s="110"/>
      <c r="F415" s="110"/>
      <c r="G415" s="110"/>
      <c r="H415" s="110"/>
      <c r="I415" s="110"/>
      <c r="J415" s="110"/>
      <c r="K415" s="110"/>
      <c r="L415" s="110"/>
      <c r="M415" s="110"/>
      <c r="N415" s="110"/>
      <c r="O415" s="110"/>
      <c r="P415" s="110"/>
      <c r="Q415" s="110"/>
      <c r="R415" s="110"/>
      <c r="S415" s="110"/>
      <c r="T415" s="110"/>
      <c r="U415" s="110"/>
      <c r="V415" s="110"/>
      <c r="W415" s="110"/>
      <c r="X415" s="110"/>
      <c r="Y415" s="110"/>
      <c r="Z415" s="110"/>
      <c r="AA415" s="110"/>
      <c r="AB415" s="110"/>
      <c r="AC415" s="110"/>
      <c r="AD415" s="110"/>
      <c r="AE415" s="110"/>
      <c r="AF415" s="110"/>
      <c r="AG415" s="110"/>
      <c r="AH415" s="110"/>
    </row>
    <row r="416">
      <c r="A416" s="110"/>
      <c r="B416" s="110"/>
      <c r="C416" s="110"/>
      <c r="D416" s="110"/>
      <c r="E416" s="110"/>
      <c r="F416" s="110"/>
      <c r="G416" s="110"/>
      <c r="H416" s="110"/>
      <c r="I416" s="110"/>
      <c r="J416" s="110"/>
      <c r="K416" s="110"/>
      <c r="L416" s="110"/>
      <c r="M416" s="110"/>
      <c r="N416" s="110"/>
      <c r="O416" s="110"/>
      <c r="P416" s="110"/>
      <c r="Q416" s="110"/>
      <c r="R416" s="110"/>
      <c r="S416" s="110"/>
      <c r="T416" s="110"/>
      <c r="U416" s="110"/>
      <c r="V416" s="110"/>
      <c r="W416" s="110"/>
      <c r="X416" s="110"/>
      <c r="Y416" s="110"/>
      <c r="Z416" s="110"/>
      <c r="AA416" s="110"/>
      <c r="AB416" s="110"/>
      <c r="AC416" s="110"/>
      <c r="AD416" s="110"/>
      <c r="AE416" s="110"/>
      <c r="AF416" s="110"/>
      <c r="AG416" s="110"/>
      <c r="AH416" s="110"/>
    </row>
    <row r="417">
      <c r="A417" s="110"/>
      <c r="B417" s="110"/>
      <c r="C417" s="110"/>
      <c r="D417" s="110"/>
      <c r="E417" s="110"/>
      <c r="F417" s="110"/>
      <c r="G417" s="110"/>
      <c r="H417" s="110"/>
      <c r="I417" s="110"/>
      <c r="J417" s="110"/>
      <c r="K417" s="110"/>
      <c r="L417" s="110"/>
      <c r="M417" s="110"/>
      <c r="N417" s="110"/>
      <c r="O417" s="110"/>
      <c r="P417" s="110"/>
      <c r="Q417" s="110"/>
      <c r="R417" s="110"/>
      <c r="S417" s="110"/>
      <c r="T417" s="110"/>
      <c r="U417" s="110"/>
      <c r="V417" s="110"/>
      <c r="W417" s="110"/>
      <c r="X417" s="110"/>
      <c r="Y417" s="110"/>
      <c r="Z417" s="110"/>
      <c r="AA417" s="110"/>
      <c r="AB417" s="110"/>
      <c r="AC417" s="110"/>
      <c r="AD417" s="110"/>
      <c r="AE417" s="110"/>
      <c r="AF417" s="110"/>
      <c r="AG417" s="110"/>
      <c r="AH417" s="110"/>
    </row>
    <row r="418">
      <c r="A418" s="110"/>
      <c r="B418" s="110"/>
      <c r="C418" s="110"/>
      <c r="D418" s="110"/>
      <c r="E418" s="110"/>
      <c r="F418" s="110"/>
      <c r="G418" s="110"/>
      <c r="H418" s="110"/>
      <c r="I418" s="110"/>
      <c r="J418" s="110"/>
      <c r="K418" s="110"/>
      <c r="L418" s="110"/>
      <c r="M418" s="110"/>
      <c r="N418" s="110"/>
      <c r="O418" s="110"/>
      <c r="P418" s="110"/>
      <c r="Q418" s="110"/>
      <c r="R418" s="110"/>
      <c r="S418" s="110"/>
      <c r="T418" s="110"/>
      <c r="U418" s="110"/>
      <c r="V418" s="110"/>
      <c r="W418" s="110"/>
      <c r="X418" s="110"/>
      <c r="Y418" s="110"/>
      <c r="Z418" s="110"/>
      <c r="AA418" s="110"/>
      <c r="AB418" s="110"/>
      <c r="AC418" s="110"/>
      <c r="AD418" s="110"/>
      <c r="AE418" s="110"/>
      <c r="AF418" s="110"/>
      <c r="AG418" s="110"/>
      <c r="AH418" s="110"/>
    </row>
    <row r="419">
      <c r="A419" s="110"/>
      <c r="B419" s="110"/>
      <c r="C419" s="110"/>
      <c r="D419" s="110"/>
      <c r="E419" s="110"/>
      <c r="F419" s="110"/>
      <c r="G419" s="110"/>
      <c r="H419" s="110"/>
      <c r="I419" s="110"/>
      <c r="J419" s="110"/>
      <c r="K419" s="110"/>
      <c r="L419" s="110"/>
      <c r="M419" s="110"/>
      <c r="N419" s="110"/>
      <c r="O419" s="110"/>
      <c r="P419" s="110"/>
      <c r="Q419" s="110"/>
      <c r="R419" s="110"/>
      <c r="S419" s="110"/>
      <c r="T419" s="110"/>
      <c r="U419" s="110"/>
      <c r="V419" s="110"/>
      <c r="W419" s="110"/>
      <c r="X419" s="110"/>
      <c r="Y419" s="110"/>
      <c r="Z419" s="110"/>
      <c r="AA419" s="110"/>
      <c r="AB419" s="110"/>
      <c r="AC419" s="110"/>
      <c r="AD419" s="110"/>
      <c r="AE419" s="110"/>
      <c r="AF419" s="110"/>
      <c r="AG419" s="110"/>
      <c r="AH419" s="110"/>
    </row>
    <row r="420">
      <c r="A420" s="110"/>
      <c r="B420" s="110"/>
      <c r="C420" s="110"/>
      <c r="D420" s="110"/>
      <c r="E420" s="110"/>
      <c r="F420" s="110"/>
      <c r="G420" s="110"/>
      <c r="H420" s="110"/>
      <c r="I420" s="110"/>
      <c r="J420" s="110"/>
      <c r="K420" s="110"/>
      <c r="L420" s="110"/>
      <c r="M420" s="110"/>
      <c r="N420" s="110"/>
      <c r="O420" s="110"/>
      <c r="P420" s="110"/>
      <c r="Q420" s="110"/>
      <c r="R420" s="110"/>
      <c r="S420" s="110"/>
      <c r="T420" s="110"/>
      <c r="U420" s="110"/>
      <c r="V420" s="110"/>
      <c r="W420" s="110"/>
      <c r="X420" s="110"/>
      <c r="Y420" s="110"/>
      <c r="Z420" s="110"/>
      <c r="AA420" s="110"/>
      <c r="AB420" s="110"/>
      <c r="AC420" s="110"/>
      <c r="AD420" s="110"/>
      <c r="AE420" s="110"/>
      <c r="AF420" s="110"/>
      <c r="AG420" s="110"/>
      <c r="AH420" s="110"/>
    </row>
    <row r="421">
      <c r="A421" s="110"/>
      <c r="B421" s="110"/>
      <c r="C421" s="110"/>
      <c r="D421" s="110"/>
      <c r="E421" s="110"/>
      <c r="F421" s="110"/>
      <c r="G421" s="110"/>
      <c r="H421" s="110"/>
      <c r="I421" s="110"/>
      <c r="J421" s="110"/>
      <c r="K421" s="110"/>
      <c r="L421" s="110"/>
      <c r="M421" s="110"/>
      <c r="N421" s="110"/>
      <c r="O421" s="110"/>
      <c r="P421" s="110"/>
      <c r="Q421" s="110"/>
      <c r="R421" s="110"/>
      <c r="S421" s="110"/>
      <c r="T421" s="110"/>
      <c r="U421" s="110"/>
      <c r="V421" s="110"/>
      <c r="W421" s="110"/>
      <c r="X421" s="110"/>
      <c r="Y421" s="110"/>
      <c r="Z421" s="110"/>
      <c r="AA421" s="110"/>
      <c r="AB421" s="110"/>
      <c r="AC421" s="110"/>
      <c r="AD421" s="110"/>
      <c r="AE421" s="110"/>
      <c r="AF421" s="110"/>
      <c r="AG421" s="110"/>
      <c r="AH421" s="110"/>
    </row>
    <row r="422">
      <c r="A422" s="110"/>
      <c r="B422" s="110"/>
      <c r="C422" s="110"/>
      <c r="D422" s="110"/>
      <c r="E422" s="110"/>
      <c r="F422" s="110"/>
      <c r="G422" s="110"/>
      <c r="H422" s="110"/>
      <c r="I422" s="110"/>
      <c r="J422" s="110"/>
      <c r="K422" s="110"/>
      <c r="L422" s="110"/>
      <c r="M422" s="110"/>
      <c r="N422" s="110"/>
      <c r="O422" s="110"/>
      <c r="P422" s="110"/>
      <c r="Q422" s="110"/>
      <c r="R422" s="110"/>
      <c r="S422" s="110"/>
      <c r="T422" s="110"/>
      <c r="U422" s="110"/>
      <c r="V422" s="110"/>
      <c r="W422" s="110"/>
      <c r="X422" s="110"/>
      <c r="Y422" s="110"/>
      <c r="Z422" s="110"/>
      <c r="AA422" s="110"/>
      <c r="AB422" s="110"/>
      <c r="AC422" s="110"/>
      <c r="AD422" s="110"/>
      <c r="AE422" s="110"/>
      <c r="AF422" s="110"/>
      <c r="AG422" s="110"/>
      <c r="AH422" s="110"/>
    </row>
    <row r="423">
      <c r="A423" s="110"/>
      <c r="B423" s="110"/>
      <c r="C423" s="110"/>
      <c r="D423" s="110"/>
      <c r="E423" s="110"/>
      <c r="F423" s="110"/>
      <c r="G423" s="110"/>
      <c r="H423" s="110"/>
      <c r="I423" s="110"/>
      <c r="J423" s="110"/>
      <c r="K423" s="110"/>
      <c r="L423" s="110"/>
      <c r="M423" s="110"/>
      <c r="N423" s="110"/>
      <c r="O423" s="110"/>
      <c r="P423" s="110"/>
      <c r="Q423" s="110"/>
      <c r="R423" s="110"/>
      <c r="S423" s="110"/>
      <c r="T423" s="110"/>
      <c r="U423" s="110"/>
      <c r="V423" s="110"/>
      <c r="W423" s="110"/>
      <c r="X423" s="110"/>
      <c r="Y423" s="110"/>
      <c r="Z423" s="110"/>
      <c r="AA423" s="110"/>
      <c r="AB423" s="110"/>
      <c r="AC423" s="110"/>
      <c r="AD423" s="110"/>
      <c r="AE423" s="110"/>
      <c r="AF423" s="110"/>
      <c r="AG423" s="110"/>
      <c r="AH423" s="110"/>
    </row>
    <row r="424">
      <c r="A424" s="110"/>
      <c r="B424" s="110"/>
      <c r="C424" s="110"/>
      <c r="D424" s="110"/>
      <c r="E424" s="110"/>
      <c r="F424" s="110"/>
      <c r="G424" s="110"/>
      <c r="H424" s="110"/>
      <c r="I424" s="110"/>
      <c r="J424" s="110"/>
      <c r="K424" s="110"/>
      <c r="L424" s="110"/>
      <c r="M424" s="110"/>
      <c r="N424" s="110"/>
      <c r="O424" s="110"/>
      <c r="P424" s="110"/>
      <c r="Q424" s="110"/>
      <c r="R424" s="110"/>
      <c r="S424" s="110"/>
      <c r="T424" s="110"/>
      <c r="U424" s="110"/>
      <c r="V424" s="110"/>
      <c r="W424" s="110"/>
      <c r="X424" s="110"/>
      <c r="Y424" s="110"/>
      <c r="Z424" s="110"/>
      <c r="AA424" s="110"/>
      <c r="AB424" s="110"/>
      <c r="AC424" s="110"/>
      <c r="AD424" s="110"/>
      <c r="AE424" s="110"/>
      <c r="AF424" s="110"/>
      <c r="AG424" s="110"/>
      <c r="AH424" s="110"/>
    </row>
    <row r="425">
      <c r="A425" s="110"/>
      <c r="B425" s="110"/>
      <c r="C425" s="110"/>
      <c r="D425" s="110"/>
      <c r="E425" s="110"/>
      <c r="F425" s="110"/>
      <c r="G425" s="110"/>
      <c r="H425" s="110"/>
      <c r="I425" s="110"/>
      <c r="J425" s="110"/>
      <c r="K425" s="110"/>
      <c r="L425" s="110"/>
      <c r="M425" s="110"/>
      <c r="N425" s="110"/>
      <c r="O425" s="110"/>
      <c r="P425" s="110"/>
      <c r="Q425" s="110"/>
      <c r="R425" s="110"/>
      <c r="S425" s="110"/>
      <c r="T425" s="110"/>
      <c r="U425" s="110"/>
      <c r="V425" s="110"/>
      <c r="W425" s="110"/>
      <c r="X425" s="110"/>
      <c r="Y425" s="110"/>
      <c r="Z425" s="110"/>
      <c r="AA425" s="110"/>
      <c r="AB425" s="110"/>
      <c r="AC425" s="110"/>
      <c r="AD425" s="110"/>
      <c r="AE425" s="110"/>
      <c r="AF425" s="110"/>
      <c r="AG425" s="110"/>
      <c r="AH425" s="110"/>
    </row>
    <row r="426">
      <c r="A426" s="110"/>
      <c r="B426" s="110"/>
      <c r="C426" s="110"/>
      <c r="D426" s="110"/>
      <c r="E426" s="110"/>
      <c r="F426" s="110"/>
      <c r="G426" s="110"/>
      <c r="H426" s="110"/>
      <c r="I426" s="110"/>
      <c r="J426" s="110"/>
      <c r="K426" s="110"/>
      <c r="L426" s="110"/>
      <c r="M426" s="110"/>
      <c r="N426" s="110"/>
      <c r="O426" s="110"/>
      <c r="P426" s="110"/>
      <c r="Q426" s="110"/>
      <c r="R426" s="110"/>
      <c r="S426" s="110"/>
      <c r="T426" s="110"/>
      <c r="U426" s="110"/>
      <c r="V426" s="110"/>
      <c r="W426" s="110"/>
      <c r="X426" s="110"/>
      <c r="Y426" s="110"/>
      <c r="Z426" s="110"/>
      <c r="AA426" s="110"/>
      <c r="AB426" s="110"/>
      <c r="AC426" s="110"/>
      <c r="AD426" s="110"/>
      <c r="AE426" s="110"/>
      <c r="AF426" s="110"/>
      <c r="AG426" s="110"/>
      <c r="AH426" s="110"/>
    </row>
    <row r="427">
      <c r="A427" s="110"/>
      <c r="B427" s="110"/>
      <c r="C427" s="110"/>
      <c r="D427" s="110"/>
      <c r="E427" s="110"/>
      <c r="F427" s="110"/>
      <c r="G427" s="110"/>
      <c r="H427" s="110"/>
      <c r="I427" s="110"/>
      <c r="J427" s="110"/>
      <c r="K427" s="110"/>
      <c r="L427" s="110"/>
      <c r="M427" s="110"/>
      <c r="N427" s="110"/>
      <c r="O427" s="110"/>
      <c r="P427" s="110"/>
      <c r="Q427" s="110"/>
      <c r="R427" s="110"/>
      <c r="S427" s="110"/>
      <c r="T427" s="110"/>
      <c r="U427" s="110"/>
      <c r="V427" s="110"/>
      <c r="W427" s="110"/>
      <c r="X427" s="110"/>
      <c r="Y427" s="110"/>
      <c r="Z427" s="110"/>
      <c r="AA427" s="110"/>
      <c r="AB427" s="110"/>
      <c r="AC427" s="110"/>
      <c r="AD427" s="110"/>
      <c r="AE427" s="110"/>
      <c r="AF427" s="110"/>
      <c r="AG427" s="110"/>
      <c r="AH427" s="110"/>
    </row>
    <row r="428">
      <c r="A428" s="110"/>
      <c r="B428" s="110"/>
      <c r="C428" s="110"/>
      <c r="D428" s="110"/>
      <c r="E428" s="110"/>
      <c r="F428" s="110"/>
      <c r="G428" s="110"/>
      <c r="H428" s="110"/>
      <c r="I428" s="110"/>
      <c r="J428" s="110"/>
      <c r="K428" s="110"/>
      <c r="L428" s="110"/>
      <c r="M428" s="110"/>
      <c r="N428" s="110"/>
      <c r="O428" s="110"/>
      <c r="P428" s="110"/>
      <c r="Q428" s="110"/>
      <c r="R428" s="110"/>
      <c r="S428" s="110"/>
      <c r="T428" s="110"/>
      <c r="U428" s="110"/>
      <c r="V428" s="110"/>
      <c r="W428" s="110"/>
      <c r="X428" s="110"/>
      <c r="Y428" s="110"/>
      <c r="Z428" s="110"/>
      <c r="AA428" s="110"/>
      <c r="AB428" s="110"/>
      <c r="AC428" s="110"/>
      <c r="AD428" s="110"/>
      <c r="AE428" s="110"/>
      <c r="AF428" s="110"/>
      <c r="AG428" s="110"/>
      <c r="AH428" s="110"/>
    </row>
    <row r="429">
      <c r="A429" s="110"/>
      <c r="B429" s="110"/>
      <c r="C429" s="110"/>
      <c r="D429" s="110"/>
      <c r="E429" s="110"/>
      <c r="F429" s="110"/>
      <c r="G429" s="110"/>
      <c r="H429" s="110"/>
      <c r="I429" s="110"/>
      <c r="J429" s="110"/>
      <c r="K429" s="110"/>
      <c r="L429" s="110"/>
      <c r="M429" s="110"/>
      <c r="N429" s="110"/>
      <c r="O429" s="110"/>
      <c r="P429" s="110"/>
      <c r="Q429" s="110"/>
      <c r="R429" s="110"/>
      <c r="S429" s="110"/>
      <c r="T429" s="110"/>
      <c r="U429" s="110"/>
      <c r="V429" s="110"/>
      <c r="W429" s="110"/>
      <c r="X429" s="110"/>
      <c r="Y429" s="110"/>
      <c r="Z429" s="110"/>
      <c r="AA429" s="110"/>
      <c r="AB429" s="110"/>
      <c r="AC429" s="110"/>
      <c r="AD429" s="110"/>
      <c r="AE429" s="110"/>
      <c r="AF429" s="110"/>
      <c r="AG429" s="110"/>
      <c r="AH429" s="110"/>
    </row>
    <row r="430">
      <c r="A430" s="110"/>
      <c r="B430" s="110"/>
      <c r="C430" s="110"/>
      <c r="D430" s="110"/>
      <c r="E430" s="110"/>
      <c r="F430" s="110"/>
      <c r="G430" s="110"/>
      <c r="H430" s="110"/>
      <c r="I430" s="110"/>
      <c r="J430" s="110"/>
      <c r="K430" s="110"/>
      <c r="L430" s="110"/>
      <c r="M430" s="110"/>
      <c r="N430" s="110"/>
      <c r="O430" s="110"/>
      <c r="P430" s="110"/>
      <c r="Q430" s="110"/>
      <c r="R430" s="110"/>
      <c r="S430" s="110"/>
      <c r="T430" s="110"/>
      <c r="U430" s="110"/>
      <c r="V430" s="110"/>
      <c r="W430" s="110"/>
      <c r="X430" s="110"/>
      <c r="Y430" s="110"/>
      <c r="Z430" s="110"/>
      <c r="AA430" s="110"/>
      <c r="AB430" s="110"/>
      <c r="AC430" s="110"/>
      <c r="AD430" s="110"/>
      <c r="AE430" s="110"/>
      <c r="AF430" s="110"/>
      <c r="AG430" s="110"/>
      <c r="AH430" s="110"/>
    </row>
    <row r="431">
      <c r="A431" s="110"/>
      <c r="B431" s="110"/>
      <c r="C431" s="110"/>
      <c r="D431" s="110"/>
      <c r="E431" s="110"/>
      <c r="F431" s="110"/>
      <c r="G431" s="110"/>
      <c r="H431" s="110"/>
      <c r="I431" s="110"/>
      <c r="J431" s="110"/>
      <c r="K431" s="110"/>
      <c r="L431" s="110"/>
      <c r="M431" s="110"/>
      <c r="N431" s="110"/>
      <c r="O431" s="110"/>
      <c r="P431" s="110"/>
      <c r="Q431" s="110"/>
      <c r="R431" s="110"/>
      <c r="S431" s="110"/>
      <c r="T431" s="110"/>
      <c r="U431" s="110"/>
      <c r="V431" s="110"/>
      <c r="W431" s="110"/>
      <c r="X431" s="110"/>
      <c r="Y431" s="110"/>
      <c r="Z431" s="110"/>
      <c r="AA431" s="110"/>
      <c r="AB431" s="110"/>
      <c r="AC431" s="110"/>
      <c r="AD431" s="110"/>
      <c r="AE431" s="110"/>
      <c r="AF431" s="110"/>
      <c r="AG431" s="110"/>
      <c r="AH431" s="110"/>
    </row>
    <row r="432">
      <c r="A432" s="110"/>
      <c r="B432" s="110"/>
      <c r="C432" s="110"/>
      <c r="D432" s="110"/>
      <c r="E432" s="110"/>
      <c r="F432" s="110"/>
      <c r="G432" s="110"/>
      <c r="H432" s="110"/>
      <c r="I432" s="110"/>
      <c r="J432" s="110"/>
      <c r="K432" s="110"/>
      <c r="L432" s="110"/>
      <c r="M432" s="110"/>
      <c r="N432" s="110"/>
      <c r="O432" s="110"/>
      <c r="P432" s="110"/>
      <c r="Q432" s="110"/>
      <c r="R432" s="110"/>
      <c r="S432" s="110"/>
      <c r="T432" s="110"/>
      <c r="U432" s="110"/>
      <c r="V432" s="110"/>
      <c r="W432" s="110"/>
      <c r="X432" s="110"/>
      <c r="Y432" s="110"/>
      <c r="Z432" s="110"/>
      <c r="AA432" s="110"/>
      <c r="AB432" s="110"/>
      <c r="AC432" s="110"/>
      <c r="AD432" s="110"/>
      <c r="AE432" s="110"/>
      <c r="AF432" s="110"/>
      <c r="AG432" s="110"/>
      <c r="AH432" s="110"/>
    </row>
    <row r="433">
      <c r="A433" s="110"/>
      <c r="B433" s="110"/>
      <c r="C433" s="110"/>
      <c r="D433" s="110"/>
      <c r="E433" s="110"/>
      <c r="F433" s="110"/>
      <c r="G433" s="110"/>
      <c r="H433" s="110"/>
      <c r="I433" s="110"/>
      <c r="J433" s="110"/>
      <c r="K433" s="110"/>
      <c r="L433" s="110"/>
      <c r="M433" s="110"/>
      <c r="N433" s="110"/>
      <c r="O433" s="110"/>
      <c r="P433" s="110"/>
      <c r="Q433" s="110"/>
      <c r="R433" s="110"/>
      <c r="S433" s="110"/>
      <c r="T433" s="110"/>
      <c r="U433" s="110"/>
      <c r="V433" s="110"/>
      <c r="W433" s="110"/>
      <c r="X433" s="110"/>
      <c r="Y433" s="110"/>
      <c r="Z433" s="110"/>
      <c r="AA433" s="110"/>
      <c r="AB433" s="110"/>
      <c r="AC433" s="110"/>
      <c r="AD433" s="110"/>
      <c r="AE433" s="110"/>
      <c r="AF433" s="110"/>
      <c r="AG433" s="110"/>
      <c r="AH433" s="110"/>
    </row>
    <row r="434">
      <c r="A434" s="110"/>
      <c r="B434" s="110"/>
      <c r="C434" s="110"/>
      <c r="D434" s="110"/>
      <c r="E434" s="110"/>
      <c r="F434" s="110"/>
      <c r="G434" s="110"/>
      <c r="H434" s="110"/>
      <c r="I434" s="110"/>
      <c r="J434" s="110"/>
      <c r="K434" s="110"/>
      <c r="L434" s="110"/>
      <c r="M434" s="110"/>
      <c r="N434" s="110"/>
      <c r="O434" s="110"/>
      <c r="P434" s="110"/>
      <c r="Q434" s="110"/>
      <c r="R434" s="110"/>
      <c r="S434" s="110"/>
      <c r="T434" s="110"/>
      <c r="U434" s="110"/>
      <c r="V434" s="110"/>
      <c r="W434" s="110"/>
      <c r="X434" s="110"/>
      <c r="Y434" s="110"/>
      <c r="Z434" s="110"/>
      <c r="AA434" s="110"/>
      <c r="AB434" s="110"/>
      <c r="AC434" s="110"/>
      <c r="AD434" s="110"/>
      <c r="AE434" s="110"/>
      <c r="AF434" s="110"/>
      <c r="AG434" s="110"/>
      <c r="AH434" s="110"/>
    </row>
    <row r="435">
      <c r="A435" s="110"/>
      <c r="B435" s="110"/>
      <c r="C435" s="110"/>
      <c r="D435" s="110"/>
      <c r="E435" s="110"/>
      <c r="F435" s="110"/>
      <c r="G435" s="110"/>
      <c r="H435" s="110"/>
      <c r="I435" s="110"/>
      <c r="J435" s="110"/>
      <c r="K435" s="110"/>
      <c r="L435" s="110"/>
      <c r="M435" s="110"/>
      <c r="N435" s="110"/>
      <c r="O435" s="110"/>
      <c r="P435" s="110"/>
      <c r="Q435" s="110"/>
      <c r="R435" s="110"/>
      <c r="S435" s="110"/>
      <c r="T435" s="110"/>
      <c r="U435" s="110"/>
      <c r="V435" s="110"/>
      <c r="W435" s="110"/>
      <c r="X435" s="110"/>
      <c r="Y435" s="110"/>
      <c r="Z435" s="110"/>
      <c r="AA435" s="110"/>
      <c r="AB435" s="110"/>
      <c r="AC435" s="110"/>
      <c r="AD435" s="110"/>
      <c r="AE435" s="110"/>
      <c r="AF435" s="110"/>
      <c r="AG435" s="110"/>
      <c r="AH435" s="110"/>
    </row>
    <row r="436">
      <c r="A436" s="110"/>
      <c r="B436" s="110"/>
      <c r="C436" s="110"/>
      <c r="D436" s="110"/>
      <c r="E436" s="110"/>
      <c r="F436" s="110"/>
      <c r="G436" s="110"/>
      <c r="H436" s="110"/>
      <c r="I436" s="110"/>
      <c r="J436" s="110"/>
      <c r="K436" s="110"/>
      <c r="L436" s="110"/>
      <c r="M436" s="110"/>
      <c r="N436" s="110"/>
      <c r="O436" s="110"/>
      <c r="P436" s="110"/>
      <c r="Q436" s="110"/>
      <c r="R436" s="110"/>
      <c r="S436" s="110"/>
      <c r="T436" s="110"/>
      <c r="U436" s="110"/>
      <c r="V436" s="110"/>
      <c r="W436" s="110"/>
      <c r="X436" s="110"/>
      <c r="Y436" s="110"/>
      <c r="Z436" s="110"/>
      <c r="AA436" s="110"/>
      <c r="AB436" s="110"/>
      <c r="AC436" s="110"/>
      <c r="AD436" s="110"/>
      <c r="AE436" s="110"/>
      <c r="AF436" s="110"/>
      <c r="AG436" s="110"/>
      <c r="AH436" s="110"/>
    </row>
    <row r="437">
      <c r="A437" s="110"/>
      <c r="B437" s="110"/>
      <c r="C437" s="110"/>
      <c r="D437" s="110"/>
      <c r="E437" s="110"/>
      <c r="F437" s="110"/>
      <c r="G437" s="110"/>
      <c r="H437" s="110"/>
      <c r="I437" s="110"/>
      <c r="J437" s="110"/>
      <c r="K437" s="110"/>
      <c r="L437" s="110"/>
      <c r="M437" s="110"/>
      <c r="N437" s="110"/>
      <c r="O437" s="110"/>
      <c r="P437" s="110"/>
      <c r="Q437" s="110"/>
      <c r="R437" s="110"/>
      <c r="S437" s="110"/>
      <c r="T437" s="110"/>
      <c r="U437" s="110"/>
      <c r="V437" s="110"/>
      <c r="W437" s="110"/>
      <c r="X437" s="110"/>
      <c r="Y437" s="110"/>
      <c r="Z437" s="110"/>
      <c r="AA437" s="110"/>
      <c r="AB437" s="110"/>
      <c r="AC437" s="110"/>
      <c r="AD437" s="110"/>
      <c r="AE437" s="110"/>
      <c r="AF437" s="110"/>
      <c r="AG437" s="110"/>
      <c r="AH437" s="110"/>
    </row>
    <row r="438">
      <c r="A438" s="110"/>
      <c r="B438" s="110"/>
      <c r="C438" s="110"/>
      <c r="D438" s="110"/>
      <c r="E438" s="110"/>
      <c r="F438" s="110"/>
      <c r="G438" s="110"/>
      <c r="H438" s="110"/>
      <c r="I438" s="110"/>
      <c r="J438" s="110"/>
      <c r="K438" s="110"/>
      <c r="L438" s="110"/>
      <c r="M438" s="110"/>
      <c r="N438" s="110"/>
      <c r="O438" s="110"/>
      <c r="P438" s="110"/>
      <c r="Q438" s="110"/>
      <c r="R438" s="110"/>
      <c r="S438" s="110"/>
      <c r="T438" s="110"/>
      <c r="U438" s="110"/>
      <c r="V438" s="110"/>
      <c r="W438" s="110"/>
      <c r="X438" s="110"/>
      <c r="Y438" s="110"/>
      <c r="Z438" s="110"/>
      <c r="AA438" s="110"/>
      <c r="AB438" s="110"/>
      <c r="AC438" s="110"/>
      <c r="AD438" s="110"/>
      <c r="AE438" s="110"/>
      <c r="AF438" s="110"/>
      <c r="AG438" s="110"/>
      <c r="AH438" s="110"/>
    </row>
    <row r="439">
      <c r="A439" s="110"/>
      <c r="B439" s="110"/>
      <c r="C439" s="110"/>
      <c r="D439" s="110"/>
      <c r="E439" s="110"/>
      <c r="F439" s="110"/>
      <c r="G439" s="110"/>
      <c r="H439" s="110"/>
      <c r="I439" s="110"/>
      <c r="J439" s="110"/>
      <c r="K439" s="110"/>
      <c r="L439" s="110"/>
      <c r="M439" s="110"/>
      <c r="N439" s="110"/>
      <c r="O439" s="110"/>
      <c r="P439" s="110"/>
      <c r="Q439" s="110"/>
      <c r="R439" s="110"/>
      <c r="S439" s="110"/>
      <c r="T439" s="110"/>
      <c r="U439" s="110"/>
      <c r="V439" s="110"/>
      <c r="W439" s="110"/>
      <c r="X439" s="110"/>
      <c r="Y439" s="110"/>
      <c r="Z439" s="110"/>
      <c r="AA439" s="110"/>
      <c r="AB439" s="110"/>
      <c r="AC439" s="110"/>
      <c r="AD439" s="110"/>
      <c r="AE439" s="110"/>
      <c r="AF439" s="110"/>
      <c r="AG439" s="110"/>
      <c r="AH439" s="110"/>
    </row>
    <row r="440">
      <c r="A440" s="110"/>
      <c r="B440" s="110"/>
      <c r="C440" s="110"/>
      <c r="D440" s="110"/>
      <c r="E440" s="110"/>
      <c r="F440" s="110"/>
      <c r="G440" s="110"/>
      <c r="H440" s="110"/>
      <c r="I440" s="110"/>
      <c r="J440" s="110"/>
      <c r="K440" s="110"/>
      <c r="L440" s="110"/>
      <c r="M440" s="110"/>
      <c r="N440" s="110"/>
      <c r="O440" s="110"/>
      <c r="P440" s="110"/>
      <c r="Q440" s="110"/>
      <c r="R440" s="110"/>
      <c r="S440" s="110"/>
      <c r="T440" s="110"/>
      <c r="U440" s="110"/>
      <c r="V440" s="110"/>
      <c r="W440" s="110"/>
      <c r="X440" s="110"/>
      <c r="Y440" s="110"/>
      <c r="Z440" s="110"/>
      <c r="AA440" s="110"/>
      <c r="AB440" s="110"/>
      <c r="AC440" s="110"/>
      <c r="AD440" s="110"/>
      <c r="AE440" s="110"/>
      <c r="AF440" s="110"/>
      <c r="AG440" s="110"/>
      <c r="AH440" s="110"/>
    </row>
    <row r="441">
      <c r="A441" s="110"/>
      <c r="B441" s="110"/>
      <c r="C441" s="110"/>
      <c r="D441" s="110"/>
      <c r="E441" s="110"/>
      <c r="F441" s="110"/>
      <c r="G441" s="110"/>
      <c r="H441" s="110"/>
      <c r="I441" s="110"/>
      <c r="J441" s="110"/>
      <c r="K441" s="110"/>
      <c r="L441" s="110"/>
      <c r="M441" s="110"/>
      <c r="N441" s="110"/>
      <c r="O441" s="110"/>
      <c r="P441" s="110"/>
      <c r="Q441" s="110"/>
      <c r="R441" s="110"/>
      <c r="S441" s="110"/>
      <c r="T441" s="110"/>
      <c r="U441" s="110"/>
      <c r="V441" s="110"/>
      <c r="W441" s="110"/>
      <c r="X441" s="110"/>
      <c r="Y441" s="110"/>
      <c r="Z441" s="110"/>
      <c r="AA441" s="110"/>
      <c r="AB441" s="110"/>
      <c r="AC441" s="110"/>
      <c r="AD441" s="110"/>
      <c r="AE441" s="110"/>
      <c r="AF441" s="110"/>
      <c r="AG441" s="110"/>
      <c r="AH441" s="110"/>
    </row>
    <row r="442">
      <c r="A442" s="110"/>
      <c r="B442" s="110"/>
      <c r="C442" s="110"/>
      <c r="D442" s="110"/>
      <c r="E442" s="110"/>
      <c r="F442" s="110"/>
      <c r="G442" s="110"/>
      <c r="H442" s="110"/>
      <c r="I442" s="110"/>
      <c r="J442" s="110"/>
      <c r="K442" s="110"/>
      <c r="L442" s="110"/>
      <c r="M442" s="110"/>
      <c r="N442" s="110"/>
      <c r="O442" s="110"/>
      <c r="P442" s="110"/>
      <c r="Q442" s="110"/>
      <c r="R442" s="110"/>
      <c r="S442" s="110"/>
      <c r="T442" s="110"/>
      <c r="U442" s="110"/>
      <c r="V442" s="110"/>
      <c r="W442" s="110"/>
      <c r="X442" s="110"/>
      <c r="Y442" s="110"/>
      <c r="Z442" s="110"/>
      <c r="AA442" s="110"/>
      <c r="AB442" s="110"/>
      <c r="AC442" s="110"/>
      <c r="AD442" s="110"/>
      <c r="AE442" s="110"/>
      <c r="AF442" s="110"/>
      <c r="AG442" s="110"/>
      <c r="AH442" s="110"/>
    </row>
    <row r="443">
      <c r="A443" s="110"/>
      <c r="B443" s="110"/>
      <c r="C443" s="110"/>
      <c r="D443" s="110"/>
      <c r="E443" s="110"/>
      <c r="F443" s="110"/>
      <c r="G443" s="110"/>
      <c r="H443" s="110"/>
      <c r="I443" s="110"/>
      <c r="J443" s="110"/>
      <c r="K443" s="110"/>
      <c r="L443" s="110"/>
      <c r="M443" s="110"/>
      <c r="N443" s="110"/>
      <c r="O443" s="110"/>
      <c r="P443" s="110"/>
      <c r="Q443" s="110"/>
      <c r="R443" s="110"/>
      <c r="S443" s="110"/>
      <c r="T443" s="110"/>
      <c r="U443" s="110"/>
      <c r="V443" s="110"/>
      <c r="W443" s="110"/>
      <c r="X443" s="110"/>
      <c r="Y443" s="110"/>
      <c r="Z443" s="110"/>
      <c r="AA443" s="110"/>
      <c r="AB443" s="110"/>
      <c r="AC443" s="110"/>
      <c r="AD443" s="110"/>
      <c r="AE443" s="110"/>
      <c r="AF443" s="110"/>
      <c r="AG443" s="110"/>
      <c r="AH443" s="110"/>
    </row>
    <row r="444">
      <c r="A444" s="110"/>
      <c r="B444" s="110"/>
      <c r="C444" s="110"/>
      <c r="D444" s="110"/>
      <c r="E444" s="110"/>
      <c r="F444" s="110"/>
      <c r="G444" s="110"/>
      <c r="H444" s="110"/>
      <c r="I444" s="110"/>
      <c r="J444" s="110"/>
      <c r="K444" s="110"/>
      <c r="L444" s="110"/>
      <c r="M444" s="110"/>
      <c r="N444" s="110"/>
      <c r="O444" s="110"/>
      <c r="P444" s="110"/>
      <c r="Q444" s="110"/>
      <c r="R444" s="110"/>
      <c r="S444" s="110"/>
      <c r="T444" s="110"/>
      <c r="U444" s="110"/>
      <c r="V444" s="110"/>
      <c r="W444" s="110"/>
      <c r="X444" s="110"/>
      <c r="Y444" s="110"/>
      <c r="Z444" s="110"/>
      <c r="AA444" s="110"/>
      <c r="AB444" s="110"/>
      <c r="AC444" s="110"/>
      <c r="AD444" s="110"/>
      <c r="AE444" s="110"/>
      <c r="AF444" s="110"/>
      <c r="AG444" s="110"/>
      <c r="AH444" s="110"/>
    </row>
    <row r="445">
      <c r="A445" s="110"/>
      <c r="B445" s="110"/>
      <c r="C445" s="110"/>
      <c r="D445" s="110"/>
      <c r="E445" s="110"/>
      <c r="F445" s="110"/>
      <c r="G445" s="110"/>
      <c r="H445" s="110"/>
      <c r="I445" s="110"/>
      <c r="J445" s="110"/>
      <c r="K445" s="110"/>
      <c r="L445" s="110"/>
      <c r="M445" s="110"/>
      <c r="N445" s="110"/>
      <c r="O445" s="110"/>
      <c r="P445" s="110"/>
      <c r="Q445" s="110"/>
      <c r="R445" s="110"/>
      <c r="S445" s="110"/>
      <c r="T445" s="110"/>
      <c r="U445" s="110"/>
      <c r="V445" s="110"/>
      <c r="W445" s="110"/>
      <c r="X445" s="110"/>
      <c r="Y445" s="110"/>
      <c r="Z445" s="110"/>
      <c r="AA445" s="110"/>
      <c r="AB445" s="110"/>
      <c r="AC445" s="110"/>
      <c r="AD445" s="110"/>
      <c r="AE445" s="110"/>
      <c r="AF445" s="110"/>
      <c r="AG445" s="110"/>
      <c r="AH445" s="110"/>
    </row>
    <row r="446">
      <c r="A446" s="110"/>
      <c r="B446" s="110"/>
      <c r="C446" s="110"/>
      <c r="D446" s="110"/>
      <c r="E446" s="110"/>
      <c r="F446" s="110"/>
      <c r="G446" s="110"/>
      <c r="H446" s="110"/>
      <c r="I446" s="110"/>
      <c r="J446" s="110"/>
      <c r="K446" s="110"/>
      <c r="L446" s="110"/>
      <c r="M446" s="110"/>
      <c r="N446" s="110"/>
      <c r="O446" s="110"/>
      <c r="P446" s="110"/>
      <c r="Q446" s="110"/>
      <c r="R446" s="110"/>
      <c r="S446" s="110"/>
      <c r="T446" s="110"/>
      <c r="U446" s="110"/>
      <c r="V446" s="110"/>
      <c r="W446" s="110"/>
      <c r="X446" s="110"/>
      <c r="Y446" s="110"/>
      <c r="Z446" s="110"/>
      <c r="AA446" s="110"/>
      <c r="AB446" s="110"/>
      <c r="AC446" s="110"/>
      <c r="AD446" s="110"/>
      <c r="AE446" s="110"/>
      <c r="AF446" s="110"/>
      <c r="AG446" s="110"/>
      <c r="AH446" s="110"/>
    </row>
    <row r="447">
      <c r="A447" s="110"/>
      <c r="B447" s="110"/>
      <c r="C447" s="110"/>
      <c r="D447" s="110"/>
      <c r="E447" s="110"/>
      <c r="F447" s="110"/>
      <c r="G447" s="110"/>
      <c r="H447" s="110"/>
      <c r="I447" s="110"/>
      <c r="J447" s="110"/>
      <c r="K447" s="110"/>
      <c r="L447" s="110"/>
      <c r="M447" s="110"/>
      <c r="N447" s="110"/>
      <c r="O447" s="110"/>
      <c r="P447" s="110"/>
      <c r="Q447" s="110"/>
      <c r="R447" s="110"/>
      <c r="S447" s="110"/>
      <c r="T447" s="110"/>
      <c r="U447" s="110"/>
      <c r="V447" s="110"/>
      <c r="W447" s="110"/>
      <c r="X447" s="110"/>
      <c r="Y447" s="110"/>
      <c r="Z447" s="110"/>
      <c r="AA447" s="110"/>
      <c r="AB447" s="110"/>
      <c r="AC447" s="110"/>
      <c r="AD447" s="110"/>
      <c r="AE447" s="110"/>
      <c r="AF447" s="110"/>
      <c r="AG447" s="110"/>
      <c r="AH447" s="110"/>
    </row>
    <row r="448">
      <c r="A448" s="110"/>
      <c r="B448" s="110"/>
      <c r="C448" s="110"/>
      <c r="D448" s="110"/>
      <c r="E448" s="110"/>
      <c r="F448" s="110"/>
      <c r="G448" s="110"/>
      <c r="H448" s="110"/>
      <c r="I448" s="110"/>
      <c r="J448" s="110"/>
      <c r="K448" s="110"/>
      <c r="L448" s="110"/>
      <c r="M448" s="110"/>
      <c r="N448" s="110"/>
      <c r="O448" s="110"/>
      <c r="P448" s="110"/>
      <c r="Q448" s="110"/>
      <c r="R448" s="110"/>
      <c r="S448" s="110"/>
      <c r="T448" s="110"/>
      <c r="U448" s="110"/>
      <c r="V448" s="110"/>
      <c r="W448" s="110"/>
      <c r="X448" s="110"/>
      <c r="Y448" s="110"/>
      <c r="Z448" s="110"/>
      <c r="AA448" s="110"/>
      <c r="AB448" s="110"/>
      <c r="AC448" s="110"/>
      <c r="AD448" s="110"/>
      <c r="AE448" s="110"/>
      <c r="AF448" s="110"/>
      <c r="AG448" s="110"/>
      <c r="AH448" s="110"/>
    </row>
    <row r="449">
      <c r="A449" s="110"/>
      <c r="B449" s="110"/>
      <c r="C449" s="110"/>
      <c r="D449" s="110"/>
      <c r="E449" s="110"/>
      <c r="F449" s="110"/>
      <c r="G449" s="110"/>
      <c r="H449" s="110"/>
      <c r="I449" s="110"/>
      <c r="J449" s="110"/>
      <c r="K449" s="110"/>
      <c r="L449" s="110"/>
      <c r="M449" s="110"/>
      <c r="N449" s="110"/>
      <c r="O449" s="110"/>
      <c r="P449" s="110"/>
      <c r="Q449" s="110"/>
      <c r="R449" s="110"/>
      <c r="S449" s="110"/>
      <c r="T449" s="110"/>
      <c r="U449" s="110"/>
      <c r="V449" s="110"/>
      <c r="W449" s="110"/>
      <c r="X449" s="110"/>
      <c r="Y449" s="110"/>
      <c r="Z449" s="110"/>
      <c r="AA449" s="110"/>
      <c r="AB449" s="110"/>
      <c r="AC449" s="110"/>
      <c r="AD449" s="110"/>
      <c r="AE449" s="110"/>
      <c r="AF449" s="110"/>
      <c r="AG449" s="110"/>
      <c r="AH449" s="110"/>
    </row>
    <row r="450">
      <c r="A450" s="110"/>
      <c r="B450" s="110"/>
      <c r="C450" s="110"/>
      <c r="D450" s="110"/>
      <c r="E450" s="110"/>
      <c r="F450" s="110"/>
      <c r="G450" s="110"/>
      <c r="H450" s="110"/>
      <c r="I450" s="110"/>
      <c r="J450" s="110"/>
      <c r="K450" s="110"/>
      <c r="L450" s="110"/>
      <c r="M450" s="110"/>
      <c r="N450" s="110"/>
      <c r="O450" s="110"/>
      <c r="P450" s="110"/>
      <c r="Q450" s="110"/>
      <c r="R450" s="110"/>
      <c r="S450" s="110"/>
      <c r="T450" s="110"/>
      <c r="U450" s="110"/>
      <c r="V450" s="110"/>
      <c r="W450" s="110"/>
      <c r="X450" s="110"/>
      <c r="Y450" s="110"/>
      <c r="Z450" s="110"/>
      <c r="AA450" s="110"/>
      <c r="AB450" s="110"/>
      <c r="AC450" s="110"/>
      <c r="AD450" s="110"/>
      <c r="AE450" s="110"/>
      <c r="AF450" s="110"/>
      <c r="AG450" s="110"/>
      <c r="AH450" s="110"/>
    </row>
    <row r="451">
      <c r="A451" s="110"/>
      <c r="B451" s="110"/>
      <c r="C451" s="110"/>
      <c r="D451" s="110"/>
      <c r="E451" s="110"/>
      <c r="F451" s="110"/>
      <c r="G451" s="110"/>
      <c r="H451" s="110"/>
      <c r="I451" s="110"/>
      <c r="J451" s="110"/>
      <c r="K451" s="110"/>
      <c r="L451" s="110"/>
      <c r="M451" s="110"/>
      <c r="N451" s="110"/>
      <c r="O451" s="110"/>
      <c r="P451" s="110"/>
      <c r="Q451" s="110"/>
      <c r="R451" s="110"/>
      <c r="S451" s="110"/>
      <c r="T451" s="110"/>
      <c r="U451" s="110"/>
      <c r="V451" s="110"/>
      <c r="W451" s="110"/>
      <c r="X451" s="110"/>
      <c r="Y451" s="110"/>
      <c r="Z451" s="110"/>
      <c r="AA451" s="110"/>
      <c r="AB451" s="110"/>
      <c r="AC451" s="110"/>
      <c r="AD451" s="110"/>
      <c r="AE451" s="110"/>
      <c r="AF451" s="110"/>
      <c r="AG451" s="110"/>
      <c r="AH451" s="110"/>
    </row>
    <row r="452">
      <c r="A452" s="110"/>
      <c r="B452" s="110"/>
      <c r="C452" s="110"/>
      <c r="D452" s="110"/>
      <c r="E452" s="110"/>
      <c r="F452" s="110"/>
      <c r="G452" s="110"/>
      <c r="H452" s="110"/>
      <c r="I452" s="110"/>
      <c r="J452" s="110"/>
      <c r="K452" s="110"/>
      <c r="L452" s="110"/>
      <c r="M452" s="110"/>
      <c r="N452" s="110"/>
      <c r="O452" s="110"/>
      <c r="P452" s="110"/>
      <c r="Q452" s="110"/>
      <c r="R452" s="110"/>
      <c r="S452" s="110"/>
      <c r="T452" s="110"/>
      <c r="U452" s="110"/>
      <c r="V452" s="110"/>
      <c r="W452" s="110"/>
      <c r="X452" s="110"/>
      <c r="Y452" s="110"/>
      <c r="Z452" s="110"/>
      <c r="AA452" s="110"/>
      <c r="AB452" s="110"/>
      <c r="AC452" s="110"/>
      <c r="AD452" s="110"/>
      <c r="AE452" s="110"/>
      <c r="AF452" s="110"/>
      <c r="AG452" s="110"/>
      <c r="AH452" s="110"/>
    </row>
    <row r="453">
      <c r="A453" s="110"/>
      <c r="B453" s="110"/>
      <c r="C453" s="110"/>
      <c r="D453" s="110"/>
      <c r="E453" s="110"/>
      <c r="F453" s="110"/>
      <c r="G453" s="110"/>
      <c r="H453" s="110"/>
      <c r="I453" s="110"/>
      <c r="J453" s="110"/>
      <c r="K453" s="110"/>
      <c r="L453" s="110"/>
      <c r="M453" s="110"/>
      <c r="N453" s="110"/>
      <c r="O453" s="110"/>
      <c r="P453" s="110"/>
      <c r="Q453" s="110"/>
      <c r="R453" s="110"/>
      <c r="S453" s="110"/>
      <c r="T453" s="110"/>
      <c r="U453" s="110"/>
      <c r="V453" s="110"/>
      <c r="W453" s="110"/>
      <c r="X453" s="110"/>
      <c r="Y453" s="110"/>
      <c r="Z453" s="110"/>
      <c r="AA453" s="110"/>
      <c r="AB453" s="110"/>
      <c r="AC453" s="110"/>
      <c r="AD453" s="110"/>
      <c r="AE453" s="110"/>
      <c r="AF453" s="110"/>
      <c r="AG453" s="110"/>
      <c r="AH453" s="110"/>
    </row>
    <row r="454">
      <c r="A454" s="110"/>
      <c r="B454" s="110"/>
      <c r="C454" s="110"/>
      <c r="D454" s="110"/>
      <c r="E454" s="110"/>
      <c r="F454" s="110"/>
      <c r="G454" s="110"/>
      <c r="H454" s="110"/>
      <c r="I454" s="110"/>
      <c r="J454" s="110"/>
      <c r="K454" s="110"/>
      <c r="L454" s="110"/>
      <c r="M454" s="110"/>
      <c r="N454" s="110"/>
      <c r="O454" s="110"/>
      <c r="P454" s="110"/>
      <c r="Q454" s="110"/>
      <c r="R454" s="110"/>
      <c r="S454" s="110"/>
      <c r="T454" s="110"/>
      <c r="U454" s="110"/>
      <c r="V454" s="110"/>
      <c r="W454" s="110"/>
      <c r="X454" s="110"/>
      <c r="Y454" s="110"/>
      <c r="Z454" s="110"/>
      <c r="AA454" s="110"/>
      <c r="AB454" s="110"/>
      <c r="AC454" s="110"/>
      <c r="AD454" s="110"/>
      <c r="AE454" s="110"/>
      <c r="AF454" s="110"/>
      <c r="AG454" s="110"/>
      <c r="AH454" s="110"/>
    </row>
    <row r="455">
      <c r="A455" s="110"/>
      <c r="B455" s="110"/>
      <c r="C455" s="110"/>
      <c r="D455" s="110"/>
      <c r="E455" s="110"/>
      <c r="F455" s="110"/>
      <c r="G455" s="110"/>
      <c r="H455" s="110"/>
      <c r="I455" s="110"/>
      <c r="J455" s="110"/>
      <c r="K455" s="110"/>
      <c r="L455" s="110"/>
      <c r="M455" s="110"/>
      <c r="N455" s="110"/>
      <c r="O455" s="110"/>
      <c r="P455" s="110"/>
      <c r="Q455" s="110"/>
      <c r="R455" s="110"/>
      <c r="S455" s="110"/>
      <c r="T455" s="110"/>
      <c r="U455" s="110"/>
      <c r="V455" s="110"/>
      <c r="W455" s="110"/>
      <c r="X455" s="110"/>
      <c r="Y455" s="110"/>
      <c r="Z455" s="110"/>
      <c r="AA455" s="110"/>
      <c r="AB455" s="110"/>
      <c r="AC455" s="110"/>
      <c r="AD455" s="110"/>
      <c r="AE455" s="110"/>
      <c r="AF455" s="110"/>
      <c r="AG455" s="110"/>
      <c r="AH455" s="110"/>
    </row>
    <row r="456">
      <c r="A456" s="110"/>
      <c r="B456" s="110"/>
      <c r="C456" s="110"/>
      <c r="D456" s="110"/>
      <c r="E456" s="110"/>
      <c r="F456" s="110"/>
      <c r="G456" s="110"/>
      <c r="H456" s="110"/>
      <c r="I456" s="110"/>
      <c r="J456" s="110"/>
      <c r="K456" s="110"/>
      <c r="L456" s="110"/>
      <c r="M456" s="110"/>
      <c r="N456" s="110"/>
      <c r="O456" s="110"/>
      <c r="P456" s="110"/>
      <c r="Q456" s="110"/>
      <c r="R456" s="110"/>
      <c r="S456" s="110"/>
      <c r="T456" s="110"/>
      <c r="U456" s="110"/>
      <c r="V456" s="110"/>
      <c r="W456" s="110"/>
      <c r="X456" s="110"/>
      <c r="Y456" s="110"/>
      <c r="Z456" s="110"/>
      <c r="AA456" s="110"/>
      <c r="AB456" s="110"/>
      <c r="AC456" s="110"/>
      <c r="AD456" s="110"/>
      <c r="AE456" s="110"/>
      <c r="AF456" s="110"/>
      <c r="AG456" s="110"/>
      <c r="AH456" s="110"/>
    </row>
    <row r="457">
      <c r="A457" s="110"/>
      <c r="B457" s="110"/>
      <c r="C457" s="110"/>
      <c r="D457" s="110"/>
      <c r="E457" s="110"/>
      <c r="F457" s="110"/>
      <c r="G457" s="110"/>
      <c r="H457" s="110"/>
      <c r="I457" s="110"/>
      <c r="J457" s="110"/>
      <c r="K457" s="110"/>
      <c r="L457" s="110"/>
      <c r="M457" s="110"/>
      <c r="N457" s="110"/>
      <c r="O457" s="110"/>
      <c r="P457" s="110"/>
      <c r="Q457" s="110"/>
      <c r="R457" s="110"/>
      <c r="S457" s="110"/>
      <c r="T457" s="110"/>
      <c r="U457" s="110"/>
      <c r="V457" s="110"/>
      <c r="W457" s="110"/>
      <c r="X457" s="110"/>
      <c r="Y457" s="110"/>
      <c r="Z457" s="110"/>
      <c r="AA457" s="110"/>
      <c r="AB457" s="110"/>
      <c r="AC457" s="110"/>
      <c r="AD457" s="110"/>
      <c r="AE457" s="110"/>
      <c r="AF457" s="110"/>
      <c r="AG457" s="110"/>
      <c r="AH457" s="110"/>
    </row>
    <row r="458">
      <c r="A458" s="110"/>
      <c r="B458" s="110"/>
      <c r="C458" s="110"/>
      <c r="D458" s="110"/>
      <c r="E458" s="110"/>
      <c r="F458" s="110"/>
      <c r="G458" s="110"/>
      <c r="H458" s="110"/>
      <c r="I458" s="110"/>
      <c r="J458" s="110"/>
      <c r="K458" s="110"/>
      <c r="L458" s="110"/>
      <c r="M458" s="110"/>
      <c r="N458" s="110"/>
      <c r="O458" s="110"/>
      <c r="P458" s="110"/>
      <c r="Q458" s="110"/>
      <c r="R458" s="110"/>
      <c r="S458" s="110"/>
      <c r="T458" s="110"/>
      <c r="U458" s="110"/>
      <c r="V458" s="110"/>
      <c r="W458" s="110"/>
      <c r="X458" s="110"/>
      <c r="Y458" s="110"/>
      <c r="Z458" s="110"/>
      <c r="AA458" s="110"/>
      <c r="AB458" s="110"/>
      <c r="AC458" s="110"/>
      <c r="AD458" s="110"/>
      <c r="AE458" s="110"/>
      <c r="AF458" s="110"/>
      <c r="AG458" s="110"/>
      <c r="AH458" s="110"/>
    </row>
    <row r="459">
      <c r="A459" s="110"/>
      <c r="B459" s="110"/>
      <c r="C459" s="110"/>
      <c r="D459" s="110"/>
      <c r="E459" s="110"/>
      <c r="F459" s="110"/>
      <c r="G459" s="110"/>
      <c r="H459" s="110"/>
      <c r="I459" s="110"/>
      <c r="J459" s="110"/>
      <c r="K459" s="110"/>
      <c r="L459" s="110"/>
      <c r="M459" s="110"/>
      <c r="N459" s="110"/>
      <c r="O459" s="110"/>
      <c r="P459" s="110"/>
      <c r="Q459" s="110"/>
      <c r="R459" s="110"/>
      <c r="S459" s="110"/>
      <c r="T459" s="110"/>
      <c r="U459" s="110"/>
      <c r="V459" s="110"/>
      <c r="W459" s="110"/>
      <c r="X459" s="110"/>
      <c r="Y459" s="110"/>
      <c r="Z459" s="110"/>
      <c r="AA459" s="110"/>
      <c r="AB459" s="110"/>
      <c r="AC459" s="110"/>
      <c r="AD459" s="110"/>
      <c r="AE459" s="110"/>
      <c r="AF459" s="110"/>
      <c r="AG459" s="110"/>
      <c r="AH459" s="110"/>
    </row>
    <row r="460">
      <c r="A460" s="110"/>
      <c r="B460" s="110"/>
      <c r="C460" s="110"/>
      <c r="D460" s="110"/>
      <c r="E460" s="110"/>
      <c r="F460" s="110"/>
      <c r="G460" s="110"/>
      <c r="H460" s="110"/>
      <c r="I460" s="110"/>
      <c r="J460" s="110"/>
      <c r="K460" s="110"/>
      <c r="L460" s="110"/>
      <c r="M460" s="110"/>
      <c r="N460" s="110"/>
      <c r="O460" s="110"/>
      <c r="P460" s="110"/>
      <c r="Q460" s="110"/>
      <c r="R460" s="110"/>
      <c r="S460" s="110"/>
      <c r="T460" s="110"/>
      <c r="U460" s="110"/>
      <c r="V460" s="110"/>
      <c r="W460" s="110"/>
      <c r="X460" s="110"/>
      <c r="Y460" s="110"/>
      <c r="Z460" s="110"/>
      <c r="AA460" s="110"/>
      <c r="AB460" s="110"/>
      <c r="AC460" s="110"/>
      <c r="AD460" s="110"/>
      <c r="AE460" s="110"/>
      <c r="AF460" s="110"/>
      <c r="AG460" s="110"/>
      <c r="AH460" s="110"/>
    </row>
    <row r="461">
      <c r="A461" s="110"/>
      <c r="B461" s="110"/>
      <c r="C461" s="110"/>
      <c r="D461" s="110"/>
      <c r="E461" s="110"/>
      <c r="F461" s="110"/>
      <c r="G461" s="110"/>
      <c r="H461" s="110"/>
      <c r="I461" s="110"/>
      <c r="J461" s="110"/>
      <c r="K461" s="110"/>
      <c r="L461" s="110"/>
      <c r="M461" s="110"/>
      <c r="N461" s="110"/>
      <c r="O461" s="110"/>
      <c r="P461" s="110"/>
      <c r="Q461" s="110"/>
      <c r="R461" s="110"/>
      <c r="S461" s="110"/>
      <c r="T461" s="110"/>
      <c r="U461" s="110"/>
      <c r="V461" s="110"/>
      <c r="W461" s="110"/>
      <c r="X461" s="110"/>
      <c r="Y461" s="110"/>
      <c r="Z461" s="110"/>
      <c r="AA461" s="110"/>
      <c r="AB461" s="110"/>
      <c r="AC461" s="110"/>
      <c r="AD461" s="110"/>
      <c r="AE461" s="110"/>
      <c r="AF461" s="110"/>
      <c r="AG461" s="110"/>
      <c r="AH461" s="110"/>
    </row>
    <row r="462">
      <c r="A462" s="110"/>
      <c r="B462" s="110"/>
      <c r="C462" s="110"/>
      <c r="D462" s="110"/>
      <c r="E462" s="110"/>
      <c r="F462" s="110"/>
      <c r="G462" s="110"/>
      <c r="H462" s="110"/>
      <c r="I462" s="110"/>
      <c r="J462" s="110"/>
      <c r="K462" s="110"/>
      <c r="L462" s="110"/>
      <c r="M462" s="110"/>
      <c r="N462" s="110"/>
      <c r="O462" s="110"/>
      <c r="P462" s="110"/>
      <c r="Q462" s="110"/>
      <c r="R462" s="110"/>
      <c r="S462" s="110"/>
      <c r="T462" s="110"/>
      <c r="U462" s="110"/>
      <c r="V462" s="110"/>
      <c r="W462" s="110"/>
      <c r="X462" s="110"/>
      <c r="Y462" s="110"/>
      <c r="Z462" s="110"/>
      <c r="AA462" s="110"/>
      <c r="AB462" s="110"/>
      <c r="AC462" s="110"/>
      <c r="AD462" s="110"/>
      <c r="AE462" s="110"/>
      <c r="AF462" s="110"/>
      <c r="AG462" s="110"/>
      <c r="AH462" s="110"/>
    </row>
    <row r="463">
      <c r="A463" s="110"/>
      <c r="B463" s="110"/>
      <c r="C463" s="110"/>
      <c r="D463" s="110"/>
      <c r="E463" s="110"/>
      <c r="F463" s="110"/>
      <c r="G463" s="110"/>
      <c r="H463" s="110"/>
      <c r="I463" s="110"/>
      <c r="J463" s="110"/>
      <c r="K463" s="110"/>
      <c r="L463" s="110"/>
      <c r="M463" s="110"/>
      <c r="N463" s="110"/>
      <c r="O463" s="110"/>
      <c r="P463" s="110"/>
      <c r="Q463" s="110"/>
      <c r="R463" s="110"/>
      <c r="S463" s="110"/>
      <c r="T463" s="110"/>
      <c r="U463" s="110"/>
      <c r="V463" s="110"/>
      <c r="W463" s="110"/>
      <c r="X463" s="110"/>
      <c r="Y463" s="110"/>
      <c r="Z463" s="110"/>
      <c r="AA463" s="110"/>
      <c r="AB463" s="110"/>
      <c r="AC463" s="110"/>
      <c r="AD463" s="110"/>
      <c r="AE463" s="110"/>
      <c r="AF463" s="110"/>
      <c r="AG463" s="110"/>
      <c r="AH463" s="110"/>
    </row>
    <row r="464">
      <c r="A464" s="110"/>
      <c r="B464" s="110"/>
      <c r="C464" s="110"/>
      <c r="D464" s="110"/>
      <c r="E464" s="110"/>
      <c r="F464" s="110"/>
      <c r="G464" s="110"/>
      <c r="H464" s="110"/>
      <c r="I464" s="110"/>
      <c r="J464" s="110"/>
      <c r="K464" s="110"/>
      <c r="L464" s="110"/>
      <c r="M464" s="110"/>
      <c r="N464" s="110"/>
      <c r="O464" s="110"/>
      <c r="P464" s="110"/>
      <c r="Q464" s="110"/>
      <c r="R464" s="110"/>
      <c r="S464" s="110"/>
      <c r="T464" s="110"/>
      <c r="U464" s="110"/>
      <c r="V464" s="110"/>
      <c r="W464" s="110"/>
      <c r="X464" s="110"/>
      <c r="Y464" s="110"/>
      <c r="Z464" s="110"/>
      <c r="AA464" s="110"/>
      <c r="AB464" s="110"/>
      <c r="AC464" s="110"/>
      <c r="AD464" s="110"/>
      <c r="AE464" s="110"/>
      <c r="AF464" s="110"/>
      <c r="AG464" s="110"/>
      <c r="AH464" s="110"/>
    </row>
    <row r="465">
      <c r="A465" s="110"/>
      <c r="B465" s="110"/>
      <c r="C465" s="110"/>
      <c r="D465" s="110"/>
      <c r="E465" s="110"/>
      <c r="F465" s="110"/>
      <c r="G465" s="110"/>
      <c r="H465" s="110"/>
      <c r="I465" s="110"/>
      <c r="J465" s="110"/>
      <c r="K465" s="110"/>
      <c r="L465" s="110"/>
      <c r="M465" s="110"/>
      <c r="N465" s="110"/>
      <c r="O465" s="110"/>
      <c r="P465" s="110"/>
      <c r="Q465" s="110"/>
      <c r="R465" s="110"/>
      <c r="S465" s="110"/>
      <c r="T465" s="110"/>
      <c r="U465" s="110"/>
      <c r="V465" s="110"/>
      <c r="W465" s="110"/>
      <c r="X465" s="110"/>
      <c r="Y465" s="110"/>
      <c r="Z465" s="110"/>
      <c r="AA465" s="110"/>
      <c r="AB465" s="110"/>
      <c r="AC465" s="110"/>
      <c r="AD465" s="110"/>
      <c r="AE465" s="110"/>
      <c r="AF465" s="110"/>
      <c r="AG465" s="110"/>
      <c r="AH465" s="110"/>
    </row>
    <row r="466">
      <c r="A466" s="110"/>
      <c r="B466" s="110"/>
      <c r="C466" s="110"/>
      <c r="D466" s="110"/>
      <c r="E466" s="110"/>
      <c r="F466" s="110"/>
      <c r="G466" s="110"/>
      <c r="H466" s="110"/>
      <c r="I466" s="110"/>
      <c r="J466" s="110"/>
      <c r="K466" s="110"/>
      <c r="L466" s="110"/>
      <c r="M466" s="110"/>
      <c r="N466" s="110"/>
      <c r="O466" s="110"/>
      <c r="P466" s="110"/>
      <c r="Q466" s="110"/>
      <c r="R466" s="110"/>
      <c r="S466" s="110"/>
      <c r="T466" s="110"/>
      <c r="U466" s="110"/>
      <c r="V466" s="110"/>
      <c r="W466" s="110"/>
      <c r="X466" s="110"/>
      <c r="Y466" s="110"/>
      <c r="Z466" s="110"/>
      <c r="AA466" s="110"/>
      <c r="AB466" s="110"/>
      <c r="AC466" s="110"/>
      <c r="AD466" s="110"/>
      <c r="AE466" s="110"/>
      <c r="AF466" s="110"/>
      <c r="AG466" s="110"/>
      <c r="AH466" s="110"/>
    </row>
    <row r="467">
      <c r="A467" s="110"/>
      <c r="B467" s="110"/>
      <c r="C467" s="110"/>
      <c r="D467" s="110"/>
      <c r="E467" s="110"/>
      <c r="F467" s="110"/>
      <c r="G467" s="110"/>
      <c r="H467" s="110"/>
      <c r="I467" s="110"/>
      <c r="J467" s="110"/>
      <c r="K467" s="110"/>
      <c r="L467" s="110"/>
      <c r="M467" s="110"/>
      <c r="N467" s="110"/>
      <c r="O467" s="110"/>
      <c r="P467" s="110"/>
      <c r="Q467" s="110"/>
      <c r="R467" s="110"/>
      <c r="S467" s="110"/>
      <c r="T467" s="110"/>
      <c r="U467" s="110"/>
      <c r="V467" s="110"/>
      <c r="W467" s="110"/>
      <c r="X467" s="110"/>
      <c r="Y467" s="110"/>
      <c r="Z467" s="110"/>
      <c r="AA467" s="110"/>
      <c r="AB467" s="110"/>
      <c r="AC467" s="110"/>
      <c r="AD467" s="110"/>
      <c r="AE467" s="110"/>
      <c r="AF467" s="110"/>
      <c r="AG467" s="110"/>
      <c r="AH467" s="110"/>
    </row>
    <row r="468">
      <c r="A468" s="110"/>
      <c r="B468" s="110"/>
      <c r="C468" s="110"/>
      <c r="D468" s="110"/>
      <c r="E468" s="110"/>
      <c r="F468" s="110"/>
      <c r="G468" s="110"/>
      <c r="H468" s="110"/>
      <c r="I468" s="110"/>
      <c r="J468" s="110"/>
      <c r="K468" s="110"/>
      <c r="L468" s="110"/>
      <c r="M468" s="110"/>
      <c r="N468" s="110"/>
      <c r="O468" s="110"/>
      <c r="P468" s="110"/>
      <c r="Q468" s="110"/>
      <c r="R468" s="110"/>
      <c r="S468" s="110"/>
      <c r="T468" s="110"/>
      <c r="U468" s="110"/>
      <c r="V468" s="110"/>
      <c r="W468" s="110"/>
      <c r="X468" s="110"/>
      <c r="Y468" s="110"/>
      <c r="Z468" s="110"/>
      <c r="AA468" s="110"/>
      <c r="AB468" s="110"/>
      <c r="AC468" s="110"/>
      <c r="AD468" s="110"/>
      <c r="AE468" s="110"/>
      <c r="AF468" s="110"/>
      <c r="AG468" s="110"/>
      <c r="AH468" s="110"/>
    </row>
    <row r="469">
      <c r="A469" s="110"/>
      <c r="B469" s="110"/>
      <c r="C469" s="110"/>
      <c r="D469" s="110"/>
      <c r="E469" s="110"/>
      <c r="F469" s="110"/>
      <c r="G469" s="110"/>
      <c r="H469" s="110"/>
      <c r="I469" s="110"/>
      <c r="J469" s="110"/>
      <c r="K469" s="110"/>
      <c r="L469" s="110"/>
      <c r="M469" s="110"/>
      <c r="N469" s="110"/>
      <c r="O469" s="110"/>
      <c r="P469" s="110"/>
      <c r="Q469" s="110"/>
      <c r="R469" s="110"/>
      <c r="S469" s="110"/>
      <c r="T469" s="110"/>
      <c r="U469" s="110"/>
      <c r="V469" s="110"/>
      <c r="W469" s="110"/>
      <c r="X469" s="110"/>
      <c r="Y469" s="110"/>
      <c r="Z469" s="110"/>
      <c r="AA469" s="110"/>
      <c r="AB469" s="110"/>
      <c r="AC469" s="110"/>
      <c r="AD469" s="110"/>
      <c r="AE469" s="110"/>
      <c r="AF469" s="110"/>
      <c r="AG469" s="110"/>
      <c r="AH469" s="110"/>
    </row>
    <row r="470">
      <c r="A470" s="110"/>
      <c r="B470" s="110"/>
      <c r="C470" s="110"/>
      <c r="D470" s="110"/>
      <c r="E470" s="110"/>
      <c r="F470" s="110"/>
      <c r="G470" s="110"/>
      <c r="H470" s="110"/>
      <c r="I470" s="110"/>
      <c r="J470" s="110"/>
      <c r="K470" s="110"/>
      <c r="L470" s="110"/>
      <c r="M470" s="110"/>
      <c r="N470" s="110"/>
      <c r="O470" s="110"/>
      <c r="P470" s="110"/>
      <c r="Q470" s="110"/>
      <c r="R470" s="110"/>
      <c r="S470" s="110"/>
      <c r="T470" s="110"/>
      <c r="U470" s="110"/>
      <c r="V470" s="110"/>
      <c r="W470" s="110"/>
      <c r="X470" s="110"/>
      <c r="Y470" s="110"/>
      <c r="Z470" s="110"/>
      <c r="AA470" s="110"/>
      <c r="AB470" s="110"/>
      <c r="AC470" s="110"/>
      <c r="AD470" s="110"/>
      <c r="AE470" s="110"/>
      <c r="AF470" s="110"/>
      <c r="AG470" s="110"/>
      <c r="AH470" s="110"/>
    </row>
    <row r="471">
      <c r="A471" s="110"/>
      <c r="B471" s="110"/>
      <c r="C471" s="110"/>
      <c r="D471" s="110"/>
      <c r="E471" s="110"/>
      <c r="F471" s="110"/>
      <c r="G471" s="110"/>
      <c r="H471" s="110"/>
      <c r="I471" s="110"/>
      <c r="J471" s="110"/>
      <c r="K471" s="110"/>
      <c r="L471" s="110"/>
      <c r="M471" s="110"/>
      <c r="N471" s="110"/>
      <c r="O471" s="110"/>
      <c r="P471" s="110"/>
      <c r="Q471" s="110"/>
      <c r="R471" s="110"/>
      <c r="S471" s="110"/>
      <c r="T471" s="110"/>
      <c r="U471" s="110"/>
      <c r="V471" s="110"/>
      <c r="W471" s="110"/>
      <c r="X471" s="110"/>
      <c r="Y471" s="110"/>
      <c r="Z471" s="110"/>
      <c r="AA471" s="110"/>
      <c r="AB471" s="110"/>
      <c r="AC471" s="110"/>
      <c r="AD471" s="110"/>
      <c r="AE471" s="110"/>
      <c r="AF471" s="110"/>
      <c r="AG471" s="110"/>
      <c r="AH471" s="110"/>
    </row>
    <row r="472">
      <c r="A472" s="110"/>
      <c r="B472" s="110"/>
      <c r="C472" s="110"/>
      <c r="D472" s="110"/>
      <c r="E472" s="110"/>
      <c r="F472" s="110"/>
      <c r="G472" s="110"/>
      <c r="H472" s="110"/>
      <c r="I472" s="110"/>
      <c r="J472" s="110"/>
      <c r="K472" s="110"/>
      <c r="L472" s="110"/>
      <c r="M472" s="110"/>
      <c r="N472" s="110"/>
      <c r="O472" s="110"/>
      <c r="P472" s="110"/>
      <c r="Q472" s="110"/>
      <c r="R472" s="110"/>
      <c r="S472" s="110"/>
      <c r="T472" s="110"/>
      <c r="U472" s="110"/>
      <c r="V472" s="110"/>
      <c r="W472" s="110"/>
      <c r="X472" s="110"/>
      <c r="Y472" s="110"/>
      <c r="Z472" s="110"/>
      <c r="AA472" s="110"/>
      <c r="AB472" s="110"/>
      <c r="AC472" s="110"/>
      <c r="AD472" s="110"/>
      <c r="AE472" s="110"/>
      <c r="AF472" s="110"/>
      <c r="AG472" s="110"/>
      <c r="AH472" s="110"/>
    </row>
    <row r="473">
      <c r="A473" s="110"/>
      <c r="B473" s="110"/>
      <c r="C473" s="110"/>
      <c r="D473" s="110"/>
      <c r="E473" s="110"/>
      <c r="F473" s="110"/>
      <c r="G473" s="110"/>
      <c r="H473" s="110"/>
      <c r="I473" s="110"/>
      <c r="J473" s="110"/>
      <c r="K473" s="110"/>
      <c r="L473" s="110"/>
      <c r="M473" s="110"/>
      <c r="N473" s="110"/>
      <c r="O473" s="110"/>
      <c r="P473" s="110"/>
      <c r="Q473" s="110"/>
      <c r="R473" s="110"/>
      <c r="S473" s="110"/>
      <c r="T473" s="110"/>
      <c r="U473" s="110"/>
      <c r="V473" s="110"/>
      <c r="W473" s="110"/>
      <c r="X473" s="110"/>
      <c r="Y473" s="110"/>
      <c r="Z473" s="110"/>
      <c r="AA473" s="110"/>
      <c r="AB473" s="110"/>
      <c r="AC473" s="110"/>
      <c r="AD473" s="110"/>
      <c r="AE473" s="110"/>
      <c r="AF473" s="110"/>
      <c r="AG473" s="110"/>
      <c r="AH473" s="110"/>
    </row>
    <row r="474">
      <c r="A474" s="110"/>
      <c r="B474" s="110"/>
      <c r="C474" s="110"/>
      <c r="D474" s="110"/>
      <c r="E474" s="110"/>
      <c r="F474" s="110"/>
      <c r="G474" s="110"/>
      <c r="H474" s="110"/>
      <c r="I474" s="110"/>
      <c r="J474" s="110"/>
      <c r="K474" s="110"/>
      <c r="L474" s="110"/>
      <c r="M474" s="110"/>
      <c r="N474" s="110"/>
      <c r="O474" s="110"/>
      <c r="P474" s="110"/>
      <c r="Q474" s="110"/>
      <c r="R474" s="110"/>
      <c r="S474" s="110"/>
      <c r="T474" s="110"/>
      <c r="U474" s="110"/>
      <c r="V474" s="110"/>
      <c r="W474" s="110"/>
      <c r="X474" s="110"/>
      <c r="Y474" s="110"/>
      <c r="Z474" s="110"/>
      <c r="AA474" s="110"/>
      <c r="AB474" s="110"/>
      <c r="AC474" s="110"/>
      <c r="AD474" s="110"/>
      <c r="AE474" s="110"/>
      <c r="AF474" s="110"/>
      <c r="AG474" s="110"/>
      <c r="AH474" s="110"/>
    </row>
    <row r="475">
      <c r="A475" s="110"/>
      <c r="B475" s="110"/>
      <c r="C475" s="110"/>
      <c r="D475" s="110"/>
      <c r="E475" s="110"/>
      <c r="F475" s="110"/>
      <c r="G475" s="110"/>
      <c r="H475" s="110"/>
      <c r="I475" s="110"/>
      <c r="J475" s="110"/>
      <c r="K475" s="110"/>
      <c r="L475" s="110"/>
      <c r="M475" s="110"/>
      <c r="N475" s="110"/>
      <c r="O475" s="110"/>
      <c r="P475" s="110"/>
      <c r="Q475" s="110"/>
      <c r="R475" s="110"/>
      <c r="S475" s="110"/>
      <c r="T475" s="110"/>
      <c r="U475" s="110"/>
      <c r="V475" s="110"/>
      <c r="W475" s="110"/>
      <c r="X475" s="110"/>
      <c r="Y475" s="110"/>
      <c r="Z475" s="110"/>
      <c r="AA475" s="110"/>
      <c r="AB475" s="110"/>
      <c r="AC475" s="110"/>
      <c r="AD475" s="110"/>
      <c r="AE475" s="110"/>
      <c r="AF475" s="110"/>
      <c r="AG475" s="110"/>
      <c r="AH475" s="110"/>
    </row>
    <row r="476">
      <c r="A476" s="110"/>
      <c r="B476" s="110"/>
      <c r="C476" s="110"/>
      <c r="D476" s="110"/>
      <c r="E476" s="110"/>
      <c r="F476" s="110"/>
      <c r="G476" s="110"/>
      <c r="H476" s="110"/>
      <c r="I476" s="110"/>
      <c r="J476" s="110"/>
      <c r="K476" s="110"/>
      <c r="L476" s="110"/>
      <c r="M476" s="110"/>
      <c r="N476" s="110"/>
      <c r="O476" s="110"/>
      <c r="P476" s="110"/>
      <c r="Q476" s="110"/>
      <c r="R476" s="110"/>
      <c r="S476" s="110"/>
      <c r="T476" s="110"/>
      <c r="U476" s="110"/>
      <c r="V476" s="110"/>
      <c r="W476" s="110"/>
      <c r="X476" s="110"/>
      <c r="Y476" s="110"/>
      <c r="Z476" s="110"/>
      <c r="AA476" s="110"/>
      <c r="AB476" s="110"/>
      <c r="AC476" s="110"/>
      <c r="AD476" s="110"/>
      <c r="AE476" s="110"/>
      <c r="AF476" s="110"/>
      <c r="AG476" s="110"/>
      <c r="AH476" s="110"/>
    </row>
    <row r="477">
      <c r="A477" s="110"/>
      <c r="B477" s="110"/>
      <c r="C477" s="110"/>
      <c r="D477" s="110"/>
      <c r="E477" s="110"/>
      <c r="F477" s="110"/>
      <c r="G477" s="110"/>
      <c r="H477" s="110"/>
      <c r="I477" s="110"/>
      <c r="J477" s="110"/>
      <c r="K477" s="110"/>
      <c r="L477" s="110"/>
      <c r="M477" s="110"/>
      <c r="N477" s="110"/>
      <c r="O477" s="110"/>
      <c r="P477" s="110"/>
      <c r="Q477" s="110"/>
      <c r="R477" s="110"/>
      <c r="S477" s="110"/>
      <c r="T477" s="110"/>
      <c r="U477" s="110"/>
      <c r="V477" s="110"/>
      <c r="W477" s="110"/>
      <c r="X477" s="110"/>
      <c r="Y477" s="110"/>
      <c r="Z477" s="110"/>
      <c r="AA477" s="110"/>
      <c r="AB477" s="110"/>
      <c r="AC477" s="110"/>
      <c r="AD477" s="110"/>
      <c r="AE477" s="110"/>
      <c r="AF477" s="110"/>
      <c r="AG477" s="110"/>
      <c r="AH477" s="110"/>
    </row>
    <row r="478">
      <c r="A478" s="110"/>
      <c r="B478" s="110"/>
      <c r="C478" s="110"/>
      <c r="D478" s="110"/>
      <c r="E478" s="110"/>
      <c r="F478" s="110"/>
      <c r="G478" s="110"/>
      <c r="H478" s="110"/>
      <c r="I478" s="110"/>
      <c r="J478" s="110"/>
      <c r="K478" s="110"/>
      <c r="L478" s="110"/>
      <c r="M478" s="110"/>
      <c r="N478" s="110"/>
      <c r="O478" s="110"/>
      <c r="P478" s="110"/>
      <c r="Q478" s="110"/>
      <c r="R478" s="110"/>
      <c r="S478" s="110"/>
      <c r="T478" s="110"/>
      <c r="U478" s="110"/>
      <c r="V478" s="110"/>
      <c r="W478" s="110"/>
      <c r="X478" s="110"/>
      <c r="Y478" s="110"/>
      <c r="Z478" s="110"/>
      <c r="AA478" s="110"/>
      <c r="AB478" s="110"/>
      <c r="AC478" s="110"/>
      <c r="AD478" s="110"/>
      <c r="AE478" s="110"/>
      <c r="AF478" s="110"/>
      <c r="AG478" s="110"/>
      <c r="AH478" s="110"/>
    </row>
    <row r="479">
      <c r="A479" s="110"/>
      <c r="B479" s="110"/>
      <c r="C479" s="110"/>
      <c r="D479" s="110"/>
      <c r="E479" s="110"/>
      <c r="F479" s="110"/>
      <c r="G479" s="110"/>
      <c r="H479" s="110"/>
      <c r="I479" s="110"/>
      <c r="J479" s="110"/>
      <c r="K479" s="110"/>
      <c r="L479" s="110"/>
      <c r="M479" s="110"/>
      <c r="N479" s="110"/>
      <c r="O479" s="110"/>
      <c r="P479" s="110"/>
      <c r="Q479" s="110"/>
      <c r="R479" s="110"/>
      <c r="S479" s="110"/>
      <c r="T479" s="110"/>
      <c r="U479" s="110"/>
      <c r="V479" s="110"/>
      <c r="W479" s="110"/>
      <c r="X479" s="110"/>
      <c r="Y479" s="110"/>
      <c r="Z479" s="110"/>
      <c r="AA479" s="110"/>
      <c r="AB479" s="110"/>
      <c r="AC479" s="110"/>
      <c r="AD479" s="110"/>
      <c r="AE479" s="110"/>
      <c r="AF479" s="110"/>
      <c r="AG479" s="110"/>
      <c r="AH479" s="110"/>
    </row>
    <row r="480">
      <c r="A480" s="110"/>
      <c r="B480" s="110"/>
      <c r="C480" s="110"/>
      <c r="D480" s="110"/>
      <c r="E480" s="110"/>
      <c r="F480" s="110"/>
      <c r="G480" s="110"/>
      <c r="H480" s="110"/>
      <c r="I480" s="110"/>
      <c r="J480" s="110"/>
      <c r="K480" s="110"/>
      <c r="L480" s="110"/>
      <c r="M480" s="110"/>
      <c r="N480" s="110"/>
      <c r="O480" s="110"/>
      <c r="P480" s="110"/>
      <c r="Q480" s="110"/>
      <c r="R480" s="110"/>
      <c r="S480" s="110"/>
      <c r="T480" s="110"/>
      <c r="U480" s="110"/>
      <c r="V480" s="110"/>
      <c r="W480" s="110"/>
      <c r="X480" s="110"/>
      <c r="Y480" s="110"/>
      <c r="Z480" s="110"/>
      <c r="AA480" s="110"/>
      <c r="AB480" s="110"/>
      <c r="AC480" s="110"/>
      <c r="AD480" s="110"/>
      <c r="AE480" s="110"/>
      <c r="AF480" s="110"/>
      <c r="AG480" s="110"/>
      <c r="AH480" s="110"/>
    </row>
    <row r="481">
      <c r="A481" s="110"/>
      <c r="B481" s="110"/>
      <c r="C481" s="110"/>
      <c r="D481" s="110"/>
      <c r="E481" s="110"/>
      <c r="F481" s="110"/>
      <c r="G481" s="110"/>
      <c r="H481" s="110"/>
      <c r="I481" s="110"/>
      <c r="J481" s="110"/>
      <c r="K481" s="110"/>
      <c r="L481" s="110"/>
      <c r="M481" s="110"/>
      <c r="N481" s="110"/>
      <c r="O481" s="110"/>
      <c r="P481" s="110"/>
      <c r="Q481" s="110"/>
      <c r="R481" s="110"/>
      <c r="S481" s="110"/>
      <c r="T481" s="110"/>
      <c r="U481" s="110"/>
      <c r="V481" s="110"/>
      <c r="W481" s="110"/>
      <c r="X481" s="110"/>
      <c r="Y481" s="110"/>
      <c r="Z481" s="110"/>
      <c r="AA481" s="110"/>
      <c r="AB481" s="110"/>
      <c r="AC481" s="110"/>
      <c r="AD481" s="110"/>
      <c r="AE481" s="110"/>
      <c r="AF481" s="110"/>
      <c r="AG481" s="110"/>
      <c r="AH481" s="110"/>
    </row>
    <row r="482">
      <c r="A482" s="110"/>
      <c r="B482" s="110"/>
      <c r="C482" s="110"/>
      <c r="D482" s="110"/>
      <c r="E482" s="110"/>
      <c r="F482" s="110"/>
      <c r="G482" s="110"/>
      <c r="H482" s="110"/>
      <c r="I482" s="110"/>
      <c r="J482" s="110"/>
      <c r="K482" s="110"/>
      <c r="L482" s="110"/>
      <c r="M482" s="110"/>
      <c r="N482" s="110"/>
      <c r="O482" s="110"/>
      <c r="P482" s="110"/>
      <c r="Q482" s="110"/>
      <c r="R482" s="110"/>
      <c r="S482" s="110"/>
      <c r="T482" s="110"/>
      <c r="U482" s="110"/>
      <c r="V482" s="110"/>
      <c r="W482" s="110"/>
      <c r="X482" s="110"/>
      <c r="Y482" s="110"/>
      <c r="Z482" s="110"/>
      <c r="AA482" s="110"/>
      <c r="AB482" s="110"/>
      <c r="AC482" s="110"/>
      <c r="AD482" s="110"/>
      <c r="AE482" s="110"/>
      <c r="AF482" s="110"/>
      <c r="AG482" s="110"/>
      <c r="AH482" s="110"/>
    </row>
    <row r="483">
      <c r="A483" s="110"/>
      <c r="B483" s="110"/>
      <c r="C483" s="110"/>
      <c r="D483" s="110"/>
      <c r="E483" s="110"/>
      <c r="F483" s="110"/>
      <c r="G483" s="110"/>
      <c r="H483" s="110"/>
      <c r="I483" s="110"/>
      <c r="J483" s="110"/>
      <c r="K483" s="110"/>
      <c r="L483" s="110"/>
      <c r="M483" s="110"/>
      <c r="N483" s="110"/>
      <c r="O483" s="110"/>
      <c r="P483" s="110"/>
      <c r="Q483" s="110"/>
      <c r="R483" s="110"/>
      <c r="S483" s="110"/>
      <c r="T483" s="110"/>
      <c r="U483" s="110"/>
      <c r="V483" s="110"/>
      <c r="W483" s="110"/>
      <c r="X483" s="110"/>
      <c r="Y483" s="110"/>
      <c r="Z483" s="110"/>
      <c r="AA483" s="110"/>
      <c r="AB483" s="110"/>
      <c r="AC483" s="110"/>
      <c r="AD483" s="110"/>
      <c r="AE483" s="110"/>
      <c r="AF483" s="110"/>
      <c r="AG483" s="110"/>
      <c r="AH483" s="110"/>
    </row>
    <row r="484">
      <c r="A484" s="110"/>
      <c r="B484" s="110"/>
      <c r="C484" s="110"/>
      <c r="D484" s="110"/>
      <c r="E484" s="110"/>
      <c r="F484" s="110"/>
      <c r="G484" s="110"/>
      <c r="H484" s="110"/>
      <c r="I484" s="110"/>
      <c r="J484" s="110"/>
      <c r="K484" s="110"/>
      <c r="L484" s="110"/>
      <c r="M484" s="110"/>
      <c r="N484" s="110"/>
      <c r="O484" s="110"/>
      <c r="P484" s="110"/>
      <c r="Q484" s="110"/>
      <c r="R484" s="110"/>
      <c r="S484" s="110"/>
      <c r="T484" s="110"/>
      <c r="U484" s="110"/>
      <c r="V484" s="110"/>
      <c r="W484" s="110"/>
      <c r="X484" s="110"/>
      <c r="Y484" s="110"/>
      <c r="Z484" s="110"/>
      <c r="AA484" s="110"/>
      <c r="AB484" s="110"/>
      <c r="AC484" s="110"/>
      <c r="AD484" s="110"/>
      <c r="AE484" s="110"/>
      <c r="AF484" s="110"/>
      <c r="AG484" s="110"/>
      <c r="AH484" s="110"/>
    </row>
    <row r="485">
      <c r="A485" s="110"/>
      <c r="B485" s="110"/>
      <c r="C485" s="110"/>
      <c r="D485" s="110"/>
      <c r="E485" s="110"/>
      <c r="F485" s="110"/>
      <c r="G485" s="110"/>
      <c r="H485" s="110"/>
      <c r="I485" s="110"/>
      <c r="J485" s="110"/>
      <c r="K485" s="110"/>
      <c r="L485" s="110"/>
      <c r="M485" s="110"/>
      <c r="N485" s="110"/>
      <c r="O485" s="110"/>
      <c r="P485" s="110"/>
      <c r="Q485" s="110"/>
      <c r="R485" s="110"/>
      <c r="S485" s="110"/>
      <c r="T485" s="110"/>
      <c r="U485" s="110"/>
      <c r="V485" s="110"/>
      <c r="W485" s="110"/>
      <c r="X485" s="110"/>
      <c r="Y485" s="110"/>
      <c r="Z485" s="110"/>
      <c r="AA485" s="110"/>
      <c r="AB485" s="110"/>
      <c r="AC485" s="110"/>
      <c r="AD485" s="110"/>
      <c r="AE485" s="110"/>
      <c r="AF485" s="110"/>
      <c r="AG485" s="110"/>
      <c r="AH485" s="110"/>
    </row>
    <row r="486">
      <c r="A486" s="110"/>
      <c r="B486" s="110"/>
      <c r="C486" s="110"/>
      <c r="D486" s="110"/>
      <c r="E486" s="110"/>
      <c r="F486" s="110"/>
      <c r="G486" s="110"/>
      <c r="H486" s="110"/>
      <c r="I486" s="110"/>
      <c r="J486" s="110"/>
      <c r="K486" s="110"/>
      <c r="L486" s="110"/>
      <c r="M486" s="110"/>
      <c r="N486" s="110"/>
      <c r="O486" s="110"/>
      <c r="P486" s="110"/>
      <c r="Q486" s="110"/>
      <c r="R486" s="110"/>
      <c r="S486" s="110"/>
      <c r="T486" s="110"/>
      <c r="U486" s="110"/>
      <c r="V486" s="110"/>
      <c r="W486" s="110"/>
      <c r="X486" s="110"/>
      <c r="Y486" s="110"/>
      <c r="Z486" s="110"/>
      <c r="AA486" s="110"/>
      <c r="AB486" s="110"/>
      <c r="AC486" s="110"/>
      <c r="AD486" s="110"/>
      <c r="AE486" s="110"/>
      <c r="AF486" s="110"/>
      <c r="AG486" s="110"/>
      <c r="AH486" s="110"/>
    </row>
    <row r="487">
      <c r="A487" s="110"/>
      <c r="B487" s="110"/>
      <c r="C487" s="110"/>
      <c r="D487" s="110"/>
      <c r="E487" s="110"/>
      <c r="F487" s="110"/>
      <c r="G487" s="110"/>
      <c r="H487" s="110"/>
      <c r="I487" s="110"/>
      <c r="J487" s="110"/>
      <c r="K487" s="110"/>
      <c r="L487" s="110"/>
      <c r="M487" s="110"/>
      <c r="N487" s="110"/>
      <c r="O487" s="110"/>
      <c r="P487" s="110"/>
      <c r="Q487" s="110"/>
      <c r="R487" s="110"/>
      <c r="S487" s="110"/>
      <c r="T487" s="110"/>
      <c r="U487" s="110"/>
      <c r="V487" s="110"/>
      <c r="W487" s="110"/>
      <c r="X487" s="110"/>
      <c r="Y487" s="110"/>
      <c r="Z487" s="110"/>
      <c r="AA487" s="110"/>
      <c r="AB487" s="110"/>
      <c r="AC487" s="110"/>
      <c r="AD487" s="110"/>
      <c r="AE487" s="110"/>
      <c r="AF487" s="110"/>
      <c r="AG487" s="110"/>
      <c r="AH487" s="110"/>
    </row>
    <row r="488">
      <c r="A488" s="110"/>
      <c r="B488" s="110"/>
      <c r="C488" s="110"/>
      <c r="D488" s="110"/>
      <c r="E488" s="110"/>
      <c r="F488" s="110"/>
      <c r="G488" s="110"/>
      <c r="H488" s="110"/>
      <c r="I488" s="110"/>
      <c r="J488" s="110"/>
      <c r="K488" s="110"/>
      <c r="L488" s="110"/>
      <c r="M488" s="110"/>
      <c r="N488" s="110"/>
      <c r="O488" s="110"/>
      <c r="P488" s="110"/>
      <c r="Q488" s="110"/>
      <c r="R488" s="110"/>
      <c r="S488" s="110"/>
      <c r="T488" s="110"/>
      <c r="U488" s="110"/>
      <c r="V488" s="110"/>
      <c r="W488" s="110"/>
      <c r="X488" s="110"/>
      <c r="Y488" s="110"/>
      <c r="Z488" s="110"/>
      <c r="AA488" s="110"/>
      <c r="AB488" s="110"/>
      <c r="AC488" s="110"/>
      <c r="AD488" s="110"/>
      <c r="AE488" s="110"/>
      <c r="AF488" s="110"/>
      <c r="AG488" s="110"/>
      <c r="AH488" s="110"/>
    </row>
    <row r="489">
      <c r="A489" s="110"/>
      <c r="B489" s="110"/>
      <c r="C489" s="110"/>
      <c r="D489" s="110"/>
      <c r="E489" s="110"/>
      <c r="F489" s="110"/>
      <c r="G489" s="110"/>
      <c r="H489" s="110"/>
      <c r="I489" s="110"/>
      <c r="J489" s="110"/>
      <c r="K489" s="110"/>
      <c r="L489" s="110"/>
      <c r="M489" s="110"/>
      <c r="N489" s="110"/>
      <c r="O489" s="110"/>
      <c r="P489" s="110"/>
      <c r="Q489" s="110"/>
      <c r="R489" s="110"/>
      <c r="S489" s="110"/>
      <c r="T489" s="110"/>
      <c r="U489" s="110"/>
      <c r="V489" s="110"/>
      <c r="W489" s="110"/>
      <c r="X489" s="110"/>
      <c r="Y489" s="110"/>
      <c r="Z489" s="110"/>
      <c r="AA489" s="110"/>
      <c r="AB489" s="110"/>
      <c r="AC489" s="110"/>
      <c r="AD489" s="110"/>
      <c r="AE489" s="110"/>
      <c r="AF489" s="110"/>
      <c r="AG489" s="110"/>
      <c r="AH489" s="110"/>
    </row>
    <row r="490">
      <c r="A490" s="110"/>
      <c r="B490" s="110"/>
      <c r="C490" s="110"/>
      <c r="D490" s="110"/>
      <c r="E490" s="110"/>
      <c r="F490" s="110"/>
      <c r="G490" s="110"/>
      <c r="H490" s="110"/>
      <c r="I490" s="110"/>
      <c r="J490" s="110"/>
      <c r="K490" s="110"/>
      <c r="L490" s="110"/>
      <c r="M490" s="110"/>
      <c r="N490" s="110"/>
      <c r="O490" s="110"/>
      <c r="P490" s="110"/>
      <c r="Q490" s="110"/>
      <c r="R490" s="110"/>
      <c r="S490" s="110"/>
      <c r="T490" s="110"/>
      <c r="U490" s="110"/>
      <c r="V490" s="110"/>
      <c r="W490" s="110"/>
      <c r="X490" s="110"/>
      <c r="Y490" s="110"/>
      <c r="Z490" s="110"/>
      <c r="AA490" s="110"/>
      <c r="AB490" s="110"/>
      <c r="AC490" s="110"/>
      <c r="AD490" s="110"/>
      <c r="AE490" s="110"/>
      <c r="AF490" s="110"/>
      <c r="AG490" s="110"/>
      <c r="AH490" s="110"/>
    </row>
    <row r="491">
      <c r="A491" s="110"/>
      <c r="B491" s="110"/>
      <c r="C491" s="110"/>
      <c r="D491" s="110"/>
      <c r="E491" s="110"/>
      <c r="F491" s="110"/>
      <c r="G491" s="110"/>
      <c r="H491" s="110"/>
      <c r="I491" s="110"/>
      <c r="J491" s="110"/>
      <c r="K491" s="110"/>
      <c r="L491" s="110"/>
      <c r="M491" s="110"/>
      <c r="N491" s="110"/>
      <c r="O491" s="110"/>
      <c r="P491" s="110"/>
      <c r="Q491" s="110"/>
      <c r="R491" s="110"/>
      <c r="S491" s="110"/>
      <c r="T491" s="110"/>
      <c r="U491" s="110"/>
      <c r="V491" s="110"/>
      <c r="W491" s="110"/>
      <c r="X491" s="110"/>
      <c r="Y491" s="110"/>
      <c r="Z491" s="110"/>
      <c r="AA491" s="110"/>
      <c r="AB491" s="110"/>
      <c r="AC491" s="110"/>
      <c r="AD491" s="110"/>
      <c r="AE491" s="110"/>
      <c r="AF491" s="110"/>
      <c r="AG491" s="110"/>
      <c r="AH491" s="110"/>
    </row>
    <row r="492">
      <c r="A492" s="110"/>
      <c r="B492" s="110"/>
      <c r="C492" s="110"/>
      <c r="D492" s="110"/>
      <c r="E492" s="110"/>
      <c r="F492" s="110"/>
      <c r="G492" s="110"/>
      <c r="H492" s="110"/>
      <c r="I492" s="110"/>
      <c r="J492" s="110"/>
      <c r="K492" s="110"/>
      <c r="L492" s="110"/>
      <c r="M492" s="110"/>
      <c r="N492" s="110"/>
      <c r="O492" s="110"/>
      <c r="P492" s="110"/>
      <c r="Q492" s="110"/>
      <c r="R492" s="110"/>
      <c r="S492" s="110"/>
      <c r="T492" s="110"/>
      <c r="U492" s="110"/>
      <c r="V492" s="110"/>
      <c r="W492" s="110"/>
      <c r="X492" s="110"/>
      <c r="Y492" s="110"/>
      <c r="Z492" s="110"/>
      <c r="AA492" s="110"/>
      <c r="AB492" s="110"/>
      <c r="AC492" s="110"/>
      <c r="AD492" s="110"/>
      <c r="AE492" s="110"/>
      <c r="AF492" s="110"/>
      <c r="AG492" s="110"/>
      <c r="AH492" s="110"/>
    </row>
    <row r="493">
      <c r="A493" s="110"/>
      <c r="B493" s="110"/>
      <c r="C493" s="110"/>
      <c r="D493" s="110"/>
      <c r="E493" s="110"/>
      <c r="F493" s="110"/>
      <c r="G493" s="110"/>
      <c r="H493" s="110"/>
      <c r="I493" s="110"/>
      <c r="J493" s="110"/>
      <c r="K493" s="110"/>
      <c r="L493" s="110"/>
      <c r="M493" s="110"/>
      <c r="N493" s="110"/>
      <c r="O493" s="110"/>
      <c r="P493" s="110"/>
      <c r="Q493" s="110"/>
      <c r="R493" s="110"/>
      <c r="S493" s="110"/>
      <c r="T493" s="110"/>
      <c r="U493" s="110"/>
      <c r="V493" s="110"/>
      <c r="W493" s="110"/>
      <c r="X493" s="110"/>
      <c r="Y493" s="110"/>
      <c r="Z493" s="110"/>
      <c r="AA493" s="110"/>
      <c r="AB493" s="110"/>
      <c r="AC493" s="110"/>
      <c r="AD493" s="110"/>
      <c r="AE493" s="110"/>
      <c r="AF493" s="110"/>
      <c r="AG493" s="110"/>
      <c r="AH493" s="110"/>
    </row>
    <row r="494">
      <c r="A494" s="110"/>
      <c r="B494" s="110"/>
      <c r="C494" s="110"/>
      <c r="D494" s="110"/>
      <c r="E494" s="110"/>
      <c r="F494" s="110"/>
      <c r="G494" s="110"/>
      <c r="H494" s="110"/>
      <c r="I494" s="110"/>
      <c r="J494" s="110"/>
      <c r="K494" s="110"/>
      <c r="L494" s="110"/>
      <c r="M494" s="110"/>
      <c r="N494" s="110"/>
      <c r="O494" s="110"/>
      <c r="P494" s="110"/>
      <c r="Q494" s="110"/>
      <c r="R494" s="110"/>
      <c r="S494" s="110"/>
      <c r="T494" s="110"/>
      <c r="U494" s="110"/>
      <c r="V494" s="110"/>
      <c r="W494" s="110"/>
      <c r="X494" s="110"/>
      <c r="Y494" s="110"/>
      <c r="Z494" s="110"/>
      <c r="AA494" s="110"/>
      <c r="AB494" s="110"/>
      <c r="AC494" s="110"/>
      <c r="AD494" s="110"/>
      <c r="AE494" s="110"/>
      <c r="AF494" s="110"/>
      <c r="AG494" s="110"/>
      <c r="AH494" s="110"/>
    </row>
    <row r="495">
      <c r="A495" s="110"/>
      <c r="B495" s="110"/>
      <c r="C495" s="110"/>
      <c r="D495" s="110"/>
      <c r="E495" s="110"/>
      <c r="F495" s="110"/>
      <c r="G495" s="110"/>
      <c r="H495" s="110"/>
      <c r="I495" s="110"/>
      <c r="J495" s="110"/>
      <c r="K495" s="110"/>
      <c r="L495" s="110"/>
      <c r="M495" s="110"/>
      <c r="N495" s="110"/>
      <c r="O495" s="110"/>
      <c r="P495" s="110"/>
      <c r="Q495" s="110"/>
      <c r="R495" s="110"/>
      <c r="S495" s="110"/>
      <c r="T495" s="110"/>
      <c r="U495" s="110"/>
      <c r="V495" s="110"/>
      <c r="W495" s="110"/>
      <c r="X495" s="110"/>
      <c r="Y495" s="110"/>
      <c r="Z495" s="110"/>
      <c r="AA495" s="110"/>
      <c r="AB495" s="110"/>
      <c r="AC495" s="110"/>
      <c r="AD495" s="110"/>
      <c r="AE495" s="110"/>
      <c r="AF495" s="110"/>
      <c r="AG495" s="110"/>
      <c r="AH495" s="110"/>
    </row>
    <row r="496">
      <c r="A496" s="110"/>
      <c r="B496" s="110"/>
      <c r="C496" s="110"/>
      <c r="D496" s="110"/>
      <c r="E496" s="110"/>
      <c r="F496" s="110"/>
      <c r="G496" s="110"/>
      <c r="H496" s="110"/>
      <c r="I496" s="110"/>
      <c r="J496" s="110"/>
      <c r="K496" s="110"/>
      <c r="L496" s="110"/>
      <c r="M496" s="110"/>
      <c r="N496" s="110"/>
      <c r="O496" s="110"/>
      <c r="P496" s="110"/>
      <c r="Q496" s="110"/>
      <c r="R496" s="110"/>
      <c r="S496" s="110"/>
      <c r="T496" s="110"/>
      <c r="U496" s="110"/>
      <c r="V496" s="110"/>
      <c r="W496" s="110"/>
      <c r="X496" s="110"/>
      <c r="Y496" s="110"/>
      <c r="Z496" s="110"/>
      <c r="AA496" s="110"/>
      <c r="AB496" s="110"/>
      <c r="AC496" s="110"/>
      <c r="AD496" s="110"/>
      <c r="AE496" s="110"/>
      <c r="AF496" s="110"/>
      <c r="AG496" s="110"/>
      <c r="AH496" s="110"/>
    </row>
    <row r="497">
      <c r="A497" s="110"/>
      <c r="B497" s="110"/>
      <c r="C497" s="110"/>
      <c r="D497" s="110"/>
      <c r="E497" s="110"/>
      <c r="F497" s="110"/>
      <c r="G497" s="110"/>
      <c r="H497" s="110"/>
      <c r="I497" s="110"/>
      <c r="J497" s="110"/>
      <c r="K497" s="110"/>
      <c r="L497" s="110"/>
      <c r="M497" s="110"/>
      <c r="N497" s="110"/>
      <c r="O497" s="110"/>
      <c r="P497" s="110"/>
      <c r="Q497" s="110"/>
      <c r="R497" s="110"/>
      <c r="S497" s="110"/>
      <c r="T497" s="110"/>
      <c r="U497" s="110"/>
      <c r="V497" s="110"/>
      <c r="W497" s="110"/>
      <c r="X497" s="110"/>
      <c r="Y497" s="110"/>
      <c r="Z497" s="110"/>
      <c r="AA497" s="110"/>
      <c r="AB497" s="110"/>
      <c r="AC497" s="110"/>
      <c r="AD497" s="110"/>
      <c r="AE497" s="110"/>
      <c r="AF497" s="110"/>
      <c r="AG497" s="110"/>
      <c r="AH497" s="110"/>
    </row>
    <row r="498">
      <c r="A498" s="110"/>
      <c r="B498" s="110"/>
      <c r="C498" s="110"/>
      <c r="D498" s="110"/>
      <c r="E498" s="110"/>
      <c r="F498" s="110"/>
      <c r="G498" s="110"/>
      <c r="H498" s="110"/>
      <c r="I498" s="110"/>
      <c r="J498" s="110"/>
      <c r="K498" s="110"/>
      <c r="L498" s="110"/>
      <c r="M498" s="110"/>
      <c r="N498" s="110"/>
      <c r="O498" s="110"/>
      <c r="P498" s="110"/>
      <c r="Q498" s="110"/>
      <c r="R498" s="110"/>
      <c r="S498" s="110"/>
      <c r="T498" s="110"/>
      <c r="U498" s="110"/>
      <c r="V498" s="110"/>
      <c r="W498" s="110"/>
      <c r="X498" s="110"/>
      <c r="Y498" s="110"/>
      <c r="Z498" s="110"/>
      <c r="AA498" s="110"/>
      <c r="AB498" s="110"/>
      <c r="AC498" s="110"/>
      <c r="AD498" s="110"/>
      <c r="AE498" s="110"/>
      <c r="AF498" s="110"/>
      <c r="AG498" s="110"/>
      <c r="AH498" s="110"/>
    </row>
    <row r="499">
      <c r="A499" s="110"/>
      <c r="B499" s="110"/>
      <c r="C499" s="110"/>
      <c r="D499" s="110"/>
      <c r="E499" s="110"/>
      <c r="F499" s="110"/>
      <c r="G499" s="110"/>
      <c r="H499" s="110"/>
      <c r="I499" s="110"/>
      <c r="J499" s="110"/>
      <c r="K499" s="110"/>
      <c r="L499" s="110"/>
      <c r="M499" s="110"/>
      <c r="N499" s="110"/>
      <c r="O499" s="110"/>
      <c r="P499" s="110"/>
      <c r="Q499" s="110"/>
      <c r="R499" s="110"/>
      <c r="S499" s="110"/>
      <c r="T499" s="110"/>
      <c r="U499" s="110"/>
      <c r="V499" s="110"/>
      <c r="W499" s="110"/>
      <c r="X499" s="110"/>
      <c r="Y499" s="110"/>
      <c r="Z499" s="110"/>
      <c r="AA499" s="110"/>
      <c r="AB499" s="110"/>
      <c r="AC499" s="110"/>
      <c r="AD499" s="110"/>
      <c r="AE499" s="110"/>
      <c r="AF499" s="110"/>
      <c r="AG499" s="110"/>
      <c r="AH499" s="110"/>
    </row>
    <row r="500">
      <c r="A500" s="110"/>
      <c r="B500" s="110"/>
      <c r="C500" s="110"/>
      <c r="D500" s="110"/>
      <c r="E500" s="110"/>
      <c r="F500" s="110"/>
      <c r="G500" s="110"/>
      <c r="H500" s="110"/>
      <c r="I500" s="110"/>
      <c r="J500" s="110"/>
      <c r="K500" s="110"/>
      <c r="L500" s="110"/>
      <c r="M500" s="110"/>
      <c r="N500" s="110"/>
      <c r="O500" s="110"/>
      <c r="P500" s="110"/>
      <c r="Q500" s="110"/>
      <c r="R500" s="110"/>
      <c r="S500" s="110"/>
      <c r="T500" s="110"/>
      <c r="U500" s="110"/>
      <c r="V500" s="110"/>
      <c r="W500" s="110"/>
      <c r="X500" s="110"/>
      <c r="Y500" s="110"/>
      <c r="Z500" s="110"/>
      <c r="AA500" s="110"/>
      <c r="AB500" s="110"/>
      <c r="AC500" s="110"/>
      <c r="AD500" s="110"/>
      <c r="AE500" s="110"/>
      <c r="AF500" s="110"/>
      <c r="AG500" s="110"/>
      <c r="AH500" s="110"/>
    </row>
    <row r="501">
      <c r="A501" s="110"/>
      <c r="B501" s="110"/>
      <c r="C501" s="110"/>
      <c r="D501" s="110"/>
      <c r="E501" s="110"/>
      <c r="F501" s="110"/>
      <c r="G501" s="110"/>
      <c r="H501" s="110"/>
      <c r="I501" s="110"/>
      <c r="J501" s="110"/>
      <c r="K501" s="110"/>
      <c r="L501" s="110"/>
      <c r="M501" s="110"/>
      <c r="N501" s="110"/>
      <c r="O501" s="110"/>
      <c r="P501" s="110"/>
      <c r="Q501" s="110"/>
      <c r="R501" s="110"/>
      <c r="S501" s="110"/>
      <c r="T501" s="110"/>
      <c r="U501" s="110"/>
      <c r="V501" s="110"/>
      <c r="W501" s="110"/>
      <c r="X501" s="110"/>
      <c r="Y501" s="110"/>
      <c r="Z501" s="110"/>
      <c r="AA501" s="110"/>
      <c r="AB501" s="110"/>
      <c r="AC501" s="110"/>
      <c r="AD501" s="110"/>
      <c r="AE501" s="110"/>
      <c r="AF501" s="110"/>
      <c r="AG501" s="110"/>
      <c r="AH501" s="110"/>
    </row>
    <row r="502">
      <c r="A502" s="110"/>
      <c r="B502" s="110"/>
      <c r="C502" s="110"/>
      <c r="D502" s="110"/>
      <c r="E502" s="110"/>
      <c r="F502" s="110"/>
      <c r="G502" s="110"/>
      <c r="H502" s="110"/>
      <c r="I502" s="110"/>
      <c r="J502" s="110"/>
      <c r="K502" s="110"/>
      <c r="L502" s="110"/>
      <c r="M502" s="110"/>
      <c r="N502" s="110"/>
      <c r="O502" s="110"/>
      <c r="P502" s="110"/>
      <c r="Q502" s="110"/>
      <c r="R502" s="110"/>
      <c r="S502" s="110"/>
      <c r="T502" s="110"/>
      <c r="U502" s="110"/>
      <c r="V502" s="110"/>
      <c r="W502" s="110"/>
      <c r="X502" s="110"/>
      <c r="Y502" s="110"/>
      <c r="Z502" s="110"/>
      <c r="AA502" s="110"/>
      <c r="AB502" s="110"/>
      <c r="AC502" s="110"/>
      <c r="AD502" s="110"/>
      <c r="AE502" s="110"/>
      <c r="AF502" s="110"/>
      <c r="AG502" s="110"/>
      <c r="AH502" s="110"/>
    </row>
    <row r="503">
      <c r="A503" s="110"/>
      <c r="B503" s="110"/>
      <c r="C503" s="110"/>
      <c r="D503" s="110"/>
      <c r="E503" s="110"/>
      <c r="F503" s="110"/>
      <c r="G503" s="110"/>
      <c r="H503" s="110"/>
      <c r="I503" s="110"/>
      <c r="J503" s="110"/>
      <c r="K503" s="110"/>
      <c r="L503" s="110"/>
      <c r="M503" s="110"/>
      <c r="N503" s="110"/>
      <c r="O503" s="110"/>
      <c r="P503" s="110"/>
      <c r="Q503" s="110"/>
      <c r="R503" s="110"/>
      <c r="S503" s="110"/>
      <c r="T503" s="110"/>
      <c r="U503" s="110"/>
      <c r="V503" s="110"/>
      <c r="W503" s="110"/>
      <c r="X503" s="110"/>
      <c r="Y503" s="110"/>
      <c r="Z503" s="110"/>
      <c r="AA503" s="110"/>
      <c r="AB503" s="110"/>
      <c r="AC503" s="110"/>
      <c r="AD503" s="110"/>
      <c r="AE503" s="110"/>
      <c r="AF503" s="110"/>
      <c r="AG503" s="110"/>
      <c r="AH503" s="110"/>
    </row>
    <row r="504">
      <c r="A504" s="110"/>
      <c r="B504" s="110"/>
      <c r="C504" s="110"/>
      <c r="D504" s="110"/>
      <c r="E504" s="110"/>
      <c r="F504" s="110"/>
      <c r="G504" s="110"/>
      <c r="H504" s="110"/>
      <c r="I504" s="110"/>
      <c r="J504" s="110"/>
      <c r="K504" s="110"/>
      <c r="L504" s="110"/>
      <c r="M504" s="110"/>
      <c r="N504" s="110"/>
      <c r="O504" s="110"/>
      <c r="P504" s="110"/>
      <c r="Q504" s="110"/>
      <c r="R504" s="110"/>
      <c r="S504" s="110"/>
      <c r="T504" s="110"/>
      <c r="U504" s="110"/>
      <c r="V504" s="110"/>
      <c r="W504" s="110"/>
      <c r="X504" s="110"/>
      <c r="Y504" s="110"/>
      <c r="Z504" s="110"/>
      <c r="AA504" s="110"/>
      <c r="AB504" s="110"/>
      <c r="AC504" s="110"/>
      <c r="AD504" s="110"/>
      <c r="AE504" s="110"/>
      <c r="AF504" s="110"/>
      <c r="AG504" s="110"/>
      <c r="AH504" s="110"/>
    </row>
    <row r="505">
      <c r="A505" s="110"/>
      <c r="B505" s="110"/>
      <c r="C505" s="110"/>
      <c r="D505" s="110"/>
      <c r="E505" s="110"/>
      <c r="F505" s="110"/>
      <c r="G505" s="110"/>
      <c r="H505" s="110"/>
      <c r="I505" s="110"/>
      <c r="J505" s="110"/>
      <c r="K505" s="110"/>
      <c r="L505" s="110"/>
      <c r="M505" s="110"/>
      <c r="N505" s="110"/>
      <c r="O505" s="110"/>
      <c r="P505" s="110"/>
      <c r="Q505" s="110"/>
      <c r="R505" s="110"/>
      <c r="S505" s="110"/>
      <c r="T505" s="110"/>
      <c r="U505" s="110"/>
      <c r="V505" s="110"/>
      <c r="W505" s="110"/>
      <c r="X505" s="110"/>
      <c r="Y505" s="110"/>
      <c r="Z505" s="110"/>
      <c r="AA505" s="110"/>
      <c r="AB505" s="110"/>
      <c r="AC505" s="110"/>
      <c r="AD505" s="110"/>
      <c r="AE505" s="110"/>
      <c r="AF505" s="110"/>
      <c r="AG505" s="110"/>
      <c r="AH505" s="110"/>
    </row>
    <row r="506">
      <c r="A506" s="110"/>
      <c r="B506" s="110"/>
      <c r="C506" s="110"/>
      <c r="D506" s="110"/>
      <c r="E506" s="110"/>
      <c r="F506" s="110"/>
      <c r="G506" s="110"/>
      <c r="H506" s="110"/>
      <c r="I506" s="110"/>
      <c r="J506" s="110"/>
      <c r="K506" s="110"/>
      <c r="L506" s="110"/>
      <c r="M506" s="110"/>
      <c r="N506" s="110"/>
      <c r="O506" s="110"/>
      <c r="P506" s="110"/>
      <c r="Q506" s="110"/>
      <c r="R506" s="110"/>
      <c r="S506" s="110"/>
      <c r="T506" s="110"/>
      <c r="U506" s="110"/>
      <c r="V506" s="110"/>
      <c r="W506" s="110"/>
      <c r="X506" s="110"/>
      <c r="Y506" s="110"/>
      <c r="Z506" s="110"/>
      <c r="AA506" s="110"/>
      <c r="AB506" s="110"/>
      <c r="AC506" s="110"/>
      <c r="AD506" s="110"/>
      <c r="AE506" s="110"/>
      <c r="AF506" s="110"/>
      <c r="AG506" s="110"/>
      <c r="AH506" s="110"/>
    </row>
    <row r="507">
      <c r="A507" s="110"/>
      <c r="B507" s="110"/>
      <c r="C507" s="110"/>
      <c r="D507" s="110"/>
      <c r="E507" s="110"/>
      <c r="F507" s="110"/>
      <c r="G507" s="110"/>
      <c r="H507" s="110"/>
      <c r="I507" s="110"/>
      <c r="J507" s="110"/>
      <c r="K507" s="110"/>
      <c r="L507" s="110"/>
      <c r="M507" s="110"/>
      <c r="N507" s="110"/>
      <c r="O507" s="110"/>
      <c r="P507" s="110"/>
      <c r="Q507" s="110"/>
      <c r="R507" s="110"/>
      <c r="S507" s="110"/>
      <c r="T507" s="110"/>
      <c r="U507" s="110"/>
      <c r="V507" s="110"/>
      <c r="W507" s="110"/>
      <c r="X507" s="110"/>
      <c r="Y507" s="110"/>
      <c r="Z507" s="110"/>
      <c r="AA507" s="110"/>
      <c r="AB507" s="110"/>
      <c r="AC507" s="110"/>
      <c r="AD507" s="110"/>
      <c r="AE507" s="110"/>
      <c r="AF507" s="110"/>
      <c r="AG507" s="110"/>
      <c r="AH507" s="110"/>
    </row>
    <row r="508">
      <c r="A508" s="110"/>
      <c r="B508" s="110"/>
      <c r="C508" s="110"/>
      <c r="D508" s="110"/>
      <c r="E508" s="110"/>
      <c r="F508" s="110"/>
      <c r="G508" s="110"/>
      <c r="H508" s="110"/>
      <c r="I508" s="110"/>
      <c r="J508" s="110"/>
      <c r="K508" s="110"/>
      <c r="L508" s="110"/>
      <c r="M508" s="110"/>
      <c r="N508" s="110"/>
      <c r="O508" s="110"/>
      <c r="P508" s="110"/>
      <c r="Q508" s="110"/>
      <c r="R508" s="110"/>
      <c r="S508" s="110"/>
      <c r="T508" s="110"/>
      <c r="U508" s="110"/>
      <c r="V508" s="110"/>
      <c r="W508" s="110"/>
      <c r="X508" s="110"/>
      <c r="Y508" s="110"/>
      <c r="Z508" s="110"/>
      <c r="AA508" s="110"/>
      <c r="AB508" s="110"/>
      <c r="AC508" s="110"/>
      <c r="AD508" s="110"/>
      <c r="AE508" s="110"/>
      <c r="AF508" s="110"/>
      <c r="AG508" s="110"/>
      <c r="AH508" s="110"/>
    </row>
    <row r="509">
      <c r="A509" s="110"/>
      <c r="B509" s="110"/>
      <c r="C509" s="110"/>
      <c r="D509" s="110"/>
      <c r="E509" s="110"/>
      <c r="F509" s="110"/>
      <c r="G509" s="110"/>
      <c r="H509" s="110"/>
      <c r="I509" s="110"/>
      <c r="J509" s="110"/>
      <c r="K509" s="110"/>
      <c r="L509" s="110"/>
      <c r="M509" s="110"/>
      <c r="N509" s="110"/>
      <c r="O509" s="110"/>
      <c r="P509" s="110"/>
      <c r="Q509" s="110"/>
      <c r="R509" s="110"/>
      <c r="S509" s="110"/>
      <c r="T509" s="110"/>
      <c r="U509" s="110"/>
      <c r="V509" s="110"/>
      <c r="W509" s="110"/>
      <c r="X509" s="110"/>
      <c r="Y509" s="110"/>
      <c r="Z509" s="110"/>
      <c r="AA509" s="110"/>
      <c r="AB509" s="110"/>
      <c r="AC509" s="110"/>
      <c r="AD509" s="110"/>
      <c r="AE509" s="110"/>
      <c r="AF509" s="110"/>
      <c r="AG509" s="110"/>
      <c r="AH509" s="110"/>
    </row>
    <row r="510">
      <c r="A510" s="110"/>
      <c r="B510" s="110"/>
      <c r="C510" s="110"/>
      <c r="D510" s="110"/>
      <c r="E510" s="110"/>
      <c r="F510" s="110"/>
      <c r="G510" s="110"/>
      <c r="H510" s="110"/>
      <c r="I510" s="110"/>
      <c r="J510" s="110"/>
      <c r="K510" s="110"/>
      <c r="L510" s="110"/>
      <c r="M510" s="110"/>
      <c r="N510" s="110"/>
      <c r="O510" s="110"/>
      <c r="P510" s="110"/>
      <c r="Q510" s="110"/>
      <c r="R510" s="110"/>
      <c r="S510" s="110"/>
      <c r="T510" s="110"/>
      <c r="U510" s="110"/>
      <c r="V510" s="110"/>
      <c r="W510" s="110"/>
      <c r="X510" s="110"/>
      <c r="Y510" s="110"/>
      <c r="Z510" s="110"/>
      <c r="AA510" s="110"/>
      <c r="AB510" s="110"/>
      <c r="AC510" s="110"/>
      <c r="AD510" s="110"/>
      <c r="AE510" s="110"/>
      <c r="AF510" s="110"/>
      <c r="AG510" s="110"/>
      <c r="AH510" s="110"/>
    </row>
    <row r="511">
      <c r="A511" s="110"/>
      <c r="B511" s="110"/>
      <c r="C511" s="110"/>
      <c r="D511" s="110"/>
      <c r="E511" s="110"/>
      <c r="F511" s="110"/>
      <c r="G511" s="110"/>
      <c r="H511" s="110"/>
      <c r="I511" s="110"/>
      <c r="J511" s="110"/>
      <c r="K511" s="110"/>
      <c r="L511" s="110"/>
      <c r="M511" s="110"/>
      <c r="N511" s="110"/>
      <c r="O511" s="110"/>
      <c r="P511" s="110"/>
      <c r="Q511" s="110"/>
      <c r="R511" s="110"/>
      <c r="S511" s="110"/>
      <c r="T511" s="110"/>
      <c r="U511" s="110"/>
      <c r="V511" s="110"/>
      <c r="W511" s="110"/>
      <c r="X511" s="110"/>
      <c r="Y511" s="110"/>
      <c r="Z511" s="110"/>
      <c r="AA511" s="110"/>
      <c r="AB511" s="110"/>
      <c r="AC511" s="110"/>
      <c r="AD511" s="110"/>
      <c r="AE511" s="110"/>
      <c r="AF511" s="110"/>
      <c r="AG511" s="110"/>
      <c r="AH511" s="110"/>
    </row>
    <row r="512">
      <c r="A512" s="110"/>
      <c r="B512" s="110"/>
      <c r="C512" s="110"/>
      <c r="D512" s="110"/>
      <c r="E512" s="110"/>
      <c r="F512" s="110"/>
      <c r="G512" s="110"/>
      <c r="H512" s="110"/>
      <c r="I512" s="110"/>
      <c r="J512" s="110"/>
      <c r="K512" s="110"/>
      <c r="L512" s="110"/>
      <c r="M512" s="110"/>
      <c r="N512" s="110"/>
      <c r="O512" s="110"/>
      <c r="P512" s="110"/>
      <c r="Q512" s="110"/>
      <c r="R512" s="110"/>
      <c r="S512" s="110"/>
      <c r="T512" s="110"/>
      <c r="U512" s="110"/>
      <c r="V512" s="110"/>
      <c r="W512" s="110"/>
      <c r="X512" s="110"/>
      <c r="Y512" s="110"/>
      <c r="Z512" s="110"/>
      <c r="AA512" s="110"/>
      <c r="AB512" s="110"/>
      <c r="AC512" s="110"/>
      <c r="AD512" s="110"/>
      <c r="AE512" s="110"/>
      <c r="AF512" s="110"/>
      <c r="AG512" s="110"/>
      <c r="AH512" s="110"/>
    </row>
    <row r="513">
      <c r="A513" s="110"/>
      <c r="B513" s="110"/>
      <c r="C513" s="110"/>
      <c r="D513" s="110"/>
      <c r="E513" s="110"/>
      <c r="F513" s="110"/>
      <c r="G513" s="110"/>
      <c r="H513" s="110"/>
      <c r="I513" s="110"/>
      <c r="J513" s="110"/>
      <c r="K513" s="110"/>
      <c r="L513" s="110"/>
      <c r="M513" s="110"/>
      <c r="N513" s="110"/>
      <c r="O513" s="110"/>
      <c r="P513" s="110"/>
      <c r="Q513" s="110"/>
      <c r="R513" s="110"/>
      <c r="S513" s="110"/>
      <c r="T513" s="110"/>
      <c r="U513" s="110"/>
      <c r="V513" s="110"/>
      <c r="W513" s="110"/>
      <c r="X513" s="110"/>
      <c r="Y513" s="110"/>
      <c r="Z513" s="110"/>
      <c r="AA513" s="110"/>
      <c r="AB513" s="110"/>
      <c r="AC513" s="110"/>
      <c r="AD513" s="110"/>
      <c r="AE513" s="110"/>
      <c r="AF513" s="110"/>
      <c r="AG513" s="110"/>
      <c r="AH513" s="110"/>
    </row>
    <row r="514">
      <c r="A514" s="110"/>
      <c r="B514" s="110"/>
      <c r="C514" s="110"/>
      <c r="D514" s="110"/>
      <c r="E514" s="110"/>
      <c r="F514" s="110"/>
      <c r="G514" s="110"/>
      <c r="H514" s="110"/>
      <c r="I514" s="110"/>
      <c r="J514" s="110"/>
      <c r="K514" s="110"/>
      <c r="L514" s="110"/>
      <c r="M514" s="110"/>
      <c r="N514" s="110"/>
      <c r="O514" s="110"/>
      <c r="P514" s="110"/>
      <c r="Q514" s="110"/>
      <c r="R514" s="110"/>
      <c r="S514" s="110"/>
      <c r="T514" s="110"/>
      <c r="U514" s="110"/>
      <c r="V514" s="110"/>
      <c r="W514" s="110"/>
      <c r="X514" s="110"/>
      <c r="Y514" s="110"/>
      <c r="Z514" s="110"/>
      <c r="AA514" s="110"/>
      <c r="AB514" s="110"/>
      <c r="AC514" s="110"/>
      <c r="AD514" s="110"/>
      <c r="AE514" s="110"/>
      <c r="AF514" s="110"/>
      <c r="AG514" s="110"/>
      <c r="AH514" s="110"/>
    </row>
    <row r="515">
      <c r="A515" s="110"/>
      <c r="B515" s="110"/>
      <c r="C515" s="110"/>
      <c r="D515" s="110"/>
      <c r="E515" s="110"/>
      <c r="F515" s="110"/>
      <c r="G515" s="110"/>
      <c r="H515" s="110"/>
      <c r="I515" s="110"/>
      <c r="J515" s="110"/>
      <c r="K515" s="110"/>
      <c r="L515" s="110"/>
      <c r="M515" s="110"/>
      <c r="N515" s="110"/>
      <c r="O515" s="110"/>
      <c r="P515" s="110"/>
      <c r="Q515" s="110"/>
      <c r="R515" s="110"/>
      <c r="S515" s="110"/>
      <c r="T515" s="110"/>
      <c r="U515" s="110"/>
      <c r="V515" s="110"/>
      <c r="W515" s="110"/>
      <c r="X515" s="110"/>
      <c r="Y515" s="110"/>
      <c r="Z515" s="110"/>
      <c r="AA515" s="110"/>
      <c r="AB515" s="110"/>
      <c r="AC515" s="110"/>
      <c r="AD515" s="110"/>
      <c r="AE515" s="110"/>
      <c r="AF515" s="110"/>
      <c r="AG515" s="110"/>
      <c r="AH515" s="110"/>
    </row>
    <row r="516">
      <c r="A516" s="110"/>
      <c r="B516" s="110"/>
      <c r="C516" s="110"/>
      <c r="D516" s="110"/>
      <c r="E516" s="110"/>
      <c r="F516" s="110"/>
      <c r="G516" s="110"/>
      <c r="H516" s="110"/>
      <c r="I516" s="110"/>
      <c r="J516" s="110"/>
      <c r="K516" s="110"/>
      <c r="L516" s="110"/>
      <c r="M516" s="110"/>
      <c r="N516" s="110"/>
      <c r="O516" s="110"/>
      <c r="P516" s="110"/>
      <c r="Q516" s="110"/>
      <c r="R516" s="110"/>
      <c r="S516" s="110"/>
      <c r="T516" s="110"/>
      <c r="U516" s="110"/>
      <c r="V516" s="110"/>
      <c r="W516" s="110"/>
      <c r="X516" s="110"/>
      <c r="Y516" s="110"/>
      <c r="Z516" s="110"/>
      <c r="AA516" s="110"/>
      <c r="AB516" s="110"/>
      <c r="AC516" s="110"/>
      <c r="AD516" s="110"/>
      <c r="AE516" s="110"/>
      <c r="AF516" s="110"/>
      <c r="AG516" s="110"/>
      <c r="AH516" s="110"/>
    </row>
    <row r="517">
      <c r="A517" s="110"/>
      <c r="B517" s="110"/>
      <c r="C517" s="110"/>
      <c r="D517" s="110"/>
      <c r="E517" s="110"/>
      <c r="F517" s="110"/>
      <c r="G517" s="110"/>
      <c r="H517" s="110"/>
      <c r="I517" s="110"/>
      <c r="J517" s="110"/>
      <c r="K517" s="110"/>
      <c r="L517" s="110"/>
      <c r="M517" s="110"/>
      <c r="N517" s="110"/>
      <c r="O517" s="110"/>
      <c r="P517" s="110"/>
      <c r="Q517" s="110"/>
      <c r="R517" s="110"/>
      <c r="S517" s="110"/>
      <c r="T517" s="110"/>
      <c r="U517" s="110"/>
      <c r="V517" s="110"/>
      <c r="W517" s="110"/>
      <c r="X517" s="110"/>
      <c r="Y517" s="110"/>
      <c r="Z517" s="110"/>
      <c r="AA517" s="110"/>
      <c r="AB517" s="110"/>
      <c r="AC517" s="110"/>
      <c r="AD517" s="110"/>
      <c r="AE517" s="110"/>
      <c r="AF517" s="110"/>
      <c r="AG517" s="110"/>
      <c r="AH517" s="110"/>
    </row>
    <row r="518">
      <c r="A518" s="110"/>
      <c r="B518" s="110"/>
      <c r="C518" s="110"/>
      <c r="D518" s="110"/>
      <c r="E518" s="110"/>
      <c r="F518" s="110"/>
      <c r="G518" s="110"/>
      <c r="H518" s="110"/>
      <c r="I518" s="110"/>
      <c r="J518" s="110"/>
      <c r="K518" s="110"/>
      <c r="L518" s="110"/>
      <c r="M518" s="110"/>
      <c r="N518" s="110"/>
      <c r="O518" s="110"/>
      <c r="P518" s="110"/>
      <c r="Q518" s="110"/>
      <c r="R518" s="110"/>
      <c r="S518" s="110"/>
      <c r="T518" s="110"/>
      <c r="U518" s="110"/>
      <c r="V518" s="110"/>
      <c r="W518" s="110"/>
      <c r="X518" s="110"/>
      <c r="Y518" s="110"/>
      <c r="Z518" s="110"/>
      <c r="AA518" s="110"/>
      <c r="AB518" s="110"/>
      <c r="AC518" s="110"/>
      <c r="AD518" s="110"/>
      <c r="AE518" s="110"/>
      <c r="AF518" s="110"/>
      <c r="AG518" s="110"/>
      <c r="AH518" s="110"/>
    </row>
    <row r="519">
      <c r="A519" s="110"/>
      <c r="B519" s="110"/>
      <c r="C519" s="110"/>
      <c r="D519" s="110"/>
      <c r="E519" s="110"/>
      <c r="F519" s="110"/>
      <c r="G519" s="110"/>
      <c r="H519" s="110"/>
      <c r="I519" s="110"/>
      <c r="J519" s="110"/>
      <c r="K519" s="110"/>
      <c r="L519" s="110"/>
      <c r="M519" s="110"/>
      <c r="N519" s="110"/>
      <c r="O519" s="110"/>
      <c r="P519" s="110"/>
      <c r="Q519" s="110"/>
      <c r="R519" s="110"/>
      <c r="S519" s="110"/>
      <c r="T519" s="110"/>
      <c r="U519" s="110"/>
      <c r="V519" s="110"/>
      <c r="W519" s="110"/>
      <c r="X519" s="110"/>
      <c r="Y519" s="110"/>
      <c r="Z519" s="110"/>
      <c r="AA519" s="110"/>
      <c r="AB519" s="110"/>
      <c r="AC519" s="110"/>
      <c r="AD519" s="110"/>
      <c r="AE519" s="110"/>
      <c r="AF519" s="110"/>
      <c r="AG519" s="110"/>
      <c r="AH519" s="110"/>
    </row>
    <row r="520">
      <c r="A520" s="110"/>
      <c r="B520" s="110"/>
      <c r="C520" s="110"/>
      <c r="D520" s="110"/>
      <c r="E520" s="110"/>
      <c r="F520" s="110"/>
      <c r="G520" s="110"/>
      <c r="H520" s="110"/>
      <c r="I520" s="110"/>
      <c r="J520" s="110"/>
      <c r="K520" s="110"/>
      <c r="L520" s="110"/>
      <c r="M520" s="110"/>
      <c r="N520" s="110"/>
      <c r="O520" s="110"/>
      <c r="P520" s="110"/>
      <c r="Q520" s="110"/>
      <c r="R520" s="110"/>
      <c r="S520" s="110"/>
      <c r="T520" s="110"/>
      <c r="U520" s="110"/>
      <c r="V520" s="110"/>
      <c r="W520" s="110"/>
      <c r="X520" s="110"/>
      <c r="Y520" s="110"/>
      <c r="Z520" s="110"/>
      <c r="AA520" s="110"/>
      <c r="AB520" s="110"/>
      <c r="AC520" s="110"/>
      <c r="AD520" s="110"/>
      <c r="AE520" s="110"/>
      <c r="AF520" s="110"/>
      <c r="AG520" s="110"/>
      <c r="AH520" s="110"/>
    </row>
    <row r="521">
      <c r="A521" s="110"/>
      <c r="B521" s="110"/>
      <c r="C521" s="110"/>
      <c r="D521" s="110"/>
      <c r="E521" s="110"/>
      <c r="F521" s="110"/>
      <c r="G521" s="110"/>
      <c r="H521" s="110"/>
      <c r="I521" s="110"/>
      <c r="J521" s="110"/>
      <c r="K521" s="110"/>
      <c r="L521" s="110"/>
      <c r="M521" s="110"/>
      <c r="N521" s="110"/>
      <c r="O521" s="110"/>
      <c r="P521" s="110"/>
      <c r="Q521" s="110"/>
      <c r="R521" s="110"/>
      <c r="S521" s="110"/>
      <c r="T521" s="110"/>
      <c r="U521" s="110"/>
      <c r="V521" s="110"/>
      <c r="W521" s="110"/>
      <c r="X521" s="110"/>
      <c r="Y521" s="110"/>
      <c r="Z521" s="110"/>
      <c r="AA521" s="110"/>
      <c r="AB521" s="110"/>
      <c r="AC521" s="110"/>
      <c r="AD521" s="110"/>
      <c r="AE521" s="110"/>
      <c r="AF521" s="110"/>
      <c r="AG521" s="110"/>
      <c r="AH521" s="110"/>
    </row>
    <row r="522">
      <c r="A522" s="110"/>
      <c r="B522" s="110"/>
      <c r="C522" s="110"/>
      <c r="D522" s="110"/>
      <c r="E522" s="110"/>
      <c r="F522" s="110"/>
      <c r="G522" s="110"/>
      <c r="H522" s="110"/>
      <c r="I522" s="110"/>
      <c r="J522" s="110"/>
      <c r="K522" s="110"/>
      <c r="L522" s="110"/>
      <c r="M522" s="110"/>
      <c r="N522" s="110"/>
      <c r="O522" s="110"/>
      <c r="P522" s="110"/>
      <c r="Q522" s="110"/>
      <c r="R522" s="110"/>
      <c r="S522" s="110"/>
      <c r="T522" s="110"/>
      <c r="U522" s="110"/>
      <c r="V522" s="110"/>
      <c r="W522" s="110"/>
      <c r="X522" s="110"/>
      <c r="Y522" s="110"/>
      <c r="Z522" s="110"/>
      <c r="AA522" s="110"/>
      <c r="AB522" s="110"/>
      <c r="AC522" s="110"/>
      <c r="AD522" s="110"/>
      <c r="AE522" s="110"/>
      <c r="AF522" s="110"/>
      <c r="AG522" s="110"/>
      <c r="AH522" s="110"/>
    </row>
    <row r="523">
      <c r="A523" s="110"/>
      <c r="B523" s="110"/>
      <c r="C523" s="110"/>
      <c r="D523" s="110"/>
      <c r="E523" s="110"/>
      <c r="F523" s="110"/>
      <c r="G523" s="110"/>
      <c r="H523" s="110"/>
      <c r="I523" s="110"/>
      <c r="J523" s="110"/>
      <c r="K523" s="110"/>
      <c r="L523" s="110"/>
      <c r="M523" s="110"/>
      <c r="N523" s="110"/>
      <c r="O523" s="110"/>
      <c r="P523" s="110"/>
      <c r="Q523" s="110"/>
      <c r="R523" s="110"/>
      <c r="S523" s="110"/>
      <c r="T523" s="110"/>
      <c r="U523" s="110"/>
      <c r="V523" s="110"/>
      <c r="W523" s="110"/>
      <c r="X523" s="110"/>
      <c r="Y523" s="110"/>
      <c r="Z523" s="110"/>
      <c r="AA523" s="110"/>
      <c r="AB523" s="110"/>
      <c r="AC523" s="110"/>
      <c r="AD523" s="110"/>
      <c r="AE523" s="110"/>
      <c r="AF523" s="110"/>
      <c r="AG523" s="110"/>
      <c r="AH523" s="110"/>
    </row>
    <row r="524">
      <c r="A524" s="110"/>
      <c r="B524" s="110"/>
      <c r="C524" s="110"/>
      <c r="D524" s="110"/>
      <c r="E524" s="110"/>
      <c r="F524" s="110"/>
      <c r="G524" s="110"/>
      <c r="H524" s="110"/>
      <c r="I524" s="110"/>
      <c r="J524" s="110"/>
      <c r="K524" s="110"/>
      <c r="L524" s="110"/>
      <c r="M524" s="110"/>
      <c r="N524" s="110"/>
      <c r="O524" s="110"/>
      <c r="P524" s="110"/>
      <c r="Q524" s="110"/>
      <c r="R524" s="110"/>
      <c r="S524" s="110"/>
      <c r="T524" s="110"/>
      <c r="U524" s="110"/>
      <c r="V524" s="110"/>
      <c r="W524" s="110"/>
      <c r="X524" s="110"/>
      <c r="Y524" s="110"/>
      <c r="Z524" s="110"/>
      <c r="AA524" s="110"/>
      <c r="AB524" s="110"/>
      <c r="AC524" s="110"/>
      <c r="AD524" s="110"/>
      <c r="AE524" s="110"/>
      <c r="AF524" s="110"/>
      <c r="AG524" s="110"/>
      <c r="AH524" s="110"/>
    </row>
    <row r="525">
      <c r="A525" s="110"/>
      <c r="B525" s="110"/>
      <c r="C525" s="110"/>
      <c r="D525" s="110"/>
      <c r="E525" s="110"/>
      <c r="F525" s="110"/>
      <c r="G525" s="110"/>
      <c r="H525" s="110"/>
      <c r="I525" s="110"/>
      <c r="J525" s="110"/>
      <c r="K525" s="110"/>
      <c r="L525" s="110"/>
      <c r="M525" s="110"/>
      <c r="N525" s="110"/>
      <c r="O525" s="110"/>
      <c r="P525" s="110"/>
      <c r="Q525" s="110"/>
      <c r="R525" s="110"/>
      <c r="S525" s="110"/>
      <c r="T525" s="110"/>
      <c r="U525" s="110"/>
      <c r="V525" s="110"/>
      <c r="W525" s="110"/>
      <c r="X525" s="110"/>
      <c r="Y525" s="110"/>
      <c r="Z525" s="110"/>
      <c r="AA525" s="110"/>
      <c r="AB525" s="110"/>
      <c r="AC525" s="110"/>
      <c r="AD525" s="110"/>
      <c r="AE525" s="110"/>
      <c r="AF525" s="110"/>
      <c r="AG525" s="110"/>
      <c r="AH525" s="110"/>
    </row>
    <row r="526">
      <c r="A526" s="110"/>
      <c r="B526" s="110"/>
      <c r="C526" s="110"/>
      <c r="D526" s="110"/>
      <c r="E526" s="110"/>
      <c r="F526" s="110"/>
      <c r="G526" s="110"/>
      <c r="H526" s="110"/>
      <c r="I526" s="110"/>
      <c r="J526" s="110"/>
      <c r="K526" s="110"/>
      <c r="L526" s="110"/>
      <c r="M526" s="110"/>
      <c r="N526" s="110"/>
      <c r="O526" s="110"/>
      <c r="P526" s="110"/>
      <c r="Q526" s="110"/>
      <c r="R526" s="110"/>
      <c r="S526" s="110"/>
      <c r="T526" s="110"/>
      <c r="U526" s="110"/>
      <c r="V526" s="110"/>
      <c r="W526" s="110"/>
      <c r="X526" s="110"/>
      <c r="Y526" s="110"/>
      <c r="Z526" s="110"/>
      <c r="AA526" s="110"/>
      <c r="AB526" s="110"/>
      <c r="AC526" s="110"/>
      <c r="AD526" s="110"/>
      <c r="AE526" s="110"/>
      <c r="AF526" s="110"/>
      <c r="AG526" s="110"/>
      <c r="AH526" s="110"/>
    </row>
    <row r="527">
      <c r="A527" s="110"/>
      <c r="B527" s="110"/>
      <c r="C527" s="110"/>
      <c r="D527" s="110"/>
      <c r="E527" s="110"/>
      <c r="F527" s="110"/>
      <c r="G527" s="110"/>
      <c r="H527" s="110"/>
      <c r="I527" s="110"/>
      <c r="J527" s="110"/>
      <c r="K527" s="110"/>
      <c r="L527" s="110"/>
      <c r="M527" s="110"/>
      <c r="N527" s="110"/>
      <c r="O527" s="110"/>
      <c r="P527" s="110"/>
      <c r="Q527" s="110"/>
      <c r="R527" s="110"/>
      <c r="S527" s="110"/>
      <c r="T527" s="110"/>
      <c r="U527" s="110"/>
      <c r="V527" s="110"/>
      <c r="W527" s="110"/>
      <c r="X527" s="110"/>
      <c r="Y527" s="110"/>
      <c r="Z527" s="110"/>
      <c r="AA527" s="110"/>
      <c r="AB527" s="110"/>
      <c r="AC527" s="110"/>
      <c r="AD527" s="110"/>
      <c r="AE527" s="110"/>
      <c r="AF527" s="110"/>
      <c r="AG527" s="110"/>
      <c r="AH527" s="110"/>
    </row>
    <row r="528">
      <c r="A528" s="110"/>
      <c r="B528" s="110"/>
      <c r="C528" s="110"/>
      <c r="D528" s="110"/>
      <c r="E528" s="110"/>
      <c r="F528" s="110"/>
      <c r="G528" s="110"/>
      <c r="H528" s="110"/>
      <c r="I528" s="110"/>
      <c r="J528" s="110"/>
      <c r="K528" s="110"/>
      <c r="L528" s="110"/>
      <c r="M528" s="110"/>
      <c r="N528" s="110"/>
      <c r="O528" s="110"/>
      <c r="P528" s="110"/>
      <c r="Q528" s="110"/>
      <c r="R528" s="110"/>
      <c r="S528" s="110"/>
      <c r="T528" s="110"/>
      <c r="U528" s="110"/>
      <c r="V528" s="110"/>
      <c r="W528" s="110"/>
      <c r="X528" s="110"/>
      <c r="Y528" s="110"/>
      <c r="Z528" s="110"/>
      <c r="AA528" s="110"/>
      <c r="AB528" s="110"/>
      <c r="AC528" s="110"/>
      <c r="AD528" s="110"/>
      <c r="AE528" s="110"/>
      <c r="AF528" s="110"/>
      <c r="AG528" s="110"/>
      <c r="AH528" s="110"/>
    </row>
    <row r="529">
      <c r="A529" s="110"/>
      <c r="B529" s="110"/>
      <c r="C529" s="110"/>
      <c r="D529" s="110"/>
      <c r="E529" s="110"/>
      <c r="F529" s="110"/>
      <c r="G529" s="110"/>
      <c r="H529" s="110"/>
      <c r="I529" s="110"/>
      <c r="J529" s="110"/>
      <c r="K529" s="110"/>
      <c r="L529" s="110"/>
      <c r="M529" s="110"/>
      <c r="N529" s="110"/>
      <c r="O529" s="110"/>
      <c r="P529" s="110"/>
      <c r="Q529" s="110"/>
      <c r="R529" s="110"/>
      <c r="S529" s="110"/>
      <c r="T529" s="110"/>
      <c r="U529" s="110"/>
      <c r="V529" s="110"/>
      <c r="W529" s="110"/>
      <c r="X529" s="110"/>
      <c r="Y529" s="110"/>
      <c r="Z529" s="110"/>
      <c r="AA529" s="110"/>
      <c r="AB529" s="110"/>
      <c r="AC529" s="110"/>
      <c r="AD529" s="110"/>
      <c r="AE529" s="110"/>
      <c r="AF529" s="110"/>
      <c r="AG529" s="110"/>
      <c r="AH529" s="110"/>
    </row>
    <row r="530">
      <c r="A530" s="110"/>
      <c r="B530" s="110"/>
      <c r="C530" s="110"/>
      <c r="D530" s="110"/>
      <c r="E530" s="110"/>
      <c r="F530" s="110"/>
      <c r="G530" s="110"/>
      <c r="H530" s="110"/>
      <c r="I530" s="110"/>
      <c r="J530" s="110"/>
      <c r="K530" s="110"/>
      <c r="L530" s="110"/>
      <c r="M530" s="110"/>
      <c r="N530" s="110"/>
      <c r="O530" s="110"/>
      <c r="P530" s="110"/>
      <c r="Q530" s="110"/>
      <c r="R530" s="110"/>
      <c r="S530" s="110"/>
      <c r="T530" s="110"/>
      <c r="U530" s="110"/>
      <c r="V530" s="110"/>
      <c r="W530" s="110"/>
      <c r="X530" s="110"/>
      <c r="Y530" s="110"/>
      <c r="Z530" s="110"/>
      <c r="AA530" s="110"/>
      <c r="AB530" s="110"/>
      <c r="AC530" s="110"/>
      <c r="AD530" s="110"/>
      <c r="AE530" s="110"/>
      <c r="AF530" s="110"/>
      <c r="AG530" s="110"/>
      <c r="AH530" s="110"/>
    </row>
    <row r="531">
      <c r="A531" s="110"/>
      <c r="B531" s="110"/>
      <c r="C531" s="110"/>
      <c r="D531" s="110"/>
      <c r="E531" s="110"/>
      <c r="F531" s="110"/>
      <c r="G531" s="110"/>
      <c r="H531" s="110"/>
      <c r="I531" s="110"/>
      <c r="J531" s="110"/>
      <c r="K531" s="110"/>
      <c r="L531" s="110"/>
      <c r="M531" s="110"/>
      <c r="N531" s="110"/>
      <c r="O531" s="110"/>
      <c r="P531" s="110"/>
      <c r="Q531" s="110"/>
      <c r="R531" s="110"/>
      <c r="S531" s="110"/>
      <c r="T531" s="110"/>
      <c r="U531" s="110"/>
      <c r="V531" s="110"/>
      <c r="W531" s="110"/>
      <c r="X531" s="110"/>
      <c r="Y531" s="110"/>
      <c r="Z531" s="110"/>
      <c r="AA531" s="110"/>
      <c r="AB531" s="110"/>
      <c r="AC531" s="110"/>
      <c r="AD531" s="110"/>
      <c r="AE531" s="110"/>
      <c r="AF531" s="110"/>
      <c r="AG531" s="110"/>
      <c r="AH531" s="110"/>
    </row>
    <row r="532">
      <c r="A532" s="110"/>
      <c r="B532" s="110"/>
      <c r="C532" s="110"/>
      <c r="D532" s="110"/>
      <c r="E532" s="110"/>
      <c r="F532" s="110"/>
      <c r="G532" s="110"/>
      <c r="H532" s="110"/>
      <c r="I532" s="110"/>
      <c r="J532" s="110"/>
      <c r="K532" s="110"/>
      <c r="L532" s="110"/>
      <c r="M532" s="110"/>
      <c r="N532" s="110"/>
      <c r="O532" s="110"/>
      <c r="P532" s="110"/>
      <c r="Q532" s="110"/>
      <c r="R532" s="110"/>
      <c r="S532" s="110"/>
      <c r="T532" s="110"/>
      <c r="U532" s="110"/>
      <c r="V532" s="110"/>
      <c r="W532" s="110"/>
      <c r="X532" s="110"/>
      <c r="Y532" s="110"/>
      <c r="Z532" s="110"/>
      <c r="AA532" s="110"/>
      <c r="AB532" s="110"/>
      <c r="AC532" s="110"/>
      <c r="AD532" s="110"/>
      <c r="AE532" s="110"/>
      <c r="AF532" s="110"/>
      <c r="AG532" s="110"/>
      <c r="AH532" s="110"/>
    </row>
    <row r="533">
      <c r="A533" s="110"/>
      <c r="B533" s="110"/>
      <c r="C533" s="110"/>
      <c r="D533" s="110"/>
      <c r="E533" s="110"/>
      <c r="F533" s="110"/>
      <c r="G533" s="110"/>
      <c r="H533" s="110"/>
      <c r="I533" s="110"/>
      <c r="J533" s="110"/>
      <c r="K533" s="110"/>
      <c r="L533" s="110"/>
      <c r="M533" s="110"/>
      <c r="N533" s="110"/>
      <c r="O533" s="110"/>
      <c r="P533" s="110"/>
      <c r="Q533" s="110"/>
      <c r="R533" s="110"/>
      <c r="S533" s="110"/>
      <c r="T533" s="110"/>
      <c r="U533" s="110"/>
      <c r="V533" s="110"/>
      <c r="W533" s="110"/>
      <c r="X533" s="110"/>
      <c r="Y533" s="110"/>
      <c r="Z533" s="110"/>
      <c r="AA533" s="110"/>
      <c r="AB533" s="110"/>
      <c r="AC533" s="110"/>
      <c r="AD533" s="110"/>
      <c r="AE533" s="110"/>
      <c r="AF533" s="110"/>
      <c r="AG533" s="110"/>
      <c r="AH533" s="110"/>
    </row>
    <row r="534">
      <c r="A534" s="110"/>
      <c r="B534" s="110"/>
      <c r="C534" s="110"/>
      <c r="D534" s="110"/>
      <c r="E534" s="110"/>
      <c r="F534" s="110"/>
      <c r="G534" s="110"/>
      <c r="H534" s="110"/>
      <c r="I534" s="110"/>
      <c r="J534" s="110"/>
      <c r="K534" s="110"/>
      <c r="L534" s="110"/>
      <c r="M534" s="110"/>
      <c r="N534" s="110"/>
      <c r="O534" s="110"/>
      <c r="P534" s="110"/>
      <c r="Q534" s="110"/>
      <c r="R534" s="110"/>
      <c r="S534" s="110"/>
      <c r="T534" s="110"/>
      <c r="U534" s="110"/>
      <c r="V534" s="110"/>
      <c r="W534" s="110"/>
      <c r="X534" s="110"/>
      <c r="Y534" s="110"/>
      <c r="Z534" s="110"/>
      <c r="AA534" s="110"/>
      <c r="AB534" s="110"/>
      <c r="AC534" s="110"/>
      <c r="AD534" s="110"/>
      <c r="AE534" s="110"/>
      <c r="AF534" s="110"/>
      <c r="AG534" s="110"/>
      <c r="AH534" s="110"/>
    </row>
    <row r="535">
      <c r="A535" s="110"/>
      <c r="B535" s="110"/>
      <c r="C535" s="110"/>
      <c r="D535" s="110"/>
      <c r="E535" s="110"/>
      <c r="F535" s="110"/>
      <c r="G535" s="110"/>
      <c r="H535" s="110"/>
      <c r="I535" s="110"/>
      <c r="J535" s="110"/>
      <c r="K535" s="110"/>
      <c r="L535" s="110"/>
      <c r="M535" s="110"/>
      <c r="N535" s="110"/>
      <c r="O535" s="110"/>
      <c r="P535" s="110"/>
      <c r="Q535" s="110"/>
      <c r="R535" s="110"/>
      <c r="S535" s="110"/>
      <c r="T535" s="110"/>
      <c r="U535" s="110"/>
      <c r="V535" s="110"/>
      <c r="W535" s="110"/>
      <c r="X535" s="110"/>
      <c r="Y535" s="110"/>
      <c r="Z535" s="110"/>
      <c r="AA535" s="110"/>
      <c r="AB535" s="110"/>
      <c r="AC535" s="110"/>
      <c r="AD535" s="110"/>
      <c r="AE535" s="110"/>
      <c r="AF535" s="110"/>
      <c r="AG535" s="110"/>
      <c r="AH535" s="110"/>
    </row>
    <row r="536">
      <c r="A536" s="110"/>
      <c r="B536" s="110"/>
      <c r="C536" s="110"/>
      <c r="D536" s="110"/>
      <c r="E536" s="110"/>
      <c r="F536" s="110"/>
      <c r="G536" s="110"/>
      <c r="H536" s="110"/>
      <c r="I536" s="110"/>
      <c r="J536" s="110"/>
      <c r="K536" s="110"/>
      <c r="L536" s="110"/>
      <c r="M536" s="110"/>
      <c r="N536" s="110"/>
      <c r="O536" s="110"/>
      <c r="P536" s="110"/>
      <c r="Q536" s="110"/>
      <c r="R536" s="110"/>
      <c r="S536" s="110"/>
      <c r="T536" s="110"/>
      <c r="U536" s="110"/>
      <c r="V536" s="110"/>
      <c r="W536" s="110"/>
      <c r="X536" s="110"/>
      <c r="Y536" s="110"/>
      <c r="Z536" s="110"/>
      <c r="AA536" s="110"/>
      <c r="AB536" s="110"/>
      <c r="AC536" s="110"/>
      <c r="AD536" s="110"/>
      <c r="AE536" s="110"/>
      <c r="AF536" s="110"/>
      <c r="AG536" s="110"/>
      <c r="AH536" s="110"/>
    </row>
    <row r="537">
      <c r="A537" s="110"/>
      <c r="B537" s="110"/>
      <c r="C537" s="110"/>
      <c r="D537" s="110"/>
      <c r="E537" s="110"/>
      <c r="F537" s="110"/>
      <c r="G537" s="110"/>
      <c r="H537" s="110"/>
      <c r="I537" s="110"/>
      <c r="J537" s="110"/>
      <c r="K537" s="110"/>
      <c r="L537" s="110"/>
      <c r="M537" s="110"/>
      <c r="N537" s="110"/>
      <c r="O537" s="110"/>
      <c r="P537" s="110"/>
      <c r="Q537" s="110"/>
      <c r="R537" s="110"/>
      <c r="S537" s="110"/>
      <c r="T537" s="110"/>
      <c r="U537" s="110"/>
      <c r="V537" s="110"/>
      <c r="W537" s="110"/>
      <c r="X537" s="110"/>
      <c r="Y537" s="110"/>
      <c r="Z537" s="110"/>
      <c r="AA537" s="110"/>
      <c r="AB537" s="110"/>
      <c r="AC537" s="110"/>
      <c r="AD537" s="110"/>
      <c r="AE537" s="110"/>
      <c r="AF537" s="110"/>
      <c r="AG537" s="110"/>
      <c r="AH537" s="110"/>
    </row>
    <row r="538">
      <c r="A538" s="110"/>
      <c r="B538" s="110"/>
      <c r="C538" s="110"/>
      <c r="D538" s="110"/>
      <c r="E538" s="110"/>
      <c r="F538" s="110"/>
      <c r="G538" s="110"/>
      <c r="H538" s="110"/>
      <c r="I538" s="110"/>
      <c r="J538" s="110"/>
      <c r="K538" s="110"/>
      <c r="L538" s="110"/>
      <c r="M538" s="110"/>
      <c r="N538" s="110"/>
      <c r="O538" s="110"/>
      <c r="P538" s="110"/>
      <c r="Q538" s="110"/>
      <c r="R538" s="110"/>
      <c r="S538" s="110"/>
      <c r="T538" s="110"/>
      <c r="U538" s="110"/>
      <c r="V538" s="110"/>
      <c r="W538" s="110"/>
      <c r="X538" s="110"/>
      <c r="Y538" s="110"/>
      <c r="Z538" s="110"/>
      <c r="AA538" s="110"/>
      <c r="AB538" s="110"/>
      <c r="AC538" s="110"/>
      <c r="AD538" s="110"/>
      <c r="AE538" s="110"/>
      <c r="AF538" s="110"/>
      <c r="AG538" s="110"/>
      <c r="AH538" s="110"/>
    </row>
    <row r="539">
      <c r="A539" s="110"/>
      <c r="B539" s="110"/>
      <c r="C539" s="110"/>
      <c r="D539" s="110"/>
      <c r="E539" s="110"/>
      <c r="F539" s="110"/>
      <c r="G539" s="110"/>
      <c r="H539" s="110"/>
      <c r="I539" s="110"/>
      <c r="J539" s="110"/>
      <c r="K539" s="110"/>
      <c r="L539" s="110"/>
      <c r="M539" s="110"/>
      <c r="N539" s="110"/>
      <c r="O539" s="110"/>
      <c r="P539" s="110"/>
      <c r="Q539" s="110"/>
      <c r="R539" s="110"/>
      <c r="S539" s="110"/>
      <c r="T539" s="110"/>
      <c r="U539" s="110"/>
      <c r="V539" s="110"/>
      <c r="W539" s="110"/>
      <c r="X539" s="110"/>
      <c r="Y539" s="110"/>
      <c r="Z539" s="110"/>
      <c r="AA539" s="110"/>
      <c r="AB539" s="110"/>
      <c r="AC539" s="110"/>
      <c r="AD539" s="110"/>
      <c r="AE539" s="110"/>
      <c r="AF539" s="110"/>
      <c r="AG539" s="110"/>
      <c r="AH539" s="110"/>
    </row>
    <row r="540">
      <c r="A540" s="110"/>
      <c r="B540" s="110"/>
      <c r="C540" s="110"/>
      <c r="D540" s="110"/>
      <c r="E540" s="110"/>
      <c r="F540" s="110"/>
      <c r="G540" s="110"/>
      <c r="H540" s="110"/>
      <c r="I540" s="110"/>
      <c r="J540" s="110"/>
      <c r="K540" s="110"/>
      <c r="L540" s="110"/>
      <c r="M540" s="110"/>
      <c r="N540" s="110"/>
      <c r="O540" s="110"/>
      <c r="P540" s="110"/>
      <c r="Q540" s="110"/>
      <c r="R540" s="110"/>
      <c r="S540" s="110"/>
      <c r="T540" s="110"/>
      <c r="U540" s="110"/>
      <c r="V540" s="110"/>
      <c r="W540" s="110"/>
      <c r="X540" s="110"/>
      <c r="Y540" s="110"/>
      <c r="Z540" s="110"/>
      <c r="AA540" s="110"/>
      <c r="AB540" s="110"/>
      <c r="AC540" s="110"/>
      <c r="AD540" s="110"/>
      <c r="AE540" s="110"/>
      <c r="AF540" s="110"/>
      <c r="AG540" s="110"/>
      <c r="AH540" s="110"/>
    </row>
    <row r="541">
      <c r="A541" s="110"/>
      <c r="B541" s="110"/>
      <c r="C541" s="110"/>
      <c r="D541" s="110"/>
      <c r="E541" s="110"/>
      <c r="F541" s="110"/>
      <c r="G541" s="110"/>
      <c r="H541" s="110"/>
      <c r="I541" s="110"/>
      <c r="J541" s="110"/>
      <c r="K541" s="110"/>
      <c r="L541" s="110"/>
      <c r="M541" s="110"/>
      <c r="N541" s="110"/>
      <c r="O541" s="110"/>
      <c r="P541" s="110"/>
      <c r="Q541" s="110"/>
      <c r="R541" s="110"/>
      <c r="S541" s="110"/>
      <c r="T541" s="110"/>
      <c r="U541" s="110"/>
      <c r="V541" s="110"/>
      <c r="W541" s="110"/>
      <c r="X541" s="110"/>
      <c r="Y541" s="110"/>
      <c r="Z541" s="110"/>
      <c r="AA541" s="110"/>
      <c r="AB541" s="110"/>
      <c r="AC541" s="110"/>
      <c r="AD541" s="110"/>
      <c r="AE541" s="110"/>
      <c r="AF541" s="110"/>
      <c r="AG541" s="110"/>
      <c r="AH541" s="110"/>
    </row>
    <row r="542">
      <c r="A542" s="110"/>
      <c r="B542" s="110"/>
      <c r="C542" s="110"/>
      <c r="D542" s="110"/>
      <c r="E542" s="110"/>
      <c r="F542" s="110"/>
      <c r="G542" s="110"/>
      <c r="H542" s="110"/>
      <c r="I542" s="110"/>
      <c r="J542" s="110"/>
      <c r="K542" s="110"/>
      <c r="L542" s="110"/>
      <c r="M542" s="110"/>
      <c r="N542" s="110"/>
      <c r="O542" s="110"/>
      <c r="P542" s="110"/>
      <c r="Q542" s="110"/>
      <c r="R542" s="110"/>
      <c r="S542" s="110"/>
      <c r="T542" s="110"/>
      <c r="U542" s="110"/>
      <c r="V542" s="110"/>
      <c r="W542" s="110"/>
      <c r="X542" s="110"/>
      <c r="Y542" s="110"/>
      <c r="Z542" s="110"/>
      <c r="AA542" s="110"/>
      <c r="AB542" s="110"/>
      <c r="AC542" s="110"/>
      <c r="AD542" s="110"/>
      <c r="AE542" s="110"/>
      <c r="AF542" s="110"/>
      <c r="AG542" s="110"/>
      <c r="AH542" s="110"/>
    </row>
    <row r="543">
      <c r="A543" s="110"/>
      <c r="B543" s="110"/>
      <c r="C543" s="110"/>
      <c r="D543" s="110"/>
      <c r="E543" s="110"/>
      <c r="F543" s="110"/>
      <c r="G543" s="110"/>
      <c r="H543" s="110"/>
      <c r="I543" s="110"/>
      <c r="J543" s="110"/>
      <c r="K543" s="110"/>
      <c r="L543" s="110"/>
      <c r="M543" s="110"/>
      <c r="N543" s="110"/>
      <c r="O543" s="110"/>
      <c r="P543" s="110"/>
      <c r="Q543" s="110"/>
      <c r="R543" s="110"/>
      <c r="S543" s="110"/>
      <c r="T543" s="110"/>
      <c r="U543" s="110"/>
      <c r="V543" s="110"/>
      <c r="W543" s="110"/>
      <c r="X543" s="110"/>
      <c r="Y543" s="110"/>
      <c r="Z543" s="110"/>
      <c r="AA543" s="110"/>
      <c r="AB543" s="110"/>
      <c r="AC543" s="110"/>
      <c r="AD543" s="110"/>
      <c r="AE543" s="110"/>
      <c r="AF543" s="110"/>
      <c r="AG543" s="110"/>
      <c r="AH543" s="110"/>
    </row>
    <row r="544">
      <c r="A544" s="110"/>
      <c r="B544" s="110"/>
      <c r="C544" s="110"/>
      <c r="D544" s="110"/>
      <c r="E544" s="110"/>
      <c r="F544" s="110"/>
      <c r="G544" s="110"/>
      <c r="H544" s="110"/>
      <c r="I544" s="110"/>
      <c r="J544" s="110"/>
      <c r="K544" s="110"/>
      <c r="L544" s="110"/>
      <c r="M544" s="110"/>
      <c r="N544" s="110"/>
      <c r="O544" s="110"/>
      <c r="P544" s="110"/>
      <c r="Q544" s="110"/>
      <c r="R544" s="110"/>
      <c r="S544" s="110"/>
      <c r="T544" s="110"/>
      <c r="U544" s="110"/>
      <c r="V544" s="110"/>
      <c r="W544" s="110"/>
      <c r="X544" s="110"/>
      <c r="Y544" s="110"/>
      <c r="Z544" s="110"/>
      <c r="AA544" s="110"/>
      <c r="AB544" s="110"/>
      <c r="AC544" s="110"/>
      <c r="AD544" s="110"/>
      <c r="AE544" s="110"/>
      <c r="AF544" s="110"/>
      <c r="AG544" s="110"/>
      <c r="AH544" s="110"/>
    </row>
    <row r="545">
      <c r="A545" s="110"/>
      <c r="B545" s="110"/>
      <c r="C545" s="110"/>
      <c r="D545" s="110"/>
      <c r="E545" s="110"/>
      <c r="F545" s="110"/>
      <c r="G545" s="110"/>
      <c r="H545" s="110"/>
      <c r="I545" s="110"/>
      <c r="J545" s="110"/>
      <c r="K545" s="110"/>
      <c r="L545" s="110"/>
      <c r="M545" s="110"/>
      <c r="N545" s="110"/>
      <c r="O545" s="110"/>
      <c r="P545" s="110"/>
      <c r="Q545" s="110"/>
      <c r="R545" s="110"/>
      <c r="S545" s="110"/>
      <c r="T545" s="110"/>
      <c r="U545" s="110"/>
      <c r="V545" s="110"/>
      <c r="W545" s="110"/>
      <c r="X545" s="110"/>
      <c r="Y545" s="110"/>
      <c r="Z545" s="110"/>
      <c r="AA545" s="110"/>
      <c r="AB545" s="110"/>
      <c r="AC545" s="110"/>
      <c r="AD545" s="110"/>
      <c r="AE545" s="110"/>
      <c r="AF545" s="110"/>
      <c r="AG545" s="110"/>
      <c r="AH545" s="110"/>
    </row>
    <row r="546">
      <c r="A546" s="110"/>
      <c r="B546" s="110"/>
      <c r="C546" s="110"/>
      <c r="D546" s="110"/>
      <c r="E546" s="110"/>
      <c r="F546" s="110"/>
      <c r="G546" s="110"/>
      <c r="H546" s="110"/>
      <c r="I546" s="110"/>
      <c r="J546" s="110"/>
      <c r="K546" s="110"/>
      <c r="L546" s="110"/>
      <c r="M546" s="110"/>
      <c r="N546" s="110"/>
      <c r="O546" s="110"/>
      <c r="P546" s="110"/>
      <c r="Q546" s="110"/>
      <c r="R546" s="110"/>
      <c r="S546" s="110"/>
      <c r="T546" s="110"/>
      <c r="U546" s="110"/>
      <c r="V546" s="110"/>
      <c r="W546" s="110"/>
      <c r="X546" s="110"/>
      <c r="Y546" s="110"/>
      <c r="Z546" s="110"/>
      <c r="AA546" s="110"/>
      <c r="AB546" s="110"/>
      <c r="AC546" s="110"/>
      <c r="AD546" s="110"/>
      <c r="AE546" s="110"/>
      <c r="AF546" s="110"/>
      <c r="AG546" s="110"/>
      <c r="AH546" s="110"/>
    </row>
    <row r="547">
      <c r="A547" s="110"/>
      <c r="B547" s="110"/>
      <c r="C547" s="110"/>
      <c r="D547" s="110"/>
      <c r="E547" s="110"/>
      <c r="F547" s="110"/>
      <c r="G547" s="110"/>
      <c r="H547" s="110"/>
      <c r="I547" s="110"/>
      <c r="J547" s="110"/>
      <c r="K547" s="110"/>
      <c r="L547" s="110"/>
      <c r="M547" s="110"/>
      <c r="N547" s="110"/>
      <c r="O547" s="110"/>
      <c r="P547" s="110"/>
      <c r="Q547" s="110"/>
      <c r="R547" s="110"/>
      <c r="S547" s="110"/>
      <c r="T547" s="110"/>
      <c r="U547" s="110"/>
      <c r="V547" s="110"/>
      <c r="W547" s="110"/>
      <c r="X547" s="110"/>
      <c r="Y547" s="110"/>
      <c r="Z547" s="110"/>
      <c r="AA547" s="110"/>
      <c r="AB547" s="110"/>
      <c r="AC547" s="110"/>
      <c r="AD547" s="110"/>
      <c r="AE547" s="110"/>
      <c r="AF547" s="110"/>
      <c r="AG547" s="110"/>
      <c r="AH547" s="110"/>
    </row>
    <row r="548">
      <c r="A548" s="110"/>
      <c r="B548" s="110"/>
      <c r="C548" s="110"/>
      <c r="D548" s="110"/>
      <c r="E548" s="110"/>
      <c r="F548" s="110"/>
      <c r="G548" s="110"/>
      <c r="H548" s="110"/>
      <c r="I548" s="110"/>
      <c r="J548" s="110"/>
      <c r="K548" s="110"/>
      <c r="L548" s="110"/>
      <c r="M548" s="110"/>
      <c r="N548" s="110"/>
      <c r="O548" s="110"/>
      <c r="P548" s="110"/>
      <c r="Q548" s="110"/>
      <c r="R548" s="110"/>
      <c r="S548" s="110"/>
      <c r="T548" s="110"/>
      <c r="U548" s="110"/>
      <c r="V548" s="110"/>
      <c r="W548" s="110"/>
      <c r="X548" s="110"/>
      <c r="Y548" s="110"/>
      <c r="Z548" s="110"/>
      <c r="AA548" s="110"/>
      <c r="AB548" s="110"/>
      <c r="AC548" s="110"/>
      <c r="AD548" s="110"/>
      <c r="AE548" s="110"/>
      <c r="AF548" s="110"/>
      <c r="AG548" s="110"/>
      <c r="AH548" s="110"/>
    </row>
    <row r="549">
      <c r="A549" s="110"/>
      <c r="B549" s="110"/>
      <c r="C549" s="110"/>
      <c r="D549" s="110"/>
      <c r="E549" s="110"/>
      <c r="F549" s="110"/>
      <c r="G549" s="110"/>
      <c r="H549" s="110"/>
      <c r="I549" s="110"/>
      <c r="J549" s="110"/>
      <c r="K549" s="110"/>
      <c r="L549" s="110"/>
      <c r="M549" s="110"/>
      <c r="N549" s="110"/>
      <c r="O549" s="110"/>
      <c r="P549" s="110"/>
      <c r="Q549" s="110"/>
      <c r="R549" s="110"/>
      <c r="S549" s="110"/>
      <c r="T549" s="110"/>
      <c r="U549" s="110"/>
      <c r="V549" s="110"/>
      <c r="W549" s="110"/>
      <c r="X549" s="110"/>
      <c r="Y549" s="110"/>
      <c r="Z549" s="110"/>
      <c r="AA549" s="110"/>
      <c r="AB549" s="110"/>
      <c r="AC549" s="110"/>
      <c r="AD549" s="110"/>
      <c r="AE549" s="110"/>
      <c r="AF549" s="110"/>
      <c r="AG549" s="110"/>
      <c r="AH549" s="110"/>
    </row>
    <row r="550">
      <c r="A550" s="110"/>
      <c r="B550" s="110"/>
      <c r="C550" s="110"/>
      <c r="D550" s="110"/>
      <c r="E550" s="110"/>
      <c r="F550" s="110"/>
      <c r="G550" s="110"/>
      <c r="H550" s="110"/>
      <c r="I550" s="110"/>
      <c r="J550" s="110"/>
      <c r="K550" s="110"/>
      <c r="L550" s="110"/>
      <c r="M550" s="110"/>
      <c r="N550" s="110"/>
      <c r="O550" s="110"/>
      <c r="P550" s="110"/>
      <c r="Q550" s="110"/>
      <c r="R550" s="110"/>
      <c r="S550" s="110"/>
      <c r="T550" s="110"/>
      <c r="U550" s="110"/>
      <c r="V550" s="110"/>
      <c r="W550" s="110"/>
      <c r="X550" s="110"/>
      <c r="Y550" s="110"/>
      <c r="Z550" s="110"/>
      <c r="AA550" s="110"/>
      <c r="AB550" s="110"/>
      <c r="AC550" s="110"/>
      <c r="AD550" s="110"/>
      <c r="AE550" s="110"/>
      <c r="AF550" s="110"/>
      <c r="AG550" s="110"/>
      <c r="AH550" s="110"/>
    </row>
    <row r="551">
      <c r="A551" s="110"/>
      <c r="B551" s="110"/>
      <c r="C551" s="110"/>
      <c r="D551" s="110"/>
      <c r="E551" s="110"/>
      <c r="F551" s="110"/>
      <c r="G551" s="110"/>
      <c r="H551" s="110"/>
      <c r="I551" s="110"/>
      <c r="J551" s="110"/>
      <c r="K551" s="110"/>
      <c r="L551" s="110"/>
      <c r="M551" s="110"/>
      <c r="N551" s="110"/>
      <c r="O551" s="110"/>
      <c r="P551" s="110"/>
      <c r="Q551" s="110"/>
      <c r="R551" s="110"/>
      <c r="S551" s="110"/>
      <c r="T551" s="110"/>
      <c r="U551" s="110"/>
      <c r="V551" s="110"/>
      <c r="W551" s="110"/>
      <c r="X551" s="110"/>
      <c r="Y551" s="110"/>
      <c r="Z551" s="110"/>
      <c r="AA551" s="110"/>
      <c r="AB551" s="110"/>
      <c r="AC551" s="110"/>
      <c r="AD551" s="110"/>
      <c r="AE551" s="110"/>
      <c r="AF551" s="110"/>
      <c r="AG551" s="110"/>
      <c r="AH551" s="110"/>
    </row>
    <row r="552">
      <c r="A552" s="110"/>
      <c r="B552" s="110"/>
      <c r="C552" s="110"/>
      <c r="D552" s="110"/>
      <c r="E552" s="110"/>
      <c r="F552" s="110"/>
      <c r="G552" s="110"/>
      <c r="H552" s="110"/>
      <c r="I552" s="110"/>
      <c r="J552" s="110"/>
      <c r="K552" s="110"/>
      <c r="L552" s="110"/>
      <c r="M552" s="110"/>
      <c r="N552" s="110"/>
      <c r="O552" s="110"/>
      <c r="P552" s="110"/>
      <c r="Q552" s="110"/>
      <c r="R552" s="110"/>
      <c r="S552" s="110"/>
      <c r="T552" s="110"/>
      <c r="U552" s="110"/>
      <c r="V552" s="110"/>
      <c r="W552" s="110"/>
      <c r="X552" s="110"/>
      <c r="Y552" s="110"/>
      <c r="Z552" s="110"/>
      <c r="AA552" s="110"/>
      <c r="AB552" s="110"/>
      <c r="AC552" s="110"/>
      <c r="AD552" s="110"/>
      <c r="AE552" s="110"/>
      <c r="AF552" s="110"/>
      <c r="AG552" s="110"/>
      <c r="AH552" s="110"/>
    </row>
    <row r="553">
      <c r="A553" s="110"/>
      <c r="B553" s="110"/>
      <c r="C553" s="110"/>
      <c r="D553" s="110"/>
      <c r="E553" s="110"/>
      <c r="F553" s="110"/>
      <c r="G553" s="110"/>
      <c r="H553" s="110"/>
      <c r="I553" s="110"/>
      <c r="J553" s="110"/>
      <c r="K553" s="110"/>
      <c r="L553" s="110"/>
      <c r="M553" s="110"/>
      <c r="N553" s="110"/>
      <c r="O553" s="110"/>
      <c r="P553" s="110"/>
      <c r="Q553" s="110"/>
      <c r="R553" s="110"/>
      <c r="S553" s="110"/>
      <c r="T553" s="110"/>
      <c r="U553" s="110"/>
      <c r="V553" s="110"/>
      <c r="W553" s="110"/>
      <c r="X553" s="110"/>
      <c r="Y553" s="110"/>
      <c r="Z553" s="110"/>
      <c r="AA553" s="110"/>
      <c r="AB553" s="110"/>
      <c r="AC553" s="110"/>
      <c r="AD553" s="110"/>
      <c r="AE553" s="110"/>
      <c r="AF553" s="110"/>
      <c r="AG553" s="110"/>
      <c r="AH553" s="110"/>
    </row>
    <row r="554">
      <c r="A554" s="110"/>
      <c r="B554" s="110"/>
      <c r="C554" s="110"/>
      <c r="D554" s="110"/>
      <c r="E554" s="110"/>
      <c r="F554" s="110"/>
      <c r="G554" s="110"/>
      <c r="H554" s="110"/>
      <c r="I554" s="110"/>
      <c r="J554" s="110"/>
      <c r="K554" s="110"/>
      <c r="L554" s="110"/>
      <c r="M554" s="110"/>
      <c r="N554" s="110"/>
      <c r="O554" s="110"/>
      <c r="P554" s="110"/>
      <c r="Q554" s="110"/>
      <c r="R554" s="110"/>
      <c r="S554" s="110"/>
      <c r="T554" s="110"/>
      <c r="U554" s="110"/>
      <c r="V554" s="110"/>
      <c r="W554" s="110"/>
      <c r="X554" s="110"/>
      <c r="Y554" s="110"/>
      <c r="Z554" s="110"/>
      <c r="AA554" s="110"/>
      <c r="AB554" s="110"/>
      <c r="AC554" s="110"/>
      <c r="AD554" s="110"/>
      <c r="AE554" s="110"/>
      <c r="AF554" s="110"/>
      <c r="AG554" s="110"/>
      <c r="AH554" s="110"/>
    </row>
    <row r="555">
      <c r="A555" s="110"/>
      <c r="B555" s="110"/>
      <c r="C555" s="110"/>
      <c r="D555" s="110"/>
      <c r="E555" s="110"/>
      <c r="F555" s="110"/>
      <c r="G555" s="110"/>
      <c r="H555" s="110"/>
      <c r="I555" s="110"/>
      <c r="J555" s="110"/>
      <c r="K555" s="110"/>
      <c r="L555" s="110"/>
      <c r="M555" s="110"/>
      <c r="N555" s="110"/>
      <c r="O555" s="110"/>
      <c r="P555" s="110"/>
      <c r="Q555" s="110"/>
      <c r="R555" s="110"/>
      <c r="S555" s="110"/>
      <c r="T555" s="110"/>
      <c r="U555" s="110"/>
      <c r="V555" s="110"/>
      <c r="W555" s="110"/>
      <c r="X555" s="110"/>
      <c r="Y555" s="110"/>
      <c r="Z555" s="110"/>
      <c r="AA555" s="110"/>
      <c r="AB555" s="110"/>
      <c r="AC555" s="110"/>
      <c r="AD555" s="110"/>
      <c r="AE555" s="110"/>
      <c r="AF555" s="110"/>
      <c r="AG555" s="110"/>
      <c r="AH555" s="110"/>
    </row>
    <row r="556">
      <c r="A556" s="110"/>
      <c r="B556" s="110"/>
      <c r="C556" s="110"/>
      <c r="D556" s="110"/>
      <c r="E556" s="110"/>
      <c r="F556" s="110"/>
      <c r="G556" s="110"/>
      <c r="H556" s="110"/>
      <c r="I556" s="110"/>
      <c r="J556" s="110"/>
      <c r="K556" s="110"/>
      <c r="L556" s="110"/>
      <c r="M556" s="110"/>
      <c r="N556" s="110"/>
      <c r="O556" s="110"/>
      <c r="P556" s="110"/>
      <c r="Q556" s="110"/>
      <c r="R556" s="110"/>
      <c r="S556" s="110"/>
      <c r="T556" s="110"/>
      <c r="U556" s="110"/>
      <c r="V556" s="110"/>
      <c r="W556" s="110"/>
      <c r="X556" s="110"/>
      <c r="Y556" s="110"/>
      <c r="Z556" s="110"/>
      <c r="AA556" s="110"/>
      <c r="AB556" s="110"/>
      <c r="AC556" s="110"/>
      <c r="AD556" s="110"/>
      <c r="AE556" s="110"/>
      <c r="AF556" s="110"/>
      <c r="AG556" s="110"/>
      <c r="AH556" s="110"/>
    </row>
    <row r="557">
      <c r="A557" s="110"/>
      <c r="B557" s="110"/>
      <c r="C557" s="110"/>
      <c r="D557" s="110"/>
      <c r="E557" s="110"/>
      <c r="F557" s="110"/>
      <c r="G557" s="110"/>
      <c r="H557" s="110"/>
      <c r="I557" s="110"/>
      <c r="J557" s="110"/>
      <c r="K557" s="110"/>
      <c r="L557" s="110"/>
      <c r="M557" s="110"/>
      <c r="N557" s="110"/>
      <c r="O557" s="110"/>
      <c r="P557" s="110"/>
      <c r="Q557" s="110"/>
      <c r="R557" s="110"/>
      <c r="S557" s="110"/>
      <c r="T557" s="110"/>
      <c r="U557" s="110"/>
      <c r="V557" s="110"/>
      <c r="W557" s="110"/>
      <c r="X557" s="110"/>
      <c r="Y557" s="110"/>
      <c r="Z557" s="110"/>
      <c r="AA557" s="110"/>
      <c r="AB557" s="110"/>
      <c r="AC557" s="110"/>
      <c r="AD557" s="110"/>
      <c r="AE557" s="110"/>
      <c r="AF557" s="110"/>
      <c r="AG557" s="110"/>
      <c r="AH557" s="110"/>
    </row>
    <row r="558">
      <c r="A558" s="110"/>
      <c r="B558" s="110"/>
      <c r="C558" s="110"/>
      <c r="D558" s="110"/>
      <c r="E558" s="110"/>
      <c r="F558" s="110"/>
      <c r="G558" s="110"/>
      <c r="H558" s="110"/>
      <c r="I558" s="110"/>
      <c r="J558" s="110"/>
      <c r="K558" s="110"/>
      <c r="L558" s="110"/>
      <c r="M558" s="110"/>
      <c r="N558" s="110"/>
      <c r="O558" s="110"/>
      <c r="P558" s="110"/>
      <c r="Q558" s="110"/>
      <c r="R558" s="110"/>
      <c r="S558" s="110"/>
      <c r="T558" s="110"/>
      <c r="U558" s="110"/>
      <c r="V558" s="110"/>
      <c r="W558" s="110"/>
      <c r="X558" s="110"/>
      <c r="Y558" s="110"/>
      <c r="Z558" s="110"/>
      <c r="AA558" s="110"/>
      <c r="AB558" s="110"/>
      <c r="AC558" s="110"/>
      <c r="AD558" s="110"/>
      <c r="AE558" s="110"/>
      <c r="AF558" s="110"/>
      <c r="AG558" s="110"/>
      <c r="AH558" s="110"/>
    </row>
    <row r="559">
      <c r="A559" s="110"/>
      <c r="B559" s="110"/>
      <c r="C559" s="110"/>
      <c r="D559" s="110"/>
      <c r="E559" s="110"/>
      <c r="F559" s="110"/>
      <c r="G559" s="110"/>
      <c r="H559" s="110"/>
      <c r="I559" s="110"/>
      <c r="J559" s="110"/>
      <c r="K559" s="110"/>
      <c r="L559" s="110"/>
      <c r="M559" s="110"/>
      <c r="N559" s="110"/>
      <c r="O559" s="110"/>
      <c r="P559" s="110"/>
      <c r="Q559" s="110"/>
      <c r="R559" s="110"/>
      <c r="S559" s="110"/>
      <c r="T559" s="110"/>
      <c r="U559" s="110"/>
      <c r="V559" s="110"/>
      <c r="W559" s="110"/>
      <c r="X559" s="110"/>
      <c r="Y559" s="110"/>
      <c r="Z559" s="110"/>
      <c r="AA559" s="110"/>
      <c r="AB559" s="110"/>
      <c r="AC559" s="110"/>
      <c r="AD559" s="110"/>
      <c r="AE559" s="110"/>
      <c r="AF559" s="110"/>
      <c r="AG559" s="110"/>
      <c r="AH559" s="110"/>
    </row>
    <row r="560">
      <c r="A560" s="110"/>
      <c r="B560" s="110"/>
      <c r="C560" s="110"/>
      <c r="D560" s="110"/>
      <c r="E560" s="110"/>
      <c r="F560" s="110"/>
      <c r="G560" s="110"/>
      <c r="H560" s="110"/>
      <c r="I560" s="110"/>
      <c r="J560" s="110"/>
      <c r="K560" s="110"/>
      <c r="L560" s="110"/>
      <c r="M560" s="110"/>
      <c r="N560" s="110"/>
      <c r="O560" s="110"/>
      <c r="P560" s="110"/>
      <c r="Q560" s="110"/>
      <c r="R560" s="110"/>
      <c r="S560" s="110"/>
      <c r="T560" s="110"/>
      <c r="U560" s="110"/>
      <c r="V560" s="110"/>
      <c r="W560" s="110"/>
      <c r="X560" s="110"/>
      <c r="Y560" s="110"/>
      <c r="Z560" s="110"/>
      <c r="AA560" s="110"/>
      <c r="AB560" s="110"/>
      <c r="AC560" s="110"/>
      <c r="AD560" s="110"/>
      <c r="AE560" s="110"/>
      <c r="AF560" s="110"/>
      <c r="AG560" s="110"/>
      <c r="AH560" s="110"/>
    </row>
    <row r="561">
      <c r="A561" s="110"/>
      <c r="B561" s="110"/>
      <c r="C561" s="110"/>
      <c r="D561" s="110"/>
      <c r="E561" s="110"/>
      <c r="F561" s="110"/>
      <c r="G561" s="110"/>
      <c r="H561" s="110"/>
      <c r="I561" s="110"/>
      <c r="J561" s="110"/>
      <c r="K561" s="110"/>
      <c r="L561" s="110"/>
      <c r="M561" s="110"/>
      <c r="N561" s="110"/>
      <c r="O561" s="110"/>
      <c r="P561" s="110"/>
      <c r="Q561" s="110"/>
      <c r="R561" s="110"/>
      <c r="S561" s="110"/>
      <c r="T561" s="110"/>
      <c r="U561" s="110"/>
      <c r="V561" s="110"/>
      <c r="W561" s="110"/>
      <c r="X561" s="110"/>
      <c r="Y561" s="110"/>
      <c r="Z561" s="110"/>
      <c r="AA561" s="110"/>
      <c r="AB561" s="110"/>
      <c r="AC561" s="110"/>
      <c r="AD561" s="110"/>
      <c r="AE561" s="110"/>
      <c r="AF561" s="110"/>
      <c r="AG561" s="110"/>
      <c r="AH561" s="110"/>
    </row>
    <row r="562">
      <c r="A562" s="110"/>
      <c r="B562" s="110"/>
      <c r="C562" s="110"/>
      <c r="D562" s="110"/>
      <c r="E562" s="110"/>
      <c r="F562" s="110"/>
      <c r="G562" s="110"/>
      <c r="H562" s="110"/>
      <c r="I562" s="110"/>
      <c r="J562" s="110"/>
      <c r="K562" s="110"/>
      <c r="L562" s="110"/>
      <c r="M562" s="110"/>
      <c r="N562" s="110"/>
      <c r="O562" s="110"/>
      <c r="P562" s="110"/>
      <c r="Q562" s="110"/>
      <c r="R562" s="110"/>
      <c r="S562" s="110"/>
      <c r="T562" s="110"/>
      <c r="U562" s="110"/>
      <c r="V562" s="110"/>
      <c r="W562" s="110"/>
      <c r="X562" s="110"/>
      <c r="Y562" s="110"/>
      <c r="Z562" s="110"/>
      <c r="AA562" s="110"/>
      <c r="AB562" s="110"/>
      <c r="AC562" s="110"/>
      <c r="AD562" s="110"/>
      <c r="AE562" s="110"/>
      <c r="AF562" s="110"/>
      <c r="AG562" s="110"/>
      <c r="AH562" s="110"/>
    </row>
    <row r="563">
      <c r="A563" s="110"/>
      <c r="B563" s="110"/>
      <c r="C563" s="110"/>
      <c r="D563" s="110"/>
      <c r="E563" s="110"/>
      <c r="F563" s="110"/>
      <c r="G563" s="110"/>
      <c r="H563" s="110"/>
      <c r="I563" s="110"/>
      <c r="J563" s="110"/>
      <c r="K563" s="110"/>
      <c r="L563" s="110"/>
      <c r="M563" s="110"/>
      <c r="N563" s="110"/>
      <c r="O563" s="110"/>
      <c r="P563" s="110"/>
      <c r="Q563" s="110"/>
      <c r="R563" s="110"/>
      <c r="S563" s="110"/>
      <c r="T563" s="110"/>
      <c r="U563" s="110"/>
      <c r="V563" s="110"/>
      <c r="W563" s="110"/>
      <c r="X563" s="110"/>
      <c r="Y563" s="110"/>
      <c r="Z563" s="110"/>
      <c r="AA563" s="110"/>
      <c r="AB563" s="110"/>
      <c r="AC563" s="110"/>
      <c r="AD563" s="110"/>
      <c r="AE563" s="110"/>
      <c r="AF563" s="110"/>
      <c r="AG563" s="110"/>
      <c r="AH563" s="110"/>
    </row>
    <row r="564">
      <c r="A564" s="110"/>
      <c r="B564" s="110"/>
      <c r="C564" s="110"/>
      <c r="D564" s="110"/>
      <c r="E564" s="110"/>
      <c r="F564" s="110"/>
      <c r="G564" s="110"/>
      <c r="H564" s="110"/>
      <c r="I564" s="110"/>
      <c r="J564" s="110"/>
      <c r="K564" s="110"/>
      <c r="L564" s="110"/>
      <c r="M564" s="110"/>
      <c r="N564" s="110"/>
      <c r="O564" s="110"/>
      <c r="P564" s="110"/>
      <c r="Q564" s="110"/>
      <c r="R564" s="110"/>
      <c r="S564" s="110"/>
      <c r="T564" s="110"/>
      <c r="U564" s="110"/>
      <c r="V564" s="110"/>
      <c r="W564" s="110"/>
      <c r="X564" s="110"/>
      <c r="Y564" s="110"/>
      <c r="Z564" s="110"/>
      <c r="AA564" s="110"/>
      <c r="AB564" s="110"/>
      <c r="AC564" s="110"/>
      <c r="AD564" s="110"/>
      <c r="AE564" s="110"/>
      <c r="AF564" s="110"/>
      <c r="AG564" s="110"/>
      <c r="AH564" s="110"/>
    </row>
    <row r="565">
      <c r="A565" s="110"/>
      <c r="B565" s="110"/>
      <c r="C565" s="110"/>
      <c r="D565" s="110"/>
      <c r="E565" s="110"/>
      <c r="F565" s="110"/>
      <c r="G565" s="110"/>
      <c r="H565" s="110"/>
      <c r="I565" s="110"/>
      <c r="J565" s="110"/>
      <c r="K565" s="110"/>
      <c r="L565" s="110"/>
      <c r="M565" s="110"/>
      <c r="N565" s="110"/>
      <c r="O565" s="110"/>
      <c r="P565" s="110"/>
      <c r="Q565" s="110"/>
      <c r="R565" s="110"/>
      <c r="S565" s="110"/>
      <c r="T565" s="110"/>
      <c r="U565" s="110"/>
      <c r="V565" s="110"/>
      <c r="W565" s="110"/>
      <c r="X565" s="110"/>
      <c r="Y565" s="110"/>
      <c r="Z565" s="110"/>
      <c r="AA565" s="110"/>
      <c r="AB565" s="110"/>
      <c r="AC565" s="110"/>
      <c r="AD565" s="110"/>
      <c r="AE565" s="110"/>
      <c r="AF565" s="110"/>
      <c r="AG565" s="110"/>
      <c r="AH565" s="110"/>
    </row>
    <row r="566">
      <c r="A566" s="110"/>
      <c r="B566" s="110"/>
      <c r="C566" s="110"/>
      <c r="D566" s="110"/>
      <c r="E566" s="110"/>
      <c r="F566" s="110"/>
      <c r="G566" s="110"/>
      <c r="H566" s="110"/>
      <c r="I566" s="110"/>
      <c r="J566" s="110"/>
      <c r="K566" s="110"/>
      <c r="L566" s="110"/>
      <c r="M566" s="110"/>
      <c r="N566" s="110"/>
      <c r="O566" s="110"/>
      <c r="P566" s="110"/>
      <c r="Q566" s="110"/>
      <c r="R566" s="110"/>
      <c r="S566" s="110"/>
      <c r="T566" s="110"/>
      <c r="U566" s="110"/>
      <c r="V566" s="110"/>
      <c r="W566" s="110"/>
      <c r="X566" s="110"/>
      <c r="Y566" s="110"/>
      <c r="Z566" s="110"/>
      <c r="AA566" s="110"/>
      <c r="AB566" s="110"/>
      <c r="AC566" s="110"/>
      <c r="AD566" s="110"/>
      <c r="AE566" s="110"/>
      <c r="AF566" s="110"/>
      <c r="AG566" s="110"/>
      <c r="AH566" s="110"/>
    </row>
    <row r="567">
      <c r="A567" s="110"/>
      <c r="B567" s="110"/>
      <c r="C567" s="110"/>
      <c r="D567" s="110"/>
      <c r="E567" s="110"/>
      <c r="F567" s="110"/>
      <c r="G567" s="110"/>
      <c r="H567" s="110"/>
      <c r="I567" s="110"/>
      <c r="J567" s="110"/>
      <c r="K567" s="110"/>
      <c r="L567" s="110"/>
      <c r="M567" s="110"/>
      <c r="N567" s="110"/>
      <c r="O567" s="110"/>
      <c r="P567" s="110"/>
      <c r="Q567" s="110"/>
      <c r="R567" s="110"/>
      <c r="S567" s="110"/>
      <c r="T567" s="110"/>
      <c r="U567" s="110"/>
      <c r="V567" s="110"/>
      <c r="W567" s="110"/>
      <c r="X567" s="110"/>
      <c r="Y567" s="110"/>
      <c r="Z567" s="110"/>
      <c r="AA567" s="110"/>
      <c r="AB567" s="110"/>
      <c r="AC567" s="110"/>
      <c r="AD567" s="110"/>
      <c r="AE567" s="110"/>
      <c r="AF567" s="110"/>
      <c r="AG567" s="110"/>
      <c r="AH567" s="110"/>
    </row>
    <row r="568">
      <c r="A568" s="110"/>
      <c r="B568" s="110"/>
      <c r="C568" s="110"/>
      <c r="D568" s="110"/>
      <c r="E568" s="110"/>
      <c r="F568" s="110"/>
      <c r="G568" s="110"/>
      <c r="H568" s="110"/>
      <c r="I568" s="110"/>
      <c r="J568" s="110"/>
      <c r="K568" s="110"/>
      <c r="L568" s="110"/>
      <c r="M568" s="110"/>
      <c r="N568" s="110"/>
      <c r="O568" s="110"/>
      <c r="P568" s="110"/>
      <c r="Q568" s="110"/>
      <c r="R568" s="110"/>
      <c r="S568" s="110"/>
      <c r="T568" s="110"/>
      <c r="U568" s="110"/>
      <c r="V568" s="110"/>
      <c r="W568" s="110"/>
      <c r="X568" s="110"/>
      <c r="Y568" s="110"/>
      <c r="Z568" s="110"/>
      <c r="AA568" s="110"/>
      <c r="AB568" s="110"/>
      <c r="AC568" s="110"/>
      <c r="AD568" s="110"/>
      <c r="AE568" s="110"/>
      <c r="AF568" s="110"/>
      <c r="AG568" s="110"/>
      <c r="AH568" s="110"/>
    </row>
    <row r="569">
      <c r="A569" s="110"/>
      <c r="B569" s="110"/>
      <c r="C569" s="110"/>
      <c r="D569" s="110"/>
      <c r="E569" s="110"/>
      <c r="F569" s="110"/>
      <c r="G569" s="110"/>
      <c r="H569" s="110"/>
      <c r="I569" s="110"/>
      <c r="J569" s="110"/>
      <c r="K569" s="110"/>
      <c r="L569" s="110"/>
      <c r="M569" s="110"/>
      <c r="N569" s="110"/>
      <c r="O569" s="110"/>
      <c r="P569" s="110"/>
      <c r="Q569" s="110"/>
      <c r="R569" s="110"/>
      <c r="S569" s="110"/>
      <c r="T569" s="110"/>
      <c r="U569" s="110"/>
      <c r="V569" s="110"/>
      <c r="W569" s="110"/>
      <c r="X569" s="110"/>
      <c r="Y569" s="110"/>
      <c r="Z569" s="110"/>
      <c r="AA569" s="110"/>
      <c r="AB569" s="110"/>
      <c r="AC569" s="110"/>
      <c r="AD569" s="110"/>
      <c r="AE569" s="110"/>
      <c r="AF569" s="110"/>
      <c r="AG569" s="110"/>
      <c r="AH569" s="110"/>
    </row>
    <row r="570">
      <c r="A570" s="110"/>
      <c r="B570" s="110"/>
      <c r="C570" s="110"/>
      <c r="D570" s="110"/>
      <c r="E570" s="110"/>
      <c r="F570" s="110"/>
      <c r="G570" s="110"/>
      <c r="H570" s="110"/>
      <c r="I570" s="110"/>
      <c r="J570" s="110"/>
      <c r="K570" s="110"/>
      <c r="L570" s="110"/>
      <c r="M570" s="110"/>
      <c r="N570" s="110"/>
      <c r="O570" s="110"/>
      <c r="P570" s="110"/>
      <c r="Q570" s="110"/>
      <c r="R570" s="110"/>
      <c r="S570" s="110"/>
      <c r="T570" s="110"/>
      <c r="U570" s="110"/>
      <c r="V570" s="110"/>
      <c r="W570" s="110"/>
      <c r="X570" s="110"/>
      <c r="Y570" s="110"/>
      <c r="Z570" s="110"/>
      <c r="AA570" s="110"/>
      <c r="AB570" s="110"/>
      <c r="AC570" s="110"/>
      <c r="AD570" s="110"/>
      <c r="AE570" s="110"/>
      <c r="AF570" s="110"/>
      <c r="AG570" s="110"/>
      <c r="AH570" s="110"/>
    </row>
    <row r="571">
      <c r="A571" s="110"/>
      <c r="B571" s="110"/>
      <c r="C571" s="110"/>
      <c r="D571" s="110"/>
      <c r="E571" s="110"/>
      <c r="F571" s="110"/>
      <c r="G571" s="110"/>
      <c r="H571" s="110"/>
      <c r="I571" s="110"/>
      <c r="J571" s="110"/>
      <c r="K571" s="110"/>
      <c r="L571" s="110"/>
      <c r="M571" s="110"/>
      <c r="N571" s="110"/>
      <c r="O571" s="110"/>
      <c r="P571" s="110"/>
      <c r="Q571" s="110"/>
      <c r="R571" s="110"/>
      <c r="S571" s="110"/>
      <c r="T571" s="110"/>
      <c r="U571" s="110"/>
      <c r="V571" s="110"/>
      <c r="W571" s="110"/>
      <c r="X571" s="110"/>
      <c r="Y571" s="110"/>
      <c r="Z571" s="110"/>
      <c r="AA571" s="110"/>
      <c r="AB571" s="110"/>
      <c r="AC571" s="110"/>
      <c r="AD571" s="110"/>
      <c r="AE571" s="110"/>
      <c r="AF571" s="110"/>
      <c r="AG571" s="110"/>
      <c r="AH571" s="110"/>
    </row>
    <row r="572">
      <c r="A572" s="110"/>
      <c r="B572" s="110"/>
      <c r="C572" s="110"/>
      <c r="D572" s="110"/>
      <c r="E572" s="110"/>
      <c r="F572" s="110"/>
      <c r="G572" s="110"/>
      <c r="H572" s="110"/>
      <c r="I572" s="110"/>
      <c r="J572" s="110"/>
      <c r="K572" s="110"/>
      <c r="L572" s="110"/>
      <c r="M572" s="110"/>
      <c r="N572" s="110"/>
      <c r="O572" s="110"/>
      <c r="P572" s="110"/>
      <c r="Q572" s="110"/>
      <c r="R572" s="110"/>
      <c r="S572" s="110"/>
      <c r="T572" s="110"/>
      <c r="U572" s="110"/>
      <c r="V572" s="110"/>
      <c r="W572" s="110"/>
      <c r="X572" s="110"/>
      <c r="Y572" s="110"/>
      <c r="Z572" s="110"/>
      <c r="AA572" s="110"/>
      <c r="AB572" s="110"/>
      <c r="AC572" s="110"/>
      <c r="AD572" s="110"/>
      <c r="AE572" s="110"/>
      <c r="AF572" s="110"/>
      <c r="AG572" s="110"/>
      <c r="AH572" s="110"/>
    </row>
    <row r="573">
      <c r="A573" s="110"/>
      <c r="B573" s="110"/>
      <c r="C573" s="110"/>
      <c r="D573" s="110"/>
      <c r="E573" s="110"/>
      <c r="F573" s="110"/>
      <c r="G573" s="110"/>
      <c r="H573" s="110"/>
      <c r="I573" s="110"/>
      <c r="J573" s="110"/>
      <c r="K573" s="110"/>
      <c r="L573" s="110"/>
      <c r="M573" s="110"/>
      <c r="N573" s="110"/>
      <c r="O573" s="110"/>
      <c r="P573" s="110"/>
      <c r="Q573" s="110"/>
      <c r="R573" s="110"/>
      <c r="S573" s="110"/>
      <c r="T573" s="110"/>
      <c r="U573" s="110"/>
      <c r="V573" s="110"/>
      <c r="W573" s="110"/>
      <c r="X573" s="110"/>
      <c r="Y573" s="110"/>
      <c r="Z573" s="110"/>
      <c r="AA573" s="110"/>
      <c r="AB573" s="110"/>
      <c r="AC573" s="110"/>
      <c r="AD573" s="110"/>
      <c r="AE573" s="110"/>
      <c r="AF573" s="110"/>
      <c r="AG573" s="110"/>
      <c r="AH573" s="110"/>
    </row>
    <row r="574">
      <c r="A574" s="110"/>
      <c r="B574" s="110"/>
      <c r="C574" s="110"/>
      <c r="D574" s="110"/>
      <c r="E574" s="110"/>
      <c r="F574" s="110"/>
      <c r="G574" s="110"/>
      <c r="H574" s="110"/>
      <c r="I574" s="110"/>
      <c r="J574" s="110"/>
      <c r="K574" s="110"/>
      <c r="L574" s="110"/>
      <c r="M574" s="110"/>
      <c r="N574" s="110"/>
      <c r="O574" s="110"/>
      <c r="P574" s="110"/>
      <c r="Q574" s="110"/>
      <c r="R574" s="110"/>
      <c r="S574" s="110"/>
      <c r="T574" s="110"/>
      <c r="U574" s="110"/>
      <c r="V574" s="110"/>
      <c r="W574" s="110"/>
      <c r="X574" s="110"/>
      <c r="Y574" s="110"/>
      <c r="Z574" s="110"/>
      <c r="AA574" s="110"/>
      <c r="AB574" s="110"/>
      <c r="AC574" s="110"/>
      <c r="AD574" s="110"/>
      <c r="AE574" s="110"/>
      <c r="AF574" s="110"/>
      <c r="AG574" s="110"/>
      <c r="AH574" s="110"/>
    </row>
    <row r="575">
      <c r="A575" s="110"/>
      <c r="B575" s="110"/>
      <c r="C575" s="110"/>
      <c r="D575" s="110"/>
      <c r="E575" s="110"/>
      <c r="F575" s="110"/>
      <c r="G575" s="110"/>
      <c r="H575" s="110"/>
      <c r="I575" s="110"/>
      <c r="J575" s="110"/>
      <c r="K575" s="110"/>
      <c r="L575" s="110"/>
      <c r="M575" s="110"/>
      <c r="N575" s="110"/>
      <c r="O575" s="110"/>
      <c r="P575" s="110"/>
      <c r="Q575" s="110"/>
      <c r="R575" s="110"/>
      <c r="S575" s="110"/>
      <c r="T575" s="110"/>
      <c r="U575" s="110"/>
      <c r="V575" s="110"/>
      <c r="W575" s="110"/>
      <c r="X575" s="110"/>
      <c r="Y575" s="110"/>
      <c r="Z575" s="110"/>
      <c r="AA575" s="110"/>
      <c r="AB575" s="110"/>
      <c r="AC575" s="110"/>
      <c r="AD575" s="110"/>
      <c r="AE575" s="110"/>
      <c r="AF575" s="110"/>
      <c r="AG575" s="110"/>
      <c r="AH575" s="110"/>
    </row>
    <row r="576">
      <c r="A576" s="110"/>
      <c r="B576" s="110"/>
      <c r="C576" s="110"/>
      <c r="D576" s="110"/>
      <c r="E576" s="110"/>
      <c r="F576" s="110"/>
      <c r="G576" s="110"/>
      <c r="H576" s="110"/>
      <c r="I576" s="110"/>
      <c r="J576" s="110"/>
      <c r="K576" s="110"/>
      <c r="L576" s="110"/>
      <c r="M576" s="110"/>
      <c r="N576" s="110"/>
      <c r="O576" s="110"/>
      <c r="P576" s="110"/>
      <c r="Q576" s="110"/>
      <c r="R576" s="110"/>
      <c r="S576" s="110"/>
      <c r="T576" s="110"/>
      <c r="U576" s="110"/>
      <c r="V576" s="110"/>
      <c r="W576" s="110"/>
      <c r="X576" s="110"/>
      <c r="Y576" s="110"/>
      <c r="Z576" s="110"/>
      <c r="AA576" s="110"/>
      <c r="AB576" s="110"/>
      <c r="AC576" s="110"/>
      <c r="AD576" s="110"/>
      <c r="AE576" s="110"/>
      <c r="AF576" s="110"/>
      <c r="AG576" s="110"/>
      <c r="AH576" s="110"/>
    </row>
    <row r="577">
      <c r="A577" s="110"/>
      <c r="B577" s="110"/>
      <c r="C577" s="110"/>
      <c r="D577" s="110"/>
      <c r="E577" s="110"/>
      <c r="F577" s="110"/>
      <c r="G577" s="110"/>
      <c r="H577" s="110"/>
      <c r="I577" s="110"/>
      <c r="J577" s="110"/>
      <c r="K577" s="110"/>
      <c r="L577" s="110"/>
      <c r="M577" s="110"/>
      <c r="N577" s="110"/>
      <c r="O577" s="110"/>
      <c r="P577" s="110"/>
      <c r="Q577" s="110"/>
      <c r="R577" s="110"/>
      <c r="S577" s="110"/>
      <c r="T577" s="110"/>
      <c r="U577" s="110"/>
      <c r="V577" s="110"/>
      <c r="W577" s="110"/>
      <c r="X577" s="110"/>
      <c r="Y577" s="110"/>
      <c r="Z577" s="110"/>
      <c r="AA577" s="110"/>
      <c r="AB577" s="110"/>
      <c r="AC577" s="110"/>
      <c r="AD577" s="110"/>
      <c r="AE577" s="110"/>
      <c r="AF577" s="110"/>
      <c r="AG577" s="110"/>
      <c r="AH577" s="110"/>
    </row>
    <row r="578">
      <c r="A578" s="110"/>
      <c r="B578" s="110"/>
      <c r="C578" s="110"/>
      <c r="D578" s="110"/>
      <c r="E578" s="110"/>
      <c r="F578" s="110"/>
      <c r="G578" s="110"/>
      <c r="H578" s="110"/>
      <c r="I578" s="110"/>
      <c r="J578" s="110"/>
      <c r="K578" s="110"/>
      <c r="L578" s="110"/>
      <c r="M578" s="110"/>
      <c r="N578" s="110"/>
      <c r="O578" s="110"/>
      <c r="P578" s="110"/>
      <c r="Q578" s="110"/>
      <c r="R578" s="110"/>
      <c r="S578" s="110"/>
      <c r="T578" s="110"/>
      <c r="U578" s="110"/>
      <c r="V578" s="110"/>
      <c r="W578" s="110"/>
      <c r="X578" s="110"/>
      <c r="Y578" s="110"/>
      <c r="Z578" s="110"/>
      <c r="AA578" s="110"/>
      <c r="AB578" s="110"/>
      <c r="AC578" s="110"/>
      <c r="AD578" s="110"/>
      <c r="AE578" s="110"/>
      <c r="AF578" s="110"/>
      <c r="AG578" s="110"/>
      <c r="AH578" s="110"/>
    </row>
    <row r="579">
      <c r="A579" s="110"/>
      <c r="B579" s="110"/>
      <c r="C579" s="110"/>
      <c r="D579" s="110"/>
      <c r="E579" s="110"/>
      <c r="F579" s="110"/>
      <c r="G579" s="110"/>
      <c r="H579" s="110"/>
      <c r="I579" s="110"/>
      <c r="J579" s="110"/>
      <c r="K579" s="110"/>
      <c r="L579" s="110"/>
      <c r="M579" s="110"/>
      <c r="N579" s="110"/>
      <c r="O579" s="110"/>
      <c r="P579" s="110"/>
      <c r="Q579" s="110"/>
      <c r="R579" s="110"/>
      <c r="S579" s="110"/>
      <c r="T579" s="110"/>
      <c r="U579" s="110"/>
      <c r="V579" s="110"/>
      <c r="W579" s="110"/>
      <c r="X579" s="110"/>
      <c r="Y579" s="110"/>
      <c r="Z579" s="110"/>
      <c r="AA579" s="110"/>
      <c r="AB579" s="110"/>
      <c r="AC579" s="110"/>
      <c r="AD579" s="110"/>
      <c r="AE579" s="110"/>
      <c r="AF579" s="110"/>
      <c r="AG579" s="110"/>
      <c r="AH579" s="110"/>
    </row>
    <row r="580">
      <c r="A580" s="110"/>
      <c r="B580" s="110"/>
      <c r="C580" s="110"/>
      <c r="D580" s="110"/>
      <c r="E580" s="110"/>
      <c r="F580" s="110"/>
      <c r="G580" s="110"/>
      <c r="H580" s="110"/>
      <c r="I580" s="110"/>
      <c r="J580" s="110"/>
      <c r="K580" s="110"/>
      <c r="L580" s="110"/>
      <c r="M580" s="110"/>
      <c r="N580" s="110"/>
      <c r="O580" s="110"/>
      <c r="P580" s="110"/>
      <c r="Q580" s="110"/>
      <c r="R580" s="110"/>
      <c r="S580" s="110"/>
      <c r="T580" s="110"/>
      <c r="U580" s="110"/>
      <c r="V580" s="110"/>
      <c r="W580" s="110"/>
      <c r="X580" s="110"/>
      <c r="Y580" s="110"/>
      <c r="Z580" s="110"/>
      <c r="AA580" s="110"/>
      <c r="AB580" s="110"/>
      <c r="AC580" s="110"/>
      <c r="AD580" s="110"/>
      <c r="AE580" s="110"/>
      <c r="AF580" s="110"/>
      <c r="AG580" s="110"/>
      <c r="AH580" s="110"/>
    </row>
    <row r="581">
      <c r="A581" s="110"/>
      <c r="B581" s="110"/>
      <c r="C581" s="110"/>
      <c r="D581" s="110"/>
      <c r="E581" s="110"/>
      <c r="F581" s="110"/>
      <c r="G581" s="110"/>
      <c r="H581" s="110"/>
      <c r="I581" s="110"/>
      <c r="J581" s="110"/>
      <c r="K581" s="110"/>
      <c r="L581" s="110"/>
      <c r="M581" s="110"/>
      <c r="N581" s="110"/>
      <c r="O581" s="110"/>
      <c r="P581" s="110"/>
      <c r="Q581" s="110"/>
      <c r="R581" s="110"/>
      <c r="S581" s="110"/>
      <c r="T581" s="110"/>
      <c r="U581" s="110"/>
      <c r="V581" s="110"/>
      <c r="W581" s="110"/>
      <c r="X581" s="110"/>
      <c r="Y581" s="110"/>
      <c r="Z581" s="110"/>
      <c r="AA581" s="110"/>
      <c r="AB581" s="110"/>
      <c r="AC581" s="110"/>
      <c r="AD581" s="110"/>
      <c r="AE581" s="110"/>
      <c r="AF581" s="110"/>
      <c r="AG581" s="110"/>
      <c r="AH581" s="110"/>
    </row>
    <row r="582">
      <c r="A582" s="110"/>
      <c r="B582" s="110"/>
      <c r="C582" s="110"/>
      <c r="D582" s="110"/>
      <c r="E582" s="110"/>
      <c r="F582" s="110"/>
      <c r="G582" s="110"/>
      <c r="H582" s="110"/>
      <c r="I582" s="110"/>
      <c r="J582" s="110"/>
      <c r="K582" s="110"/>
      <c r="L582" s="110"/>
      <c r="M582" s="110"/>
      <c r="N582" s="110"/>
      <c r="O582" s="110"/>
      <c r="P582" s="110"/>
      <c r="Q582" s="110"/>
      <c r="R582" s="110"/>
      <c r="S582" s="110"/>
      <c r="T582" s="110"/>
      <c r="U582" s="110"/>
      <c r="V582" s="110"/>
      <c r="W582" s="110"/>
      <c r="X582" s="110"/>
      <c r="Y582" s="110"/>
      <c r="Z582" s="110"/>
      <c r="AA582" s="110"/>
      <c r="AB582" s="110"/>
      <c r="AC582" s="110"/>
      <c r="AD582" s="110"/>
      <c r="AE582" s="110"/>
      <c r="AF582" s="110"/>
      <c r="AG582" s="110"/>
      <c r="AH582" s="110"/>
    </row>
    <row r="583">
      <c r="A583" s="110"/>
      <c r="B583" s="110"/>
      <c r="C583" s="110"/>
      <c r="D583" s="110"/>
      <c r="E583" s="110"/>
      <c r="F583" s="110"/>
      <c r="G583" s="110"/>
      <c r="H583" s="110"/>
      <c r="I583" s="110"/>
      <c r="J583" s="110"/>
      <c r="K583" s="110"/>
      <c r="L583" s="110"/>
      <c r="M583" s="110"/>
      <c r="N583" s="110"/>
      <c r="O583" s="110"/>
      <c r="P583" s="110"/>
      <c r="Q583" s="110"/>
      <c r="R583" s="110"/>
      <c r="S583" s="110"/>
      <c r="T583" s="110"/>
      <c r="U583" s="110"/>
      <c r="V583" s="110"/>
      <c r="W583" s="110"/>
      <c r="X583" s="110"/>
      <c r="Y583" s="110"/>
      <c r="Z583" s="110"/>
      <c r="AA583" s="110"/>
      <c r="AB583" s="110"/>
      <c r="AC583" s="110"/>
      <c r="AD583" s="110"/>
      <c r="AE583" s="110"/>
      <c r="AF583" s="110"/>
      <c r="AG583" s="110"/>
      <c r="AH583" s="110"/>
    </row>
    <row r="584">
      <c r="A584" s="110"/>
      <c r="B584" s="110"/>
      <c r="C584" s="110"/>
      <c r="D584" s="110"/>
      <c r="E584" s="110"/>
      <c r="F584" s="110"/>
      <c r="G584" s="110"/>
      <c r="H584" s="110"/>
      <c r="I584" s="110"/>
      <c r="J584" s="110"/>
      <c r="K584" s="110"/>
      <c r="L584" s="110"/>
      <c r="M584" s="110"/>
      <c r="N584" s="110"/>
      <c r="O584" s="110"/>
      <c r="P584" s="110"/>
      <c r="Q584" s="110"/>
      <c r="R584" s="110"/>
      <c r="S584" s="110"/>
      <c r="T584" s="110"/>
      <c r="U584" s="110"/>
      <c r="V584" s="110"/>
      <c r="W584" s="110"/>
      <c r="X584" s="110"/>
      <c r="Y584" s="110"/>
      <c r="Z584" s="110"/>
      <c r="AA584" s="110"/>
      <c r="AB584" s="110"/>
      <c r="AC584" s="110"/>
      <c r="AD584" s="110"/>
      <c r="AE584" s="110"/>
      <c r="AF584" s="110"/>
      <c r="AG584" s="110"/>
      <c r="AH584" s="110"/>
    </row>
    <row r="585">
      <c r="A585" s="110"/>
      <c r="B585" s="110"/>
      <c r="C585" s="110"/>
      <c r="D585" s="110"/>
      <c r="E585" s="110"/>
      <c r="F585" s="110"/>
      <c r="G585" s="110"/>
      <c r="H585" s="110"/>
      <c r="I585" s="110"/>
      <c r="J585" s="110"/>
      <c r="K585" s="110"/>
      <c r="L585" s="110"/>
      <c r="M585" s="110"/>
      <c r="N585" s="110"/>
      <c r="O585" s="110"/>
      <c r="P585" s="110"/>
      <c r="Q585" s="110"/>
      <c r="R585" s="110"/>
      <c r="S585" s="110"/>
      <c r="T585" s="110"/>
      <c r="U585" s="110"/>
      <c r="V585" s="110"/>
      <c r="W585" s="110"/>
      <c r="X585" s="110"/>
      <c r="Y585" s="110"/>
      <c r="Z585" s="110"/>
      <c r="AA585" s="110"/>
      <c r="AB585" s="110"/>
      <c r="AC585" s="110"/>
      <c r="AD585" s="110"/>
      <c r="AE585" s="110"/>
      <c r="AF585" s="110"/>
      <c r="AG585" s="110"/>
      <c r="AH585" s="110"/>
    </row>
    <row r="586">
      <c r="A586" s="110"/>
      <c r="B586" s="110"/>
      <c r="C586" s="110"/>
      <c r="D586" s="110"/>
      <c r="E586" s="110"/>
      <c r="F586" s="110"/>
      <c r="G586" s="110"/>
      <c r="H586" s="110"/>
      <c r="I586" s="110"/>
      <c r="J586" s="110"/>
      <c r="K586" s="110"/>
      <c r="L586" s="110"/>
      <c r="M586" s="110"/>
      <c r="N586" s="110"/>
      <c r="O586" s="110"/>
      <c r="P586" s="110"/>
      <c r="Q586" s="110"/>
      <c r="R586" s="110"/>
      <c r="S586" s="110"/>
      <c r="T586" s="110"/>
      <c r="U586" s="110"/>
      <c r="V586" s="110"/>
      <c r="W586" s="110"/>
      <c r="X586" s="110"/>
      <c r="Y586" s="110"/>
      <c r="Z586" s="110"/>
      <c r="AA586" s="110"/>
      <c r="AB586" s="110"/>
      <c r="AC586" s="110"/>
      <c r="AD586" s="110"/>
      <c r="AE586" s="110"/>
      <c r="AF586" s="110"/>
      <c r="AG586" s="110"/>
      <c r="AH586" s="110"/>
    </row>
    <row r="587">
      <c r="A587" s="110"/>
      <c r="B587" s="110"/>
      <c r="C587" s="110"/>
      <c r="D587" s="110"/>
      <c r="E587" s="110"/>
      <c r="F587" s="110"/>
      <c r="G587" s="110"/>
      <c r="H587" s="110"/>
      <c r="I587" s="110"/>
      <c r="J587" s="110"/>
      <c r="K587" s="110"/>
      <c r="L587" s="110"/>
      <c r="M587" s="110"/>
      <c r="N587" s="110"/>
      <c r="O587" s="110"/>
      <c r="P587" s="110"/>
      <c r="Q587" s="110"/>
      <c r="R587" s="110"/>
      <c r="S587" s="110"/>
      <c r="T587" s="110"/>
      <c r="U587" s="110"/>
      <c r="V587" s="110"/>
      <c r="W587" s="110"/>
      <c r="X587" s="110"/>
      <c r="Y587" s="110"/>
      <c r="Z587" s="110"/>
      <c r="AA587" s="110"/>
      <c r="AB587" s="110"/>
      <c r="AC587" s="110"/>
      <c r="AD587" s="110"/>
      <c r="AE587" s="110"/>
      <c r="AF587" s="110"/>
      <c r="AG587" s="110"/>
      <c r="AH587" s="110"/>
    </row>
    <row r="588">
      <c r="A588" s="110"/>
      <c r="B588" s="110"/>
      <c r="C588" s="110"/>
      <c r="D588" s="110"/>
      <c r="E588" s="110"/>
      <c r="F588" s="110"/>
      <c r="G588" s="110"/>
      <c r="H588" s="110"/>
      <c r="I588" s="110"/>
      <c r="J588" s="110"/>
      <c r="K588" s="110"/>
      <c r="L588" s="110"/>
      <c r="M588" s="110"/>
      <c r="N588" s="110"/>
      <c r="O588" s="110"/>
      <c r="P588" s="110"/>
      <c r="Q588" s="110"/>
      <c r="R588" s="110"/>
      <c r="S588" s="110"/>
      <c r="T588" s="110"/>
      <c r="U588" s="110"/>
      <c r="V588" s="110"/>
      <c r="W588" s="110"/>
      <c r="X588" s="110"/>
      <c r="Y588" s="110"/>
      <c r="Z588" s="110"/>
      <c r="AA588" s="110"/>
      <c r="AB588" s="110"/>
      <c r="AC588" s="110"/>
      <c r="AD588" s="110"/>
      <c r="AE588" s="110"/>
      <c r="AF588" s="110"/>
      <c r="AG588" s="110"/>
      <c r="AH588" s="110"/>
    </row>
    <row r="589">
      <c r="A589" s="110"/>
      <c r="B589" s="110"/>
      <c r="C589" s="110"/>
      <c r="D589" s="110"/>
      <c r="E589" s="110"/>
      <c r="F589" s="110"/>
      <c r="G589" s="110"/>
      <c r="H589" s="110"/>
      <c r="I589" s="110"/>
      <c r="J589" s="110"/>
      <c r="K589" s="110"/>
      <c r="L589" s="110"/>
      <c r="M589" s="110"/>
      <c r="N589" s="110"/>
      <c r="O589" s="110"/>
      <c r="P589" s="110"/>
      <c r="Q589" s="110"/>
      <c r="R589" s="110"/>
      <c r="S589" s="110"/>
      <c r="T589" s="110"/>
      <c r="U589" s="110"/>
      <c r="V589" s="110"/>
      <c r="W589" s="110"/>
      <c r="X589" s="110"/>
      <c r="Y589" s="110"/>
      <c r="Z589" s="110"/>
      <c r="AA589" s="110"/>
      <c r="AB589" s="110"/>
      <c r="AC589" s="110"/>
      <c r="AD589" s="110"/>
      <c r="AE589" s="110"/>
      <c r="AF589" s="110"/>
      <c r="AG589" s="110"/>
      <c r="AH589" s="110"/>
    </row>
    <row r="590">
      <c r="A590" s="110"/>
      <c r="B590" s="110"/>
      <c r="C590" s="110"/>
      <c r="D590" s="110"/>
      <c r="E590" s="110"/>
      <c r="F590" s="110"/>
      <c r="G590" s="110"/>
      <c r="H590" s="110"/>
      <c r="I590" s="110"/>
      <c r="J590" s="110"/>
      <c r="K590" s="110"/>
      <c r="L590" s="110"/>
      <c r="M590" s="110"/>
      <c r="N590" s="110"/>
      <c r="O590" s="110"/>
      <c r="P590" s="110"/>
      <c r="Q590" s="110"/>
      <c r="R590" s="110"/>
      <c r="S590" s="110"/>
      <c r="T590" s="110"/>
      <c r="U590" s="110"/>
      <c r="V590" s="110"/>
      <c r="W590" s="110"/>
      <c r="X590" s="110"/>
      <c r="Y590" s="110"/>
      <c r="Z590" s="110"/>
      <c r="AA590" s="110"/>
      <c r="AB590" s="110"/>
      <c r="AC590" s="110"/>
      <c r="AD590" s="110"/>
      <c r="AE590" s="110"/>
      <c r="AF590" s="110"/>
      <c r="AG590" s="110"/>
      <c r="AH590" s="110"/>
    </row>
    <row r="591">
      <c r="A591" s="110"/>
      <c r="B591" s="110"/>
      <c r="C591" s="110"/>
      <c r="D591" s="110"/>
      <c r="E591" s="110"/>
      <c r="F591" s="110"/>
      <c r="G591" s="110"/>
      <c r="H591" s="110"/>
      <c r="I591" s="110"/>
      <c r="J591" s="110"/>
      <c r="K591" s="110"/>
      <c r="L591" s="110"/>
      <c r="M591" s="110"/>
      <c r="N591" s="110"/>
      <c r="O591" s="110"/>
      <c r="P591" s="110"/>
      <c r="Q591" s="110"/>
      <c r="R591" s="110"/>
      <c r="S591" s="110"/>
      <c r="T591" s="110"/>
      <c r="U591" s="110"/>
      <c r="V591" s="110"/>
      <c r="W591" s="110"/>
      <c r="X591" s="110"/>
      <c r="Y591" s="110"/>
      <c r="Z591" s="110"/>
      <c r="AA591" s="110"/>
      <c r="AB591" s="110"/>
      <c r="AC591" s="110"/>
      <c r="AD591" s="110"/>
      <c r="AE591" s="110"/>
      <c r="AF591" s="110"/>
      <c r="AG591" s="110"/>
      <c r="AH591" s="110"/>
    </row>
    <row r="592">
      <c r="A592" s="110"/>
      <c r="B592" s="110"/>
      <c r="C592" s="110"/>
      <c r="D592" s="110"/>
      <c r="E592" s="110"/>
      <c r="F592" s="110"/>
      <c r="G592" s="110"/>
      <c r="H592" s="110"/>
      <c r="I592" s="110"/>
      <c r="J592" s="110"/>
      <c r="K592" s="110"/>
      <c r="L592" s="110"/>
      <c r="M592" s="110"/>
      <c r="N592" s="110"/>
      <c r="O592" s="110"/>
      <c r="P592" s="110"/>
      <c r="Q592" s="110"/>
      <c r="R592" s="110"/>
      <c r="S592" s="110"/>
      <c r="T592" s="110"/>
      <c r="U592" s="110"/>
      <c r="V592" s="110"/>
      <c r="W592" s="110"/>
      <c r="X592" s="110"/>
      <c r="Y592" s="110"/>
      <c r="Z592" s="110"/>
      <c r="AA592" s="110"/>
      <c r="AB592" s="110"/>
      <c r="AC592" s="110"/>
      <c r="AD592" s="110"/>
      <c r="AE592" s="110"/>
      <c r="AF592" s="110"/>
      <c r="AG592" s="110"/>
      <c r="AH592" s="110"/>
    </row>
    <row r="593">
      <c r="A593" s="110"/>
      <c r="B593" s="110"/>
      <c r="C593" s="110"/>
      <c r="D593" s="110"/>
      <c r="E593" s="110"/>
      <c r="F593" s="110"/>
      <c r="G593" s="110"/>
      <c r="H593" s="110"/>
      <c r="I593" s="110"/>
      <c r="J593" s="110"/>
      <c r="K593" s="110"/>
      <c r="L593" s="110"/>
      <c r="M593" s="110"/>
      <c r="N593" s="110"/>
      <c r="O593" s="110"/>
      <c r="P593" s="110"/>
      <c r="Q593" s="110"/>
      <c r="R593" s="110"/>
      <c r="S593" s="110"/>
      <c r="T593" s="110"/>
      <c r="U593" s="110"/>
      <c r="V593" s="110"/>
      <c r="W593" s="110"/>
      <c r="X593" s="110"/>
      <c r="Y593" s="110"/>
      <c r="Z593" s="110"/>
      <c r="AA593" s="110"/>
      <c r="AB593" s="110"/>
      <c r="AC593" s="110"/>
      <c r="AD593" s="110"/>
      <c r="AE593" s="110"/>
      <c r="AF593" s="110"/>
      <c r="AG593" s="110"/>
      <c r="AH593" s="110"/>
    </row>
    <row r="594">
      <c r="A594" s="110"/>
      <c r="B594" s="110"/>
      <c r="C594" s="110"/>
      <c r="D594" s="110"/>
      <c r="E594" s="110"/>
      <c r="F594" s="110"/>
      <c r="G594" s="110"/>
      <c r="H594" s="110"/>
      <c r="I594" s="110"/>
      <c r="J594" s="110"/>
      <c r="K594" s="110"/>
      <c r="L594" s="110"/>
      <c r="M594" s="110"/>
      <c r="N594" s="110"/>
      <c r="O594" s="110"/>
      <c r="P594" s="110"/>
      <c r="Q594" s="110"/>
      <c r="R594" s="110"/>
      <c r="S594" s="110"/>
      <c r="T594" s="110"/>
      <c r="U594" s="110"/>
      <c r="V594" s="110"/>
      <c r="W594" s="110"/>
      <c r="X594" s="110"/>
      <c r="Y594" s="110"/>
      <c r="Z594" s="110"/>
      <c r="AA594" s="110"/>
      <c r="AB594" s="110"/>
      <c r="AC594" s="110"/>
      <c r="AD594" s="110"/>
      <c r="AE594" s="110"/>
      <c r="AF594" s="110"/>
      <c r="AG594" s="110"/>
      <c r="AH594" s="110"/>
    </row>
    <row r="595">
      <c r="A595" s="110"/>
      <c r="B595" s="110"/>
      <c r="C595" s="110"/>
      <c r="D595" s="110"/>
      <c r="E595" s="110"/>
      <c r="F595" s="110"/>
      <c r="G595" s="110"/>
      <c r="H595" s="110"/>
      <c r="I595" s="110"/>
      <c r="J595" s="110"/>
      <c r="K595" s="110"/>
      <c r="L595" s="110"/>
      <c r="M595" s="110"/>
      <c r="N595" s="110"/>
      <c r="O595" s="110"/>
      <c r="P595" s="110"/>
      <c r="Q595" s="110"/>
      <c r="R595" s="110"/>
      <c r="S595" s="110"/>
      <c r="T595" s="110"/>
      <c r="U595" s="110"/>
      <c r="V595" s="110"/>
      <c r="W595" s="110"/>
      <c r="X595" s="110"/>
      <c r="Y595" s="110"/>
      <c r="Z595" s="110"/>
      <c r="AA595" s="110"/>
      <c r="AB595" s="110"/>
      <c r="AC595" s="110"/>
      <c r="AD595" s="110"/>
      <c r="AE595" s="110"/>
      <c r="AF595" s="110"/>
      <c r="AG595" s="110"/>
      <c r="AH595" s="110"/>
    </row>
    <row r="596">
      <c r="A596" s="110"/>
      <c r="B596" s="110"/>
      <c r="C596" s="110"/>
      <c r="D596" s="110"/>
      <c r="E596" s="110"/>
      <c r="F596" s="110"/>
      <c r="G596" s="110"/>
      <c r="H596" s="110"/>
      <c r="I596" s="110"/>
      <c r="J596" s="110"/>
      <c r="K596" s="110"/>
      <c r="L596" s="110"/>
      <c r="M596" s="110"/>
      <c r="N596" s="110"/>
      <c r="O596" s="110"/>
      <c r="P596" s="110"/>
      <c r="Q596" s="110"/>
      <c r="R596" s="110"/>
      <c r="S596" s="110"/>
      <c r="T596" s="110"/>
      <c r="U596" s="110"/>
      <c r="V596" s="110"/>
      <c r="W596" s="110"/>
      <c r="X596" s="110"/>
      <c r="Y596" s="110"/>
      <c r="Z596" s="110"/>
      <c r="AA596" s="110"/>
      <c r="AB596" s="110"/>
      <c r="AC596" s="110"/>
      <c r="AD596" s="110"/>
      <c r="AE596" s="110"/>
      <c r="AF596" s="110"/>
      <c r="AG596" s="110"/>
      <c r="AH596" s="110"/>
    </row>
    <row r="597">
      <c r="A597" s="110"/>
      <c r="B597" s="110"/>
      <c r="C597" s="110"/>
      <c r="D597" s="110"/>
      <c r="E597" s="110"/>
      <c r="F597" s="110"/>
      <c r="G597" s="110"/>
      <c r="H597" s="110"/>
      <c r="I597" s="110"/>
      <c r="J597" s="110"/>
      <c r="K597" s="110"/>
      <c r="L597" s="110"/>
      <c r="M597" s="110"/>
      <c r="N597" s="110"/>
      <c r="O597" s="110"/>
      <c r="P597" s="110"/>
      <c r="Q597" s="110"/>
      <c r="R597" s="110"/>
      <c r="S597" s="110"/>
      <c r="T597" s="110"/>
      <c r="U597" s="110"/>
      <c r="V597" s="110"/>
      <c r="W597" s="110"/>
      <c r="X597" s="110"/>
      <c r="Y597" s="110"/>
      <c r="Z597" s="110"/>
      <c r="AA597" s="110"/>
      <c r="AB597" s="110"/>
      <c r="AC597" s="110"/>
      <c r="AD597" s="110"/>
      <c r="AE597" s="110"/>
      <c r="AF597" s="110"/>
      <c r="AG597" s="110"/>
      <c r="AH597" s="110"/>
    </row>
    <row r="598">
      <c r="A598" s="110"/>
      <c r="B598" s="110"/>
      <c r="C598" s="110"/>
      <c r="D598" s="110"/>
      <c r="E598" s="110"/>
      <c r="F598" s="110"/>
      <c r="G598" s="110"/>
      <c r="H598" s="110"/>
      <c r="I598" s="110"/>
      <c r="J598" s="110"/>
      <c r="K598" s="110"/>
      <c r="L598" s="110"/>
      <c r="M598" s="110"/>
      <c r="N598" s="110"/>
      <c r="O598" s="110"/>
      <c r="P598" s="110"/>
      <c r="Q598" s="110"/>
      <c r="R598" s="110"/>
      <c r="S598" s="110"/>
      <c r="T598" s="110"/>
      <c r="U598" s="110"/>
      <c r="V598" s="110"/>
      <c r="W598" s="110"/>
      <c r="X598" s="110"/>
      <c r="Y598" s="110"/>
      <c r="Z598" s="110"/>
      <c r="AA598" s="110"/>
      <c r="AB598" s="110"/>
      <c r="AC598" s="110"/>
      <c r="AD598" s="110"/>
      <c r="AE598" s="110"/>
      <c r="AF598" s="110"/>
      <c r="AG598" s="110"/>
      <c r="AH598" s="110"/>
    </row>
    <row r="599">
      <c r="A599" s="110"/>
      <c r="B599" s="110"/>
      <c r="C599" s="110"/>
      <c r="D599" s="110"/>
      <c r="E599" s="110"/>
      <c r="F599" s="110"/>
      <c r="G599" s="110"/>
      <c r="H599" s="110"/>
      <c r="I599" s="110"/>
      <c r="J599" s="110"/>
      <c r="K599" s="110"/>
      <c r="L599" s="110"/>
      <c r="M599" s="110"/>
      <c r="N599" s="110"/>
      <c r="O599" s="110"/>
      <c r="P599" s="110"/>
      <c r="Q599" s="110"/>
      <c r="R599" s="110"/>
      <c r="S599" s="110"/>
      <c r="T599" s="110"/>
      <c r="U599" s="110"/>
      <c r="V599" s="110"/>
      <c r="W599" s="110"/>
      <c r="X599" s="110"/>
      <c r="Y599" s="110"/>
      <c r="Z599" s="110"/>
      <c r="AA599" s="110"/>
      <c r="AB599" s="110"/>
      <c r="AC599" s="110"/>
      <c r="AD599" s="110"/>
      <c r="AE599" s="110"/>
      <c r="AF599" s="110"/>
      <c r="AG599" s="110"/>
      <c r="AH599" s="110"/>
    </row>
    <row r="600">
      <c r="A600" s="110"/>
      <c r="B600" s="110"/>
      <c r="C600" s="110"/>
      <c r="D600" s="110"/>
      <c r="E600" s="110"/>
      <c r="F600" s="110"/>
      <c r="G600" s="110"/>
      <c r="H600" s="110"/>
      <c r="I600" s="110"/>
      <c r="J600" s="110"/>
      <c r="K600" s="110"/>
      <c r="L600" s="110"/>
      <c r="M600" s="110"/>
      <c r="N600" s="110"/>
      <c r="O600" s="110"/>
      <c r="P600" s="110"/>
      <c r="Q600" s="110"/>
      <c r="R600" s="110"/>
      <c r="S600" s="110"/>
      <c r="T600" s="110"/>
      <c r="U600" s="110"/>
      <c r="V600" s="110"/>
      <c r="W600" s="110"/>
      <c r="X600" s="110"/>
      <c r="Y600" s="110"/>
      <c r="Z600" s="110"/>
      <c r="AA600" s="110"/>
      <c r="AB600" s="110"/>
      <c r="AC600" s="110"/>
      <c r="AD600" s="110"/>
      <c r="AE600" s="110"/>
      <c r="AF600" s="110"/>
      <c r="AG600" s="110"/>
      <c r="AH600" s="110"/>
    </row>
    <row r="601">
      <c r="A601" s="110"/>
      <c r="B601" s="110"/>
      <c r="C601" s="110"/>
      <c r="D601" s="110"/>
      <c r="E601" s="110"/>
      <c r="F601" s="110"/>
      <c r="G601" s="110"/>
      <c r="H601" s="110"/>
      <c r="I601" s="110"/>
      <c r="J601" s="110"/>
      <c r="K601" s="110"/>
      <c r="L601" s="110"/>
      <c r="M601" s="110"/>
      <c r="N601" s="110"/>
      <c r="O601" s="110"/>
      <c r="P601" s="110"/>
      <c r="Q601" s="110"/>
      <c r="R601" s="110"/>
      <c r="S601" s="110"/>
      <c r="T601" s="110"/>
      <c r="U601" s="110"/>
      <c r="V601" s="110"/>
      <c r="W601" s="110"/>
      <c r="X601" s="110"/>
      <c r="Y601" s="110"/>
      <c r="Z601" s="110"/>
      <c r="AA601" s="110"/>
      <c r="AB601" s="110"/>
      <c r="AC601" s="110"/>
      <c r="AD601" s="110"/>
      <c r="AE601" s="110"/>
      <c r="AF601" s="110"/>
      <c r="AG601" s="110"/>
      <c r="AH601" s="110"/>
    </row>
    <row r="602">
      <c r="A602" s="110"/>
      <c r="B602" s="110"/>
      <c r="C602" s="110"/>
      <c r="D602" s="110"/>
      <c r="E602" s="110"/>
      <c r="F602" s="110"/>
      <c r="G602" s="110"/>
      <c r="H602" s="110"/>
      <c r="I602" s="110"/>
      <c r="J602" s="110"/>
      <c r="K602" s="110"/>
      <c r="L602" s="110"/>
      <c r="M602" s="110"/>
      <c r="N602" s="110"/>
      <c r="O602" s="110"/>
      <c r="P602" s="110"/>
      <c r="Q602" s="110"/>
      <c r="R602" s="110"/>
      <c r="S602" s="110"/>
      <c r="T602" s="110"/>
      <c r="U602" s="110"/>
      <c r="V602" s="110"/>
      <c r="W602" s="110"/>
      <c r="X602" s="110"/>
      <c r="Y602" s="110"/>
      <c r="Z602" s="110"/>
      <c r="AA602" s="110"/>
      <c r="AB602" s="110"/>
      <c r="AC602" s="110"/>
      <c r="AD602" s="110"/>
      <c r="AE602" s="110"/>
      <c r="AF602" s="110"/>
      <c r="AG602" s="110"/>
      <c r="AH602" s="110"/>
    </row>
    <row r="603">
      <c r="A603" s="110"/>
      <c r="B603" s="110"/>
      <c r="C603" s="110"/>
      <c r="D603" s="110"/>
      <c r="E603" s="110"/>
      <c r="F603" s="110"/>
      <c r="G603" s="110"/>
      <c r="H603" s="110"/>
      <c r="I603" s="110"/>
      <c r="J603" s="110"/>
      <c r="K603" s="110"/>
      <c r="L603" s="110"/>
      <c r="M603" s="110"/>
      <c r="N603" s="110"/>
      <c r="O603" s="110"/>
      <c r="P603" s="110"/>
      <c r="Q603" s="110"/>
      <c r="R603" s="110"/>
      <c r="S603" s="110"/>
      <c r="T603" s="110"/>
      <c r="U603" s="110"/>
      <c r="V603" s="110"/>
      <c r="W603" s="110"/>
      <c r="X603" s="110"/>
      <c r="Y603" s="110"/>
      <c r="Z603" s="110"/>
      <c r="AA603" s="110"/>
      <c r="AB603" s="110"/>
      <c r="AC603" s="110"/>
      <c r="AD603" s="110"/>
      <c r="AE603" s="110"/>
      <c r="AF603" s="110"/>
      <c r="AG603" s="110"/>
      <c r="AH603" s="110"/>
    </row>
    <row r="604">
      <c r="A604" s="110"/>
      <c r="B604" s="110"/>
      <c r="C604" s="110"/>
      <c r="D604" s="110"/>
      <c r="E604" s="110"/>
      <c r="F604" s="110"/>
      <c r="G604" s="110"/>
      <c r="H604" s="110"/>
      <c r="I604" s="110"/>
      <c r="J604" s="110"/>
      <c r="K604" s="110"/>
      <c r="L604" s="110"/>
      <c r="M604" s="110"/>
      <c r="N604" s="110"/>
      <c r="O604" s="110"/>
      <c r="P604" s="110"/>
      <c r="Q604" s="110"/>
      <c r="R604" s="110"/>
      <c r="S604" s="110"/>
      <c r="T604" s="110"/>
      <c r="U604" s="110"/>
      <c r="V604" s="110"/>
      <c r="W604" s="110"/>
      <c r="X604" s="110"/>
      <c r="Y604" s="110"/>
      <c r="Z604" s="110"/>
      <c r="AA604" s="110"/>
      <c r="AB604" s="110"/>
      <c r="AC604" s="110"/>
      <c r="AD604" s="110"/>
      <c r="AE604" s="110"/>
      <c r="AF604" s="110"/>
      <c r="AG604" s="110"/>
      <c r="AH604" s="110"/>
    </row>
    <row r="605">
      <c r="A605" s="110"/>
      <c r="B605" s="110"/>
      <c r="C605" s="110"/>
      <c r="D605" s="110"/>
      <c r="E605" s="110"/>
      <c r="F605" s="110"/>
      <c r="G605" s="110"/>
      <c r="H605" s="110"/>
      <c r="I605" s="110"/>
      <c r="J605" s="110"/>
      <c r="K605" s="110"/>
      <c r="L605" s="110"/>
      <c r="M605" s="110"/>
      <c r="N605" s="110"/>
      <c r="O605" s="110"/>
      <c r="P605" s="110"/>
      <c r="Q605" s="110"/>
      <c r="R605" s="110"/>
      <c r="S605" s="110"/>
      <c r="T605" s="110"/>
      <c r="U605" s="110"/>
      <c r="V605" s="110"/>
      <c r="W605" s="110"/>
      <c r="X605" s="110"/>
      <c r="Y605" s="110"/>
      <c r="Z605" s="110"/>
      <c r="AA605" s="110"/>
      <c r="AB605" s="110"/>
      <c r="AC605" s="110"/>
      <c r="AD605" s="110"/>
      <c r="AE605" s="110"/>
      <c r="AF605" s="110"/>
      <c r="AG605" s="110"/>
      <c r="AH605" s="110"/>
    </row>
    <row r="606">
      <c r="A606" s="110"/>
      <c r="B606" s="110"/>
      <c r="C606" s="110"/>
      <c r="D606" s="110"/>
      <c r="E606" s="110"/>
      <c r="F606" s="110"/>
      <c r="G606" s="110"/>
      <c r="H606" s="110"/>
      <c r="I606" s="110"/>
      <c r="J606" s="110"/>
      <c r="K606" s="110"/>
      <c r="L606" s="110"/>
      <c r="M606" s="110"/>
      <c r="N606" s="110"/>
      <c r="O606" s="110"/>
      <c r="P606" s="110"/>
      <c r="Q606" s="110"/>
      <c r="R606" s="110"/>
      <c r="S606" s="110"/>
      <c r="T606" s="110"/>
      <c r="U606" s="110"/>
      <c r="V606" s="110"/>
      <c r="W606" s="110"/>
      <c r="X606" s="110"/>
      <c r="Y606" s="110"/>
      <c r="Z606" s="110"/>
      <c r="AA606" s="110"/>
      <c r="AB606" s="110"/>
      <c r="AC606" s="110"/>
      <c r="AD606" s="110"/>
      <c r="AE606" s="110"/>
      <c r="AF606" s="110"/>
      <c r="AG606" s="110"/>
      <c r="AH606" s="110"/>
    </row>
    <row r="607">
      <c r="A607" s="110"/>
      <c r="B607" s="110"/>
      <c r="C607" s="110"/>
      <c r="D607" s="110"/>
      <c r="E607" s="110"/>
      <c r="F607" s="110"/>
      <c r="G607" s="110"/>
      <c r="H607" s="110"/>
      <c r="I607" s="110"/>
      <c r="J607" s="110"/>
      <c r="K607" s="110"/>
      <c r="L607" s="110"/>
      <c r="M607" s="110"/>
      <c r="N607" s="110"/>
      <c r="O607" s="110"/>
      <c r="P607" s="110"/>
      <c r="Q607" s="110"/>
      <c r="R607" s="110"/>
      <c r="S607" s="110"/>
      <c r="T607" s="110"/>
      <c r="U607" s="110"/>
      <c r="V607" s="110"/>
      <c r="W607" s="110"/>
      <c r="X607" s="110"/>
      <c r="Y607" s="110"/>
      <c r="Z607" s="110"/>
      <c r="AA607" s="110"/>
      <c r="AB607" s="110"/>
      <c r="AC607" s="110"/>
      <c r="AD607" s="110"/>
      <c r="AE607" s="110"/>
      <c r="AF607" s="110"/>
      <c r="AG607" s="110"/>
      <c r="AH607" s="110"/>
    </row>
    <row r="608">
      <c r="A608" s="110"/>
      <c r="B608" s="110"/>
      <c r="C608" s="110"/>
      <c r="D608" s="110"/>
      <c r="E608" s="110"/>
      <c r="F608" s="110"/>
      <c r="G608" s="110"/>
      <c r="H608" s="110"/>
      <c r="I608" s="110"/>
      <c r="J608" s="110"/>
      <c r="K608" s="110"/>
      <c r="L608" s="110"/>
      <c r="M608" s="110"/>
      <c r="N608" s="110"/>
      <c r="O608" s="110"/>
      <c r="P608" s="110"/>
      <c r="Q608" s="110"/>
      <c r="R608" s="110"/>
      <c r="S608" s="110"/>
      <c r="T608" s="110"/>
      <c r="U608" s="110"/>
      <c r="V608" s="110"/>
      <c r="W608" s="110"/>
      <c r="X608" s="110"/>
      <c r="Y608" s="110"/>
      <c r="Z608" s="110"/>
      <c r="AA608" s="110"/>
      <c r="AB608" s="110"/>
      <c r="AC608" s="110"/>
      <c r="AD608" s="110"/>
      <c r="AE608" s="110"/>
      <c r="AF608" s="110"/>
      <c r="AG608" s="110"/>
      <c r="AH608" s="110"/>
    </row>
    <row r="609">
      <c r="A609" s="110"/>
      <c r="B609" s="110"/>
      <c r="C609" s="110"/>
      <c r="D609" s="110"/>
      <c r="E609" s="110"/>
      <c r="F609" s="110"/>
      <c r="G609" s="110"/>
      <c r="H609" s="110"/>
      <c r="I609" s="110"/>
      <c r="J609" s="110"/>
      <c r="K609" s="110"/>
      <c r="L609" s="110"/>
      <c r="M609" s="110"/>
      <c r="N609" s="110"/>
      <c r="O609" s="110"/>
      <c r="P609" s="110"/>
      <c r="Q609" s="110"/>
      <c r="R609" s="110"/>
      <c r="S609" s="110"/>
      <c r="T609" s="110"/>
      <c r="U609" s="110"/>
      <c r="V609" s="110"/>
      <c r="W609" s="110"/>
      <c r="X609" s="110"/>
      <c r="Y609" s="110"/>
      <c r="Z609" s="110"/>
      <c r="AA609" s="110"/>
      <c r="AB609" s="110"/>
      <c r="AC609" s="110"/>
      <c r="AD609" s="110"/>
      <c r="AE609" s="110"/>
      <c r="AF609" s="110"/>
      <c r="AG609" s="110"/>
      <c r="AH609" s="110"/>
    </row>
    <row r="610">
      <c r="A610" s="110"/>
      <c r="B610" s="110"/>
      <c r="C610" s="110"/>
      <c r="D610" s="110"/>
      <c r="E610" s="110"/>
      <c r="F610" s="110"/>
      <c r="G610" s="110"/>
      <c r="H610" s="110"/>
      <c r="I610" s="110"/>
      <c r="J610" s="110"/>
      <c r="K610" s="110"/>
      <c r="L610" s="110"/>
      <c r="M610" s="110"/>
      <c r="N610" s="110"/>
      <c r="O610" s="110"/>
      <c r="P610" s="110"/>
      <c r="Q610" s="110"/>
      <c r="R610" s="110"/>
      <c r="S610" s="110"/>
      <c r="T610" s="110"/>
      <c r="U610" s="110"/>
      <c r="V610" s="110"/>
      <c r="W610" s="110"/>
      <c r="X610" s="110"/>
      <c r="Y610" s="110"/>
      <c r="Z610" s="110"/>
      <c r="AA610" s="110"/>
      <c r="AB610" s="110"/>
      <c r="AC610" s="110"/>
      <c r="AD610" s="110"/>
      <c r="AE610" s="110"/>
      <c r="AF610" s="110"/>
      <c r="AG610" s="110"/>
      <c r="AH610" s="110"/>
    </row>
    <row r="611">
      <c r="A611" s="110"/>
      <c r="B611" s="110"/>
      <c r="C611" s="110"/>
      <c r="D611" s="110"/>
      <c r="E611" s="110"/>
      <c r="F611" s="110"/>
      <c r="G611" s="110"/>
      <c r="H611" s="110"/>
      <c r="I611" s="110"/>
      <c r="J611" s="110"/>
      <c r="K611" s="110"/>
      <c r="L611" s="110"/>
      <c r="M611" s="110"/>
      <c r="N611" s="110"/>
      <c r="O611" s="110"/>
      <c r="P611" s="110"/>
      <c r="Q611" s="110"/>
      <c r="R611" s="110"/>
      <c r="S611" s="110"/>
      <c r="T611" s="110"/>
      <c r="U611" s="110"/>
      <c r="V611" s="110"/>
      <c r="W611" s="110"/>
      <c r="X611" s="110"/>
      <c r="Y611" s="110"/>
      <c r="Z611" s="110"/>
      <c r="AA611" s="110"/>
      <c r="AB611" s="110"/>
      <c r="AC611" s="110"/>
      <c r="AD611" s="110"/>
      <c r="AE611" s="110"/>
      <c r="AF611" s="110"/>
      <c r="AG611" s="110"/>
      <c r="AH611" s="110"/>
    </row>
    <row r="612">
      <c r="A612" s="110"/>
      <c r="B612" s="110"/>
      <c r="C612" s="110"/>
      <c r="D612" s="110"/>
      <c r="E612" s="110"/>
      <c r="F612" s="110"/>
      <c r="G612" s="110"/>
      <c r="H612" s="110"/>
      <c r="I612" s="110"/>
      <c r="J612" s="110"/>
      <c r="K612" s="110"/>
      <c r="L612" s="110"/>
      <c r="M612" s="110"/>
      <c r="N612" s="110"/>
      <c r="O612" s="110"/>
      <c r="P612" s="110"/>
      <c r="Q612" s="110"/>
      <c r="R612" s="110"/>
      <c r="S612" s="110"/>
      <c r="T612" s="110"/>
      <c r="U612" s="110"/>
      <c r="V612" s="110"/>
      <c r="W612" s="110"/>
      <c r="X612" s="110"/>
      <c r="Y612" s="110"/>
      <c r="Z612" s="110"/>
      <c r="AA612" s="110"/>
      <c r="AB612" s="110"/>
      <c r="AC612" s="110"/>
      <c r="AD612" s="110"/>
      <c r="AE612" s="110"/>
      <c r="AF612" s="110"/>
      <c r="AG612" s="110"/>
      <c r="AH612" s="110"/>
    </row>
    <row r="613">
      <c r="A613" s="110"/>
      <c r="B613" s="110"/>
      <c r="C613" s="110"/>
      <c r="D613" s="110"/>
      <c r="E613" s="110"/>
      <c r="F613" s="110"/>
      <c r="G613" s="110"/>
      <c r="H613" s="110"/>
      <c r="I613" s="110"/>
      <c r="J613" s="110"/>
      <c r="K613" s="110"/>
      <c r="L613" s="110"/>
      <c r="M613" s="110"/>
      <c r="N613" s="110"/>
      <c r="O613" s="110"/>
      <c r="P613" s="110"/>
      <c r="Q613" s="110"/>
      <c r="R613" s="110"/>
      <c r="S613" s="110"/>
      <c r="T613" s="110"/>
      <c r="U613" s="110"/>
      <c r="V613" s="110"/>
      <c r="W613" s="110"/>
      <c r="X613" s="110"/>
      <c r="Y613" s="110"/>
      <c r="Z613" s="110"/>
      <c r="AA613" s="110"/>
      <c r="AB613" s="110"/>
      <c r="AC613" s="110"/>
      <c r="AD613" s="110"/>
      <c r="AE613" s="110"/>
      <c r="AF613" s="110"/>
      <c r="AG613" s="110"/>
      <c r="AH613" s="110"/>
    </row>
    <row r="614">
      <c r="A614" s="110"/>
      <c r="B614" s="110"/>
      <c r="C614" s="110"/>
      <c r="D614" s="110"/>
      <c r="E614" s="110"/>
      <c r="F614" s="110"/>
      <c r="G614" s="110"/>
      <c r="H614" s="110"/>
      <c r="I614" s="110"/>
      <c r="J614" s="110"/>
      <c r="K614" s="110"/>
      <c r="L614" s="110"/>
      <c r="M614" s="110"/>
      <c r="N614" s="110"/>
      <c r="O614" s="110"/>
      <c r="P614" s="110"/>
      <c r="Q614" s="110"/>
      <c r="R614" s="110"/>
      <c r="S614" s="110"/>
      <c r="T614" s="110"/>
      <c r="U614" s="110"/>
      <c r="V614" s="110"/>
      <c r="W614" s="110"/>
      <c r="X614" s="110"/>
      <c r="Y614" s="110"/>
      <c r="Z614" s="110"/>
      <c r="AA614" s="110"/>
      <c r="AB614" s="110"/>
      <c r="AC614" s="110"/>
      <c r="AD614" s="110"/>
      <c r="AE614" s="110"/>
      <c r="AF614" s="110"/>
      <c r="AG614" s="110"/>
      <c r="AH614" s="110"/>
    </row>
    <row r="615">
      <c r="A615" s="110"/>
      <c r="B615" s="110"/>
      <c r="C615" s="110"/>
      <c r="D615" s="110"/>
      <c r="E615" s="110"/>
      <c r="F615" s="110"/>
      <c r="G615" s="110"/>
      <c r="H615" s="110"/>
      <c r="I615" s="110"/>
      <c r="J615" s="110"/>
      <c r="K615" s="110"/>
      <c r="L615" s="110"/>
      <c r="M615" s="110"/>
      <c r="N615" s="110"/>
      <c r="O615" s="110"/>
      <c r="P615" s="110"/>
      <c r="Q615" s="110"/>
      <c r="R615" s="110"/>
      <c r="S615" s="110"/>
      <c r="T615" s="110"/>
      <c r="U615" s="110"/>
      <c r="V615" s="110"/>
      <c r="W615" s="110"/>
      <c r="X615" s="110"/>
      <c r="Y615" s="110"/>
      <c r="Z615" s="110"/>
      <c r="AA615" s="110"/>
      <c r="AB615" s="110"/>
      <c r="AC615" s="110"/>
      <c r="AD615" s="110"/>
      <c r="AE615" s="110"/>
      <c r="AF615" s="110"/>
      <c r="AG615" s="110"/>
      <c r="AH615" s="110"/>
    </row>
    <row r="616">
      <c r="A616" s="110"/>
      <c r="B616" s="110"/>
      <c r="C616" s="110"/>
      <c r="D616" s="110"/>
      <c r="E616" s="110"/>
      <c r="F616" s="110"/>
      <c r="G616" s="110"/>
      <c r="H616" s="110"/>
      <c r="I616" s="110"/>
      <c r="J616" s="110"/>
      <c r="K616" s="110"/>
      <c r="L616" s="110"/>
      <c r="M616" s="110"/>
      <c r="N616" s="110"/>
      <c r="O616" s="110"/>
      <c r="P616" s="110"/>
      <c r="Q616" s="110"/>
      <c r="R616" s="110"/>
      <c r="S616" s="110"/>
      <c r="T616" s="110"/>
      <c r="U616" s="110"/>
      <c r="V616" s="110"/>
      <c r="W616" s="110"/>
      <c r="X616" s="110"/>
      <c r="Y616" s="110"/>
      <c r="Z616" s="110"/>
      <c r="AA616" s="110"/>
      <c r="AB616" s="110"/>
      <c r="AC616" s="110"/>
      <c r="AD616" s="110"/>
      <c r="AE616" s="110"/>
      <c r="AF616" s="110"/>
      <c r="AG616" s="110"/>
      <c r="AH616" s="110"/>
    </row>
    <row r="617">
      <c r="A617" s="110"/>
      <c r="B617" s="110"/>
      <c r="C617" s="110"/>
      <c r="D617" s="110"/>
      <c r="E617" s="110"/>
      <c r="F617" s="110"/>
      <c r="G617" s="110"/>
      <c r="H617" s="110"/>
      <c r="I617" s="110"/>
      <c r="J617" s="110"/>
      <c r="K617" s="110"/>
      <c r="L617" s="110"/>
      <c r="M617" s="110"/>
      <c r="N617" s="110"/>
      <c r="O617" s="110"/>
      <c r="P617" s="110"/>
      <c r="Q617" s="110"/>
      <c r="R617" s="110"/>
      <c r="S617" s="110"/>
      <c r="T617" s="110"/>
      <c r="U617" s="110"/>
      <c r="V617" s="110"/>
      <c r="W617" s="110"/>
      <c r="X617" s="110"/>
      <c r="Y617" s="110"/>
      <c r="Z617" s="110"/>
      <c r="AA617" s="110"/>
      <c r="AB617" s="110"/>
      <c r="AC617" s="110"/>
      <c r="AD617" s="110"/>
      <c r="AE617" s="110"/>
      <c r="AF617" s="110"/>
      <c r="AG617" s="110"/>
      <c r="AH617" s="110"/>
    </row>
    <row r="618">
      <c r="A618" s="110"/>
      <c r="B618" s="110"/>
      <c r="C618" s="110"/>
      <c r="D618" s="110"/>
      <c r="E618" s="110"/>
      <c r="F618" s="110"/>
      <c r="G618" s="110"/>
      <c r="H618" s="110"/>
      <c r="I618" s="110"/>
      <c r="J618" s="110"/>
      <c r="K618" s="110"/>
      <c r="L618" s="110"/>
      <c r="M618" s="110"/>
      <c r="N618" s="110"/>
      <c r="O618" s="110"/>
      <c r="P618" s="110"/>
      <c r="Q618" s="110"/>
      <c r="R618" s="110"/>
      <c r="S618" s="110"/>
      <c r="T618" s="110"/>
      <c r="U618" s="110"/>
      <c r="V618" s="110"/>
      <c r="W618" s="110"/>
      <c r="X618" s="110"/>
      <c r="Y618" s="110"/>
      <c r="Z618" s="110"/>
      <c r="AA618" s="110"/>
      <c r="AB618" s="110"/>
      <c r="AC618" s="110"/>
      <c r="AD618" s="110"/>
      <c r="AE618" s="110"/>
      <c r="AF618" s="110"/>
      <c r="AG618" s="110"/>
      <c r="AH618" s="110"/>
    </row>
    <row r="619">
      <c r="A619" s="110"/>
      <c r="B619" s="110"/>
      <c r="C619" s="110"/>
      <c r="D619" s="110"/>
      <c r="E619" s="110"/>
      <c r="F619" s="110"/>
      <c r="G619" s="110"/>
      <c r="H619" s="110"/>
      <c r="I619" s="110"/>
      <c r="J619" s="110"/>
      <c r="K619" s="110"/>
      <c r="L619" s="110"/>
      <c r="M619" s="110"/>
      <c r="N619" s="110"/>
      <c r="O619" s="110"/>
      <c r="P619" s="110"/>
      <c r="Q619" s="110"/>
      <c r="R619" s="110"/>
      <c r="S619" s="110"/>
      <c r="T619" s="110"/>
      <c r="U619" s="110"/>
      <c r="V619" s="110"/>
      <c r="W619" s="110"/>
      <c r="X619" s="110"/>
      <c r="Y619" s="110"/>
      <c r="Z619" s="110"/>
      <c r="AA619" s="110"/>
      <c r="AB619" s="110"/>
      <c r="AC619" s="110"/>
      <c r="AD619" s="110"/>
      <c r="AE619" s="110"/>
      <c r="AF619" s="110"/>
      <c r="AG619" s="110"/>
      <c r="AH619" s="110"/>
    </row>
    <row r="620">
      <c r="A620" s="110"/>
      <c r="B620" s="110"/>
      <c r="C620" s="110"/>
      <c r="D620" s="110"/>
      <c r="E620" s="110"/>
      <c r="F620" s="110"/>
      <c r="G620" s="110"/>
      <c r="H620" s="110"/>
      <c r="I620" s="110"/>
      <c r="J620" s="110"/>
      <c r="K620" s="110"/>
      <c r="L620" s="110"/>
      <c r="M620" s="110"/>
      <c r="N620" s="110"/>
      <c r="O620" s="110"/>
      <c r="P620" s="110"/>
      <c r="Q620" s="110"/>
      <c r="R620" s="110"/>
      <c r="S620" s="110"/>
      <c r="T620" s="110"/>
      <c r="U620" s="110"/>
      <c r="V620" s="110"/>
      <c r="W620" s="110"/>
      <c r="X620" s="110"/>
      <c r="Y620" s="110"/>
      <c r="Z620" s="110"/>
      <c r="AA620" s="110"/>
      <c r="AB620" s="110"/>
      <c r="AC620" s="110"/>
      <c r="AD620" s="110"/>
      <c r="AE620" s="110"/>
      <c r="AF620" s="110"/>
      <c r="AG620" s="110"/>
      <c r="AH620" s="110"/>
    </row>
    <row r="621">
      <c r="A621" s="110"/>
      <c r="B621" s="110"/>
      <c r="C621" s="110"/>
      <c r="D621" s="110"/>
      <c r="E621" s="110"/>
      <c r="F621" s="110"/>
      <c r="G621" s="110"/>
      <c r="H621" s="110"/>
      <c r="I621" s="110"/>
      <c r="J621" s="110"/>
      <c r="K621" s="110"/>
      <c r="L621" s="110"/>
      <c r="M621" s="110"/>
      <c r="N621" s="110"/>
      <c r="O621" s="110"/>
      <c r="P621" s="110"/>
      <c r="Q621" s="110"/>
      <c r="R621" s="110"/>
      <c r="S621" s="110"/>
      <c r="T621" s="110"/>
      <c r="U621" s="110"/>
      <c r="V621" s="110"/>
      <c r="W621" s="110"/>
      <c r="X621" s="110"/>
      <c r="Y621" s="110"/>
      <c r="Z621" s="110"/>
      <c r="AA621" s="110"/>
      <c r="AB621" s="110"/>
      <c r="AC621" s="110"/>
      <c r="AD621" s="110"/>
      <c r="AE621" s="110"/>
      <c r="AF621" s="110"/>
      <c r="AG621" s="110"/>
      <c r="AH621" s="110"/>
    </row>
    <row r="622">
      <c r="A622" s="110"/>
      <c r="B622" s="110"/>
      <c r="C622" s="110"/>
      <c r="D622" s="110"/>
      <c r="E622" s="110"/>
      <c r="F622" s="110"/>
      <c r="G622" s="110"/>
      <c r="H622" s="110"/>
      <c r="I622" s="110"/>
      <c r="J622" s="110"/>
      <c r="K622" s="110"/>
      <c r="L622" s="110"/>
      <c r="M622" s="110"/>
      <c r="N622" s="110"/>
      <c r="O622" s="110"/>
      <c r="P622" s="110"/>
      <c r="Q622" s="110"/>
      <c r="R622" s="110"/>
      <c r="S622" s="110"/>
      <c r="T622" s="110"/>
      <c r="U622" s="110"/>
      <c r="V622" s="110"/>
      <c r="W622" s="110"/>
      <c r="X622" s="110"/>
      <c r="Y622" s="110"/>
      <c r="Z622" s="110"/>
      <c r="AA622" s="110"/>
      <c r="AB622" s="110"/>
      <c r="AC622" s="110"/>
      <c r="AD622" s="110"/>
      <c r="AE622" s="110"/>
      <c r="AF622" s="110"/>
      <c r="AG622" s="110"/>
      <c r="AH622" s="110"/>
    </row>
    <row r="623">
      <c r="A623" s="110"/>
      <c r="B623" s="110"/>
      <c r="C623" s="110"/>
      <c r="D623" s="110"/>
      <c r="E623" s="110"/>
      <c r="F623" s="110"/>
      <c r="G623" s="110"/>
      <c r="H623" s="110"/>
      <c r="I623" s="110"/>
      <c r="J623" s="110"/>
      <c r="K623" s="110"/>
      <c r="L623" s="110"/>
      <c r="M623" s="110"/>
      <c r="N623" s="110"/>
      <c r="O623" s="110"/>
      <c r="P623" s="110"/>
      <c r="Q623" s="110"/>
      <c r="R623" s="110"/>
      <c r="S623" s="110"/>
      <c r="T623" s="110"/>
      <c r="U623" s="110"/>
      <c r="V623" s="110"/>
      <c r="W623" s="110"/>
      <c r="X623" s="110"/>
      <c r="Y623" s="110"/>
      <c r="Z623" s="110"/>
      <c r="AA623" s="110"/>
      <c r="AB623" s="110"/>
      <c r="AC623" s="110"/>
      <c r="AD623" s="110"/>
      <c r="AE623" s="110"/>
      <c r="AF623" s="110"/>
      <c r="AG623" s="110"/>
      <c r="AH623" s="110"/>
    </row>
    <row r="624">
      <c r="A624" s="110"/>
      <c r="B624" s="110"/>
      <c r="C624" s="110"/>
      <c r="D624" s="110"/>
      <c r="E624" s="110"/>
      <c r="F624" s="110"/>
      <c r="G624" s="110"/>
      <c r="H624" s="110"/>
      <c r="I624" s="110"/>
      <c r="J624" s="110"/>
      <c r="K624" s="110"/>
      <c r="L624" s="110"/>
      <c r="M624" s="110"/>
      <c r="N624" s="110"/>
      <c r="O624" s="110"/>
      <c r="P624" s="110"/>
      <c r="Q624" s="110"/>
      <c r="R624" s="110"/>
      <c r="S624" s="110"/>
      <c r="T624" s="110"/>
      <c r="U624" s="110"/>
      <c r="V624" s="110"/>
      <c r="W624" s="110"/>
      <c r="X624" s="110"/>
      <c r="Y624" s="110"/>
      <c r="Z624" s="110"/>
      <c r="AA624" s="110"/>
      <c r="AB624" s="110"/>
      <c r="AC624" s="110"/>
      <c r="AD624" s="110"/>
      <c r="AE624" s="110"/>
      <c r="AF624" s="110"/>
      <c r="AG624" s="110"/>
      <c r="AH624" s="110"/>
    </row>
    <row r="625">
      <c r="A625" s="110"/>
      <c r="B625" s="110"/>
      <c r="C625" s="110"/>
      <c r="D625" s="110"/>
      <c r="E625" s="110"/>
      <c r="F625" s="110"/>
      <c r="G625" s="110"/>
      <c r="H625" s="110"/>
      <c r="I625" s="110"/>
      <c r="J625" s="110"/>
      <c r="K625" s="110"/>
      <c r="L625" s="110"/>
      <c r="M625" s="110"/>
      <c r="N625" s="110"/>
      <c r="O625" s="110"/>
      <c r="P625" s="110"/>
      <c r="Q625" s="110"/>
      <c r="R625" s="110"/>
      <c r="S625" s="110"/>
      <c r="T625" s="110"/>
      <c r="U625" s="110"/>
      <c r="V625" s="110"/>
      <c r="W625" s="110"/>
      <c r="X625" s="110"/>
      <c r="Y625" s="110"/>
      <c r="Z625" s="110"/>
      <c r="AA625" s="110"/>
      <c r="AB625" s="110"/>
      <c r="AC625" s="110"/>
      <c r="AD625" s="110"/>
      <c r="AE625" s="110"/>
      <c r="AF625" s="110"/>
      <c r="AG625" s="110"/>
      <c r="AH625" s="110"/>
    </row>
    <row r="626">
      <c r="A626" s="110"/>
      <c r="B626" s="110"/>
      <c r="C626" s="110"/>
      <c r="D626" s="110"/>
      <c r="E626" s="110"/>
      <c r="F626" s="110"/>
      <c r="G626" s="110"/>
      <c r="H626" s="110"/>
      <c r="I626" s="110"/>
      <c r="J626" s="110"/>
      <c r="K626" s="110"/>
      <c r="L626" s="110"/>
      <c r="M626" s="110"/>
      <c r="N626" s="110"/>
      <c r="O626" s="110"/>
      <c r="P626" s="110"/>
      <c r="Q626" s="110"/>
      <c r="R626" s="110"/>
      <c r="S626" s="110"/>
      <c r="T626" s="110"/>
      <c r="U626" s="110"/>
      <c r="V626" s="110"/>
      <c r="W626" s="110"/>
      <c r="X626" s="110"/>
      <c r="Y626" s="110"/>
      <c r="Z626" s="110"/>
      <c r="AA626" s="110"/>
      <c r="AB626" s="110"/>
      <c r="AC626" s="110"/>
      <c r="AD626" s="110"/>
      <c r="AE626" s="110"/>
      <c r="AF626" s="110"/>
      <c r="AG626" s="110"/>
      <c r="AH626" s="110"/>
    </row>
    <row r="627">
      <c r="A627" s="110"/>
      <c r="B627" s="110"/>
      <c r="C627" s="110"/>
      <c r="D627" s="110"/>
      <c r="E627" s="110"/>
      <c r="F627" s="110"/>
      <c r="G627" s="110"/>
      <c r="H627" s="110"/>
      <c r="I627" s="110"/>
      <c r="J627" s="110"/>
      <c r="K627" s="110"/>
      <c r="L627" s="110"/>
      <c r="M627" s="110"/>
      <c r="N627" s="110"/>
      <c r="O627" s="110"/>
      <c r="P627" s="110"/>
      <c r="Q627" s="110"/>
      <c r="R627" s="110"/>
      <c r="S627" s="110"/>
      <c r="T627" s="110"/>
      <c r="U627" s="110"/>
      <c r="V627" s="110"/>
      <c r="W627" s="110"/>
      <c r="X627" s="110"/>
      <c r="Y627" s="110"/>
      <c r="Z627" s="110"/>
      <c r="AA627" s="110"/>
      <c r="AB627" s="110"/>
      <c r="AC627" s="110"/>
      <c r="AD627" s="110"/>
      <c r="AE627" s="110"/>
      <c r="AF627" s="110"/>
      <c r="AG627" s="110"/>
      <c r="AH627" s="110"/>
    </row>
    <row r="628">
      <c r="A628" s="110"/>
      <c r="B628" s="110"/>
      <c r="C628" s="110"/>
      <c r="D628" s="110"/>
      <c r="E628" s="110"/>
      <c r="F628" s="110"/>
      <c r="G628" s="110"/>
      <c r="H628" s="110"/>
      <c r="I628" s="110"/>
      <c r="J628" s="110"/>
      <c r="K628" s="110"/>
      <c r="L628" s="110"/>
      <c r="M628" s="110"/>
      <c r="N628" s="110"/>
      <c r="O628" s="110"/>
      <c r="P628" s="110"/>
      <c r="Q628" s="110"/>
      <c r="R628" s="110"/>
      <c r="S628" s="110"/>
      <c r="T628" s="110"/>
      <c r="U628" s="110"/>
      <c r="V628" s="110"/>
      <c r="W628" s="110"/>
      <c r="X628" s="110"/>
      <c r="Y628" s="110"/>
      <c r="Z628" s="110"/>
      <c r="AA628" s="110"/>
      <c r="AB628" s="110"/>
      <c r="AC628" s="110"/>
      <c r="AD628" s="110"/>
      <c r="AE628" s="110"/>
      <c r="AF628" s="110"/>
      <c r="AG628" s="110"/>
      <c r="AH628" s="110"/>
    </row>
    <row r="629">
      <c r="A629" s="110"/>
      <c r="B629" s="110"/>
      <c r="C629" s="110"/>
      <c r="D629" s="110"/>
      <c r="E629" s="110"/>
      <c r="F629" s="110"/>
      <c r="G629" s="110"/>
      <c r="H629" s="110"/>
      <c r="I629" s="110"/>
      <c r="J629" s="110"/>
      <c r="K629" s="110"/>
      <c r="L629" s="110"/>
      <c r="M629" s="110"/>
      <c r="N629" s="110"/>
      <c r="O629" s="110"/>
      <c r="P629" s="110"/>
      <c r="Q629" s="110"/>
      <c r="R629" s="110"/>
      <c r="S629" s="110"/>
      <c r="T629" s="110"/>
      <c r="U629" s="110"/>
      <c r="V629" s="110"/>
      <c r="W629" s="110"/>
      <c r="X629" s="110"/>
      <c r="Y629" s="110"/>
      <c r="Z629" s="110"/>
      <c r="AA629" s="110"/>
      <c r="AB629" s="110"/>
      <c r="AC629" s="110"/>
      <c r="AD629" s="110"/>
      <c r="AE629" s="110"/>
      <c r="AF629" s="110"/>
      <c r="AG629" s="110"/>
      <c r="AH629" s="110"/>
    </row>
    <row r="630">
      <c r="A630" s="110"/>
      <c r="B630" s="110"/>
      <c r="C630" s="110"/>
      <c r="D630" s="110"/>
      <c r="E630" s="110"/>
      <c r="F630" s="110"/>
      <c r="G630" s="110"/>
      <c r="H630" s="110"/>
      <c r="I630" s="110"/>
      <c r="J630" s="110"/>
      <c r="K630" s="110"/>
      <c r="L630" s="110"/>
      <c r="M630" s="110"/>
      <c r="N630" s="110"/>
      <c r="O630" s="110"/>
      <c r="P630" s="110"/>
      <c r="Q630" s="110"/>
      <c r="R630" s="110"/>
      <c r="S630" s="110"/>
      <c r="T630" s="110"/>
      <c r="U630" s="110"/>
      <c r="V630" s="110"/>
      <c r="W630" s="110"/>
      <c r="X630" s="110"/>
      <c r="Y630" s="110"/>
      <c r="Z630" s="110"/>
      <c r="AA630" s="110"/>
      <c r="AB630" s="110"/>
      <c r="AC630" s="110"/>
      <c r="AD630" s="110"/>
      <c r="AE630" s="110"/>
      <c r="AF630" s="110"/>
      <c r="AG630" s="110"/>
      <c r="AH630" s="110"/>
    </row>
    <row r="631">
      <c r="A631" s="110"/>
      <c r="B631" s="110"/>
      <c r="C631" s="110"/>
      <c r="D631" s="110"/>
      <c r="E631" s="110"/>
      <c r="F631" s="110"/>
      <c r="G631" s="110"/>
      <c r="H631" s="110"/>
      <c r="I631" s="110"/>
      <c r="J631" s="110"/>
      <c r="K631" s="110"/>
      <c r="L631" s="110"/>
      <c r="M631" s="110"/>
      <c r="N631" s="110"/>
      <c r="O631" s="110"/>
      <c r="P631" s="110"/>
      <c r="Q631" s="110"/>
      <c r="R631" s="110"/>
      <c r="S631" s="110"/>
      <c r="T631" s="110"/>
      <c r="U631" s="110"/>
      <c r="V631" s="110"/>
      <c r="W631" s="110"/>
      <c r="X631" s="110"/>
      <c r="Y631" s="110"/>
      <c r="Z631" s="110"/>
      <c r="AA631" s="110"/>
      <c r="AB631" s="110"/>
      <c r="AC631" s="110"/>
      <c r="AD631" s="110"/>
      <c r="AE631" s="110"/>
      <c r="AF631" s="110"/>
      <c r="AG631" s="110"/>
      <c r="AH631" s="110"/>
    </row>
    <row r="632">
      <c r="A632" s="110"/>
      <c r="B632" s="110"/>
      <c r="C632" s="110"/>
      <c r="D632" s="110"/>
      <c r="E632" s="110"/>
      <c r="F632" s="110"/>
      <c r="G632" s="110"/>
      <c r="H632" s="110"/>
      <c r="I632" s="110"/>
      <c r="J632" s="110"/>
      <c r="K632" s="110"/>
      <c r="L632" s="110"/>
      <c r="M632" s="110"/>
      <c r="N632" s="110"/>
      <c r="O632" s="110"/>
      <c r="P632" s="110"/>
      <c r="Q632" s="110"/>
      <c r="R632" s="110"/>
      <c r="S632" s="110"/>
      <c r="T632" s="110"/>
      <c r="U632" s="110"/>
      <c r="V632" s="110"/>
      <c r="W632" s="110"/>
      <c r="X632" s="110"/>
      <c r="Y632" s="110"/>
      <c r="Z632" s="110"/>
      <c r="AA632" s="110"/>
      <c r="AB632" s="110"/>
      <c r="AC632" s="110"/>
      <c r="AD632" s="110"/>
      <c r="AE632" s="110"/>
      <c r="AF632" s="110"/>
      <c r="AG632" s="110"/>
      <c r="AH632" s="110"/>
    </row>
    <row r="633">
      <c r="A633" s="110"/>
      <c r="B633" s="110"/>
      <c r="C633" s="110"/>
      <c r="D633" s="110"/>
      <c r="E633" s="110"/>
      <c r="F633" s="110"/>
      <c r="G633" s="110"/>
      <c r="H633" s="110"/>
      <c r="I633" s="110"/>
      <c r="J633" s="110"/>
      <c r="K633" s="110"/>
      <c r="L633" s="110"/>
      <c r="M633" s="110"/>
      <c r="N633" s="110"/>
      <c r="O633" s="110"/>
      <c r="P633" s="110"/>
      <c r="Q633" s="110"/>
      <c r="R633" s="110"/>
      <c r="S633" s="110"/>
      <c r="T633" s="110"/>
      <c r="U633" s="110"/>
      <c r="V633" s="110"/>
      <c r="W633" s="110"/>
      <c r="X633" s="110"/>
      <c r="Y633" s="110"/>
      <c r="Z633" s="110"/>
      <c r="AA633" s="110"/>
      <c r="AB633" s="110"/>
      <c r="AC633" s="110"/>
      <c r="AD633" s="110"/>
      <c r="AE633" s="110"/>
      <c r="AF633" s="110"/>
      <c r="AG633" s="110"/>
      <c r="AH633" s="110"/>
    </row>
    <row r="634">
      <c r="A634" s="110"/>
      <c r="B634" s="110"/>
      <c r="C634" s="110"/>
      <c r="D634" s="110"/>
      <c r="E634" s="110"/>
      <c r="F634" s="110"/>
      <c r="G634" s="110"/>
      <c r="H634" s="110"/>
      <c r="I634" s="110"/>
      <c r="J634" s="110"/>
      <c r="K634" s="110"/>
      <c r="L634" s="110"/>
      <c r="M634" s="110"/>
      <c r="N634" s="110"/>
      <c r="O634" s="110"/>
      <c r="P634" s="110"/>
      <c r="Q634" s="110"/>
      <c r="R634" s="110"/>
      <c r="S634" s="110"/>
      <c r="T634" s="110"/>
      <c r="U634" s="110"/>
      <c r="V634" s="110"/>
      <c r="W634" s="110"/>
      <c r="X634" s="110"/>
      <c r="Y634" s="110"/>
      <c r="Z634" s="110"/>
      <c r="AA634" s="110"/>
      <c r="AB634" s="110"/>
      <c r="AC634" s="110"/>
      <c r="AD634" s="110"/>
      <c r="AE634" s="110"/>
      <c r="AF634" s="110"/>
      <c r="AG634" s="110"/>
      <c r="AH634" s="110"/>
    </row>
    <row r="635">
      <c r="A635" s="110"/>
      <c r="B635" s="110"/>
      <c r="C635" s="110"/>
      <c r="D635" s="110"/>
      <c r="E635" s="110"/>
      <c r="F635" s="110"/>
      <c r="G635" s="110"/>
      <c r="H635" s="110"/>
      <c r="I635" s="110"/>
      <c r="J635" s="110"/>
      <c r="K635" s="110"/>
      <c r="L635" s="110"/>
      <c r="M635" s="110"/>
      <c r="N635" s="110"/>
      <c r="O635" s="110"/>
      <c r="P635" s="110"/>
      <c r="Q635" s="110"/>
      <c r="R635" s="110"/>
      <c r="S635" s="110"/>
      <c r="T635" s="110"/>
      <c r="U635" s="110"/>
      <c r="V635" s="110"/>
      <c r="W635" s="110"/>
      <c r="X635" s="110"/>
      <c r="Y635" s="110"/>
      <c r="Z635" s="110"/>
      <c r="AA635" s="110"/>
      <c r="AB635" s="110"/>
      <c r="AC635" s="110"/>
      <c r="AD635" s="110"/>
      <c r="AE635" s="110"/>
      <c r="AF635" s="110"/>
      <c r="AG635" s="110"/>
      <c r="AH635" s="110"/>
    </row>
    <row r="636">
      <c r="A636" s="110"/>
      <c r="B636" s="110"/>
      <c r="C636" s="110"/>
      <c r="D636" s="110"/>
      <c r="E636" s="110"/>
      <c r="F636" s="110"/>
      <c r="G636" s="110"/>
      <c r="H636" s="110"/>
      <c r="I636" s="110"/>
      <c r="J636" s="110"/>
      <c r="K636" s="110"/>
      <c r="L636" s="110"/>
      <c r="M636" s="110"/>
      <c r="N636" s="110"/>
      <c r="O636" s="110"/>
      <c r="P636" s="110"/>
      <c r="Q636" s="110"/>
      <c r="R636" s="110"/>
      <c r="S636" s="110"/>
      <c r="T636" s="110"/>
      <c r="U636" s="110"/>
      <c r="V636" s="110"/>
      <c r="W636" s="110"/>
      <c r="X636" s="110"/>
      <c r="Y636" s="110"/>
      <c r="Z636" s="110"/>
      <c r="AA636" s="110"/>
      <c r="AB636" s="110"/>
      <c r="AC636" s="110"/>
      <c r="AD636" s="110"/>
      <c r="AE636" s="110"/>
      <c r="AF636" s="110"/>
      <c r="AG636" s="110"/>
      <c r="AH636" s="110"/>
    </row>
    <row r="637">
      <c r="A637" s="110"/>
      <c r="B637" s="110"/>
      <c r="C637" s="110"/>
      <c r="D637" s="110"/>
      <c r="E637" s="110"/>
      <c r="F637" s="110"/>
      <c r="G637" s="110"/>
      <c r="H637" s="110"/>
      <c r="I637" s="110"/>
      <c r="J637" s="110"/>
      <c r="K637" s="110"/>
      <c r="L637" s="110"/>
      <c r="M637" s="110"/>
      <c r="N637" s="110"/>
      <c r="O637" s="110"/>
      <c r="P637" s="110"/>
      <c r="Q637" s="110"/>
      <c r="R637" s="110"/>
      <c r="S637" s="110"/>
      <c r="T637" s="110"/>
      <c r="U637" s="110"/>
      <c r="V637" s="110"/>
      <c r="W637" s="110"/>
      <c r="X637" s="110"/>
      <c r="Y637" s="110"/>
      <c r="Z637" s="110"/>
      <c r="AA637" s="110"/>
      <c r="AB637" s="110"/>
      <c r="AC637" s="110"/>
      <c r="AD637" s="110"/>
      <c r="AE637" s="110"/>
      <c r="AF637" s="110"/>
      <c r="AG637" s="110"/>
      <c r="AH637" s="110"/>
    </row>
    <row r="638">
      <c r="A638" s="110"/>
      <c r="B638" s="110"/>
      <c r="C638" s="110"/>
      <c r="D638" s="110"/>
      <c r="E638" s="110"/>
      <c r="F638" s="110"/>
      <c r="G638" s="110"/>
      <c r="H638" s="110"/>
      <c r="I638" s="110"/>
      <c r="J638" s="110"/>
      <c r="K638" s="110"/>
      <c r="L638" s="110"/>
      <c r="M638" s="110"/>
      <c r="N638" s="110"/>
      <c r="O638" s="110"/>
      <c r="P638" s="110"/>
      <c r="Q638" s="110"/>
      <c r="R638" s="110"/>
      <c r="S638" s="110"/>
      <c r="T638" s="110"/>
      <c r="U638" s="110"/>
      <c r="V638" s="110"/>
      <c r="W638" s="110"/>
      <c r="X638" s="110"/>
      <c r="Y638" s="110"/>
      <c r="Z638" s="110"/>
      <c r="AA638" s="110"/>
      <c r="AB638" s="110"/>
      <c r="AC638" s="110"/>
      <c r="AD638" s="110"/>
      <c r="AE638" s="110"/>
      <c r="AF638" s="110"/>
      <c r="AG638" s="110"/>
      <c r="AH638" s="110"/>
    </row>
    <row r="639">
      <c r="A639" s="110"/>
      <c r="B639" s="110"/>
      <c r="C639" s="110"/>
      <c r="D639" s="110"/>
      <c r="E639" s="110"/>
      <c r="F639" s="110"/>
      <c r="G639" s="110"/>
      <c r="H639" s="110"/>
      <c r="I639" s="110"/>
      <c r="J639" s="110"/>
      <c r="K639" s="110"/>
      <c r="L639" s="110"/>
      <c r="M639" s="110"/>
      <c r="N639" s="110"/>
      <c r="O639" s="110"/>
      <c r="P639" s="110"/>
      <c r="Q639" s="110"/>
      <c r="R639" s="110"/>
      <c r="S639" s="110"/>
      <c r="T639" s="110"/>
      <c r="U639" s="110"/>
      <c r="V639" s="110"/>
      <c r="W639" s="110"/>
      <c r="X639" s="110"/>
      <c r="Y639" s="110"/>
      <c r="Z639" s="110"/>
      <c r="AA639" s="110"/>
      <c r="AB639" s="110"/>
      <c r="AC639" s="110"/>
      <c r="AD639" s="110"/>
      <c r="AE639" s="110"/>
      <c r="AF639" s="110"/>
      <c r="AG639" s="110"/>
      <c r="AH639" s="110"/>
    </row>
    <row r="640">
      <c r="A640" s="110"/>
      <c r="B640" s="110"/>
      <c r="C640" s="110"/>
      <c r="D640" s="110"/>
      <c r="E640" s="110"/>
      <c r="F640" s="110"/>
      <c r="G640" s="110"/>
      <c r="H640" s="110"/>
      <c r="I640" s="110"/>
      <c r="J640" s="110"/>
      <c r="K640" s="110"/>
      <c r="L640" s="110"/>
      <c r="M640" s="110"/>
      <c r="N640" s="110"/>
      <c r="O640" s="110"/>
      <c r="P640" s="110"/>
      <c r="Q640" s="110"/>
      <c r="R640" s="110"/>
      <c r="S640" s="110"/>
      <c r="T640" s="110"/>
      <c r="U640" s="110"/>
      <c r="V640" s="110"/>
      <c r="W640" s="110"/>
      <c r="X640" s="110"/>
      <c r="Y640" s="110"/>
      <c r="Z640" s="110"/>
      <c r="AA640" s="110"/>
      <c r="AB640" s="110"/>
      <c r="AC640" s="110"/>
      <c r="AD640" s="110"/>
      <c r="AE640" s="110"/>
      <c r="AF640" s="110"/>
      <c r="AG640" s="110"/>
      <c r="AH640" s="110"/>
    </row>
    <row r="641">
      <c r="A641" s="110"/>
      <c r="B641" s="110"/>
      <c r="C641" s="110"/>
      <c r="D641" s="110"/>
      <c r="E641" s="110"/>
      <c r="F641" s="110"/>
      <c r="G641" s="110"/>
      <c r="H641" s="110"/>
      <c r="I641" s="110"/>
      <c r="J641" s="110"/>
      <c r="K641" s="110"/>
      <c r="L641" s="110"/>
      <c r="M641" s="110"/>
      <c r="N641" s="110"/>
      <c r="O641" s="110"/>
      <c r="P641" s="110"/>
      <c r="Q641" s="110"/>
      <c r="R641" s="110"/>
      <c r="S641" s="110"/>
      <c r="T641" s="110"/>
      <c r="U641" s="110"/>
      <c r="V641" s="110"/>
      <c r="W641" s="110"/>
      <c r="X641" s="110"/>
      <c r="Y641" s="110"/>
      <c r="Z641" s="110"/>
      <c r="AA641" s="110"/>
      <c r="AB641" s="110"/>
      <c r="AC641" s="110"/>
      <c r="AD641" s="110"/>
      <c r="AE641" s="110"/>
      <c r="AF641" s="110"/>
      <c r="AG641" s="110"/>
      <c r="AH641" s="110"/>
    </row>
    <row r="642">
      <c r="A642" s="110"/>
      <c r="B642" s="110"/>
      <c r="C642" s="110"/>
      <c r="D642" s="110"/>
      <c r="E642" s="110"/>
      <c r="F642" s="110"/>
      <c r="G642" s="110"/>
      <c r="H642" s="110"/>
      <c r="I642" s="110"/>
      <c r="J642" s="110"/>
      <c r="K642" s="110"/>
      <c r="L642" s="110"/>
      <c r="M642" s="110"/>
      <c r="N642" s="110"/>
      <c r="O642" s="110"/>
      <c r="P642" s="110"/>
      <c r="Q642" s="110"/>
      <c r="R642" s="110"/>
      <c r="S642" s="110"/>
      <c r="T642" s="110"/>
      <c r="U642" s="110"/>
      <c r="V642" s="110"/>
      <c r="W642" s="110"/>
      <c r="X642" s="110"/>
      <c r="Y642" s="110"/>
      <c r="Z642" s="110"/>
      <c r="AA642" s="110"/>
      <c r="AB642" s="110"/>
      <c r="AC642" s="110"/>
      <c r="AD642" s="110"/>
      <c r="AE642" s="110"/>
      <c r="AF642" s="110"/>
      <c r="AG642" s="110"/>
      <c r="AH642" s="110"/>
    </row>
    <row r="643">
      <c r="A643" s="110"/>
      <c r="B643" s="110"/>
      <c r="C643" s="110"/>
      <c r="D643" s="110"/>
      <c r="E643" s="110"/>
      <c r="F643" s="110"/>
      <c r="G643" s="110"/>
      <c r="H643" s="110"/>
      <c r="I643" s="110"/>
      <c r="J643" s="110"/>
      <c r="K643" s="110"/>
      <c r="L643" s="110"/>
      <c r="M643" s="110"/>
      <c r="N643" s="110"/>
      <c r="O643" s="110"/>
      <c r="P643" s="110"/>
      <c r="Q643" s="110"/>
      <c r="R643" s="110"/>
      <c r="S643" s="110"/>
      <c r="T643" s="110"/>
      <c r="U643" s="110"/>
      <c r="V643" s="110"/>
      <c r="W643" s="110"/>
      <c r="X643" s="110"/>
      <c r="Y643" s="110"/>
      <c r="Z643" s="110"/>
      <c r="AA643" s="110"/>
      <c r="AB643" s="110"/>
      <c r="AC643" s="110"/>
      <c r="AD643" s="110"/>
      <c r="AE643" s="110"/>
      <c r="AF643" s="110"/>
      <c r="AG643" s="110"/>
      <c r="AH643" s="110"/>
    </row>
    <row r="644">
      <c r="A644" s="110"/>
      <c r="B644" s="110"/>
      <c r="C644" s="110"/>
      <c r="D644" s="110"/>
      <c r="E644" s="110"/>
      <c r="F644" s="110"/>
      <c r="G644" s="110"/>
      <c r="H644" s="110"/>
      <c r="I644" s="110"/>
      <c r="J644" s="110"/>
      <c r="K644" s="110"/>
      <c r="L644" s="110"/>
      <c r="M644" s="110"/>
      <c r="N644" s="110"/>
      <c r="O644" s="110"/>
      <c r="P644" s="110"/>
      <c r="Q644" s="110"/>
      <c r="R644" s="110"/>
      <c r="S644" s="110"/>
      <c r="T644" s="110"/>
      <c r="U644" s="110"/>
      <c r="V644" s="110"/>
      <c r="W644" s="110"/>
      <c r="X644" s="110"/>
      <c r="Y644" s="110"/>
      <c r="Z644" s="110"/>
      <c r="AA644" s="110"/>
      <c r="AB644" s="110"/>
      <c r="AC644" s="110"/>
      <c r="AD644" s="110"/>
      <c r="AE644" s="110"/>
      <c r="AF644" s="110"/>
      <c r="AG644" s="110"/>
      <c r="AH644" s="110"/>
    </row>
    <row r="645">
      <c r="A645" s="110"/>
      <c r="B645" s="110"/>
      <c r="C645" s="110"/>
      <c r="D645" s="110"/>
      <c r="E645" s="110"/>
      <c r="F645" s="110"/>
      <c r="G645" s="110"/>
      <c r="H645" s="110"/>
      <c r="I645" s="110"/>
      <c r="J645" s="110"/>
      <c r="K645" s="110"/>
      <c r="L645" s="110"/>
      <c r="M645" s="110"/>
      <c r="N645" s="110"/>
      <c r="O645" s="110"/>
      <c r="P645" s="110"/>
      <c r="Q645" s="110"/>
      <c r="R645" s="110"/>
      <c r="S645" s="110"/>
      <c r="T645" s="110"/>
      <c r="U645" s="110"/>
      <c r="V645" s="110"/>
      <c r="W645" s="110"/>
      <c r="X645" s="110"/>
      <c r="Y645" s="110"/>
      <c r="Z645" s="110"/>
      <c r="AA645" s="110"/>
      <c r="AB645" s="110"/>
      <c r="AC645" s="110"/>
      <c r="AD645" s="110"/>
      <c r="AE645" s="110"/>
      <c r="AF645" s="110"/>
      <c r="AG645" s="110"/>
      <c r="AH645" s="110"/>
    </row>
    <row r="646">
      <c r="A646" s="110"/>
      <c r="B646" s="110"/>
      <c r="C646" s="110"/>
      <c r="D646" s="110"/>
      <c r="E646" s="110"/>
      <c r="F646" s="110"/>
      <c r="G646" s="110"/>
      <c r="H646" s="110"/>
      <c r="I646" s="110"/>
      <c r="J646" s="110"/>
      <c r="K646" s="110"/>
      <c r="L646" s="110"/>
      <c r="M646" s="110"/>
      <c r="N646" s="110"/>
      <c r="O646" s="110"/>
      <c r="P646" s="110"/>
      <c r="Q646" s="110"/>
      <c r="R646" s="110"/>
      <c r="S646" s="110"/>
      <c r="T646" s="110"/>
      <c r="U646" s="110"/>
      <c r="V646" s="110"/>
      <c r="W646" s="110"/>
      <c r="X646" s="110"/>
      <c r="Y646" s="110"/>
      <c r="Z646" s="110"/>
      <c r="AA646" s="110"/>
      <c r="AB646" s="110"/>
      <c r="AC646" s="110"/>
      <c r="AD646" s="110"/>
      <c r="AE646" s="110"/>
      <c r="AF646" s="110"/>
      <c r="AG646" s="110"/>
      <c r="AH646" s="110"/>
    </row>
    <row r="647">
      <c r="A647" s="110"/>
      <c r="B647" s="110"/>
      <c r="C647" s="110"/>
      <c r="D647" s="110"/>
      <c r="E647" s="110"/>
      <c r="F647" s="110"/>
      <c r="G647" s="110"/>
      <c r="H647" s="110"/>
      <c r="I647" s="110"/>
      <c r="J647" s="110"/>
      <c r="K647" s="110"/>
      <c r="L647" s="110"/>
      <c r="M647" s="110"/>
      <c r="N647" s="110"/>
      <c r="O647" s="110"/>
      <c r="P647" s="110"/>
      <c r="Q647" s="110"/>
      <c r="R647" s="110"/>
      <c r="S647" s="110"/>
      <c r="T647" s="110"/>
      <c r="U647" s="110"/>
      <c r="V647" s="110"/>
      <c r="W647" s="110"/>
      <c r="X647" s="110"/>
      <c r="Y647" s="110"/>
      <c r="Z647" s="110"/>
      <c r="AA647" s="110"/>
      <c r="AB647" s="110"/>
      <c r="AC647" s="110"/>
      <c r="AD647" s="110"/>
      <c r="AE647" s="110"/>
      <c r="AF647" s="110"/>
      <c r="AG647" s="110"/>
      <c r="AH647" s="110"/>
    </row>
    <row r="648">
      <c r="A648" s="110"/>
      <c r="B648" s="110"/>
      <c r="C648" s="110"/>
      <c r="D648" s="110"/>
      <c r="E648" s="110"/>
      <c r="F648" s="110"/>
      <c r="G648" s="110"/>
      <c r="H648" s="110"/>
      <c r="I648" s="110"/>
      <c r="J648" s="110"/>
      <c r="K648" s="110"/>
      <c r="L648" s="110"/>
      <c r="M648" s="110"/>
      <c r="N648" s="110"/>
      <c r="O648" s="110"/>
      <c r="P648" s="110"/>
      <c r="Q648" s="110"/>
      <c r="R648" s="110"/>
      <c r="S648" s="110"/>
      <c r="T648" s="110"/>
      <c r="U648" s="110"/>
      <c r="V648" s="110"/>
      <c r="W648" s="110"/>
      <c r="X648" s="110"/>
      <c r="Y648" s="110"/>
      <c r="Z648" s="110"/>
      <c r="AA648" s="110"/>
      <c r="AB648" s="110"/>
      <c r="AC648" s="110"/>
      <c r="AD648" s="110"/>
      <c r="AE648" s="110"/>
      <c r="AF648" s="110"/>
      <c r="AG648" s="110"/>
      <c r="AH648" s="110"/>
    </row>
    <row r="649">
      <c r="A649" s="110"/>
      <c r="B649" s="110"/>
      <c r="C649" s="110"/>
      <c r="D649" s="110"/>
      <c r="E649" s="110"/>
      <c r="F649" s="110"/>
      <c r="G649" s="110"/>
      <c r="H649" s="110"/>
      <c r="I649" s="110"/>
      <c r="J649" s="110"/>
      <c r="K649" s="110"/>
      <c r="L649" s="110"/>
      <c r="M649" s="110"/>
      <c r="N649" s="110"/>
      <c r="O649" s="110"/>
      <c r="P649" s="110"/>
      <c r="Q649" s="110"/>
      <c r="R649" s="110"/>
      <c r="S649" s="110"/>
      <c r="T649" s="110"/>
      <c r="U649" s="110"/>
      <c r="V649" s="110"/>
      <c r="W649" s="110"/>
      <c r="X649" s="110"/>
      <c r="Y649" s="110"/>
      <c r="Z649" s="110"/>
      <c r="AA649" s="110"/>
      <c r="AB649" s="110"/>
      <c r="AC649" s="110"/>
      <c r="AD649" s="110"/>
      <c r="AE649" s="110"/>
      <c r="AF649" s="110"/>
      <c r="AG649" s="110"/>
      <c r="AH649" s="110"/>
    </row>
    <row r="650">
      <c r="A650" s="110"/>
      <c r="B650" s="110"/>
      <c r="C650" s="110"/>
      <c r="D650" s="110"/>
      <c r="E650" s="110"/>
      <c r="F650" s="110"/>
      <c r="G650" s="110"/>
      <c r="H650" s="110"/>
      <c r="I650" s="110"/>
      <c r="J650" s="110"/>
      <c r="K650" s="110"/>
      <c r="L650" s="110"/>
      <c r="M650" s="110"/>
      <c r="N650" s="110"/>
      <c r="O650" s="110"/>
      <c r="P650" s="110"/>
      <c r="Q650" s="110"/>
      <c r="R650" s="110"/>
      <c r="S650" s="110"/>
      <c r="T650" s="110"/>
      <c r="U650" s="110"/>
      <c r="V650" s="110"/>
      <c r="W650" s="110"/>
      <c r="X650" s="110"/>
      <c r="Y650" s="110"/>
      <c r="Z650" s="110"/>
      <c r="AA650" s="110"/>
      <c r="AB650" s="110"/>
      <c r="AC650" s="110"/>
      <c r="AD650" s="110"/>
      <c r="AE650" s="110"/>
      <c r="AF650" s="110"/>
      <c r="AG650" s="110"/>
      <c r="AH650" s="110"/>
    </row>
    <row r="651">
      <c r="A651" s="110"/>
      <c r="B651" s="110"/>
      <c r="C651" s="110"/>
      <c r="D651" s="110"/>
      <c r="E651" s="110"/>
      <c r="F651" s="110"/>
      <c r="G651" s="110"/>
      <c r="H651" s="110"/>
      <c r="I651" s="110"/>
      <c r="J651" s="110"/>
      <c r="K651" s="110"/>
      <c r="L651" s="110"/>
      <c r="M651" s="110"/>
      <c r="N651" s="110"/>
      <c r="O651" s="110"/>
      <c r="P651" s="110"/>
      <c r="Q651" s="110"/>
      <c r="R651" s="110"/>
      <c r="S651" s="110"/>
      <c r="T651" s="110"/>
      <c r="U651" s="110"/>
      <c r="V651" s="110"/>
      <c r="W651" s="110"/>
      <c r="X651" s="110"/>
      <c r="Y651" s="110"/>
      <c r="Z651" s="110"/>
      <c r="AA651" s="110"/>
      <c r="AB651" s="110"/>
      <c r="AC651" s="110"/>
      <c r="AD651" s="110"/>
      <c r="AE651" s="110"/>
      <c r="AF651" s="110"/>
      <c r="AG651" s="110"/>
      <c r="AH651" s="110"/>
    </row>
    <row r="652">
      <c r="A652" s="110"/>
      <c r="B652" s="110"/>
      <c r="C652" s="110"/>
      <c r="D652" s="110"/>
      <c r="E652" s="110"/>
      <c r="F652" s="110"/>
      <c r="G652" s="110"/>
      <c r="H652" s="110"/>
      <c r="I652" s="110"/>
      <c r="J652" s="110"/>
      <c r="K652" s="110"/>
      <c r="L652" s="110"/>
      <c r="M652" s="110"/>
      <c r="N652" s="110"/>
      <c r="O652" s="110"/>
      <c r="P652" s="110"/>
      <c r="Q652" s="110"/>
      <c r="R652" s="110"/>
      <c r="S652" s="110"/>
      <c r="T652" s="110"/>
      <c r="U652" s="110"/>
      <c r="V652" s="110"/>
      <c r="W652" s="110"/>
      <c r="X652" s="110"/>
      <c r="Y652" s="110"/>
      <c r="Z652" s="110"/>
      <c r="AA652" s="110"/>
      <c r="AB652" s="110"/>
      <c r="AC652" s="110"/>
      <c r="AD652" s="110"/>
      <c r="AE652" s="110"/>
      <c r="AF652" s="110"/>
      <c r="AG652" s="110"/>
      <c r="AH652" s="110"/>
    </row>
    <row r="653">
      <c r="A653" s="110"/>
      <c r="B653" s="110"/>
      <c r="C653" s="110"/>
      <c r="D653" s="110"/>
      <c r="E653" s="110"/>
      <c r="F653" s="110"/>
      <c r="G653" s="110"/>
      <c r="H653" s="110"/>
      <c r="I653" s="110"/>
      <c r="J653" s="110"/>
      <c r="K653" s="110"/>
      <c r="L653" s="110"/>
      <c r="M653" s="110"/>
      <c r="N653" s="110"/>
      <c r="O653" s="110"/>
      <c r="P653" s="110"/>
      <c r="Q653" s="110"/>
      <c r="R653" s="110"/>
      <c r="S653" s="110"/>
      <c r="T653" s="110"/>
      <c r="U653" s="110"/>
      <c r="V653" s="110"/>
      <c r="W653" s="110"/>
      <c r="X653" s="110"/>
      <c r="Y653" s="110"/>
      <c r="Z653" s="110"/>
      <c r="AA653" s="110"/>
      <c r="AB653" s="110"/>
      <c r="AC653" s="110"/>
      <c r="AD653" s="110"/>
      <c r="AE653" s="110"/>
      <c r="AF653" s="110"/>
      <c r="AG653" s="110"/>
      <c r="AH653" s="110"/>
    </row>
    <row r="654">
      <c r="A654" s="110"/>
      <c r="B654" s="110"/>
      <c r="C654" s="110"/>
      <c r="D654" s="110"/>
      <c r="E654" s="110"/>
      <c r="F654" s="110"/>
      <c r="G654" s="110"/>
      <c r="H654" s="110"/>
      <c r="I654" s="110"/>
      <c r="J654" s="110"/>
      <c r="K654" s="110"/>
      <c r="L654" s="110"/>
      <c r="M654" s="110"/>
      <c r="N654" s="110"/>
      <c r="O654" s="110"/>
      <c r="P654" s="110"/>
      <c r="Q654" s="110"/>
      <c r="R654" s="110"/>
      <c r="S654" s="110"/>
      <c r="T654" s="110"/>
      <c r="U654" s="110"/>
      <c r="V654" s="110"/>
      <c r="W654" s="110"/>
      <c r="X654" s="110"/>
      <c r="Y654" s="110"/>
      <c r="Z654" s="110"/>
      <c r="AA654" s="110"/>
      <c r="AB654" s="110"/>
      <c r="AC654" s="110"/>
      <c r="AD654" s="110"/>
      <c r="AE654" s="110"/>
      <c r="AF654" s="110"/>
      <c r="AG654" s="110"/>
      <c r="AH654" s="110"/>
    </row>
    <row r="655">
      <c r="A655" s="110"/>
      <c r="B655" s="110"/>
      <c r="C655" s="110"/>
      <c r="D655" s="110"/>
      <c r="E655" s="110"/>
      <c r="F655" s="110"/>
      <c r="G655" s="110"/>
      <c r="H655" s="110"/>
      <c r="I655" s="110"/>
      <c r="J655" s="110"/>
      <c r="K655" s="110"/>
      <c r="L655" s="110"/>
      <c r="M655" s="110"/>
      <c r="N655" s="110"/>
      <c r="O655" s="110"/>
      <c r="P655" s="110"/>
      <c r="Q655" s="110"/>
      <c r="R655" s="110"/>
      <c r="S655" s="110"/>
      <c r="T655" s="110"/>
      <c r="U655" s="110"/>
      <c r="V655" s="110"/>
      <c r="W655" s="110"/>
      <c r="X655" s="110"/>
      <c r="Y655" s="110"/>
      <c r="Z655" s="110"/>
      <c r="AA655" s="110"/>
      <c r="AB655" s="110"/>
      <c r="AC655" s="110"/>
      <c r="AD655" s="110"/>
      <c r="AE655" s="110"/>
      <c r="AF655" s="110"/>
      <c r="AG655" s="110"/>
      <c r="AH655" s="110"/>
    </row>
    <row r="656">
      <c r="A656" s="110"/>
      <c r="B656" s="110"/>
      <c r="C656" s="110"/>
      <c r="D656" s="110"/>
      <c r="E656" s="110"/>
      <c r="F656" s="110"/>
      <c r="G656" s="110"/>
      <c r="H656" s="110"/>
      <c r="I656" s="110"/>
      <c r="J656" s="110"/>
      <c r="K656" s="110"/>
      <c r="L656" s="110"/>
      <c r="M656" s="110"/>
      <c r="N656" s="110"/>
      <c r="O656" s="110"/>
      <c r="P656" s="110"/>
      <c r="Q656" s="110"/>
      <c r="R656" s="110"/>
      <c r="S656" s="110"/>
      <c r="T656" s="110"/>
      <c r="U656" s="110"/>
      <c r="V656" s="110"/>
      <c r="W656" s="110"/>
      <c r="X656" s="110"/>
      <c r="Y656" s="110"/>
      <c r="Z656" s="110"/>
      <c r="AA656" s="110"/>
      <c r="AB656" s="110"/>
      <c r="AC656" s="110"/>
      <c r="AD656" s="110"/>
      <c r="AE656" s="110"/>
      <c r="AF656" s="110"/>
      <c r="AG656" s="110"/>
      <c r="AH656" s="110"/>
    </row>
    <row r="657">
      <c r="A657" s="110"/>
      <c r="B657" s="110"/>
      <c r="C657" s="110"/>
      <c r="D657" s="110"/>
      <c r="E657" s="110"/>
      <c r="F657" s="110"/>
      <c r="G657" s="110"/>
      <c r="H657" s="110"/>
      <c r="I657" s="110"/>
      <c r="J657" s="110"/>
      <c r="K657" s="110"/>
      <c r="L657" s="110"/>
      <c r="M657" s="110"/>
      <c r="N657" s="110"/>
      <c r="O657" s="110"/>
      <c r="P657" s="110"/>
      <c r="Q657" s="110"/>
      <c r="R657" s="110"/>
      <c r="S657" s="110"/>
      <c r="T657" s="110"/>
      <c r="U657" s="110"/>
      <c r="V657" s="110"/>
      <c r="W657" s="110"/>
      <c r="X657" s="110"/>
      <c r="Y657" s="110"/>
      <c r="Z657" s="110"/>
      <c r="AA657" s="110"/>
      <c r="AB657" s="110"/>
      <c r="AC657" s="110"/>
      <c r="AD657" s="110"/>
      <c r="AE657" s="110"/>
      <c r="AF657" s="110"/>
      <c r="AG657" s="110"/>
      <c r="AH657" s="110"/>
    </row>
    <row r="658">
      <c r="A658" s="110"/>
      <c r="B658" s="110"/>
      <c r="C658" s="110"/>
      <c r="D658" s="110"/>
      <c r="E658" s="110"/>
      <c r="F658" s="110"/>
      <c r="G658" s="110"/>
      <c r="H658" s="110"/>
      <c r="I658" s="110"/>
      <c r="J658" s="110"/>
      <c r="K658" s="110"/>
      <c r="L658" s="110"/>
      <c r="M658" s="110"/>
      <c r="N658" s="110"/>
      <c r="O658" s="110"/>
      <c r="P658" s="110"/>
      <c r="Q658" s="110"/>
      <c r="R658" s="110"/>
      <c r="S658" s="110"/>
      <c r="T658" s="110"/>
      <c r="U658" s="110"/>
      <c r="V658" s="110"/>
      <c r="W658" s="110"/>
      <c r="X658" s="110"/>
      <c r="Y658" s="110"/>
      <c r="Z658" s="110"/>
      <c r="AA658" s="110"/>
      <c r="AB658" s="110"/>
      <c r="AC658" s="110"/>
      <c r="AD658" s="110"/>
      <c r="AE658" s="110"/>
      <c r="AF658" s="110"/>
      <c r="AG658" s="110"/>
      <c r="AH658" s="110"/>
    </row>
    <row r="659">
      <c r="A659" s="110"/>
      <c r="B659" s="110"/>
      <c r="C659" s="110"/>
      <c r="D659" s="110"/>
      <c r="E659" s="110"/>
      <c r="F659" s="110"/>
      <c r="G659" s="110"/>
      <c r="H659" s="110"/>
      <c r="I659" s="110"/>
      <c r="J659" s="110"/>
      <c r="K659" s="110"/>
      <c r="L659" s="110"/>
      <c r="M659" s="110"/>
      <c r="N659" s="110"/>
      <c r="O659" s="110"/>
      <c r="P659" s="110"/>
      <c r="Q659" s="110"/>
      <c r="R659" s="110"/>
      <c r="S659" s="110"/>
      <c r="T659" s="110"/>
      <c r="U659" s="110"/>
      <c r="V659" s="110"/>
      <c r="W659" s="110"/>
      <c r="X659" s="110"/>
      <c r="Y659" s="110"/>
      <c r="Z659" s="110"/>
      <c r="AA659" s="110"/>
      <c r="AB659" s="110"/>
      <c r="AC659" s="110"/>
      <c r="AD659" s="110"/>
      <c r="AE659" s="110"/>
      <c r="AF659" s="110"/>
      <c r="AG659" s="110"/>
      <c r="AH659" s="110"/>
    </row>
    <row r="660">
      <c r="A660" s="110"/>
      <c r="B660" s="110"/>
      <c r="C660" s="110"/>
      <c r="D660" s="110"/>
      <c r="E660" s="110"/>
      <c r="F660" s="110"/>
      <c r="G660" s="110"/>
      <c r="H660" s="110"/>
      <c r="I660" s="110"/>
      <c r="J660" s="110"/>
      <c r="K660" s="110"/>
      <c r="L660" s="110"/>
      <c r="M660" s="110"/>
      <c r="N660" s="110"/>
      <c r="O660" s="110"/>
      <c r="P660" s="110"/>
      <c r="Q660" s="110"/>
      <c r="R660" s="110"/>
      <c r="S660" s="110"/>
      <c r="T660" s="110"/>
      <c r="U660" s="110"/>
      <c r="V660" s="110"/>
      <c r="W660" s="110"/>
      <c r="X660" s="110"/>
      <c r="Y660" s="110"/>
      <c r="Z660" s="110"/>
      <c r="AA660" s="110"/>
      <c r="AB660" s="110"/>
      <c r="AC660" s="110"/>
      <c r="AD660" s="110"/>
      <c r="AE660" s="110"/>
      <c r="AF660" s="110"/>
      <c r="AG660" s="110"/>
      <c r="AH660" s="110"/>
    </row>
    <row r="661">
      <c r="A661" s="110"/>
      <c r="B661" s="110"/>
      <c r="C661" s="110"/>
      <c r="D661" s="110"/>
      <c r="E661" s="110"/>
      <c r="F661" s="110"/>
      <c r="G661" s="110"/>
      <c r="H661" s="110"/>
      <c r="I661" s="110"/>
      <c r="J661" s="110"/>
      <c r="K661" s="110"/>
      <c r="L661" s="110"/>
      <c r="M661" s="110"/>
      <c r="N661" s="110"/>
      <c r="O661" s="110"/>
      <c r="P661" s="110"/>
      <c r="Q661" s="110"/>
      <c r="R661" s="110"/>
      <c r="S661" s="110"/>
      <c r="T661" s="110"/>
      <c r="U661" s="110"/>
      <c r="V661" s="110"/>
      <c r="W661" s="110"/>
      <c r="X661" s="110"/>
      <c r="Y661" s="110"/>
      <c r="Z661" s="110"/>
      <c r="AA661" s="110"/>
      <c r="AB661" s="110"/>
      <c r="AC661" s="110"/>
      <c r="AD661" s="110"/>
      <c r="AE661" s="110"/>
      <c r="AF661" s="110"/>
      <c r="AG661" s="110"/>
      <c r="AH661" s="110"/>
    </row>
    <row r="662">
      <c r="A662" s="110"/>
      <c r="B662" s="110"/>
      <c r="C662" s="110"/>
      <c r="D662" s="110"/>
      <c r="E662" s="110"/>
      <c r="F662" s="110"/>
      <c r="G662" s="110"/>
      <c r="H662" s="110"/>
      <c r="I662" s="110"/>
      <c r="J662" s="110"/>
      <c r="K662" s="110"/>
      <c r="L662" s="110"/>
      <c r="M662" s="110"/>
      <c r="N662" s="110"/>
      <c r="O662" s="110"/>
      <c r="P662" s="110"/>
      <c r="Q662" s="110"/>
      <c r="R662" s="110"/>
      <c r="S662" s="110"/>
      <c r="T662" s="110"/>
      <c r="U662" s="110"/>
      <c r="V662" s="110"/>
      <c r="W662" s="110"/>
      <c r="X662" s="110"/>
      <c r="Y662" s="110"/>
      <c r="Z662" s="110"/>
      <c r="AA662" s="110"/>
      <c r="AB662" s="110"/>
      <c r="AC662" s="110"/>
      <c r="AD662" s="110"/>
      <c r="AE662" s="110"/>
      <c r="AF662" s="110"/>
      <c r="AG662" s="110"/>
      <c r="AH662" s="110"/>
    </row>
    <row r="663">
      <c r="A663" s="110"/>
      <c r="B663" s="110"/>
      <c r="C663" s="110"/>
      <c r="D663" s="110"/>
      <c r="E663" s="110"/>
      <c r="F663" s="110"/>
      <c r="G663" s="110"/>
      <c r="H663" s="110"/>
      <c r="I663" s="110"/>
      <c r="J663" s="110"/>
      <c r="K663" s="110"/>
      <c r="L663" s="110"/>
      <c r="M663" s="110"/>
      <c r="N663" s="110"/>
      <c r="O663" s="110"/>
      <c r="P663" s="110"/>
      <c r="Q663" s="110"/>
      <c r="R663" s="110"/>
      <c r="S663" s="110"/>
      <c r="T663" s="110"/>
      <c r="U663" s="110"/>
      <c r="V663" s="110"/>
      <c r="W663" s="110"/>
      <c r="X663" s="110"/>
      <c r="Y663" s="110"/>
      <c r="Z663" s="110"/>
      <c r="AA663" s="110"/>
      <c r="AB663" s="110"/>
      <c r="AC663" s="110"/>
      <c r="AD663" s="110"/>
      <c r="AE663" s="110"/>
      <c r="AF663" s="110"/>
      <c r="AG663" s="110"/>
      <c r="AH663" s="110"/>
    </row>
    <row r="664">
      <c r="A664" s="110"/>
      <c r="B664" s="110"/>
      <c r="C664" s="110"/>
      <c r="D664" s="110"/>
      <c r="E664" s="110"/>
      <c r="F664" s="110"/>
      <c r="G664" s="110"/>
      <c r="H664" s="110"/>
      <c r="I664" s="110"/>
      <c r="J664" s="110"/>
      <c r="K664" s="110"/>
      <c r="L664" s="110"/>
      <c r="M664" s="110"/>
      <c r="N664" s="110"/>
      <c r="O664" s="110"/>
      <c r="P664" s="110"/>
      <c r="Q664" s="110"/>
      <c r="R664" s="110"/>
      <c r="S664" s="110"/>
      <c r="T664" s="110"/>
      <c r="U664" s="110"/>
      <c r="V664" s="110"/>
      <c r="W664" s="110"/>
      <c r="X664" s="110"/>
      <c r="Y664" s="110"/>
      <c r="Z664" s="110"/>
      <c r="AA664" s="110"/>
      <c r="AB664" s="110"/>
      <c r="AC664" s="110"/>
      <c r="AD664" s="110"/>
      <c r="AE664" s="110"/>
      <c r="AF664" s="110"/>
      <c r="AG664" s="110"/>
      <c r="AH664" s="110"/>
    </row>
    <row r="665">
      <c r="A665" s="110"/>
      <c r="B665" s="110"/>
      <c r="C665" s="110"/>
      <c r="D665" s="110"/>
      <c r="E665" s="110"/>
      <c r="F665" s="110"/>
      <c r="G665" s="110"/>
      <c r="H665" s="110"/>
      <c r="I665" s="110"/>
      <c r="J665" s="110"/>
      <c r="K665" s="110"/>
      <c r="L665" s="110"/>
      <c r="M665" s="110"/>
      <c r="N665" s="110"/>
      <c r="O665" s="110"/>
      <c r="P665" s="110"/>
      <c r="Q665" s="110"/>
      <c r="R665" s="110"/>
      <c r="S665" s="110"/>
      <c r="T665" s="110"/>
      <c r="U665" s="110"/>
      <c r="V665" s="110"/>
      <c r="W665" s="110"/>
      <c r="X665" s="110"/>
      <c r="Y665" s="110"/>
      <c r="Z665" s="110"/>
      <c r="AA665" s="110"/>
      <c r="AB665" s="110"/>
      <c r="AC665" s="110"/>
      <c r="AD665" s="110"/>
      <c r="AE665" s="110"/>
      <c r="AF665" s="110"/>
      <c r="AG665" s="110"/>
      <c r="AH665" s="110"/>
    </row>
    <row r="666">
      <c r="A666" s="110"/>
      <c r="B666" s="110"/>
      <c r="C666" s="110"/>
      <c r="D666" s="110"/>
      <c r="E666" s="110"/>
      <c r="F666" s="110"/>
      <c r="G666" s="110"/>
      <c r="H666" s="110"/>
      <c r="I666" s="110"/>
      <c r="J666" s="110"/>
      <c r="K666" s="110"/>
      <c r="L666" s="110"/>
      <c r="M666" s="110"/>
      <c r="N666" s="110"/>
      <c r="O666" s="110"/>
      <c r="P666" s="110"/>
      <c r="Q666" s="110"/>
      <c r="R666" s="110"/>
      <c r="S666" s="110"/>
      <c r="T666" s="110"/>
      <c r="U666" s="110"/>
      <c r="V666" s="110"/>
      <c r="W666" s="110"/>
      <c r="X666" s="110"/>
      <c r="Y666" s="110"/>
      <c r="Z666" s="110"/>
      <c r="AA666" s="110"/>
      <c r="AB666" s="110"/>
      <c r="AC666" s="110"/>
      <c r="AD666" s="110"/>
      <c r="AE666" s="110"/>
      <c r="AF666" s="110"/>
      <c r="AG666" s="110"/>
      <c r="AH666" s="110"/>
    </row>
    <row r="667">
      <c r="A667" s="110"/>
      <c r="B667" s="110"/>
      <c r="C667" s="110"/>
      <c r="D667" s="110"/>
      <c r="E667" s="110"/>
      <c r="F667" s="110"/>
      <c r="G667" s="110"/>
      <c r="H667" s="110"/>
      <c r="I667" s="110"/>
      <c r="J667" s="110"/>
      <c r="K667" s="110"/>
      <c r="L667" s="110"/>
      <c r="M667" s="110"/>
      <c r="N667" s="110"/>
      <c r="O667" s="110"/>
      <c r="P667" s="110"/>
      <c r="Q667" s="110"/>
      <c r="R667" s="110"/>
      <c r="S667" s="110"/>
      <c r="T667" s="110"/>
      <c r="U667" s="110"/>
      <c r="V667" s="110"/>
      <c r="W667" s="110"/>
      <c r="X667" s="110"/>
      <c r="Y667" s="110"/>
      <c r="Z667" s="110"/>
      <c r="AA667" s="110"/>
      <c r="AB667" s="110"/>
      <c r="AC667" s="110"/>
      <c r="AD667" s="110"/>
      <c r="AE667" s="110"/>
      <c r="AF667" s="110"/>
      <c r="AG667" s="110"/>
      <c r="AH667" s="110"/>
    </row>
    <row r="668">
      <c r="A668" s="110"/>
      <c r="B668" s="110"/>
      <c r="C668" s="110"/>
      <c r="D668" s="110"/>
      <c r="E668" s="110"/>
      <c r="F668" s="110"/>
      <c r="G668" s="110"/>
      <c r="H668" s="110"/>
      <c r="I668" s="110"/>
      <c r="J668" s="110"/>
      <c r="K668" s="110"/>
      <c r="L668" s="110"/>
      <c r="M668" s="110"/>
      <c r="N668" s="110"/>
      <c r="O668" s="110"/>
      <c r="P668" s="110"/>
      <c r="Q668" s="110"/>
      <c r="R668" s="110"/>
      <c r="S668" s="110"/>
      <c r="T668" s="110"/>
      <c r="U668" s="110"/>
      <c r="V668" s="110"/>
      <c r="W668" s="110"/>
      <c r="X668" s="110"/>
      <c r="Y668" s="110"/>
      <c r="Z668" s="110"/>
      <c r="AA668" s="110"/>
      <c r="AB668" s="110"/>
      <c r="AC668" s="110"/>
      <c r="AD668" s="110"/>
      <c r="AE668" s="110"/>
      <c r="AF668" s="110"/>
      <c r="AG668" s="110"/>
      <c r="AH668" s="110"/>
    </row>
    <row r="669">
      <c r="A669" s="110"/>
      <c r="B669" s="110"/>
      <c r="C669" s="110"/>
      <c r="D669" s="110"/>
      <c r="E669" s="110"/>
      <c r="F669" s="110"/>
      <c r="G669" s="110"/>
      <c r="H669" s="110"/>
      <c r="I669" s="110"/>
      <c r="J669" s="110"/>
      <c r="K669" s="110"/>
      <c r="L669" s="110"/>
      <c r="M669" s="110"/>
      <c r="N669" s="110"/>
      <c r="O669" s="110"/>
      <c r="P669" s="110"/>
      <c r="Q669" s="110"/>
      <c r="R669" s="110"/>
      <c r="S669" s="110"/>
      <c r="T669" s="110"/>
      <c r="U669" s="110"/>
      <c r="V669" s="110"/>
      <c r="W669" s="110"/>
      <c r="X669" s="110"/>
      <c r="Y669" s="110"/>
      <c r="Z669" s="110"/>
      <c r="AA669" s="110"/>
      <c r="AB669" s="110"/>
      <c r="AC669" s="110"/>
      <c r="AD669" s="110"/>
      <c r="AE669" s="110"/>
      <c r="AF669" s="110"/>
      <c r="AG669" s="110"/>
      <c r="AH669" s="110"/>
    </row>
    <row r="670">
      <c r="A670" s="110"/>
      <c r="B670" s="110"/>
      <c r="C670" s="110"/>
      <c r="D670" s="110"/>
      <c r="E670" s="110"/>
      <c r="F670" s="110"/>
      <c r="G670" s="110"/>
      <c r="H670" s="110"/>
      <c r="I670" s="110"/>
      <c r="J670" s="110"/>
      <c r="K670" s="110"/>
      <c r="L670" s="110"/>
      <c r="M670" s="110"/>
      <c r="N670" s="110"/>
      <c r="O670" s="110"/>
      <c r="P670" s="110"/>
      <c r="Q670" s="110"/>
      <c r="R670" s="110"/>
      <c r="S670" s="110"/>
      <c r="T670" s="110"/>
      <c r="U670" s="110"/>
      <c r="V670" s="110"/>
      <c r="W670" s="110"/>
      <c r="X670" s="110"/>
      <c r="Y670" s="110"/>
      <c r="Z670" s="110"/>
      <c r="AA670" s="110"/>
      <c r="AB670" s="110"/>
      <c r="AC670" s="110"/>
      <c r="AD670" s="110"/>
      <c r="AE670" s="110"/>
      <c r="AF670" s="110"/>
      <c r="AG670" s="110"/>
      <c r="AH670" s="110"/>
    </row>
    <row r="671">
      <c r="A671" s="110"/>
      <c r="B671" s="110"/>
      <c r="C671" s="110"/>
      <c r="D671" s="110"/>
      <c r="E671" s="110"/>
      <c r="F671" s="110"/>
      <c r="G671" s="110"/>
      <c r="H671" s="110"/>
      <c r="I671" s="110"/>
      <c r="J671" s="110"/>
      <c r="K671" s="110"/>
      <c r="L671" s="110"/>
      <c r="M671" s="110"/>
      <c r="N671" s="110"/>
      <c r="O671" s="110"/>
      <c r="P671" s="110"/>
      <c r="Q671" s="110"/>
      <c r="R671" s="110"/>
      <c r="S671" s="110"/>
      <c r="T671" s="110"/>
      <c r="U671" s="110"/>
      <c r="V671" s="110"/>
      <c r="W671" s="110"/>
      <c r="X671" s="110"/>
      <c r="Y671" s="110"/>
      <c r="Z671" s="110"/>
      <c r="AA671" s="110"/>
      <c r="AB671" s="110"/>
      <c r="AC671" s="110"/>
      <c r="AD671" s="110"/>
      <c r="AE671" s="110"/>
      <c r="AF671" s="110"/>
      <c r="AG671" s="110"/>
      <c r="AH671" s="110"/>
    </row>
    <row r="672">
      <c r="A672" s="110"/>
      <c r="B672" s="110"/>
      <c r="C672" s="110"/>
      <c r="D672" s="110"/>
      <c r="E672" s="110"/>
      <c r="F672" s="110"/>
      <c r="G672" s="110"/>
      <c r="H672" s="110"/>
      <c r="I672" s="110"/>
      <c r="J672" s="110"/>
      <c r="K672" s="110"/>
      <c r="L672" s="110"/>
      <c r="M672" s="110"/>
      <c r="N672" s="110"/>
      <c r="O672" s="110"/>
      <c r="P672" s="110"/>
      <c r="Q672" s="110"/>
      <c r="R672" s="110"/>
      <c r="S672" s="110"/>
      <c r="T672" s="110"/>
      <c r="U672" s="110"/>
      <c r="V672" s="110"/>
      <c r="W672" s="110"/>
      <c r="X672" s="110"/>
      <c r="Y672" s="110"/>
      <c r="Z672" s="110"/>
      <c r="AA672" s="110"/>
      <c r="AB672" s="110"/>
      <c r="AC672" s="110"/>
      <c r="AD672" s="110"/>
      <c r="AE672" s="110"/>
      <c r="AF672" s="110"/>
      <c r="AG672" s="110"/>
      <c r="AH672" s="110"/>
    </row>
    <row r="673">
      <c r="A673" s="110"/>
      <c r="B673" s="110"/>
      <c r="C673" s="110"/>
      <c r="D673" s="110"/>
      <c r="E673" s="110"/>
      <c r="F673" s="110"/>
      <c r="G673" s="110"/>
      <c r="H673" s="110"/>
      <c r="I673" s="110"/>
      <c r="J673" s="110"/>
      <c r="K673" s="110"/>
      <c r="L673" s="110"/>
      <c r="M673" s="110"/>
      <c r="N673" s="110"/>
      <c r="O673" s="110"/>
      <c r="P673" s="110"/>
      <c r="Q673" s="110"/>
      <c r="R673" s="110"/>
      <c r="S673" s="110"/>
      <c r="T673" s="110"/>
      <c r="U673" s="110"/>
      <c r="V673" s="110"/>
      <c r="W673" s="110"/>
      <c r="X673" s="110"/>
      <c r="Y673" s="110"/>
      <c r="Z673" s="110"/>
      <c r="AA673" s="110"/>
      <c r="AB673" s="110"/>
      <c r="AC673" s="110"/>
      <c r="AD673" s="110"/>
      <c r="AE673" s="110"/>
      <c r="AF673" s="110"/>
      <c r="AG673" s="110"/>
      <c r="AH673" s="110"/>
    </row>
    <row r="674">
      <c r="A674" s="110"/>
      <c r="B674" s="110"/>
      <c r="C674" s="110"/>
      <c r="D674" s="110"/>
      <c r="E674" s="110"/>
      <c r="F674" s="110"/>
      <c r="G674" s="110"/>
      <c r="H674" s="110"/>
      <c r="I674" s="110"/>
      <c r="J674" s="110"/>
      <c r="K674" s="110"/>
      <c r="L674" s="110"/>
      <c r="M674" s="110"/>
      <c r="N674" s="110"/>
      <c r="O674" s="110"/>
      <c r="P674" s="110"/>
      <c r="Q674" s="110"/>
      <c r="R674" s="110"/>
      <c r="S674" s="110"/>
      <c r="T674" s="110"/>
      <c r="U674" s="110"/>
      <c r="V674" s="110"/>
      <c r="W674" s="110"/>
      <c r="X674" s="110"/>
      <c r="Y674" s="110"/>
      <c r="Z674" s="110"/>
      <c r="AA674" s="110"/>
      <c r="AB674" s="110"/>
      <c r="AC674" s="110"/>
      <c r="AD674" s="110"/>
      <c r="AE674" s="110"/>
      <c r="AF674" s="110"/>
      <c r="AG674" s="110"/>
      <c r="AH674" s="110"/>
    </row>
    <row r="675">
      <c r="A675" s="110"/>
      <c r="B675" s="110"/>
      <c r="C675" s="110"/>
      <c r="D675" s="110"/>
      <c r="E675" s="110"/>
      <c r="F675" s="110"/>
      <c r="G675" s="110"/>
      <c r="H675" s="110"/>
      <c r="I675" s="110"/>
      <c r="J675" s="110"/>
      <c r="K675" s="110"/>
      <c r="L675" s="110"/>
      <c r="M675" s="110"/>
      <c r="N675" s="110"/>
      <c r="O675" s="110"/>
      <c r="P675" s="110"/>
      <c r="Q675" s="110"/>
      <c r="R675" s="110"/>
      <c r="S675" s="110"/>
      <c r="T675" s="110"/>
      <c r="U675" s="110"/>
      <c r="V675" s="110"/>
      <c r="W675" s="110"/>
      <c r="X675" s="110"/>
      <c r="Y675" s="110"/>
      <c r="Z675" s="110"/>
      <c r="AA675" s="110"/>
      <c r="AB675" s="110"/>
      <c r="AC675" s="110"/>
      <c r="AD675" s="110"/>
      <c r="AE675" s="110"/>
      <c r="AF675" s="110"/>
      <c r="AG675" s="110"/>
      <c r="AH675" s="110"/>
    </row>
    <row r="676">
      <c r="A676" s="110"/>
      <c r="B676" s="110"/>
      <c r="C676" s="110"/>
      <c r="D676" s="110"/>
      <c r="E676" s="110"/>
      <c r="F676" s="110"/>
      <c r="G676" s="110"/>
      <c r="H676" s="110"/>
      <c r="I676" s="110"/>
      <c r="J676" s="110"/>
      <c r="K676" s="110"/>
      <c r="L676" s="110"/>
      <c r="M676" s="110"/>
      <c r="N676" s="110"/>
      <c r="O676" s="110"/>
      <c r="P676" s="110"/>
      <c r="Q676" s="110"/>
      <c r="R676" s="110"/>
      <c r="S676" s="110"/>
      <c r="T676" s="110"/>
      <c r="U676" s="110"/>
      <c r="V676" s="110"/>
      <c r="W676" s="110"/>
      <c r="X676" s="110"/>
      <c r="Y676" s="110"/>
      <c r="Z676" s="110"/>
      <c r="AA676" s="110"/>
      <c r="AB676" s="110"/>
      <c r="AC676" s="110"/>
      <c r="AD676" s="110"/>
      <c r="AE676" s="110"/>
      <c r="AF676" s="110"/>
      <c r="AG676" s="110"/>
      <c r="AH676" s="110"/>
    </row>
    <row r="677">
      <c r="A677" s="110"/>
      <c r="B677" s="110"/>
      <c r="C677" s="110"/>
      <c r="D677" s="110"/>
      <c r="E677" s="110"/>
      <c r="F677" s="110"/>
      <c r="G677" s="110"/>
      <c r="H677" s="110"/>
      <c r="I677" s="110"/>
      <c r="J677" s="110"/>
      <c r="K677" s="110"/>
      <c r="L677" s="110"/>
      <c r="M677" s="110"/>
      <c r="N677" s="110"/>
      <c r="O677" s="110"/>
      <c r="P677" s="110"/>
      <c r="Q677" s="110"/>
      <c r="R677" s="110"/>
      <c r="S677" s="110"/>
      <c r="T677" s="110"/>
      <c r="U677" s="110"/>
      <c r="V677" s="110"/>
      <c r="W677" s="110"/>
      <c r="X677" s="110"/>
      <c r="Y677" s="110"/>
      <c r="Z677" s="110"/>
      <c r="AA677" s="110"/>
      <c r="AB677" s="110"/>
      <c r="AC677" s="110"/>
      <c r="AD677" s="110"/>
      <c r="AE677" s="110"/>
      <c r="AF677" s="110"/>
      <c r="AG677" s="110"/>
      <c r="AH677" s="110"/>
    </row>
    <row r="678">
      <c r="A678" s="110"/>
      <c r="B678" s="110"/>
      <c r="C678" s="110"/>
      <c r="D678" s="110"/>
      <c r="E678" s="110"/>
      <c r="F678" s="110"/>
      <c r="G678" s="110"/>
      <c r="H678" s="110"/>
      <c r="I678" s="110"/>
      <c r="J678" s="110"/>
      <c r="K678" s="110"/>
      <c r="L678" s="110"/>
      <c r="M678" s="110"/>
      <c r="N678" s="110"/>
      <c r="O678" s="110"/>
      <c r="P678" s="110"/>
      <c r="Q678" s="110"/>
      <c r="R678" s="110"/>
      <c r="S678" s="110"/>
      <c r="T678" s="110"/>
      <c r="U678" s="110"/>
      <c r="V678" s="110"/>
      <c r="W678" s="110"/>
      <c r="X678" s="110"/>
      <c r="Y678" s="110"/>
      <c r="Z678" s="110"/>
      <c r="AA678" s="110"/>
      <c r="AB678" s="110"/>
      <c r="AC678" s="110"/>
      <c r="AD678" s="110"/>
      <c r="AE678" s="110"/>
      <c r="AF678" s="110"/>
      <c r="AG678" s="110"/>
      <c r="AH678" s="110"/>
    </row>
    <row r="679">
      <c r="A679" s="110"/>
      <c r="B679" s="110"/>
      <c r="C679" s="110"/>
      <c r="D679" s="110"/>
      <c r="E679" s="110"/>
      <c r="F679" s="110"/>
      <c r="G679" s="110"/>
      <c r="H679" s="110"/>
      <c r="I679" s="110"/>
      <c r="J679" s="110"/>
      <c r="K679" s="110"/>
      <c r="L679" s="110"/>
      <c r="M679" s="110"/>
      <c r="N679" s="110"/>
      <c r="O679" s="110"/>
      <c r="P679" s="110"/>
      <c r="Q679" s="110"/>
      <c r="R679" s="110"/>
      <c r="S679" s="110"/>
      <c r="T679" s="110"/>
      <c r="U679" s="110"/>
      <c r="V679" s="110"/>
      <c r="W679" s="110"/>
      <c r="X679" s="110"/>
      <c r="Y679" s="110"/>
      <c r="Z679" s="110"/>
      <c r="AA679" s="110"/>
      <c r="AB679" s="110"/>
      <c r="AC679" s="110"/>
      <c r="AD679" s="110"/>
      <c r="AE679" s="110"/>
      <c r="AF679" s="110"/>
      <c r="AG679" s="110"/>
      <c r="AH679" s="110"/>
    </row>
    <row r="680">
      <c r="A680" s="110"/>
      <c r="B680" s="110"/>
      <c r="C680" s="110"/>
      <c r="D680" s="110"/>
      <c r="E680" s="110"/>
      <c r="F680" s="110"/>
      <c r="G680" s="110"/>
      <c r="H680" s="110"/>
      <c r="I680" s="110"/>
      <c r="J680" s="110"/>
      <c r="K680" s="110"/>
      <c r="L680" s="110"/>
      <c r="M680" s="110"/>
      <c r="N680" s="110"/>
      <c r="O680" s="110"/>
      <c r="P680" s="110"/>
      <c r="Q680" s="110"/>
      <c r="R680" s="110"/>
      <c r="S680" s="110"/>
      <c r="T680" s="110"/>
      <c r="U680" s="110"/>
      <c r="V680" s="110"/>
      <c r="W680" s="110"/>
      <c r="X680" s="110"/>
      <c r="Y680" s="110"/>
      <c r="Z680" s="110"/>
      <c r="AA680" s="110"/>
      <c r="AB680" s="110"/>
      <c r="AC680" s="110"/>
      <c r="AD680" s="110"/>
      <c r="AE680" s="110"/>
      <c r="AF680" s="110"/>
      <c r="AG680" s="110"/>
      <c r="AH680" s="110"/>
    </row>
    <row r="681">
      <c r="A681" s="110"/>
      <c r="B681" s="110"/>
      <c r="C681" s="110"/>
      <c r="D681" s="110"/>
      <c r="E681" s="110"/>
      <c r="F681" s="110"/>
      <c r="G681" s="110"/>
      <c r="H681" s="110"/>
      <c r="I681" s="110"/>
      <c r="J681" s="110"/>
      <c r="K681" s="110"/>
      <c r="L681" s="110"/>
      <c r="M681" s="110"/>
      <c r="N681" s="110"/>
      <c r="O681" s="110"/>
      <c r="P681" s="110"/>
      <c r="Q681" s="110"/>
      <c r="R681" s="110"/>
      <c r="S681" s="110"/>
      <c r="T681" s="110"/>
      <c r="U681" s="110"/>
      <c r="V681" s="110"/>
      <c r="W681" s="110"/>
      <c r="X681" s="110"/>
      <c r="Y681" s="110"/>
      <c r="Z681" s="110"/>
      <c r="AA681" s="110"/>
      <c r="AB681" s="110"/>
      <c r="AC681" s="110"/>
      <c r="AD681" s="110"/>
      <c r="AE681" s="110"/>
      <c r="AF681" s="110"/>
      <c r="AG681" s="110"/>
      <c r="AH681" s="110"/>
    </row>
    <row r="682">
      <c r="A682" s="110"/>
      <c r="B682" s="110"/>
      <c r="C682" s="110"/>
      <c r="D682" s="110"/>
      <c r="E682" s="110"/>
      <c r="F682" s="110"/>
      <c r="G682" s="110"/>
      <c r="H682" s="110"/>
      <c r="I682" s="110"/>
      <c r="J682" s="110"/>
      <c r="K682" s="110"/>
      <c r="L682" s="110"/>
      <c r="M682" s="110"/>
      <c r="N682" s="110"/>
      <c r="O682" s="110"/>
      <c r="P682" s="110"/>
      <c r="Q682" s="110"/>
      <c r="R682" s="110"/>
      <c r="S682" s="110"/>
      <c r="T682" s="110"/>
      <c r="U682" s="110"/>
      <c r="V682" s="110"/>
      <c r="W682" s="110"/>
      <c r="X682" s="110"/>
      <c r="Y682" s="110"/>
      <c r="Z682" s="110"/>
      <c r="AA682" s="110"/>
      <c r="AB682" s="110"/>
      <c r="AC682" s="110"/>
      <c r="AD682" s="110"/>
      <c r="AE682" s="110"/>
      <c r="AF682" s="110"/>
      <c r="AG682" s="110"/>
      <c r="AH682" s="110"/>
    </row>
    <row r="683">
      <c r="A683" s="110"/>
      <c r="B683" s="110"/>
      <c r="C683" s="110"/>
      <c r="D683" s="110"/>
      <c r="E683" s="110"/>
      <c r="F683" s="110"/>
      <c r="G683" s="110"/>
      <c r="H683" s="110"/>
      <c r="I683" s="110"/>
      <c r="J683" s="110"/>
      <c r="K683" s="110"/>
      <c r="L683" s="110"/>
      <c r="M683" s="110"/>
      <c r="N683" s="110"/>
      <c r="O683" s="110"/>
      <c r="P683" s="110"/>
      <c r="Q683" s="110"/>
      <c r="R683" s="110"/>
      <c r="S683" s="110"/>
      <c r="T683" s="110"/>
      <c r="U683" s="110"/>
      <c r="V683" s="110"/>
      <c r="W683" s="110"/>
      <c r="X683" s="110"/>
      <c r="Y683" s="110"/>
      <c r="Z683" s="110"/>
      <c r="AA683" s="110"/>
      <c r="AB683" s="110"/>
      <c r="AC683" s="110"/>
      <c r="AD683" s="110"/>
      <c r="AE683" s="110"/>
      <c r="AF683" s="110"/>
      <c r="AG683" s="110"/>
      <c r="AH683" s="110"/>
    </row>
    <row r="684">
      <c r="A684" s="110"/>
      <c r="B684" s="110"/>
      <c r="C684" s="110"/>
      <c r="D684" s="110"/>
      <c r="E684" s="110"/>
      <c r="F684" s="110"/>
      <c r="G684" s="110"/>
      <c r="H684" s="110"/>
      <c r="I684" s="110"/>
      <c r="J684" s="110"/>
      <c r="K684" s="110"/>
      <c r="L684" s="110"/>
      <c r="M684" s="110"/>
      <c r="N684" s="110"/>
      <c r="O684" s="110"/>
      <c r="P684" s="110"/>
      <c r="Q684" s="110"/>
      <c r="R684" s="110"/>
      <c r="S684" s="110"/>
      <c r="T684" s="110"/>
      <c r="U684" s="110"/>
      <c r="V684" s="110"/>
      <c r="W684" s="110"/>
      <c r="X684" s="110"/>
      <c r="Y684" s="110"/>
      <c r="Z684" s="110"/>
      <c r="AA684" s="110"/>
      <c r="AB684" s="110"/>
      <c r="AC684" s="110"/>
      <c r="AD684" s="110"/>
      <c r="AE684" s="110"/>
      <c r="AF684" s="110"/>
      <c r="AG684" s="110"/>
      <c r="AH684" s="110"/>
    </row>
    <row r="685">
      <c r="A685" s="110"/>
      <c r="B685" s="110"/>
      <c r="C685" s="110"/>
      <c r="D685" s="110"/>
      <c r="E685" s="110"/>
      <c r="F685" s="110"/>
      <c r="G685" s="110"/>
      <c r="H685" s="110"/>
      <c r="I685" s="110"/>
      <c r="J685" s="110"/>
      <c r="K685" s="110"/>
      <c r="L685" s="110"/>
      <c r="M685" s="110"/>
      <c r="N685" s="110"/>
      <c r="O685" s="110"/>
      <c r="P685" s="110"/>
      <c r="Q685" s="110"/>
      <c r="R685" s="110"/>
      <c r="S685" s="110"/>
      <c r="T685" s="110"/>
      <c r="U685" s="110"/>
      <c r="V685" s="110"/>
      <c r="W685" s="110"/>
      <c r="X685" s="110"/>
      <c r="Y685" s="110"/>
      <c r="Z685" s="110"/>
      <c r="AA685" s="110"/>
      <c r="AB685" s="110"/>
      <c r="AC685" s="110"/>
      <c r="AD685" s="110"/>
      <c r="AE685" s="110"/>
      <c r="AF685" s="110"/>
      <c r="AG685" s="110"/>
      <c r="AH685" s="110"/>
    </row>
    <row r="686">
      <c r="A686" s="110"/>
      <c r="B686" s="110"/>
      <c r="C686" s="110"/>
      <c r="D686" s="110"/>
      <c r="E686" s="110"/>
      <c r="F686" s="110"/>
      <c r="G686" s="110"/>
      <c r="H686" s="110"/>
      <c r="I686" s="110"/>
      <c r="J686" s="110"/>
      <c r="K686" s="110"/>
      <c r="L686" s="110"/>
      <c r="M686" s="110"/>
      <c r="N686" s="110"/>
      <c r="O686" s="110"/>
      <c r="P686" s="110"/>
      <c r="Q686" s="110"/>
      <c r="R686" s="110"/>
      <c r="S686" s="110"/>
      <c r="T686" s="110"/>
      <c r="U686" s="110"/>
      <c r="V686" s="110"/>
      <c r="W686" s="110"/>
      <c r="X686" s="110"/>
      <c r="Y686" s="110"/>
      <c r="Z686" s="110"/>
      <c r="AA686" s="110"/>
      <c r="AB686" s="110"/>
      <c r="AC686" s="110"/>
      <c r="AD686" s="110"/>
      <c r="AE686" s="110"/>
      <c r="AF686" s="110"/>
      <c r="AG686" s="110"/>
      <c r="AH686" s="110"/>
    </row>
    <row r="687">
      <c r="A687" s="110"/>
      <c r="B687" s="110"/>
      <c r="C687" s="110"/>
      <c r="D687" s="110"/>
      <c r="E687" s="110"/>
      <c r="F687" s="110"/>
      <c r="G687" s="110"/>
      <c r="H687" s="110"/>
      <c r="I687" s="110"/>
      <c r="J687" s="110"/>
      <c r="K687" s="110"/>
      <c r="L687" s="110"/>
      <c r="M687" s="110"/>
      <c r="N687" s="110"/>
      <c r="O687" s="110"/>
      <c r="P687" s="110"/>
      <c r="Q687" s="110"/>
      <c r="R687" s="110"/>
      <c r="S687" s="110"/>
      <c r="T687" s="110"/>
      <c r="U687" s="110"/>
      <c r="V687" s="110"/>
      <c r="W687" s="110"/>
      <c r="X687" s="110"/>
      <c r="Y687" s="110"/>
      <c r="Z687" s="110"/>
      <c r="AA687" s="110"/>
      <c r="AB687" s="110"/>
      <c r="AC687" s="110"/>
      <c r="AD687" s="110"/>
      <c r="AE687" s="110"/>
      <c r="AF687" s="110"/>
      <c r="AG687" s="110"/>
      <c r="AH687" s="110"/>
    </row>
    <row r="688">
      <c r="A688" s="110"/>
      <c r="B688" s="110"/>
      <c r="C688" s="110"/>
      <c r="D688" s="110"/>
      <c r="E688" s="110"/>
      <c r="F688" s="110"/>
      <c r="G688" s="110"/>
      <c r="H688" s="110"/>
      <c r="I688" s="110"/>
      <c r="J688" s="110"/>
      <c r="K688" s="110"/>
      <c r="L688" s="110"/>
      <c r="M688" s="110"/>
      <c r="N688" s="110"/>
      <c r="O688" s="110"/>
      <c r="P688" s="110"/>
      <c r="Q688" s="110"/>
      <c r="R688" s="110"/>
      <c r="S688" s="110"/>
      <c r="T688" s="110"/>
      <c r="U688" s="110"/>
      <c r="V688" s="110"/>
      <c r="W688" s="110"/>
      <c r="X688" s="110"/>
      <c r="Y688" s="110"/>
      <c r="Z688" s="110"/>
      <c r="AA688" s="110"/>
      <c r="AB688" s="110"/>
      <c r="AC688" s="110"/>
      <c r="AD688" s="110"/>
      <c r="AE688" s="110"/>
      <c r="AF688" s="110"/>
      <c r="AG688" s="110"/>
      <c r="AH688" s="110"/>
    </row>
    <row r="689">
      <c r="A689" s="110"/>
      <c r="B689" s="110"/>
      <c r="C689" s="110"/>
      <c r="D689" s="110"/>
      <c r="E689" s="110"/>
      <c r="F689" s="110"/>
      <c r="G689" s="110"/>
      <c r="H689" s="110"/>
      <c r="I689" s="110"/>
      <c r="J689" s="110"/>
      <c r="K689" s="110"/>
      <c r="L689" s="110"/>
      <c r="M689" s="110"/>
      <c r="N689" s="110"/>
      <c r="O689" s="110"/>
      <c r="P689" s="110"/>
      <c r="Q689" s="110"/>
      <c r="R689" s="110"/>
      <c r="S689" s="110"/>
      <c r="T689" s="110"/>
      <c r="U689" s="110"/>
      <c r="V689" s="110"/>
      <c r="W689" s="110"/>
      <c r="X689" s="110"/>
      <c r="Y689" s="110"/>
      <c r="Z689" s="110"/>
      <c r="AA689" s="110"/>
      <c r="AB689" s="110"/>
      <c r="AC689" s="110"/>
      <c r="AD689" s="110"/>
      <c r="AE689" s="110"/>
      <c r="AF689" s="110"/>
      <c r="AG689" s="110"/>
      <c r="AH689" s="110"/>
    </row>
    <row r="690">
      <c r="A690" s="110"/>
      <c r="B690" s="110"/>
      <c r="C690" s="110"/>
      <c r="D690" s="110"/>
      <c r="E690" s="110"/>
      <c r="F690" s="110"/>
      <c r="G690" s="110"/>
      <c r="H690" s="110"/>
      <c r="I690" s="110"/>
      <c r="J690" s="110"/>
      <c r="K690" s="110"/>
      <c r="L690" s="110"/>
      <c r="M690" s="110"/>
      <c r="N690" s="110"/>
      <c r="O690" s="110"/>
      <c r="P690" s="110"/>
      <c r="Q690" s="110"/>
      <c r="R690" s="110"/>
      <c r="S690" s="110"/>
      <c r="T690" s="110"/>
      <c r="U690" s="110"/>
      <c r="V690" s="110"/>
      <c r="W690" s="110"/>
      <c r="X690" s="110"/>
      <c r="Y690" s="110"/>
      <c r="Z690" s="110"/>
      <c r="AA690" s="110"/>
      <c r="AB690" s="110"/>
      <c r="AC690" s="110"/>
      <c r="AD690" s="110"/>
      <c r="AE690" s="110"/>
      <c r="AF690" s="110"/>
      <c r="AG690" s="110"/>
      <c r="AH690" s="110"/>
    </row>
    <row r="691">
      <c r="A691" s="110"/>
      <c r="B691" s="110"/>
      <c r="C691" s="110"/>
      <c r="D691" s="110"/>
      <c r="E691" s="110"/>
      <c r="F691" s="110"/>
      <c r="G691" s="110"/>
      <c r="H691" s="110"/>
      <c r="I691" s="110"/>
      <c r="J691" s="110"/>
      <c r="K691" s="110"/>
      <c r="L691" s="110"/>
      <c r="M691" s="110"/>
      <c r="N691" s="110"/>
      <c r="O691" s="110"/>
      <c r="P691" s="110"/>
      <c r="Q691" s="110"/>
      <c r="R691" s="110"/>
      <c r="S691" s="110"/>
      <c r="T691" s="110"/>
      <c r="U691" s="110"/>
      <c r="V691" s="110"/>
      <c r="W691" s="110"/>
      <c r="X691" s="110"/>
      <c r="Y691" s="110"/>
      <c r="Z691" s="110"/>
      <c r="AA691" s="110"/>
      <c r="AB691" s="110"/>
      <c r="AC691" s="110"/>
      <c r="AD691" s="110"/>
      <c r="AE691" s="110"/>
      <c r="AF691" s="110"/>
      <c r="AG691" s="110"/>
      <c r="AH691" s="110"/>
    </row>
    <row r="692">
      <c r="A692" s="110"/>
      <c r="B692" s="110"/>
      <c r="C692" s="110"/>
      <c r="D692" s="110"/>
      <c r="E692" s="110"/>
      <c r="F692" s="110"/>
      <c r="G692" s="110"/>
      <c r="H692" s="110"/>
      <c r="I692" s="110"/>
      <c r="J692" s="110"/>
      <c r="K692" s="110"/>
      <c r="L692" s="110"/>
      <c r="M692" s="110"/>
      <c r="N692" s="110"/>
      <c r="O692" s="110"/>
      <c r="P692" s="110"/>
      <c r="Q692" s="110"/>
      <c r="R692" s="110"/>
      <c r="S692" s="110"/>
      <c r="T692" s="110"/>
      <c r="U692" s="110"/>
      <c r="V692" s="110"/>
      <c r="W692" s="110"/>
      <c r="X692" s="110"/>
      <c r="Y692" s="110"/>
      <c r="Z692" s="110"/>
      <c r="AA692" s="110"/>
      <c r="AB692" s="110"/>
      <c r="AC692" s="110"/>
      <c r="AD692" s="110"/>
      <c r="AE692" s="110"/>
      <c r="AF692" s="110"/>
      <c r="AG692" s="110"/>
      <c r="AH692" s="110"/>
    </row>
    <row r="693">
      <c r="A693" s="110"/>
      <c r="B693" s="110"/>
      <c r="C693" s="110"/>
      <c r="D693" s="110"/>
      <c r="E693" s="110"/>
      <c r="F693" s="110"/>
      <c r="G693" s="110"/>
      <c r="H693" s="110"/>
      <c r="I693" s="110"/>
      <c r="J693" s="110"/>
      <c r="K693" s="110"/>
      <c r="L693" s="110"/>
      <c r="M693" s="110"/>
      <c r="N693" s="110"/>
      <c r="O693" s="110"/>
      <c r="P693" s="110"/>
      <c r="Q693" s="110"/>
      <c r="R693" s="110"/>
      <c r="S693" s="110"/>
      <c r="T693" s="110"/>
      <c r="U693" s="110"/>
      <c r="V693" s="110"/>
      <c r="W693" s="110"/>
      <c r="X693" s="110"/>
      <c r="Y693" s="110"/>
      <c r="Z693" s="110"/>
      <c r="AA693" s="110"/>
      <c r="AB693" s="110"/>
      <c r="AC693" s="110"/>
      <c r="AD693" s="110"/>
      <c r="AE693" s="110"/>
      <c r="AF693" s="110"/>
      <c r="AG693" s="110"/>
      <c r="AH693" s="110"/>
    </row>
    <row r="694">
      <c r="A694" s="110"/>
      <c r="B694" s="110"/>
      <c r="C694" s="110"/>
      <c r="D694" s="110"/>
      <c r="E694" s="110"/>
      <c r="F694" s="110"/>
      <c r="G694" s="110"/>
      <c r="H694" s="110"/>
      <c r="I694" s="110"/>
      <c r="J694" s="110"/>
      <c r="K694" s="110"/>
      <c r="L694" s="110"/>
      <c r="M694" s="110"/>
      <c r="N694" s="110"/>
      <c r="O694" s="110"/>
      <c r="P694" s="110"/>
      <c r="Q694" s="110"/>
      <c r="R694" s="110"/>
      <c r="S694" s="110"/>
      <c r="T694" s="110"/>
      <c r="U694" s="110"/>
      <c r="V694" s="110"/>
      <c r="W694" s="110"/>
      <c r="X694" s="110"/>
      <c r="Y694" s="110"/>
      <c r="Z694" s="110"/>
      <c r="AA694" s="110"/>
      <c r="AB694" s="110"/>
      <c r="AC694" s="110"/>
      <c r="AD694" s="110"/>
      <c r="AE694" s="110"/>
      <c r="AF694" s="110"/>
      <c r="AG694" s="110"/>
      <c r="AH694" s="110"/>
    </row>
    <row r="695">
      <c r="A695" s="110"/>
      <c r="B695" s="110"/>
      <c r="C695" s="110"/>
      <c r="D695" s="110"/>
      <c r="E695" s="110"/>
      <c r="F695" s="110"/>
      <c r="G695" s="110"/>
      <c r="H695" s="110"/>
      <c r="I695" s="110"/>
      <c r="J695" s="110"/>
      <c r="K695" s="110"/>
      <c r="L695" s="110"/>
      <c r="M695" s="110"/>
      <c r="N695" s="110"/>
      <c r="O695" s="110"/>
      <c r="P695" s="110"/>
      <c r="Q695" s="110"/>
      <c r="R695" s="110"/>
      <c r="S695" s="110"/>
      <c r="T695" s="110"/>
      <c r="U695" s="110"/>
      <c r="V695" s="110"/>
      <c r="W695" s="110"/>
      <c r="X695" s="110"/>
      <c r="Y695" s="110"/>
      <c r="Z695" s="110"/>
      <c r="AA695" s="110"/>
      <c r="AB695" s="110"/>
      <c r="AC695" s="110"/>
      <c r="AD695" s="110"/>
      <c r="AE695" s="110"/>
      <c r="AF695" s="110"/>
      <c r="AG695" s="110"/>
      <c r="AH695" s="110"/>
    </row>
    <row r="696">
      <c r="A696" s="110"/>
      <c r="B696" s="110"/>
      <c r="C696" s="110"/>
      <c r="D696" s="110"/>
      <c r="E696" s="110"/>
      <c r="F696" s="110"/>
      <c r="G696" s="110"/>
      <c r="H696" s="110"/>
      <c r="I696" s="110"/>
      <c r="J696" s="110"/>
      <c r="K696" s="110"/>
      <c r="L696" s="110"/>
      <c r="M696" s="110"/>
      <c r="N696" s="110"/>
      <c r="O696" s="110"/>
      <c r="P696" s="110"/>
      <c r="Q696" s="110"/>
      <c r="R696" s="110"/>
      <c r="S696" s="110"/>
      <c r="T696" s="110"/>
      <c r="U696" s="110"/>
      <c r="V696" s="110"/>
      <c r="W696" s="110"/>
      <c r="X696" s="110"/>
      <c r="Y696" s="110"/>
      <c r="Z696" s="110"/>
      <c r="AA696" s="110"/>
      <c r="AB696" s="110"/>
      <c r="AC696" s="110"/>
      <c r="AD696" s="110"/>
      <c r="AE696" s="110"/>
      <c r="AF696" s="110"/>
      <c r="AG696" s="110"/>
      <c r="AH696" s="110"/>
    </row>
    <row r="697">
      <c r="A697" s="110"/>
      <c r="B697" s="110"/>
      <c r="C697" s="110"/>
      <c r="D697" s="110"/>
      <c r="E697" s="110"/>
      <c r="F697" s="110"/>
      <c r="G697" s="110"/>
      <c r="H697" s="110"/>
      <c r="I697" s="110"/>
      <c r="J697" s="110"/>
      <c r="K697" s="110"/>
      <c r="L697" s="110"/>
      <c r="M697" s="110"/>
      <c r="N697" s="110"/>
      <c r="O697" s="110"/>
      <c r="P697" s="110"/>
      <c r="Q697" s="110"/>
      <c r="R697" s="110"/>
      <c r="S697" s="110"/>
      <c r="T697" s="110"/>
      <c r="U697" s="110"/>
      <c r="V697" s="110"/>
      <c r="W697" s="110"/>
      <c r="X697" s="110"/>
      <c r="Y697" s="110"/>
      <c r="Z697" s="110"/>
      <c r="AA697" s="110"/>
      <c r="AB697" s="110"/>
      <c r="AC697" s="110"/>
      <c r="AD697" s="110"/>
      <c r="AE697" s="110"/>
      <c r="AF697" s="110"/>
      <c r="AG697" s="110"/>
      <c r="AH697" s="110"/>
    </row>
    <row r="698">
      <c r="A698" s="110"/>
      <c r="B698" s="110"/>
      <c r="C698" s="110"/>
      <c r="D698" s="110"/>
      <c r="E698" s="110"/>
      <c r="F698" s="110"/>
      <c r="G698" s="110"/>
      <c r="H698" s="110"/>
      <c r="I698" s="110"/>
      <c r="J698" s="110"/>
      <c r="K698" s="110"/>
      <c r="L698" s="110"/>
      <c r="M698" s="110"/>
      <c r="N698" s="110"/>
      <c r="O698" s="110"/>
      <c r="P698" s="110"/>
      <c r="Q698" s="110"/>
      <c r="R698" s="110"/>
      <c r="S698" s="110"/>
      <c r="T698" s="110"/>
      <c r="U698" s="110"/>
      <c r="V698" s="110"/>
      <c r="W698" s="110"/>
      <c r="X698" s="110"/>
      <c r="Y698" s="110"/>
      <c r="Z698" s="110"/>
      <c r="AA698" s="110"/>
      <c r="AB698" s="110"/>
      <c r="AC698" s="110"/>
      <c r="AD698" s="110"/>
      <c r="AE698" s="110"/>
      <c r="AF698" s="110"/>
      <c r="AG698" s="110"/>
      <c r="AH698" s="110"/>
    </row>
    <row r="699">
      <c r="A699" s="110"/>
      <c r="B699" s="110"/>
      <c r="C699" s="110"/>
      <c r="D699" s="110"/>
      <c r="E699" s="110"/>
      <c r="F699" s="110"/>
      <c r="G699" s="110"/>
      <c r="H699" s="110"/>
      <c r="I699" s="110"/>
      <c r="J699" s="110"/>
      <c r="K699" s="110"/>
      <c r="L699" s="110"/>
      <c r="M699" s="110"/>
      <c r="N699" s="110"/>
      <c r="O699" s="110"/>
      <c r="P699" s="110"/>
      <c r="Q699" s="110"/>
      <c r="R699" s="110"/>
      <c r="S699" s="110"/>
      <c r="T699" s="110"/>
      <c r="U699" s="110"/>
      <c r="V699" s="110"/>
      <c r="W699" s="110"/>
      <c r="X699" s="110"/>
      <c r="Y699" s="110"/>
      <c r="Z699" s="110"/>
      <c r="AA699" s="110"/>
      <c r="AB699" s="110"/>
      <c r="AC699" s="110"/>
      <c r="AD699" s="110"/>
      <c r="AE699" s="110"/>
      <c r="AF699" s="110"/>
      <c r="AG699" s="110"/>
      <c r="AH699" s="110"/>
    </row>
    <row r="700">
      <c r="A700" s="110"/>
      <c r="B700" s="110"/>
      <c r="C700" s="110"/>
      <c r="D700" s="110"/>
      <c r="E700" s="110"/>
      <c r="F700" s="110"/>
      <c r="G700" s="110"/>
      <c r="H700" s="110"/>
      <c r="I700" s="110"/>
      <c r="J700" s="110"/>
      <c r="K700" s="110"/>
      <c r="L700" s="110"/>
      <c r="M700" s="110"/>
      <c r="N700" s="110"/>
      <c r="O700" s="110"/>
      <c r="P700" s="110"/>
      <c r="Q700" s="110"/>
      <c r="R700" s="110"/>
      <c r="S700" s="110"/>
      <c r="T700" s="110"/>
      <c r="U700" s="110"/>
      <c r="V700" s="110"/>
      <c r="W700" s="110"/>
      <c r="X700" s="110"/>
      <c r="Y700" s="110"/>
      <c r="Z700" s="110"/>
      <c r="AA700" s="110"/>
      <c r="AB700" s="110"/>
      <c r="AC700" s="110"/>
      <c r="AD700" s="110"/>
      <c r="AE700" s="110"/>
      <c r="AF700" s="110"/>
      <c r="AG700" s="110"/>
      <c r="AH700" s="110"/>
    </row>
    <row r="701">
      <c r="A701" s="110"/>
      <c r="B701" s="110"/>
      <c r="C701" s="110"/>
      <c r="D701" s="110"/>
      <c r="E701" s="110"/>
      <c r="F701" s="110"/>
      <c r="G701" s="110"/>
      <c r="H701" s="110"/>
      <c r="I701" s="110"/>
      <c r="J701" s="110"/>
      <c r="K701" s="110"/>
      <c r="L701" s="110"/>
      <c r="M701" s="110"/>
      <c r="N701" s="110"/>
      <c r="O701" s="110"/>
      <c r="P701" s="110"/>
      <c r="Q701" s="110"/>
      <c r="R701" s="110"/>
      <c r="S701" s="110"/>
      <c r="T701" s="110"/>
      <c r="U701" s="110"/>
      <c r="V701" s="110"/>
      <c r="W701" s="110"/>
      <c r="X701" s="110"/>
      <c r="Y701" s="110"/>
      <c r="Z701" s="110"/>
      <c r="AA701" s="110"/>
      <c r="AB701" s="110"/>
      <c r="AC701" s="110"/>
      <c r="AD701" s="110"/>
      <c r="AE701" s="110"/>
      <c r="AF701" s="110"/>
      <c r="AG701" s="110"/>
      <c r="AH701" s="110"/>
    </row>
    <row r="702">
      <c r="A702" s="110"/>
      <c r="B702" s="110"/>
      <c r="C702" s="110"/>
      <c r="D702" s="110"/>
      <c r="E702" s="110"/>
      <c r="F702" s="110"/>
      <c r="G702" s="110"/>
      <c r="H702" s="110"/>
      <c r="I702" s="110"/>
      <c r="J702" s="110"/>
      <c r="K702" s="110"/>
      <c r="L702" s="110"/>
      <c r="M702" s="110"/>
      <c r="N702" s="110"/>
      <c r="O702" s="110"/>
      <c r="P702" s="110"/>
      <c r="Q702" s="110"/>
      <c r="R702" s="110"/>
      <c r="S702" s="110"/>
      <c r="T702" s="110"/>
      <c r="U702" s="110"/>
      <c r="V702" s="110"/>
      <c r="W702" s="110"/>
      <c r="X702" s="110"/>
      <c r="Y702" s="110"/>
      <c r="Z702" s="110"/>
      <c r="AA702" s="110"/>
      <c r="AB702" s="110"/>
      <c r="AC702" s="110"/>
      <c r="AD702" s="110"/>
      <c r="AE702" s="110"/>
      <c r="AF702" s="110"/>
      <c r="AG702" s="110"/>
      <c r="AH702" s="110"/>
    </row>
    <row r="703">
      <c r="A703" s="110"/>
      <c r="B703" s="110"/>
      <c r="C703" s="110"/>
      <c r="D703" s="110"/>
      <c r="E703" s="110"/>
      <c r="F703" s="110"/>
      <c r="G703" s="110"/>
      <c r="H703" s="110"/>
      <c r="I703" s="110"/>
      <c r="J703" s="110"/>
      <c r="K703" s="110"/>
      <c r="L703" s="110"/>
      <c r="M703" s="110"/>
      <c r="N703" s="110"/>
      <c r="O703" s="110"/>
      <c r="P703" s="110"/>
      <c r="Q703" s="110"/>
      <c r="R703" s="110"/>
      <c r="S703" s="110"/>
      <c r="T703" s="110"/>
      <c r="U703" s="110"/>
      <c r="V703" s="110"/>
      <c r="W703" s="110"/>
      <c r="X703" s="110"/>
      <c r="Y703" s="110"/>
      <c r="Z703" s="110"/>
      <c r="AA703" s="110"/>
      <c r="AB703" s="110"/>
      <c r="AC703" s="110"/>
      <c r="AD703" s="110"/>
      <c r="AE703" s="110"/>
      <c r="AF703" s="110"/>
      <c r="AG703" s="110"/>
      <c r="AH703" s="110"/>
    </row>
    <row r="704">
      <c r="A704" s="110"/>
      <c r="B704" s="110"/>
      <c r="C704" s="110"/>
      <c r="D704" s="110"/>
      <c r="E704" s="110"/>
      <c r="F704" s="110"/>
      <c r="G704" s="110"/>
      <c r="H704" s="110"/>
      <c r="I704" s="110"/>
      <c r="J704" s="110"/>
      <c r="K704" s="110"/>
      <c r="L704" s="110"/>
      <c r="M704" s="110"/>
      <c r="N704" s="110"/>
      <c r="O704" s="110"/>
      <c r="P704" s="110"/>
      <c r="Q704" s="110"/>
      <c r="R704" s="110"/>
      <c r="S704" s="110"/>
      <c r="T704" s="110"/>
      <c r="U704" s="110"/>
      <c r="V704" s="110"/>
      <c r="W704" s="110"/>
      <c r="X704" s="110"/>
      <c r="Y704" s="110"/>
      <c r="Z704" s="110"/>
      <c r="AA704" s="110"/>
      <c r="AB704" s="110"/>
      <c r="AC704" s="110"/>
      <c r="AD704" s="110"/>
      <c r="AE704" s="110"/>
      <c r="AF704" s="110"/>
      <c r="AG704" s="110"/>
      <c r="AH704" s="110"/>
    </row>
    <row r="705">
      <c r="A705" s="110"/>
      <c r="B705" s="110"/>
      <c r="C705" s="110"/>
      <c r="D705" s="110"/>
      <c r="E705" s="110"/>
      <c r="F705" s="110"/>
      <c r="G705" s="110"/>
      <c r="H705" s="110"/>
      <c r="I705" s="110"/>
      <c r="J705" s="110"/>
      <c r="K705" s="110"/>
      <c r="L705" s="110"/>
      <c r="M705" s="110"/>
      <c r="N705" s="110"/>
      <c r="O705" s="110"/>
      <c r="P705" s="110"/>
      <c r="Q705" s="110"/>
      <c r="R705" s="110"/>
      <c r="S705" s="110"/>
      <c r="T705" s="110"/>
      <c r="U705" s="110"/>
      <c r="V705" s="110"/>
      <c r="W705" s="110"/>
      <c r="X705" s="110"/>
      <c r="Y705" s="110"/>
      <c r="Z705" s="110"/>
      <c r="AA705" s="110"/>
      <c r="AB705" s="110"/>
      <c r="AC705" s="110"/>
      <c r="AD705" s="110"/>
      <c r="AE705" s="110"/>
      <c r="AF705" s="110"/>
      <c r="AG705" s="110"/>
      <c r="AH705" s="110"/>
    </row>
    <row r="706">
      <c r="A706" s="110"/>
      <c r="B706" s="110"/>
      <c r="C706" s="110"/>
      <c r="D706" s="110"/>
      <c r="E706" s="110"/>
      <c r="F706" s="110"/>
      <c r="G706" s="110"/>
      <c r="H706" s="110"/>
      <c r="I706" s="110"/>
      <c r="J706" s="110"/>
      <c r="K706" s="110"/>
      <c r="L706" s="110"/>
      <c r="M706" s="110"/>
      <c r="N706" s="110"/>
      <c r="O706" s="110"/>
      <c r="P706" s="110"/>
      <c r="Q706" s="110"/>
      <c r="R706" s="110"/>
      <c r="S706" s="110"/>
      <c r="T706" s="110"/>
      <c r="U706" s="110"/>
      <c r="V706" s="110"/>
      <c r="W706" s="110"/>
      <c r="X706" s="110"/>
      <c r="Y706" s="110"/>
      <c r="Z706" s="110"/>
      <c r="AA706" s="110"/>
      <c r="AB706" s="110"/>
      <c r="AC706" s="110"/>
      <c r="AD706" s="110"/>
      <c r="AE706" s="110"/>
      <c r="AF706" s="110"/>
      <c r="AG706" s="110"/>
      <c r="AH706" s="110"/>
    </row>
    <row r="707">
      <c r="A707" s="110"/>
      <c r="B707" s="110"/>
      <c r="C707" s="110"/>
      <c r="D707" s="110"/>
      <c r="E707" s="110"/>
      <c r="F707" s="110"/>
      <c r="G707" s="110"/>
      <c r="H707" s="110"/>
      <c r="I707" s="110"/>
      <c r="J707" s="110"/>
      <c r="K707" s="110"/>
      <c r="L707" s="110"/>
      <c r="M707" s="110"/>
      <c r="N707" s="110"/>
      <c r="O707" s="110"/>
      <c r="P707" s="110"/>
      <c r="Q707" s="110"/>
      <c r="R707" s="110"/>
      <c r="S707" s="110"/>
      <c r="T707" s="110"/>
      <c r="U707" s="110"/>
      <c r="V707" s="110"/>
      <c r="W707" s="110"/>
      <c r="X707" s="110"/>
      <c r="Y707" s="110"/>
      <c r="Z707" s="110"/>
      <c r="AA707" s="110"/>
      <c r="AB707" s="110"/>
      <c r="AC707" s="110"/>
      <c r="AD707" s="110"/>
      <c r="AE707" s="110"/>
      <c r="AF707" s="110"/>
      <c r="AG707" s="110"/>
      <c r="AH707" s="110"/>
    </row>
    <row r="708">
      <c r="A708" s="110"/>
      <c r="B708" s="110"/>
      <c r="C708" s="110"/>
      <c r="D708" s="110"/>
      <c r="E708" s="110"/>
      <c r="F708" s="110"/>
      <c r="G708" s="110"/>
      <c r="H708" s="110"/>
      <c r="I708" s="110"/>
      <c r="J708" s="110"/>
      <c r="K708" s="110"/>
      <c r="L708" s="110"/>
      <c r="M708" s="110"/>
      <c r="N708" s="110"/>
      <c r="O708" s="110"/>
      <c r="P708" s="110"/>
      <c r="Q708" s="110"/>
      <c r="R708" s="110"/>
      <c r="S708" s="110"/>
      <c r="T708" s="110"/>
      <c r="U708" s="110"/>
      <c r="V708" s="110"/>
      <c r="W708" s="110"/>
      <c r="X708" s="110"/>
      <c r="Y708" s="110"/>
      <c r="Z708" s="110"/>
      <c r="AA708" s="110"/>
      <c r="AB708" s="110"/>
      <c r="AC708" s="110"/>
      <c r="AD708" s="110"/>
      <c r="AE708" s="110"/>
      <c r="AF708" s="110"/>
      <c r="AG708" s="110"/>
      <c r="AH708" s="110"/>
    </row>
    <row r="709">
      <c r="A709" s="110"/>
      <c r="B709" s="110"/>
      <c r="C709" s="110"/>
      <c r="D709" s="110"/>
      <c r="E709" s="110"/>
      <c r="F709" s="110"/>
      <c r="G709" s="110"/>
      <c r="H709" s="110"/>
      <c r="I709" s="110"/>
      <c r="J709" s="110"/>
      <c r="K709" s="110"/>
      <c r="L709" s="110"/>
      <c r="M709" s="110"/>
      <c r="N709" s="110"/>
      <c r="O709" s="110"/>
      <c r="P709" s="110"/>
      <c r="Q709" s="110"/>
      <c r="R709" s="110"/>
      <c r="S709" s="110"/>
      <c r="T709" s="110"/>
      <c r="U709" s="110"/>
      <c r="V709" s="110"/>
      <c r="W709" s="110"/>
      <c r="X709" s="110"/>
      <c r="Y709" s="110"/>
      <c r="Z709" s="110"/>
      <c r="AA709" s="110"/>
      <c r="AB709" s="110"/>
      <c r="AC709" s="110"/>
      <c r="AD709" s="110"/>
      <c r="AE709" s="110"/>
      <c r="AF709" s="110"/>
      <c r="AG709" s="110"/>
      <c r="AH709" s="110"/>
    </row>
    <row r="710">
      <c r="A710" s="110"/>
      <c r="B710" s="110"/>
      <c r="C710" s="110"/>
      <c r="D710" s="110"/>
      <c r="E710" s="110"/>
      <c r="F710" s="110"/>
      <c r="G710" s="110"/>
      <c r="H710" s="110"/>
      <c r="I710" s="110"/>
      <c r="J710" s="110"/>
      <c r="K710" s="110"/>
      <c r="L710" s="110"/>
      <c r="M710" s="110"/>
      <c r="N710" s="110"/>
      <c r="O710" s="110"/>
      <c r="P710" s="110"/>
      <c r="Q710" s="110"/>
      <c r="R710" s="110"/>
      <c r="S710" s="110"/>
      <c r="T710" s="110"/>
      <c r="U710" s="110"/>
      <c r="V710" s="110"/>
      <c r="W710" s="110"/>
      <c r="X710" s="110"/>
      <c r="Y710" s="110"/>
      <c r="Z710" s="110"/>
      <c r="AA710" s="110"/>
      <c r="AB710" s="110"/>
      <c r="AC710" s="110"/>
      <c r="AD710" s="110"/>
      <c r="AE710" s="110"/>
      <c r="AF710" s="110"/>
      <c r="AG710" s="110"/>
      <c r="AH710" s="110"/>
    </row>
    <row r="711">
      <c r="A711" s="110"/>
      <c r="B711" s="110"/>
      <c r="C711" s="110"/>
      <c r="D711" s="110"/>
      <c r="E711" s="110"/>
      <c r="F711" s="110"/>
      <c r="G711" s="110"/>
      <c r="H711" s="110"/>
      <c r="I711" s="110"/>
      <c r="J711" s="110"/>
      <c r="K711" s="110"/>
      <c r="L711" s="110"/>
      <c r="M711" s="110"/>
      <c r="N711" s="110"/>
      <c r="O711" s="110"/>
      <c r="P711" s="110"/>
      <c r="Q711" s="110"/>
      <c r="R711" s="110"/>
      <c r="S711" s="110"/>
      <c r="T711" s="110"/>
      <c r="U711" s="110"/>
      <c r="V711" s="110"/>
      <c r="W711" s="110"/>
      <c r="X711" s="110"/>
      <c r="Y711" s="110"/>
      <c r="Z711" s="110"/>
      <c r="AA711" s="110"/>
      <c r="AB711" s="110"/>
      <c r="AC711" s="110"/>
      <c r="AD711" s="110"/>
      <c r="AE711" s="110"/>
      <c r="AF711" s="110"/>
      <c r="AG711" s="110"/>
      <c r="AH711" s="110"/>
    </row>
    <row r="712">
      <c r="A712" s="110"/>
      <c r="B712" s="110"/>
      <c r="C712" s="110"/>
      <c r="D712" s="110"/>
      <c r="E712" s="110"/>
      <c r="F712" s="110"/>
      <c r="G712" s="110"/>
      <c r="H712" s="110"/>
      <c r="I712" s="110"/>
      <c r="J712" s="110"/>
      <c r="K712" s="110"/>
      <c r="L712" s="110"/>
      <c r="M712" s="110"/>
      <c r="N712" s="110"/>
      <c r="O712" s="110"/>
      <c r="P712" s="110"/>
      <c r="Q712" s="110"/>
      <c r="R712" s="110"/>
      <c r="S712" s="110"/>
      <c r="T712" s="110"/>
      <c r="U712" s="110"/>
      <c r="V712" s="110"/>
      <c r="W712" s="110"/>
      <c r="X712" s="110"/>
      <c r="Y712" s="110"/>
      <c r="Z712" s="110"/>
      <c r="AA712" s="110"/>
      <c r="AB712" s="110"/>
      <c r="AC712" s="110"/>
      <c r="AD712" s="110"/>
      <c r="AE712" s="110"/>
      <c r="AF712" s="110"/>
      <c r="AG712" s="110"/>
      <c r="AH712" s="110"/>
    </row>
    <row r="713">
      <c r="A713" s="110"/>
      <c r="B713" s="110"/>
      <c r="C713" s="110"/>
      <c r="D713" s="110"/>
      <c r="E713" s="110"/>
      <c r="F713" s="110"/>
      <c r="G713" s="110"/>
      <c r="H713" s="110"/>
      <c r="I713" s="110"/>
      <c r="J713" s="110"/>
      <c r="K713" s="110"/>
      <c r="L713" s="110"/>
      <c r="M713" s="110"/>
      <c r="N713" s="110"/>
      <c r="O713" s="110"/>
      <c r="P713" s="110"/>
      <c r="Q713" s="110"/>
      <c r="R713" s="110"/>
      <c r="S713" s="110"/>
      <c r="T713" s="110"/>
      <c r="U713" s="110"/>
      <c r="V713" s="110"/>
      <c r="W713" s="110"/>
      <c r="X713" s="110"/>
      <c r="Y713" s="110"/>
      <c r="Z713" s="110"/>
      <c r="AA713" s="110"/>
      <c r="AB713" s="110"/>
      <c r="AC713" s="110"/>
      <c r="AD713" s="110"/>
      <c r="AE713" s="110"/>
      <c r="AF713" s="110"/>
      <c r="AG713" s="110"/>
      <c r="AH713" s="110"/>
    </row>
    <row r="714">
      <c r="A714" s="110"/>
      <c r="B714" s="110"/>
      <c r="C714" s="110"/>
      <c r="D714" s="110"/>
      <c r="E714" s="110"/>
      <c r="F714" s="110"/>
      <c r="G714" s="110"/>
      <c r="H714" s="110"/>
      <c r="I714" s="110"/>
      <c r="J714" s="110"/>
      <c r="K714" s="110"/>
      <c r="L714" s="110"/>
      <c r="M714" s="110"/>
      <c r="N714" s="110"/>
      <c r="O714" s="110"/>
      <c r="P714" s="110"/>
      <c r="Q714" s="110"/>
      <c r="R714" s="110"/>
      <c r="S714" s="110"/>
      <c r="T714" s="110"/>
      <c r="U714" s="110"/>
      <c r="V714" s="110"/>
      <c r="W714" s="110"/>
      <c r="X714" s="110"/>
      <c r="Y714" s="110"/>
      <c r="Z714" s="110"/>
      <c r="AA714" s="110"/>
      <c r="AB714" s="110"/>
      <c r="AC714" s="110"/>
      <c r="AD714" s="110"/>
      <c r="AE714" s="110"/>
      <c r="AF714" s="110"/>
      <c r="AG714" s="110"/>
      <c r="AH714" s="110"/>
    </row>
    <row r="715">
      <c r="A715" s="110"/>
      <c r="B715" s="110"/>
      <c r="C715" s="110"/>
      <c r="D715" s="110"/>
      <c r="E715" s="110"/>
      <c r="F715" s="110"/>
      <c r="G715" s="110"/>
      <c r="H715" s="110"/>
      <c r="I715" s="110"/>
      <c r="J715" s="110"/>
      <c r="K715" s="110"/>
      <c r="L715" s="110"/>
      <c r="M715" s="110"/>
      <c r="N715" s="110"/>
      <c r="O715" s="110"/>
      <c r="P715" s="110"/>
      <c r="Q715" s="110"/>
      <c r="R715" s="110"/>
      <c r="S715" s="110"/>
      <c r="T715" s="110"/>
      <c r="U715" s="110"/>
      <c r="V715" s="110"/>
      <c r="W715" s="110"/>
      <c r="X715" s="110"/>
      <c r="Y715" s="110"/>
      <c r="Z715" s="110"/>
      <c r="AA715" s="110"/>
      <c r="AB715" s="110"/>
      <c r="AC715" s="110"/>
      <c r="AD715" s="110"/>
      <c r="AE715" s="110"/>
      <c r="AF715" s="110"/>
      <c r="AG715" s="110"/>
      <c r="AH715" s="110"/>
    </row>
    <row r="716">
      <c r="A716" s="110"/>
      <c r="B716" s="110"/>
      <c r="C716" s="110"/>
      <c r="D716" s="110"/>
      <c r="E716" s="110"/>
      <c r="F716" s="110"/>
      <c r="G716" s="110"/>
      <c r="H716" s="110"/>
      <c r="I716" s="110"/>
      <c r="J716" s="110"/>
      <c r="K716" s="110"/>
      <c r="L716" s="110"/>
      <c r="M716" s="110"/>
      <c r="N716" s="110"/>
      <c r="O716" s="110"/>
      <c r="P716" s="110"/>
      <c r="Q716" s="110"/>
      <c r="R716" s="110"/>
      <c r="S716" s="110"/>
      <c r="T716" s="110"/>
      <c r="U716" s="110"/>
      <c r="V716" s="110"/>
      <c r="W716" s="110"/>
      <c r="X716" s="110"/>
      <c r="Y716" s="110"/>
      <c r="Z716" s="110"/>
      <c r="AA716" s="110"/>
      <c r="AB716" s="110"/>
      <c r="AC716" s="110"/>
      <c r="AD716" s="110"/>
      <c r="AE716" s="110"/>
      <c r="AF716" s="110"/>
      <c r="AG716" s="110"/>
      <c r="AH716" s="110"/>
    </row>
    <row r="717">
      <c r="A717" s="110"/>
      <c r="B717" s="110"/>
      <c r="C717" s="110"/>
      <c r="D717" s="110"/>
      <c r="E717" s="110"/>
      <c r="F717" s="110"/>
      <c r="G717" s="110"/>
      <c r="H717" s="110"/>
      <c r="I717" s="110"/>
      <c r="J717" s="110"/>
      <c r="K717" s="110"/>
      <c r="L717" s="110"/>
      <c r="M717" s="110"/>
      <c r="N717" s="110"/>
      <c r="O717" s="110"/>
      <c r="P717" s="110"/>
      <c r="Q717" s="110"/>
      <c r="R717" s="110"/>
      <c r="S717" s="110"/>
      <c r="T717" s="110"/>
      <c r="U717" s="110"/>
      <c r="V717" s="110"/>
      <c r="W717" s="110"/>
      <c r="X717" s="110"/>
      <c r="Y717" s="110"/>
      <c r="Z717" s="110"/>
      <c r="AA717" s="110"/>
      <c r="AB717" s="110"/>
      <c r="AC717" s="110"/>
      <c r="AD717" s="110"/>
      <c r="AE717" s="110"/>
      <c r="AF717" s="110"/>
      <c r="AG717" s="110"/>
      <c r="AH717" s="110"/>
    </row>
    <row r="718">
      <c r="A718" s="110"/>
      <c r="B718" s="110"/>
      <c r="C718" s="110"/>
      <c r="D718" s="110"/>
      <c r="E718" s="110"/>
      <c r="F718" s="110"/>
      <c r="G718" s="110"/>
      <c r="H718" s="110"/>
      <c r="I718" s="110"/>
      <c r="J718" s="110"/>
      <c r="K718" s="110"/>
      <c r="L718" s="110"/>
      <c r="M718" s="110"/>
      <c r="N718" s="110"/>
      <c r="O718" s="110"/>
      <c r="P718" s="110"/>
      <c r="Q718" s="110"/>
      <c r="R718" s="110"/>
      <c r="S718" s="110"/>
      <c r="T718" s="110"/>
      <c r="U718" s="110"/>
      <c r="V718" s="110"/>
      <c r="W718" s="110"/>
      <c r="X718" s="110"/>
      <c r="Y718" s="110"/>
      <c r="Z718" s="110"/>
      <c r="AA718" s="110"/>
      <c r="AB718" s="110"/>
      <c r="AC718" s="110"/>
      <c r="AD718" s="110"/>
      <c r="AE718" s="110"/>
      <c r="AF718" s="110"/>
      <c r="AG718" s="110"/>
      <c r="AH718" s="110"/>
    </row>
    <row r="719">
      <c r="A719" s="110"/>
      <c r="B719" s="110"/>
      <c r="C719" s="110"/>
      <c r="D719" s="110"/>
      <c r="E719" s="110"/>
      <c r="F719" s="110"/>
      <c r="G719" s="110"/>
      <c r="H719" s="110"/>
      <c r="I719" s="110"/>
      <c r="J719" s="110"/>
      <c r="K719" s="110"/>
      <c r="L719" s="110"/>
      <c r="M719" s="110"/>
      <c r="N719" s="110"/>
      <c r="O719" s="110"/>
      <c r="P719" s="110"/>
      <c r="Q719" s="110"/>
      <c r="R719" s="110"/>
      <c r="S719" s="110"/>
      <c r="T719" s="110"/>
      <c r="U719" s="110"/>
      <c r="V719" s="110"/>
      <c r="W719" s="110"/>
      <c r="X719" s="110"/>
      <c r="Y719" s="110"/>
      <c r="Z719" s="110"/>
      <c r="AA719" s="110"/>
      <c r="AB719" s="110"/>
      <c r="AC719" s="110"/>
      <c r="AD719" s="110"/>
      <c r="AE719" s="110"/>
      <c r="AF719" s="110"/>
      <c r="AG719" s="110"/>
      <c r="AH719" s="110"/>
    </row>
    <row r="720">
      <c r="A720" s="110"/>
      <c r="B720" s="110"/>
      <c r="C720" s="110"/>
      <c r="D720" s="110"/>
      <c r="E720" s="110"/>
      <c r="F720" s="110"/>
      <c r="G720" s="110"/>
      <c r="H720" s="110"/>
      <c r="I720" s="110"/>
      <c r="J720" s="110"/>
      <c r="K720" s="110"/>
      <c r="L720" s="110"/>
      <c r="M720" s="110"/>
      <c r="N720" s="110"/>
      <c r="O720" s="110"/>
      <c r="P720" s="110"/>
      <c r="Q720" s="110"/>
      <c r="R720" s="110"/>
      <c r="S720" s="110"/>
      <c r="T720" s="110"/>
      <c r="U720" s="110"/>
      <c r="V720" s="110"/>
      <c r="W720" s="110"/>
      <c r="X720" s="110"/>
      <c r="Y720" s="110"/>
      <c r="Z720" s="110"/>
      <c r="AA720" s="110"/>
      <c r="AB720" s="110"/>
      <c r="AC720" s="110"/>
      <c r="AD720" s="110"/>
      <c r="AE720" s="110"/>
      <c r="AF720" s="110"/>
      <c r="AG720" s="110"/>
      <c r="AH720" s="110"/>
    </row>
    <row r="721">
      <c r="A721" s="110"/>
      <c r="B721" s="110"/>
      <c r="C721" s="110"/>
      <c r="D721" s="110"/>
      <c r="E721" s="110"/>
      <c r="F721" s="110"/>
      <c r="G721" s="110"/>
      <c r="H721" s="110"/>
      <c r="I721" s="110"/>
      <c r="J721" s="110"/>
      <c r="K721" s="110"/>
      <c r="L721" s="110"/>
      <c r="M721" s="110"/>
      <c r="N721" s="110"/>
      <c r="O721" s="110"/>
      <c r="P721" s="110"/>
      <c r="Q721" s="110"/>
      <c r="R721" s="110"/>
      <c r="S721" s="110"/>
      <c r="T721" s="110"/>
      <c r="U721" s="110"/>
      <c r="V721" s="110"/>
      <c r="W721" s="110"/>
      <c r="X721" s="110"/>
      <c r="Y721" s="110"/>
      <c r="Z721" s="110"/>
      <c r="AA721" s="110"/>
      <c r="AB721" s="110"/>
      <c r="AC721" s="110"/>
      <c r="AD721" s="110"/>
      <c r="AE721" s="110"/>
      <c r="AF721" s="110"/>
      <c r="AG721" s="110"/>
      <c r="AH721" s="110"/>
    </row>
    <row r="722">
      <c r="A722" s="110"/>
      <c r="B722" s="110"/>
      <c r="C722" s="110"/>
      <c r="D722" s="110"/>
      <c r="E722" s="110"/>
      <c r="F722" s="110"/>
      <c r="G722" s="110"/>
      <c r="H722" s="110"/>
      <c r="I722" s="110"/>
      <c r="J722" s="110"/>
      <c r="K722" s="110"/>
      <c r="L722" s="110"/>
      <c r="M722" s="110"/>
      <c r="N722" s="110"/>
      <c r="O722" s="110"/>
      <c r="P722" s="110"/>
      <c r="Q722" s="110"/>
      <c r="R722" s="110"/>
      <c r="S722" s="110"/>
      <c r="T722" s="110"/>
      <c r="U722" s="110"/>
      <c r="V722" s="110"/>
      <c r="W722" s="110"/>
      <c r="X722" s="110"/>
      <c r="Y722" s="110"/>
      <c r="Z722" s="110"/>
      <c r="AA722" s="110"/>
      <c r="AB722" s="110"/>
      <c r="AC722" s="110"/>
      <c r="AD722" s="110"/>
      <c r="AE722" s="110"/>
      <c r="AF722" s="110"/>
      <c r="AG722" s="110"/>
      <c r="AH722" s="110"/>
    </row>
    <row r="723">
      <c r="A723" s="110"/>
      <c r="B723" s="110"/>
      <c r="C723" s="110"/>
      <c r="D723" s="110"/>
      <c r="E723" s="110"/>
      <c r="F723" s="110"/>
      <c r="G723" s="110"/>
      <c r="H723" s="110"/>
      <c r="I723" s="110"/>
      <c r="J723" s="110"/>
      <c r="K723" s="110"/>
      <c r="L723" s="110"/>
      <c r="M723" s="110"/>
      <c r="N723" s="110"/>
      <c r="O723" s="110"/>
      <c r="P723" s="110"/>
      <c r="Q723" s="110"/>
      <c r="R723" s="110"/>
      <c r="S723" s="110"/>
      <c r="T723" s="110"/>
      <c r="U723" s="110"/>
      <c r="V723" s="110"/>
      <c r="W723" s="110"/>
      <c r="X723" s="110"/>
      <c r="Y723" s="110"/>
      <c r="Z723" s="110"/>
      <c r="AA723" s="110"/>
      <c r="AB723" s="110"/>
      <c r="AC723" s="110"/>
      <c r="AD723" s="110"/>
      <c r="AE723" s="110"/>
      <c r="AF723" s="110"/>
      <c r="AG723" s="110"/>
      <c r="AH723" s="110"/>
    </row>
    <row r="724">
      <c r="A724" s="110"/>
      <c r="B724" s="110"/>
      <c r="C724" s="110"/>
      <c r="D724" s="110"/>
      <c r="E724" s="110"/>
      <c r="F724" s="110"/>
      <c r="G724" s="110"/>
      <c r="H724" s="110"/>
      <c r="I724" s="110"/>
      <c r="J724" s="110"/>
      <c r="K724" s="110"/>
      <c r="L724" s="110"/>
      <c r="M724" s="110"/>
      <c r="N724" s="110"/>
      <c r="O724" s="110"/>
      <c r="P724" s="110"/>
      <c r="Q724" s="110"/>
      <c r="R724" s="110"/>
      <c r="S724" s="110"/>
      <c r="T724" s="110"/>
      <c r="U724" s="110"/>
      <c r="V724" s="110"/>
      <c r="W724" s="110"/>
      <c r="X724" s="110"/>
      <c r="Y724" s="110"/>
      <c r="Z724" s="110"/>
      <c r="AA724" s="110"/>
      <c r="AB724" s="110"/>
      <c r="AC724" s="110"/>
      <c r="AD724" s="110"/>
      <c r="AE724" s="110"/>
      <c r="AF724" s="110"/>
      <c r="AG724" s="110"/>
      <c r="AH724" s="110"/>
    </row>
    <row r="725">
      <c r="A725" s="110"/>
      <c r="B725" s="110"/>
      <c r="C725" s="110"/>
      <c r="D725" s="110"/>
      <c r="E725" s="110"/>
      <c r="F725" s="110"/>
      <c r="G725" s="110"/>
      <c r="H725" s="110"/>
      <c r="I725" s="110"/>
      <c r="J725" s="110"/>
      <c r="K725" s="110"/>
      <c r="L725" s="110"/>
      <c r="M725" s="110"/>
      <c r="N725" s="110"/>
      <c r="O725" s="110"/>
      <c r="P725" s="110"/>
      <c r="Q725" s="110"/>
      <c r="R725" s="110"/>
      <c r="S725" s="110"/>
      <c r="T725" s="110"/>
      <c r="U725" s="110"/>
      <c r="V725" s="110"/>
      <c r="W725" s="110"/>
      <c r="X725" s="110"/>
      <c r="Y725" s="110"/>
      <c r="Z725" s="110"/>
      <c r="AA725" s="110"/>
      <c r="AB725" s="110"/>
      <c r="AC725" s="110"/>
      <c r="AD725" s="110"/>
      <c r="AE725" s="110"/>
      <c r="AF725" s="110"/>
      <c r="AG725" s="110"/>
      <c r="AH725" s="110"/>
    </row>
    <row r="726">
      <c r="A726" s="110"/>
      <c r="B726" s="110"/>
      <c r="C726" s="110"/>
      <c r="D726" s="110"/>
      <c r="E726" s="110"/>
      <c r="F726" s="110"/>
      <c r="G726" s="110"/>
      <c r="H726" s="110"/>
      <c r="I726" s="110"/>
      <c r="J726" s="110"/>
      <c r="K726" s="110"/>
      <c r="L726" s="110"/>
      <c r="M726" s="110"/>
      <c r="N726" s="110"/>
      <c r="O726" s="110"/>
      <c r="P726" s="110"/>
      <c r="Q726" s="110"/>
      <c r="R726" s="110"/>
      <c r="S726" s="110"/>
      <c r="T726" s="110"/>
      <c r="U726" s="110"/>
      <c r="V726" s="110"/>
      <c r="W726" s="110"/>
      <c r="X726" s="110"/>
      <c r="Y726" s="110"/>
      <c r="Z726" s="110"/>
      <c r="AA726" s="110"/>
      <c r="AB726" s="110"/>
      <c r="AC726" s="110"/>
      <c r="AD726" s="110"/>
      <c r="AE726" s="110"/>
      <c r="AF726" s="110"/>
      <c r="AG726" s="110"/>
      <c r="AH726" s="110"/>
    </row>
    <row r="727">
      <c r="A727" s="110"/>
      <c r="B727" s="110"/>
      <c r="C727" s="110"/>
      <c r="D727" s="110"/>
      <c r="E727" s="110"/>
      <c r="F727" s="110"/>
      <c r="G727" s="110"/>
      <c r="H727" s="110"/>
      <c r="I727" s="110"/>
      <c r="J727" s="110"/>
      <c r="K727" s="110"/>
      <c r="L727" s="110"/>
      <c r="M727" s="110"/>
      <c r="N727" s="110"/>
      <c r="O727" s="110"/>
      <c r="P727" s="110"/>
      <c r="Q727" s="110"/>
      <c r="R727" s="110"/>
      <c r="S727" s="110"/>
      <c r="T727" s="110"/>
      <c r="U727" s="110"/>
      <c r="V727" s="110"/>
      <c r="W727" s="110"/>
      <c r="X727" s="110"/>
      <c r="Y727" s="110"/>
      <c r="Z727" s="110"/>
      <c r="AA727" s="110"/>
      <c r="AB727" s="110"/>
      <c r="AC727" s="110"/>
      <c r="AD727" s="110"/>
      <c r="AE727" s="110"/>
      <c r="AF727" s="110"/>
      <c r="AG727" s="110"/>
      <c r="AH727" s="110"/>
    </row>
    <row r="728">
      <c r="A728" s="110"/>
      <c r="B728" s="110"/>
      <c r="C728" s="110"/>
      <c r="D728" s="110"/>
      <c r="E728" s="110"/>
      <c r="F728" s="110"/>
      <c r="G728" s="110"/>
      <c r="H728" s="110"/>
      <c r="I728" s="110"/>
      <c r="J728" s="110"/>
      <c r="K728" s="110"/>
      <c r="L728" s="110"/>
      <c r="M728" s="110"/>
      <c r="N728" s="110"/>
      <c r="O728" s="110"/>
      <c r="P728" s="110"/>
      <c r="Q728" s="110"/>
      <c r="R728" s="110"/>
      <c r="S728" s="110"/>
      <c r="T728" s="110"/>
      <c r="U728" s="110"/>
      <c r="V728" s="110"/>
      <c r="W728" s="110"/>
      <c r="X728" s="110"/>
      <c r="Y728" s="110"/>
      <c r="Z728" s="110"/>
      <c r="AA728" s="110"/>
      <c r="AB728" s="110"/>
      <c r="AC728" s="110"/>
      <c r="AD728" s="110"/>
      <c r="AE728" s="110"/>
      <c r="AF728" s="110"/>
      <c r="AG728" s="110"/>
      <c r="AH728" s="110"/>
    </row>
    <row r="729">
      <c r="A729" s="110"/>
      <c r="B729" s="110"/>
      <c r="C729" s="110"/>
      <c r="D729" s="110"/>
      <c r="E729" s="110"/>
      <c r="F729" s="110"/>
      <c r="G729" s="110"/>
      <c r="H729" s="110"/>
      <c r="I729" s="110"/>
      <c r="J729" s="110"/>
      <c r="K729" s="110"/>
      <c r="L729" s="110"/>
      <c r="M729" s="110"/>
      <c r="N729" s="110"/>
      <c r="O729" s="110"/>
      <c r="P729" s="110"/>
      <c r="Q729" s="110"/>
      <c r="R729" s="110"/>
      <c r="S729" s="110"/>
      <c r="T729" s="110"/>
      <c r="U729" s="110"/>
      <c r="V729" s="110"/>
      <c r="W729" s="110"/>
      <c r="X729" s="110"/>
      <c r="Y729" s="110"/>
      <c r="Z729" s="110"/>
      <c r="AA729" s="110"/>
      <c r="AB729" s="110"/>
      <c r="AC729" s="110"/>
      <c r="AD729" s="110"/>
      <c r="AE729" s="110"/>
      <c r="AF729" s="110"/>
      <c r="AG729" s="110"/>
      <c r="AH729" s="110"/>
    </row>
    <row r="730">
      <c r="A730" s="110"/>
      <c r="B730" s="110"/>
      <c r="C730" s="110"/>
      <c r="D730" s="110"/>
      <c r="E730" s="110"/>
      <c r="F730" s="110"/>
      <c r="G730" s="110"/>
      <c r="H730" s="110"/>
      <c r="I730" s="110"/>
      <c r="J730" s="110"/>
      <c r="K730" s="110"/>
      <c r="L730" s="110"/>
      <c r="M730" s="110"/>
      <c r="N730" s="110"/>
      <c r="O730" s="110"/>
      <c r="P730" s="110"/>
      <c r="Q730" s="110"/>
      <c r="R730" s="110"/>
      <c r="S730" s="110"/>
      <c r="T730" s="110"/>
      <c r="U730" s="110"/>
      <c r="V730" s="110"/>
      <c r="W730" s="110"/>
      <c r="X730" s="110"/>
      <c r="Y730" s="110"/>
      <c r="Z730" s="110"/>
      <c r="AA730" s="110"/>
      <c r="AB730" s="110"/>
      <c r="AC730" s="110"/>
      <c r="AD730" s="110"/>
      <c r="AE730" s="110"/>
      <c r="AF730" s="110"/>
      <c r="AG730" s="110"/>
      <c r="AH730" s="110"/>
    </row>
    <row r="731">
      <c r="A731" s="110"/>
      <c r="B731" s="110"/>
      <c r="C731" s="110"/>
      <c r="D731" s="110"/>
      <c r="E731" s="110"/>
      <c r="F731" s="110"/>
      <c r="G731" s="110"/>
      <c r="H731" s="110"/>
      <c r="I731" s="110"/>
      <c r="J731" s="110"/>
      <c r="K731" s="110"/>
      <c r="L731" s="110"/>
      <c r="M731" s="110"/>
      <c r="N731" s="110"/>
      <c r="O731" s="110"/>
      <c r="P731" s="110"/>
      <c r="Q731" s="110"/>
      <c r="R731" s="110"/>
      <c r="S731" s="110"/>
      <c r="T731" s="110"/>
      <c r="U731" s="110"/>
      <c r="V731" s="110"/>
      <c r="W731" s="110"/>
      <c r="X731" s="110"/>
      <c r="Y731" s="110"/>
      <c r="Z731" s="110"/>
      <c r="AA731" s="110"/>
      <c r="AB731" s="110"/>
      <c r="AC731" s="110"/>
      <c r="AD731" s="110"/>
      <c r="AE731" s="110"/>
      <c r="AF731" s="110"/>
      <c r="AG731" s="110"/>
      <c r="AH731" s="110"/>
    </row>
    <row r="732">
      <c r="A732" s="110"/>
      <c r="B732" s="110"/>
      <c r="C732" s="110"/>
      <c r="D732" s="110"/>
      <c r="E732" s="110"/>
      <c r="F732" s="110"/>
      <c r="G732" s="110"/>
      <c r="H732" s="110"/>
      <c r="I732" s="110"/>
      <c r="J732" s="110"/>
      <c r="K732" s="110"/>
      <c r="L732" s="110"/>
      <c r="M732" s="110"/>
      <c r="N732" s="110"/>
      <c r="O732" s="110"/>
      <c r="P732" s="110"/>
      <c r="Q732" s="110"/>
      <c r="R732" s="110"/>
      <c r="S732" s="110"/>
      <c r="T732" s="110"/>
      <c r="U732" s="110"/>
      <c r="V732" s="110"/>
      <c r="W732" s="110"/>
      <c r="X732" s="110"/>
      <c r="Y732" s="110"/>
      <c r="Z732" s="110"/>
      <c r="AA732" s="110"/>
      <c r="AB732" s="110"/>
      <c r="AC732" s="110"/>
      <c r="AD732" s="110"/>
      <c r="AE732" s="110"/>
      <c r="AF732" s="110"/>
      <c r="AG732" s="110"/>
      <c r="AH732" s="110"/>
    </row>
    <row r="733">
      <c r="A733" s="110"/>
      <c r="B733" s="110"/>
      <c r="C733" s="110"/>
      <c r="D733" s="110"/>
      <c r="E733" s="110"/>
      <c r="F733" s="110"/>
      <c r="G733" s="110"/>
      <c r="H733" s="110"/>
      <c r="I733" s="110"/>
      <c r="J733" s="110"/>
      <c r="K733" s="110"/>
      <c r="L733" s="110"/>
      <c r="M733" s="110"/>
      <c r="N733" s="110"/>
      <c r="O733" s="110"/>
      <c r="P733" s="110"/>
      <c r="Q733" s="110"/>
      <c r="R733" s="110"/>
      <c r="S733" s="110"/>
      <c r="T733" s="110"/>
      <c r="U733" s="110"/>
      <c r="V733" s="110"/>
      <c r="W733" s="110"/>
      <c r="X733" s="110"/>
      <c r="Y733" s="110"/>
      <c r="Z733" s="110"/>
      <c r="AA733" s="110"/>
      <c r="AB733" s="110"/>
      <c r="AC733" s="110"/>
      <c r="AD733" s="110"/>
      <c r="AE733" s="110"/>
      <c r="AF733" s="110"/>
      <c r="AG733" s="110"/>
      <c r="AH733" s="110"/>
    </row>
    <row r="734">
      <c r="A734" s="110"/>
      <c r="B734" s="110"/>
      <c r="C734" s="110"/>
      <c r="D734" s="110"/>
      <c r="E734" s="110"/>
      <c r="F734" s="110"/>
      <c r="G734" s="110"/>
      <c r="H734" s="110"/>
      <c r="I734" s="110"/>
      <c r="J734" s="110"/>
      <c r="K734" s="110"/>
      <c r="L734" s="110"/>
      <c r="M734" s="110"/>
      <c r="N734" s="110"/>
      <c r="O734" s="110"/>
      <c r="P734" s="110"/>
      <c r="Q734" s="110"/>
      <c r="R734" s="110"/>
      <c r="S734" s="110"/>
      <c r="T734" s="110"/>
      <c r="U734" s="110"/>
      <c r="V734" s="110"/>
      <c r="W734" s="110"/>
      <c r="X734" s="110"/>
      <c r="Y734" s="110"/>
      <c r="Z734" s="110"/>
      <c r="AA734" s="110"/>
      <c r="AB734" s="110"/>
      <c r="AC734" s="110"/>
      <c r="AD734" s="110"/>
      <c r="AE734" s="110"/>
      <c r="AF734" s="110"/>
      <c r="AG734" s="110"/>
      <c r="AH734" s="110"/>
    </row>
    <row r="735">
      <c r="A735" s="110"/>
      <c r="B735" s="110"/>
      <c r="C735" s="110"/>
      <c r="D735" s="110"/>
      <c r="E735" s="110"/>
      <c r="F735" s="110"/>
      <c r="G735" s="110"/>
      <c r="H735" s="110"/>
      <c r="I735" s="110"/>
      <c r="J735" s="110"/>
      <c r="K735" s="110"/>
      <c r="L735" s="110"/>
      <c r="M735" s="110"/>
      <c r="N735" s="110"/>
      <c r="O735" s="110"/>
      <c r="P735" s="110"/>
      <c r="Q735" s="110"/>
      <c r="R735" s="110"/>
      <c r="S735" s="110"/>
      <c r="T735" s="110"/>
      <c r="U735" s="110"/>
      <c r="V735" s="110"/>
      <c r="W735" s="110"/>
      <c r="X735" s="110"/>
      <c r="Y735" s="110"/>
      <c r="Z735" s="110"/>
      <c r="AA735" s="110"/>
      <c r="AB735" s="110"/>
      <c r="AC735" s="110"/>
      <c r="AD735" s="110"/>
      <c r="AE735" s="110"/>
      <c r="AF735" s="110"/>
      <c r="AG735" s="110"/>
      <c r="AH735" s="110"/>
    </row>
    <row r="736">
      <c r="A736" s="110"/>
      <c r="B736" s="110"/>
      <c r="C736" s="110"/>
      <c r="D736" s="110"/>
      <c r="E736" s="110"/>
      <c r="F736" s="110"/>
      <c r="G736" s="110"/>
      <c r="H736" s="110"/>
      <c r="I736" s="110"/>
      <c r="J736" s="110"/>
      <c r="K736" s="110"/>
      <c r="L736" s="110"/>
      <c r="M736" s="110"/>
      <c r="N736" s="110"/>
      <c r="O736" s="110"/>
      <c r="P736" s="110"/>
      <c r="Q736" s="110"/>
      <c r="R736" s="110"/>
      <c r="S736" s="110"/>
      <c r="T736" s="110"/>
      <c r="U736" s="110"/>
      <c r="V736" s="110"/>
      <c r="W736" s="110"/>
      <c r="X736" s="110"/>
      <c r="Y736" s="110"/>
      <c r="Z736" s="110"/>
      <c r="AA736" s="110"/>
      <c r="AB736" s="110"/>
      <c r="AC736" s="110"/>
      <c r="AD736" s="110"/>
      <c r="AE736" s="110"/>
      <c r="AF736" s="110"/>
      <c r="AG736" s="110"/>
      <c r="AH736" s="110"/>
    </row>
    <row r="737">
      <c r="A737" s="110"/>
      <c r="B737" s="110"/>
      <c r="C737" s="110"/>
      <c r="D737" s="110"/>
      <c r="E737" s="110"/>
      <c r="F737" s="110"/>
      <c r="G737" s="110"/>
      <c r="H737" s="110"/>
      <c r="I737" s="110"/>
      <c r="J737" s="110"/>
      <c r="K737" s="110"/>
      <c r="L737" s="110"/>
      <c r="M737" s="110"/>
      <c r="N737" s="110"/>
      <c r="O737" s="110"/>
      <c r="P737" s="110"/>
      <c r="Q737" s="110"/>
      <c r="R737" s="110"/>
      <c r="S737" s="110"/>
      <c r="T737" s="110"/>
      <c r="U737" s="110"/>
      <c r="V737" s="110"/>
      <c r="W737" s="110"/>
      <c r="X737" s="110"/>
      <c r="Y737" s="110"/>
      <c r="Z737" s="110"/>
      <c r="AA737" s="110"/>
      <c r="AB737" s="110"/>
      <c r="AC737" s="110"/>
      <c r="AD737" s="110"/>
      <c r="AE737" s="110"/>
      <c r="AF737" s="110"/>
      <c r="AG737" s="110"/>
      <c r="AH737" s="110"/>
    </row>
    <row r="738">
      <c r="A738" s="110"/>
      <c r="B738" s="110"/>
      <c r="C738" s="110"/>
      <c r="D738" s="110"/>
      <c r="E738" s="110"/>
      <c r="F738" s="110"/>
      <c r="G738" s="110"/>
      <c r="H738" s="110"/>
      <c r="I738" s="110"/>
      <c r="J738" s="110"/>
      <c r="K738" s="110"/>
      <c r="L738" s="110"/>
      <c r="M738" s="110"/>
      <c r="N738" s="110"/>
      <c r="O738" s="110"/>
      <c r="P738" s="110"/>
      <c r="Q738" s="110"/>
      <c r="R738" s="110"/>
      <c r="S738" s="110"/>
      <c r="T738" s="110"/>
      <c r="U738" s="110"/>
      <c r="V738" s="110"/>
      <c r="W738" s="110"/>
      <c r="X738" s="110"/>
      <c r="Y738" s="110"/>
      <c r="Z738" s="110"/>
      <c r="AA738" s="110"/>
      <c r="AB738" s="110"/>
      <c r="AC738" s="110"/>
      <c r="AD738" s="110"/>
      <c r="AE738" s="110"/>
      <c r="AF738" s="110"/>
      <c r="AG738" s="110"/>
      <c r="AH738" s="110"/>
    </row>
    <row r="739">
      <c r="A739" s="110"/>
      <c r="B739" s="110"/>
      <c r="C739" s="110"/>
      <c r="D739" s="110"/>
      <c r="E739" s="110"/>
      <c r="F739" s="110"/>
      <c r="G739" s="110"/>
      <c r="H739" s="110"/>
      <c r="I739" s="110"/>
      <c r="J739" s="110"/>
      <c r="K739" s="110"/>
      <c r="L739" s="110"/>
      <c r="M739" s="110"/>
      <c r="N739" s="110"/>
      <c r="O739" s="110"/>
      <c r="P739" s="110"/>
      <c r="Q739" s="110"/>
      <c r="R739" s="110"/>
      <c r="S739" s="110"/>
      <c r="T739" s="110"/>
      <c r="U739" s="110"/>
      <c r="V739" s="110"/>
      <c r="W739" s="110"/>
      <c r="X739" s="110"/>
      <c r="Y739" s="110"/>
      <c r="Z739" s="110"/>
      <c r="AA739" s="110"/>
      <c r="AB739" s="110"/>
      <c r="AC739" s="110"/>
      <c r="AD739" s="110"/>
      <c r="AE739" s="110"/>
      <c r="AF739" s="110"/>
      <c r="AG739" s="110"/>
      <c r="AH739" s="110"/>
    </row>
    <row r="740">
      <c r="A740" s="110"/>
      <c r="B740" s="110"/>
      <c r="C740" s="110"/>
      <c r="D740" s="110"/>
      <c r="E740" s="110"/>
      <c r="F740" s="110"/>
      <c r="G740" s="110"/>
      <c r="H740" s="110"/>
      <c r="I740" s="110"/>
      <c r="J740" s="110"/>
      <c r="K740" s="110"/>
      <c r="L740" s="110"/>
      <c r="M740" s="110"/>
      <c r="N740" s="110"/>
      <c r="O740" s="110"/>
      <c r="P740" s="110"/>
      <c r="Q740" s="110"/>
      <c r="R740" s="110"/>
      <c r="S740" s="110"/>
      <c r="T740" s="110"/>
      <c r="U740" s="110"/>
      <c r="V740" s="110"/>
      <c r="W740" s="110"/>
      <c r="X740" s="110"/>
      <c r="Y740" s="110"/>
      <c r="Z740" s="110"/>
      <c r="AA740" s="110"/>
      <c r="AB740" s="110"/>
      <c r="AC740" s="110"/>
      <c r="AD740" s="110"/>
      <c r="AE740" s="110"/>
      <c r="AF740" s="110"/>
      <c r="AG740" s="110"/>
      <c r="AH740" s="110"/>
    </row>
    <row r="741">
      <c r="A741" s="110"/>
      <c r="B741" s="110"/>
      <c r="C741" s="110"/>
      <c r="D741" s="110"/>
      <c r="E741" s="110"/>
      <c r="F741" s="110"/>
      <c r="G741" s="110"/>
      <c r="H741" s="110"/>
      <c r="I741" s="110"/>
      <c r="J741" s="110"/>
      <c r="K741" s="110"/>
      <c r="L741" s="110"/>
      <c r="M741" s="110"/>
      <c r="N741" s="110"/>
      <c r="O741" s="110"/>
      <c r="P741" s="110"/>
      <c r="Q741" s="110"/>
      <c r="R741" s="110"/>
      <c r="S741" s="110"/>
      <c r="T741" s="110"/>
      <c r="U741" s="110"/>
      <c r="V741" s="110"/>
      <c r="W741" s="110"/>
      <c r="X741" s="110"/>
      <c r="Y741" s="110"/>
      <c r="Z741" s="110"/>
      <c r="AA741" s="110"/>
      <c r="AB741" s="110"/>
      <c r="AC741" s="110"/>
      <c r="AD741" s="110"/>
      <c r="AE741" s="110"/>
      <c r="AF741" s="110"/>
      <c r="AG741" s="110"/>
      <c r="AH741" s="110"/>
    </row>
    <row r="742">
      <c r="A742" s="110"/>
      <c r="B742" s="110"/>
      <c r="C742" s="110"/>
      <c r="D742" s="110"/>
      <c r="E742" s="110"/>
      <c r="F742" s="110"/>
      <c r="G742" s="110"/>
      <c r="H742" s="110"/>
      <c r="I742" s="110"/>
      <c r="J742" s="110"/>
      <c r="K742" s="110"/>
      <c r="L742" s="110"/>
      <c r="M742" s="110"/>
      <c r="N742" s="110"/>
      <c r="O742" s="110"/>
      <c r="P742" s="110"/>
      <c r="Q742" s="110"/>
      <c r="R742" s="110"/>
      <c r="S742" s="110"/>
      <c r="T742" s="110"/>
      <c r="U742" s="110"/>
      <c r="V742" s="110"/>
      <c r="W742" s="110"/>
      <c r="X742" s="110"/>
      <c r="Y742" s="110"/>
      <c r="Z742" s="110"/>
      <c r="AA742" s="110"/>
      <c r="AB742" s="110"/>
      <c r="AC742" s="110"/>
      <c r="AD742" s="110"/>
      <c r="AE742" s="110"/>
      <c r="AF742" s="110"/>
      <c r="AG742" s="110"/>
      <c r="AH742" s="110"/>
    </row>
    <row r="743">
      <c r="A743" s="110"/>
      <c r="B743" s="110"/>
      <c r="C743" s="110"/>
      <c r="D743" s="110"/>
      <c r="E743" s="110"/>
      <c r="F743" s="110"/>
      <c r="G743" s="110"/>
      <c r="H743" s="110"/>
      <c r="I743" s="110"/>
      <c r="J743" s="110"/>
      <c r="K743" s="110"/>
      <c r="L743" s="110"/>
      <c r="M743" s="110"/>
      <c r="N743" s="110"/>
      <c r="O743" s="110"/>
      <c r="P743" s="110"/>
      <c r="Q743" s="110"/>
      <c r="R743" s="110"/>
      <c r="S743" s="110"/>
      <c r="T743" s="110"/>
      <c r="U743" s="110"/>
      <c r="V743" s="110"/>
      <c r="W743" s="110"/>
      <c r="X743" s="110"/>
      <c r="Y743" s="110"/>
      <c r="Z743" s="110"/>
      <c r="AA743" s="110"/>
      <c r="AB743" s="110"/>
      <c r="AC743" s="110"/>
      <c r="AD743" s="110"/>
      <c r="AE743" s="110"/>
      <c r="AF743" s="110"/>
      <c r="AG743" s="110"/>
      <c r="AH743" s="110"/>
    </row>
    <row r="744">
      <c r="A744" s="110"/>
      <c r="B744" s="110"/>
      <c r="C744" s="110"/>
      <c r="D744" s="110"/>
      <c r="E744" s="110"/>
      <c r="F744" s="110"/>
      <c r="G744" s="110"/>
      <c r="H744" s="110"/>
      <c r="I744" s="110"/>
      <c r="J744" s="110"/>
      <c r="K744" s="110"/>
      <c r="L744" s="110"/>
      <c r="M744" s="110"/>
      <c r="N744" s="110"/>
      <c r="O744" s="110"/>
      <c r="P744" s="110"/>
      <c r="Q744" s="110"/>
      <c r="R744" s="110"/>
      <c r="S744" s="110"/>
      <c r="T744" s="110"/>
      <c r="U744" s="110"/>
      <c r="V744" s="110"/>
      <c r="W744" s="110"/>
      <c r="X744" s="110"/>
      <c r="Y744" s="110"/>
      <c r="Z744" s="110"/>
      <c r="AA744" s="110"/>
      <c r="AB744" s="110"/>
      <c r="AC744" s="110"/>
      <c r="AD744" s="110"/>
      <c r="AE744" s="110"/>
      <c r="AF744" s="110"/>
      <c r="AG744" s="110"/>
      <c r="AH744" s="110"/>
    </row>
    <row r="745">
      <c r="A745" s="110"/>
      <c r="B745" s="110"/>
      <c r="C745" s="110"/>
      <c r="D745" s="110"/>
      <c r="E745" s="110"/>
      <c r="F745" s="110"/>
      <c r="G745" s="110"/>
      <c r="H745" s="110"/>
      <c r="I745" s="110"/>
      <c r="J745" s="110"/>
      <c r="K745" s="110"/>
      <c r="L745" s="110"/>
      <c r="M745" s="110"/>
      <c r="N745" s="110"/>
      <c r="O745" s="110"/>
      <c r="P745" s="110"/>
      <c r="Q745" s="110"/>
      <c r="R745" s="110"/>
      <c r="S745" s="110"/>
      <c r="T745" s="110"/>
      <c r="U745" s="110"/>
      <c r="V745" s="110"/>
      <c r="W745" s="110"/>
      <c r="X745" s="110"/>
      <c r="Y745" s="110"/>
      <c r="Z745" s="110"/>
      <c r="AA745" s="110"/>
      <c r="AB745" s="110"/>
      <c r="AC745" s="110"/>
      <c r="AD745" s="110"/>
      <c r="AE745" s="110"/>
      <c r="AF745" s="110"/>
      <c r="AG745" s="110"/>
      <c r="AH745" s="110"/>
    </row>
    <row r="746">
      <c r="A746" s="110"/>
      <c r="B746" s="110"/>
      <c r="C746" s="110"/>
      <c r="D746" s="110"/>
      <c r="E746" s="110"/>
      <c r="F746" s="110"/>
      <c r="G746" s="110"/>
      <c r="H746" s="110"/>
      <c r="I746" s="110"/>
      <c r="J746" s="110"/>
      <c r="K746" s="110"/>
      <c r="L746" s="110"/>
      <c r="M746" s="110"/>
      <c r="N746" s="110"/>
      <c r="O746" s="110"/>
      <c r="P746" s="110"/>
      <c r="Q746" s="110"/>
      <c r="R746" s="110"/>
      <c r="S746" s="110"/>
      <c r="T746" s="110"/>
      <c r="U746" s="110"/>
      <c r="V746" s="110"/>
      <c r="W746" s="110"/>
      <c r="X746" s="110"/>
      <c r="Y746" s="110"/>
      <c r="Z746" s="110"/>
      <c r="AA746" s="110"/>
      <c r="AB746" s="110"/>
      <c r="AC746" s="110"/>
      <c r="AD746" s="110"/>
      <c r="AE746" s="110"/>
      <c r="AF746" s="110"/>
      <c r="AG746" s="110"/>
      <c r="AH746" s="110"/>
    </row>
    <row r="747">
      <c r="A747" s="110"/>
      <c r="B747" s="110"/>
      <c r="C747" s="110"/>
      <c r="D747" s="110"/>
      <c r="E747" s="110"/>
      <c r="F747" s="110"/>
      <c r="G747" s="110"/>
      <c r="H747" s="110"/>
      <c r="I747" s="110"/>
      <c r="J747" s="110"/>
      <c r="K747" s="110"/>
      <c r="L747" s="110"/>
      <c r="M747" s="110"/>
      <c r="N747" s="110"/>
      <c r="O747" s="110"/>
      <c r="P747" s="110"/>
      <c r="Q747" s="110"/>
      <c r="R747" s="110"/>
      <c r="S747" s="110"/>
      <c r="T747" s="110"/>
      <c r="U747" s="110"/>
      <c r="V747" s="110"/>
      <c r="W747" s="110"/>
      <c r="X747" s="110"/>
      <c r="Y747" s="110"/>
      <c r="Z747" s="110"/>
      <c r="AA747" s="110"/>
      <c r="AB747" s="110"/>
      <c r="AC747" s="110"/>
      <c r="AD747" s="110"/>
      <c r="AE747" s="110"/>
      <c r="AF747" s="110"/>
      <c r="AG747" s="110"/>
      <c r="AH747" s="110"/>
    </row>
    <row r="748">
      <c r="A748" s="110"/>
      <c r="B748" s="110"/>
      <c r="C748" s="110"/>
      <c r="D748" s="110"/>
      <c r="E748" s="110"/>
      <c r="F748" s="110"/>
      <c r="G748" s="110"/>
      <c r="H748" s="110"/>
      <c r="I748" s="110"/>
      <c r="J748" s="110"/>
      <c r="K748" s="110"/>
      <c r="L748" s="110"/>
      <c r="M748" s="110"/>
      <c r="N748" s="110"/>
      <c r="O748" s="110"/>
      <c r="P748" s="110"/>
      <c r="Q748" s="110"/>
      <c r="R748" s="110"/>
      <c r="S748" s="110"/>
      <c r="T748" s="110"/>
      <c r="U748" s="110"/>
      <c r="V748" s="110"/>
      <c r="W748" s="110"/>
      <c r="X748" s="110"/>
      <c r="Y748" s="110"/>
      <c r="Z748" s="110"/>
      <c r="AA748" s="110"/>
      <c r="AB748" s="110"/>
      <c r="AC748" s="110"/>
      <c r="AD748" s="110"/>
      <c r="AE748" s="110"/>
      <c r="AF748" s="110"/>
      <c r="AG748" s="110"/>
      <c r="AH748" s="110"/>
    </row>
    <row r="749">
      <c r="A749" s="110"/>
      <c r="B749" s="110"/>
      <c r="C749" s="110"/>
      <c r="D749" s="110"/>
      <c r="E749" s="110"/>
      <c r="F749" s="110"/>
      <c r="G749" s="110"/>
      <c r="H749" s="110"/>
      <c r="I749" s="110"/>
      <c r="J749" s="110"/>
      <c r="K749" s="110"/>
      <c r="L749" s="110"/>
      <c r="M749" s="110"/>
      <c r="N749" s="110"/>
      <c r="O749" s="110"/>
      <c r="P749" s="110"/>
      <c r="Q749" s="110"/>
      <c r="R749" s="110"/>
      <c r="S749" s="110"/>
      <c r="T749" s="110"/>
      <c r="U749" s="110"/>
      <c r="V749" s="110"/>
      <c r="W749" s="110"/>
      <c r="X749" s="110"/>
      <c r="Y749" s="110"/>
      <c r="Z749" s="110"/>
      <c r="AA749" s="110"/>
      <c r="AB749" s="110"/>
      <c r="AC749" s="110"/>
      <c r="AD749" s="110"/>
      <c r="AE749" s="110"/>
      <c r="AF749" s="110"/>
      <c r="AG749" s="110"/>
      <c r="AH749" s="110"/>
    </row>
    <row r="750">
      <c r="A750" s="110"/>
      <c r="B750" s="110"/>
      <c r="C750" s="110"/>
      <c r="D750" s="110"/>
      <c r="E750" s="110"/>
      <c r="F750" s="110"/>
      <c r="G750" s="110"/>
      <c r="H750" s="110"/>
      <c r="I750" s="110"/>
      <c r="J750" s="110"/>
      <c r="K750" s="110"/>
      <c r="L750" s="110"/>
      <c r="M750" s="110"/>
      <c r="N750" s="110"/>
      <c r="O750" s="110"/>
      <c r="P750" s="110"/>
      <c r="Q750" s="110"/>
      <c r="R750" s="110"/>
      <c r="S750" s="110"/>
      <c r="T750" s="110"/>
      <c r="U750" s="110"/>
      <c r="V750" s="110"/>
      <c r="W750" s="110"/>
      <c r="X750" s="110"/>
      <c r="Y750" s="110"/>
      <c r="Z750" s="110"/>
      <c r="AA750" s="110"/>
      <c r="AB750" s="110"/>
      <c r="AC750" s="110"/>
      <c r="AD750" s="110"/>
      <c r="AE750" s="110"/>
      <c r="AF750" s="110"/>
      <c r="AG750" s="110"/>
      <c r="AH750" s="110"/>
    </row>
    <row r="751">
      <c r="A751" s="110"/>
      <c r="B751" s="110"/>
      <c r="C751" s="110"/>
      <c r="D751" s="110"/>
      <c r="E751" s="110"/>
      <c r="F751" s="110"/>
      <c r="G751" s="110"/>
      <c r="H751" s="110"/>
      <c r="I751" s="110"/>
      <c r="J751" s="110"/>
      <c r="K751" s="110"/>
      <c r="L751" s="110"/>
      <c r="M751" s="110"/>
      <c r="N751" s="110"/>
      <c r="O751" s="110"/>
      <c r="P751" s="110"/>
      <c r="Q751" s="110"/>
      <c r="R751" s="110"/>
      <c r="S751" s="110"/>
      <c r="T751" s="110"/>
      <c r="U751" s="110"/>
      <c r="V751" s="110"/>
      <c r="W751" s="110"/>
      <c r="X751" s="110"/>
      <c r="Y751" s="110"/>
      <c r="Z751" s="110"/>
      <c r="AA751" s="110"/>
      <c r="AB751" s="110"/>
      <c r="AC751" s="110"/>
      <c r="AD751" s="110"/>
      <c r="AE751" s="110"/>
      <c r="AF751" s="110"/>
      <c r="AG751" s="110"/>
      <c r="AH751" s="110"/>
    </row>
    <row r="752">
      <c r="A752" s="110"/>
      <c r="B752" s="110"/>
      <c r="C752" s="110"/>
      <c r="D752" s="110"/>
      <c r="E752" s="110"/>
      <c r="F752" s="110"/>
      <c r="G752" s="110"/>
      <c r="H752" s="110"/>
      <c r="I752" s="110"/>
      <c r="J752" s="110"/>
      <c r="K752" s="110"/>
      <c r="L752" s="110"/>
      <c r="M752" s="110"/>
      <c r="N752" s="110"/>
      <c r="O752" s="110"/>
      <c r="P752" s="110"/>
      <c r="Q752" s="110"/>
      <c r="R752" s="110"/>
      <c r="S752" s="110"/>
      <c r="T752" s="110"/>
      <c r="U752" s="110"/>
      <c r="V752" s="110"/>
      <c r="W752" s="110"/>
      <c r="X752" s="110"/>
      <c r="Y752" s="110"/>
      <c r="Z752" s="110"/>
      <c r="AA752" s="110"/>
      <c r="AB752" s="110"/>
      <c r="AC752" s="110"/>
      <c r="AD752" s="110"/>
      <c r="AE752" s="110"/>
      <c r="AF752" s="110"/>
      <c r="AG752" s="110"/>
      <c r="AH752" s="110"/>
    </row>
    <row r="753">
      <c r="A753" s="110"/>
      <c r="B753" s="110"/>
      <c r="C753" s="110"/>
      <c r="D753" s="110"/>
      <c r="E753" s="110"/>
      <c r="F753" s="110"/>
      <c r="G753" s="110"/>
      <c r="H753" s="110"/>
      <c r="I753" s="110"/>
      <c r="J753" s="110"/>
      <c r="K753" s="110"/>
      <c r="L753" s="110"/>
      <c r="M753" s="110"/>
      <c r="N753" s="110"/>
      <c r="O753" s="110"/>
      <c r="P753" s="110"/>
      <c r="Q753" s="110"/>
      <c r="R753" s="110"/>
      <c r="S753" s="110"/>
      <c r="T753" s="110"/>
      <c r="U753" s="110"/>
      <c r="V753" s="110"/>
      <c r="W753" s="110"/>
      <c r="X753" s="110"/>
      <c r="Y753" s="110"/>
      <c r="Z753" s="110"/>
      <c r="AA753" s="110"/>
      <c r="AB753" s="110"/>
      <c r="AC753" s="110"/>
      <c r="AD753" s="110"/>
      <c r="AE753" s="110"/>
      <c r="AF753" s="110"/>
      <c r="AG753" s="110"/>
      <c r="AH753" s="110"/>
    </row>
    <row r="754">
      <c r="A754" s="110"/>
      <c r="B754" s="110"/>
      <c r="C754" s="110"/>
      <c r="D754" s="110"/>
      <c r="E754" s="110"/>
      <c r="F754" s="110"/>
      <c r="G754" s="110"/>
      <c r="H754" s="110"/>
      <c r="I754" s="110"/>
      <c r="J754" s="110"/>
      <c r="K754" s="110"/>
      <c r="L754" s="110"/>
      <c r="M754" s="110"/>
      <c r="N754" s="110"/>
      <c r="O754" s="110"/>
      <c r="P754" s="110"/>
      <c r="Q754" s="110"/>
      <c r="R754" s="110"/>
      <c r="S754" s="110"/>
      <c r="T754" s="110"/>
      <c r="U754" s="110"/>
      <c r="V754" s="110"/>
      <c r="W754" s="110"/>
      <c r="X754" s="110"/>
      <c r="Y754" s="110"/>
      <c r="Z754" s="110"/>
      <c r="AA754" s="110"/>
      <c r="AB754" s="110"/>
      <c r="AC754" s="110"/>
      <c r="AD754" s="110"/>
      <c r="AE754" s="110"/>
      <c r="AF754" s="110"/>
      <c r="AG754" s="110"/>
      <c r="AH754" s="110"/>
    </row>
    <row r="755">
      <c r="A755" s="110"/>
      <c r="B755" s="110"/>
      <c r="C755" s="110"/>
      <c r="D755" s="110"/>
      <c r="E755" s="110"/>
      <c r="F755" s="110"/>
      <c r="G755" s="110"/>
      <c r="H755" s="110"/>
      <c r="I755" s="110"/>
      <c r="J755" s="110"/>
      <c r="K755" s="110"/>
      <c r="L755" s="110"/>
      <c r="M755" s="110"/>
      <c r="N755" s="110"/>
      <c r="O755" s="110"/>
      <c r="P755" s="110"/>
      <c r="Q755" s="110"/>
      <c r="R755" s="110"/>
      <c r="S755" s="110"/>
      <c r="T755" s="110"/>
      <c r="U755" s="110"/>
      <c r="V755" s="110"/>
      <c r="W755" s="110"/>
      <c r="X755" s="110"/>
      <c r="Y755" s="110"/>
      <c r="Z755" s="110"/>
      <c r="AA755" s="110"/>
      <c r="AB755" s="110"/>
      <c r="AC755" s="110"/>
      <c r="AD755" s="110"/>
      <c r="AE755" s="110"/>
      <c r="AF755" s="110"/>
      <c r="AG755" s="110"/>
      <c r="AH755" s="110"/>
    </row>
    <row r="756">
      <c r="A756" s="110"/>
      <c r="B756" s="110"/>
      <c r="C756" s="110"/>
      <c r="D756" s="110"/>
      <c r="E756" s="110"/>
      <c r="F756" s="110"/>
      <c r="G756" s="110"/>
      <c r="H756" s="110"/>
      <c r="I756" s="110"/>
      <c r="J756" s="110"/>
      <c r="K756" s="110"/>
      <c r="L756" s="110"/>
      <c r="M756" s="110"/>
      <c r="N756" s="110"/>
      <c r="O756" s="110"/>
      <c r="P756" s="110"/>
      <c r="Q756" s="110"/>
      <c r="R756" s="110"/>
      <c r="S756" s="110"/>
      <c r="T756" s="110"/>
      <c r="U756" s="110"/>
      <c r="V756" s="110"/>
      <c r="W756" s="110"/>
      <c r="X756" s="110"/>
      <c r="Y756" s="110"/>
      <c r="Z756" s="110"/>
      <c r="AA756" s="110"/>
      <c r="AB756" s="110"/>
      <c r="AC756" s="110"/>
      <c r="AD756" s="110"/>
      <c r="AE756" s="110"/>
      <c r="AF756" s="110"/>
      <c r="AG756" s="110"/>
      <c r="AH756" s="110"/>
    </row>
    <row r="757">
      <c r="A757" s="110"/>
      <c r="B757" s="110"/>
      <c r="C757" s="110"/>
      <c r="D757" s="110"/>
      <c r="E757" s="110"/>
      <c r="F757" s="110"/>
      <c r="G757" s="110"/>
      <c r="H757" s="110"/>
      <c r="I757" s="110"/>
      <c r="J757" s="110"/>
      <c r="K757" s="110"/>
      <c r="L757" s="110"/>
      <c r="M757" s="110"/>
      <c r="N757" s="110"/>
      <c r="O757" s="110"/>
      <c r="P757" s="110"/>
      <c r="Q757" s="110"/>
      <c r="R757" s="110"/>
      <c r="S757" s="110"/>
      <c r="T757" s="110"/>
      <c r="U757" s="110"/>
      <c r="V757" s="110"/>
      <c r="W757" s="110"/>
      <c r="X757" s="110"/>
      <c r="Y757" s="110"/>
      <c r="Z757" s="110"/>
      <c r="AA757" s="110"/>
      <c r="AB757" s="110"/>
      <c r="AC757" s="110"/>
      <c r="AD757" s="110"/>
      <c r="AE757" s="110"/>
      <c r="AF757" s="110"/>
      <c r="AG757" s="110"/>
      <c r="AH757" s="110"/>
    </row>
    <row r="758">
      <c r="A758" s="110"/>
      <c r="B758" s="110"/>
      <c r="C758" s="110"/>
      <c r="D758" s="110"/>
      <c r="E758" s="110"/>
      <c r="F758" s="110"/>
      <c r="G758" s="110"/>
      <c r="H758" s="110"/>
      <c r="I758" s="110"/>
      <c r="J758" s="110"/>
      <c r="K758" s="110"/>
      <c r="L758" s="110"/>
      <c r="M758" s="110"/>
      <c r="N758" s="110"/>
      <c r="O758" s="110"/>
      <c r="P758" s="110"/>
      <c r="Q758" s="110"/>
      <c r="R758" s="110"/>
      <c r="S758" s="110"/>
      <c r="T758" s="110"/>
      <c r="U758" s="110"/>
      <c r="V758" s="110"/>
      <c r="W758" s="110"/>
      <c r="X758" s="110"/>
      <c r="Y758" s="110"/>
      <c r="Z758" s="110"/>
      <c r="AA758" s="110"/>
      <c r="AB758" s="110"/>
      <c r="AC758" s="110"/>
      <c r="AD758" s="110"/>
      <c r="AE758" s="110"/>
      <c r="AF758" s="110"/>
      <c r="AG758" s="110"/>
      <c r="AH758" s="110"/>
    </row>
    <row r="759">
      <c r="A759" s="110"/>
      <c r="B759" s="110"/>
      <c r="C759" s="110"/>
      <c r="D759" s="110"/>
      <c r="E759" s="110"/>
      <c r="F759" s="110"/>
      <c r="G759" s="110"/>
      <c r="H759" s="110"/>
      <c r="I759" s="110"/>
      <c r="J759" s="110"/>
      <c r="K759" s="110"/>
      <c r="L759" s="110"/>
      <c r="M759" s="110"/>
      <c r="N759" s="110"/>
      <c r="O759" s="110"/>
      <c r="P759" s="110"/>
      <c r="Q759" s="110"/>
      <c r="R759" s="110"/>
      <c r="S759" s="110"/>
      <c r="T759" s="110"/>
      <c r="U759" s="110"/>
      <c r="V759" s="110"/>
      <c r="W759" s="110"/>
      <c r="X759" s="110"/>
      <c r="Y759" s="110"/>
      <c r="Z759" s="110"/>
      <c r="AA759" s="110"/>
      <c r="AB759" s="110"/>
      <c r="AC759" s="110"/>
      <c r="AD759" s="110"/>
      <c r="AE759" s="110"/>
      <c r="AF759" s="110"/>
      <c r="AG759" s="110"/>
      <c r="AH759" s="110"/>
    </row>
    <row r="760">
      <c r="A760" s="110"/>
      <c r="B760" s="110"/>
      <c r="C760" s="110"/>
      <c r="D760" s="110"/>
      <c r="E760" s="110"/>
      <c r="F760" s="110"/>
      <c r="G760" s="110"/>
      <c r="H760" s="110"/>
      <c r="I760" s="110"/>
      <c r="J760" s="110"/>
      <c r="K760" s="110"/>
      <c r="L760" s="110"/>
      <c r="M760" s="110"/>
      <c r="N760" s="110"/>
      <c r="O760" s="110"/>
      <c r="P760" s="110"/>
      <c r="Q760" s="110"/>
      <c r="R760" s="110"/>
      <c r="S760" s="110"/>
      <c r="T760" s="110"/>
      <c r="U760" s="110"/>
      <c r="V760" s="110"/>
      <c r="W760" s="110"/>
      <c r="X760" s="110"/>
      <c r="Y760" s="110"/>
      <c r="Z760" s="110"/>
      <c r="AA760" s="110"/>
      <c r="AB760" s="110"/>
      <c r="AC760" s="110"/>
      <c r="AD760" s="110"/>
      <c r="AE760" s="110"/>
      <c r="AF760" s="110"/>
      <c r="AG760" s="110"/>
      <c r="AH760" s="110"/>
    </row>
    <row r="761">
      <c r="A761" s="110"/>
      <c r="B761" s="110"/>
      <c r="C761" s="110"/>
      <c r="D761" s="110"/>
      <c r="E761" s="110"/>
      <c r="F761" s="110"/>
      <c r="G761" s="110"/>
      <c r="H761" s="110"/>
      <c r="I761" s="110"/>
      <c r="J761" s="110"/>
      <c r="K761" s="110"/>
      <c r="L761" s="110"/>
      <c r="M761" s="110"/>
      <c r="N761" s="110"/>
      <c r="O761" s="110"/>
      <c r="P761" s="110"/>
      <c r="Q761" s="110"/>
      <c r="R761" s="110"/>
      <c r="S761" s="110"/>
      <c r="T761" s="110"/>
      <c r="U761" s="110"/>
      <c r="V761" s="110"/>
      <c r="W761" s="110"/>
      <c r="X761" s="110"/>
      <c r="Y761" s="110"/>
      <c r="Z761" s="110"/>
      <c r="AA761" s="110"/>
      <c r="AB761" s="110"/>
      <c r="AC761" s="110"/>
      <c r="AD761" s="110"/>
      <c r="AE761" s="110"/>
      <c r="AF761" s="110"/>
      <c r="AG761" s="110"/>
      <c r="AH761" s="110"/>
    </row>
    <row r="762">
      <c r="A762" s="110"/>
      <c r="B762" s="110"/>
      <c r="C762" s="110"/>
      <c r="D762" s="110"/>
      <c r="E762" s="110"/>
      <c r="F762" s="110"/>
      <c r="G762" s="110"/>
      <c r="H762" s="110"/>
      <c r="I762" s="110"/>
      <c r="J762" s="110"/>
      <c r="K762" s="110"/>
      <c r="L762" s="110"/>
      <c r="M762" s="110"/>
      <c r="N762" s="110"/>
      <c r="O762" s="110"/>
      <c r="P762" s="110"/>
      <c r="Q762" s="110"/>
      <c r="R762" s="110"/>
      <c r="S762" s="110"/>
      <c r="T762" s="110"/>
      <c r="U762" s="110"/>
      <c r="V762" s="110"/>
      <c r="W762" s="110"/>
      <c r="X762" s="110"/>
      <c r="Y762" s="110"/>
      <c r="Z762" s="110"/>
      <c r="AA762" s="110"/>
      <c r="AB762" s="110"/>
      <c r="AC762" s="110"/>
      <c r="AD762" s="110"/>
      <c r="AE762" s="110"/>
      <c r="AF762" s="110"/>
      <c r="AG762" s="110"/>
      <c r="AH762" s="110"/>
    </row>
    <row r="763">
      <c r="A763" s="110"/>
      <c r="B763" s="110"/>
      <c r="C763" s="110"/>
      <c r="D763" s="110"/>
      <c r="E763" s="110"/>
      <c r="F763" s="110"/>
      <c r="G763" s="110"/>
      <c r="H763" s="110"/>
      <c r="I763" s="110"/>
      <c r="J763" s="110"/>
      <c r="K763" s="110"/>
      <c r="L763" s="110"/>
      <c r="M763" s="110"/>
      <c r="N763" s="110"/>
      <c r="O763" s="110"/>
      <c r="P763" s="110"/>
      <c r="Q763" s="110"/>
      <c r="R763" s="110"/>
      <c r="S763" s="110"/>
      <c r="T763" s="110"/>
      <c r="U763" s="110"/>
      <c r="V763" s="110"/>
      <c r="W763" s="110"/>
      <c r="X763" s="110"/>
      <c r="Y763" s="110"/>
      <c r="Z763" s="110"/>
      <c r="AA763" s="110"/>
      <c r="AB763" s="110"/>
      <c r="AC763" s="110"/>
      <c r="AD763" s="110"/>
      <c r="AE763" s="110"/>
      <c r="AF763" s="110"/>
      <c r="AG763" s="110"/>
      <c r="AH763" s="110"/>
    </row>
    <row r="764">
      <c r="A764" s="110"/>
      <c r="B764" s="110"/>
      <c r="C764" s="110"/>
      <c r="D764" s="110"/>
      <c r="E764" s="110"/>
      <c r="F764" s="110"/>
      <c r="G764" s="110"/>
      <c r="H764" s="110"/>
      <c r="I764" s="110"/>
      <c r="J764" s="110"/>
      <c r="K764" s="110"/>
      <c r="L764" s="110"/>
      <c r="M764" s="110"/>
      <c r="N764" s="110"/>
      <c r="O764" s="110"/>
      <c r="P764" s="110"/>
      <c r="Q764" s="110"/>
      <c r="R764" s="110"/>
      <c r="S764" s="110"/>
      <c r="T764" s="110"/>
      <c r="U764" s="110"/>
      <c r="V764" s="110"/>
      <c r="W764" s="110"/>
      <c r="X764" s="110"/>
      <c r="Y764" s="110"/>
      <c r="Z764" s="110"/>
      <c r="AA764" s="110"/>
      <c r="AB764" s="110"/>
      <c r="AC764" s="110"/>
      <c r="AD764" s="110"/>
      <c r="AE764" s="110"/>
      <c r="AF764" s="110"/>
      <c r="AG764" s="110"/>
      <c r="AH764" s="110"/>
    </row>
    <row r="765">
      <c r="A765" s="110"/>
      <c r="B765" s="110"/>
      <c r="C765" s="110"/>
      <c r="D765" s="110"/>
      <c r="E765" s="110"/>
      <c r="F765" s="110"/>
      <c r="G765" s="110"/>
      <c r="H765" s="110"/>
      <c r="I765" s="110"/>
      <c r="J765" s="110"/>
      <c r="K765" s="110"/>
      <c r="L765" s="110"/>
      <c r="M765" s="110"/>
      <c r="N765" s="110"/>
      <c r="O765" s="110"/>
      <c r="P765" s="110"/>
      <c r="Q765" s="110"/>
      <c r="R765" s="110"/>
      <c r="S765" s="110"/>
      <c r="T765" s="110"/>
      <c r="U765" s="110"/>
      <c r="V765" s="110"/>
      <c r="W765" s="110"/>
      <c r="X765" s="110"/>
      <c r="Y765" s="110"/>
      <c r="Z765" s="110"/>
      <c r="AA765" s="110"/>
      <c r="AB765" s="110"/>
      <c r="AC765" s="110"/>
      <c r="AD765" s="110"/>
      <c r="AE765" s="110"/>
      <c r="AF765" s="110"/>
      <c r="AG765" s="110"/>
      <c r="AH765" s="110"/>
    </row>
    <row r="766">
      <c r="A766" s="110"/>
      <c r="B766" s="110"/>
      <c r="C766" s="110"/>
      <c r="D766" s="110"/>
      <c r="E766" s="110"/>
      <c r="F766" s="110"/>
      <c r="G766" s="110"/>
      <c r="H766" s="110"/>
      <c r="I766" s="110"/>
      <c r="J766" s="110"/>
      <c r="K766" s="110"/>
      <c r="L766" s="110"/>
      <c r="M766" s="110"/>
      <c r="N766" s="110"/>
      <c r="O766" s="110"/>
      <c r="P766" s="110"/>
      <c r="Q766" s="110"/>
      <c r="R766" s="110"/>
      <c r="S766" s="110"/>
      <c r="T766" s="110"/>
      <c r="U766" s="110"/>
      <c r="V766" s="110"/>
      <c r="W766" s="110"/>
      <c r="X766" s="110"/>
      <c r="Y766" s="110"/>
      <c r="Z766" s="110"/>
      <c r="AA766" s="110"/>
      <c r="AB766" s="110"/>
      <c r="AC766" s="110"/>
      <c r="AD766" s="110"/>
      <c r="AE766" s="110"/>
      <c r="AF766" s="110"/>
      <c r="AG766" s="110"/>
      <c r="AH766" s="110"/>
    </row>
    <row r="767">
      <c r="A767" s="110"/>
      <c r="B767" s="110"/>
      <c r="C767" s="110"/>
      <c r="D767" s="110"/>
      <c r="E767" s="110"/>
      <c r="F767" s="110"/>
      <c r="G767" s="110"/>
      <c r="H767" s="110"/>
      <c r="I767" s="110"/>
      <c r="J767" s="110"/>
      <c r="K767" s="110"/>
      <c r="L767" s="110"/>
      <c r="M767" s="110"/>
      <c r="N767" s="110"/>
      <c r="O767" s="110"/>
      <c r="P767" s="110"/>
      <c r="Q767" s="110"/>
      <c r="R767" s="110"/>
      <c r="S767" s="110"/>
      <c r="T767" s="110"/>
      <c r="U767" s="110"/>
      <c r="V767" s="110"/>
      <c r="W767" s="110"/>
      <c r="X767" s="110"/>
      <c r="Y767" s="110"/>
      <c r="Z767" s="110"/>
      <c r="AA767" s="110"/>
      <c r="AB767" s="110"/>
      <c r="AC767" s="110"/>
      <c r="AD767" s="110"/>
      <c r="AE767" s="110"/>
      <c r="AF767" s="110"/>
      <c r="AG767" s="110"/>
      <c r="AH767" s="110"/>
    </row>
    <row r="768">
      <c r="A768" s="110"/>
      <c r="B768" s="110"/>
      <c r="C768" s="110"/>
      <c r="D768" s="110"/>
      <c r="E768" s="110"/>
      <c r="F768" s="110"/>
      <c r="G768" s="110"/>
      <c r="H768" s="110"/>
      <c r="I768" s="110"/>
      <c r="J768" s="110"/>
      <c r="K768" s="110"/>
      <c r="L768" s="110"/>
      <c r="M768" s="110"/>
      <c r="N768" s="110"/>
      <c r="O768" s="110"/>
      <c r="P768" s="110"/>
      <c r="Q768" s="110"/>
      <c r="R768" s="110"/>
      <c r="S768" s="110"/>
      <c r="T768" s="110"/>
      <c r="U768" s="110"/>
      <c r="V768" s="110"/>
      <c r="W768" s="110"/>
      <c r="X768" s="110"/>
      <c r="Y768" s="110"/>
      <c r="Z768" s="110"/>
      <c r="AA768" s="110"/>
      <c r="AB768" s="110"/>
      <c r="AC768" s="110"/>
      <c r="AD768" s="110"/>
      <c r="AE768" s="110"/>
      <c r="AF768" s="110"/>
      <c r="AG768" s="110"/>
      <c r="AH768" s="110"/>
    </row>
    <row r="769">
      <c r="A769" s="110"/>
      <c r="B769" s="110"/>
      <c r="C769" s="110"/>
      <c r="D769" s="110"/>
      <c r="E769" s="110"/>
      <c r="F769" s="110"/>
      <c r="G769" s="110"/>
      <c r="H769" s="110"/>
      <c r="I769" s="110"/>
      <c r="J769" s="110"/>
      <c r="K769" s="110"/>
      <c r="L769" s="110"/>
      <c r="M769" s="110"/>
      <c r="N769" s="110"/>
      <c r="O769" s="110"/>
      <c r="P769" s="110"/>
      <c r="Q769" s="110"/>
      <c r="R769" s="110"/>
      <c r="S769" s="110"/>
      <c r="T769" s="110"/>
      <c r="U769" s="110"/>
      <c r="V769" s="110"/>
      <c r="W769" s="110"/>
      <c r="X769" s="110"/>
      <c r="Y769" s="110"/>
      <c r="Z769" s="110"/>
      <c r="AA769" s="110"/>
      <c r="AB769" s="110"/>
      <c r="AC769" s="110"/>
      <c r="AD769" s="110"/>
      <c r="AE769" s="110"/>
      <c r="AF769" s="110"/>
      <c r="AG769" s="110"/>
      <c r="AH769" s="110"/>
    </row>
    <row r="770">
      <c r="A770" s="110"/>
      <c r="B770" s="110"/>
      <c r="C770" s="110"/>
      <c r="D770" s="110"/>
      <c r="E770" s="110"/>
      <c r="F770" s="110"/>
      <c r="G770" s="110"/>
      <c r="H770" s="110"/>
      <c r="I770" s="110"/>
      <c r="J770" s="110"/>
      <c r="K770" s="110"/>
      <c r="L770" s="110"/>
      <c r="M770" s="110"/>
      <c r="N770" s="110"/>
      <c r="O770" s="110"/>
      <c r="P770" s="110"/>
      <c r="Q770" s="110"/>
      <c r="R770" s="110"/>
      <c r="S770" s="110"/>
      <c r="T770" s="110"/>
      <c r="U770" s="110"/>
      <c r="V770" s="110"/>
      <c r="W770" s="110"/>
      <c r="X770" s="110"/>
      <c r="Y770" s="110"/>
      <c r="Z770" s="110"/>
      <c r="AA770" s="110"/>
      <c r="AB770" s="110"/>
      <c r="AC770" s="110"/>
      <c r="AD770" s="110"/>
      <c r="AE770" s="110"/>
      <c r="AF770" s="110"/>
      <c r="AG770" s="110"/>
      <c r="AH770" s="110"/>
    </row>
    <row r="771">
      <c r="A771" s="110"/>
      <c r="B771" s="110"/>
      <c r="C771" s="110"/>
      <c r="D771" s="110"/>
      <c r="E771" s="110"/>
      <c r="F771" s="110"/>
      <c r="G771" s="110"/>
      <c r="H771" s="110"/>
      <c r="I771" s="110"/>
      <c r="J771" s="110"/>
      <c r="K771" s="110"/>
      <c r="L771" s="110"/>
      <c r="M771" s="110"/>
      <c r="N771" s="110"/>
      <c r="O771" s="110"/>
      <c r="P771" s="110"/>
      <c r="Q771" s="110"/>
      <c r="R771" s="110"/>
      <c r="S771" s="110"/>
      <c r="T771" s="110"/>
      <c r="U771" s="110"/>
      <c r="V771" s="110"/>
      <c r="W771" s="110"/>
      <c r="X771" s="110"/>
      <c r="Y771" s="110"/>
      <c r="Z771" s="110"/>
      <c r="AA771" s="110"/>
      <c r="AB771" s="110"/>
      <c r="AC771" s="110"/>
      <c r="AD771" s="110"/>
      <c r="AE771" s="110"/>
      <c r="AF771" s="110"/>
      <c r="AG771" s="110"/>
      <c r="AH771" s="110"/>
    </row>
    <row r="772">
      <c r="A772" s="110"/>
      <c r="B772" s="110"/>
      <c r="C772" s="110"/>
      <c r="D772" s="110"/>
      <c r="E772" s="110"/>
      <c r="F772" s="110"/>
      <c r="G772" s="110"/>
      <c r="H772" s="110"/>
      <c r="I772" s="110"/>
      <c r="J772" s="110"/>
      <c r="K772" s="110"/>
      <c r="L772" s="110"/>
      <c r="M772" s="110"/>
      <c r="N772" s="110"/>
      <c r="O772" s="110"/>
      <c r="P772" s="110"/>
      <c r="Q772" s="110"/>
      <c r="R772" s="110"/>
      <c r="S772" s="110"/>
      <c r="T772" s="110"/>
      <c r="U772" s="110"/>
      <c r="V772" s="110"/>
      <c r="W772" s="110"/>
      <c r="X772" s="110"/>
      <c r="Y772" s="110"/>
      <c r="Z772" s="110"/>
      <c r="AA772" s="110"/>
      <c r="AB772" s="110"/>
      <c r="AC772" s="110"/>
      <c r="AD772" s="110"/>
      <c r="AE772" s="110"/>
      <c r="AF772" s="110"/>
      <c r="AG772" s="110"/>
      <c r="AH772" s="110"/>
    </row>
    <row r="773">
      <c r="A773" s="110"/>
      <c r="B773" s="110"/>
      <c r="C773" s="110"/>
      <c r="D773" s="110"/>
      <c r="E773" s="110"/>
      <c r="F773" s="110"/>
      <c r="G773" s="110"/>
      <c r="H773" s="110"/>
      <c r="I773" s="110"/>
      <c r="J773" s="110"/>
      <c r="K773" s="110"/>
      <c r="L773" s="110"/>
      <c r="M773" s="110"/>
      <c r="N773" s="110"/>
      <c r="O773" s="110"/>
      <c r="P773" s="110"/>
      <c r="Q773" s="110"/>
      <c r="R773" s="110"/>
      <c r="S773" s="110"/>
      <c r="T773" s="110"/>
      <c r="U773" s="110"/>
      <c r="V773" s="110"/>
      <c r="W773" s="110"/>
      <c r="X773" s="110"/>
      <c r="Y773" s="110"/>
      <c r="Z773" s="110"/>
      <c r="AA773" s="110"/>
      <c r="AB773" s="110"/>
      <c r="AC773" s="110"/>
      <c r="AD773" s="110"/>
      <c r="AE773" s="110"/>
      <c r="AF773" s="110"/>
      <c r="AG773" s="110"/>
      <c r="AH773" s="110"/>
    </row>
    <row r="774">
      <c r="A774" s="110"/>
      <c r="B774" s="110"/>
      <c r="C774" s="110"/>
      <c r="D774" s="110"/>
      <c r="E774" s="110"/>
      <c r="F774" s="110"/>
      <c r="G774" s="110"/>
      <c r="H774" s="110"/>
      <c r="I774" s="110"/>
      <c r="J774" s="110"/>
      <c r="K774" s="110"/>
      <c r="L774" s="110"/>
      <c r="M774" s="110"/>
      <c r="N774" s="110"/>
      <c r="O774" s="110"/>
      <c r="P774" s="110"/>
      <c r="Q774" s="110"/>
      <c r="R774" s="110"/>
      <c r="S774" s="110"/>
      <c r="T774" s="110"/>
      <c r="U774" s="110"/>
      <c r="V774" s="110"/>
      <c r="W774" s="110"/>
      <c r="X774" s="110"/>
      <c r="Y774" s="110"/>
      <c r="Z774" s="110"/>
      <c r="AA774" s="110"/>
      <c r="AB774" s="110"/>
      <c r="AC774" s="110"/>
      <c r="AD774" s="110"/>
      <c r="AE774" s="110"/>
      <c r="AF774" s="110"/>
      <c r="AG774" s="110"/>
      <c r="AH774" s="110"/>
    </row>
    <row r="775">
      <c r="A775" s="110"/>
      <c r="B775" s="110"/>
      <c r="C775" s="110"/>
      <c r="D775" s="110"/>
      <c r="E775" s="110"/>
      <c r="F775" s="110"/>
      <c r="G775" s="110"/>
      <c r="H775" s="110"/>
      <c r="I775" s="110"/>
      <c r="J775" s="110"/>
      <c r="K775" s="110"/>
      <c r="L775" s="110"/>
      <c r="M775" s="110"/>
      <c r="N775" s="110"/>
      <c r="O775" s="110"/>
      <c r="P775" s="110"/>
      <c r="Q775" s="110"/>
      <c r="R775" s="110"/>
      <c r="S775" s="110"/>
      <c r="T775" s="110"/>
      <c r="U775" s="110"/>
      <c r="V775" s="110"/>
      <c r="W775" s="110"/>
      <c r="X775" s="110"/>
      <c r="Y775" s="110"/>
      <c r="Z775" s="110"/>
      <c r="AA775" s="110"/>
      <c r="AB775" s="110"/>
      <c r="AC775" s="110"/>
      <c r="AD775" s="110"/>
      <c r="AE775" s="110"/>
      <c r="AF775" s="110"/>
      <c r="AG775" s="110"/>
      <c r="AH775" s="110"/>
    </row>
    <row r="776">
      <c r="A776" s="110"/>
      <c r="B776" s="110"/>
      <c r="C776" s="110"/>
      <c r="D776" s="110"/>
      <c r="E776" s="110"/>
      <c r="F776" s="110"/>
      <c r="G776" s="110"/>
      <c r="H776" s="110"/>
      <c r="I776" s="110"/>
      <c r="J776" s="110"/>
      <c r="K776" s="110"/>
      <c r="L776" s="110"/>
      <c r="M776" s="110"/>
      <c r="N776" s="110"/>
      <c r="O776" s="110"/>
      <c r="P776" s="110"/>
      <c r="Q776" s="110"/>
      <c r="R776" s="110"/>
      <c r="S776" s="110"/>
      <c r="T776" s="110"/>
      <c r="U776" s="110"/>
      <c r="V776" s="110"/>
      <c r="W776" s="110"/>
      <c r="X776" s="110"/>
      <c r="Y776" s="110"/>
      <c r="Z776" s="110"/>
      <c r="AA776" s="110"/>
      <c r="AB776" s="110"/>
      <c r="AC776" s="110"/>
      <c r="AD776" s="110"/>
      <c r="AE776" s="110"/>
      <c r="AF776" s="110"/>
      <c r="AG776" s="110"/>
      <c r="AH776" s="110"/>
    </row>
    <row r="777">
      <c r="A777" s="110"/>
      <c r="B777" s="110"/>
      <c r="C777" s="110"/>
      <c r="D777" s="110"/>
      <c r="E777" s="110"/>
      <c r="F777" s="110"/>
      <c r="G777" s="110"/>
      <c r="H777" s="110"/>
      <c r="I777" s="110"/>
      <c r="J777" s="110"/>
      <c r="K777" s="110"/>
      <c r="L777" s="110"/>
      <c r="M777" s="110"/>
      <c r="N777" s="110"/>
      <c r="O777" s="110"/>
      <c r="P777" s="110"/>
      <c r="Q777" s="110"/>
      <c r="R777" s="110"/>
      <c r="S777" s="110"/>
      <c r="T777" s="110"/>
      <c r="U777" s="110"/>
      <c r="V777" s="110"/>
      <c r="W777" s="110"/>
      <c r="X777" s="110"/>
      <c r="Y777" s="110"/>
      <c r="Z777" s="110"/>
      <c r="AA777" s="110"/>
      <c r="AB777" s="110"/>
      <c r="AC777" s="110"/>
      <c r="AD777" s="110"/>
      <c r="AE777" s="110"/>
      <c r="AF777" s="110"/>
      <c r="AG777" s="110"/>
      <c r="AH777" s="110"/>
    </row>
    <row r="778">
      <c r="A778" s="110"/>
      <c r="B778" s="110"/>
      <c r="C778" s="110"/>
      <c r="D778" s="110"/>
      <c r="E778" s="110"/>
      <c r="F778" s="110"/>
      <c r="G778" s="110"/>
      <c r="H778" s="110"/>
      <c r="I778" s="110"/>
      <c r="J778" s="110"/>
      <c r="K778" s="110"/>
      <c r="L778" s="110"/>
      <c r="M778" s="110"/>
      <c r="N778" s="110"/>
      <c r="O778" s="110"/>
      <c r="P778" s="110"/>
      <c r="Q778" s="110"/>
      <c r="R778" s="110"/>
      <c r="S778" s="110"/>
      <c r="T778" s="110"/>
      <c r="U778" s="110"/>
      <c r="V778" s="110"/>
      <c r="W778" s="110"/>
      <c r="X778" s="110"/>
      <c r="Y778" s="110"/>
      <c r="Z778" s="110"/>
      <c r="AA778" s="110"/>
      <c r="AB778" s="110"/>
      <c r="AC778" s="110"/>
      <c r="AD778" s="110"/>
      <c r="AE778" s="110"/>
      <c r="AF778" s="110"/>
      <c r="AG778" s="110"/>
      <c r="AH778" s="110"/>
    </row>
    <row r="779">
      <c r="A779" s="110"/>
      <c r="B779" s="110"/>
      <c r="C779" s="110"/>
      <c r="D779" s="110"/>
      <c r="E779" s="110"/>
      <c r="F779" s="110"/>
      <c r="G779" s="110"/>
      <c r="H779" s="110"/>
      <c r="I779" s="110"/>
      <c r="J779" s="110"/>
      <c r="K779" s="110"/>
      <c r="L779" s="110"/>
      <c r="M779" s="110"/>
      <c r="N779" s="110"/>
      <c r="O779" s="110"/>
      <c r="P779" s="110"/>
      <c r="Q779" s="110"/>
      <c r="R779" s="110"/>
      <c r="S779" s="110"/>
      <c r="T779" s="110"/>
      <c r="U779" s="110"/>
      <c r="V779" s="110"/>
      <c r="W779" s="110"/>
      <c r="X779" s="110"/>
      <c r="Y779" s="110"/>
      <c r="Z779" s="110"/>
      <c r="AA779" s="110"/>
      <c r="AB779" s="110"/>
      <c r="AC779" s="110"/>
      <c r="AD779" s="110"/>
      <c r="AE779" s="110"/>
      <c r="AF779" s="110"/>
      <c r="AG779" s="110"/>
      <c r="AH779" s="110"/>
    </row>
    <row r="780">
      <c r="A780" s="110"/>
      <c r="B780" s="110"/>
      <c r="C780" s="110"/>
      <c r="D780" s="110"/>
      <c r="E780" s="110"/>
      <c r="F780" s="110"/>
      <c r="G780" s="110"/>
      <c r="H780" s="110"/>
      <c r="I780" s="110"/>
      <c r="J780" s="110"/>
      <c r="K780" s="110"/>
      <c r="L780" s="110"/>
      <c r="M780" s="110"/>
      <c r="N780" s="110"/>
      <c r="O780" s="110"/>
      <c r="P780" s="110"/>
      <c r="Q780" s="110"/>
      <c r="R780" s="110"/>
      <c r="S780" s="110"/>
      <c r="T780" s="110"/>
      <c r="U780" s="110"/>
      <c r="V780" s="110"/>
      <c r="W780" s="110"/>
      <c r="X780" s="110"/>
      <c r="Y780" s="110"/>
      <c r="Z780" s="110"/>
      <c r="AA780" s="110"/>
      <c r="AB780" s="110"/>
      <c r="AC780" s="110"/>
      <c r="AD780" s="110"/>
      <c r="AE780" s="110"/>
      <c r="AF780" s="110"/>
      <c r="AG780" s="110"/>
      <c r="AH780" s="110"/>
    </row>
    <row r="781">
      <c r="A781" s="110"/>
      <c r="B781" s="110"/>
      <c r="C781" s="110"/>
      <c r="D781" s="110"/>
      <c r="E781" s="110"/>
      <c r="F781" s="110"/>
      <c r="G781" s="110"/>
      <c r="H781" s="110"/>
      <c r="I781" s="110"/>
      <c r="J781" s="110"/>
      <c r="K781" s="110"/>
      <c r="L781" s="110"/>
      <c r="M781" s="110"/>
      <c r="N781" s="110"/>
      <c r="O781" s="110"/>
      <c r="P781" s="110"/>
      <c r="Q781" s="110"/>
      <c r="R781" s="110"/>
      <c r="S781" s="110"/>
      <c r="T781" s="110"/>
      <c r="U781" s="110"/>
      <c r="V781" s="110"/>
      <c r="W781" s="110"/>
      <c r="X781" s="110"/>
      <c r="Y781" s="110"/>
      <c r="Z781" s="110"/>
      <c r="AA781" s="110"/>
      <c r="AB781" s="110"/>
      <c r="AC781" s="110"/>
      <c r="AD781" s="110"/>
      <c r="AE781" s="110"/>
      <c r="AF781" s="110"/>
      <c r="AG781" s="110"/>
      <c r="AH781" s="110"/>
    </row>
    <row r="782">
      <c r="A782" s="110"/>
      <c r="B782" s="110"/>
      <c r="C782" s="110"/>
      <c r="D782" s="110"/>
      <c r="E782" s="110"/>
      <c r="F782" s="110"/>
      <c r="G782" s="110"/>
      <c r="H782" s="110"/>
      <c r="I782" s="110"/>
      <c r="J782" s="110"/>
      <c r="K782" s="110"/>
      <c r="L782" s="110"/>
      <c r="M782" s="110"/>
      <c r="N782" s="110"/>
      <c r="O782" s="110"/>
      <c r="P782" s="110"/>
      <c r="Q782" s="110"/>
      <c r="R782" s="110"/>
      <c r="S782" s="110"/>
      <c r="T782" s="110"/>
      <c r="U782" s="110"/>
      <c r="V782" s="110"/>
      <c r="W782" s="110"/>
      <c r="X782" s="110"/>
      <c r="Y782" s="110"/>
      <c r="Z782" s="110"/>
      <c r="AA782" s="110"/>
      <c r="AB782" s="110"/>
      <c r="AC782" s="110"/>
      <c r="AD782" s="110"/>
      <c r="AE782" s="110"/>
      <c r="AF782" s="110"/>
      <c r="AG782" s="110"/>
      <c r="AH782" s="110"/>
    </row>
    <row r="783">
      <c r="A783" s="110"/>
      <c r="B783" s="110"/>
      <c r="C783" s="110"/>
      <c r="D783" s="110"/>
      <c r="E783" s="110"/>
      <c r="F783" s="110"/>
      <c r="G783" s="110"/>
      <c r="H783" s="110"/>
      <c r="I783" s="110"/>
      <c r="J783" s="110"/>
      <c r="K783" s="110"/>
      <c r="L783" s="110"/>
      <c r="M783" s="110"/>
      <c r="N783" s="110"/>
      <c r="O783" s="110"/>
      <c r="P783" s="110"/>
      <c r="Q783" s="110"/>
      <c r="R783" s="110"/>
      <c r="S783" s="110"/>
      <c r="T783" s="110"/>
      <c r="U783" s="110"/>
      <c r="V783" s="110"/>
      <c r="W783" s="110"/>
      <c r="X783" s="110"/>
      <c r="Y783" s="110"/>
      <c r="Z783" s="110"/>
      <c r="AA783" s="110"/>
      <c r="AB783" s="110"/>
      <c r="AC783" s="110"/>
      <c r="AD783" s="110"/>
      <c r="AE783" s="110"/>
      <c r="AF783" s="110"/>
      <c r="AG783" s="110"/>
      <c r="AH783" s="110"/>
    </row>
    <row r="784">
      <c r="A784" s="110"/>
      <c r="B784" s="110"/>
      <c r="C784" s="110"/>
      <c r="D784" s="110"/>
      <c r="E784" s="110"/>
      <c r="F784" s="110"/>
      <c r="G784" s="110"/>
      <c r="H784" s="110"/>
      <c r="I784" s="110"/>
      <c r="J784" s="110"/>
      <c r="K784" s="110"/>
      <c r="L784" s="110"/>
      <c r="M784" s="110"/>
      <c r="N784" s="110"/>
      <c r="O784" s="110"/>
      <c r="P784" s="110"/>
      <c r="Q784" s="110"/>
      <c r="R784" s="110"/>
      <c r="S784" s="110"/>
      <c r="T784" s="110"/>
      <c r="U784" s="110"/>
      <c r="V784" s="110"/>
      <c r="W784" s="110"/>
      <c r="X784" s="110"/>
      <c r="Y784" s="110"/>
      <c r="Z784" s="110"/>
      <c r="AA784" s="110"/>
      <c r="AB784" s="110"/>
      <c r="AC784" s="110"/>
      <c r="AD784" s="110"/>
      <c r="AE784" s="110"/>
      <c r="AF784" s="110"/>
      <c r="AG784" s="110"/>
      <c r="AH784" s="110"/>
    </row>
    <row r="785">
      <c r="A785" s="110"/>
      <c r="B785" s="110"/>
      <c r="C785" s="110"/>
      <c r="D785" s="110"/>
      <c r="E785" s="110"/>
      <c r="F785" s="110"/>
      <c r="G785" s="110"/>
      <c r="H785" s="110"/>
      <c r="I785" s="110"/>
      <c r="J785" s="110"/>
      <c r="K785" s="110"/>
      <c r="L785" s="110"/>
      <c r="M785" s="110"/>
      <c r="N785" s="110"/>
      <c r="O785" s="110"/>
      <c r="P785" s="110"/>
      <c r="Q785" s="110"/>
      <c r="R785" s="110"/>
      <c r="S785" s="110"/>
      <c r="T785" s="110"/>
      <c r="U785" s="110"/>
      <c r="V785" s="110"/>
      <c r="W785" s="110"/>
      <c r="X785" s="110"/>
      <c r="Y785" s="110"/>
      <c r="Z785" s="110"/>
      <c r="AA785" s="110"/>
      <c r="AB785" s="110"/>
      <c r="AC785" s="110"/>
      <c r="AD785" s="110"/>
      <c r="AE785" s="110"/>
      <c r="AF785" s="110"/>
      <c r="AG785" s="110"/>
      <c r="AH785" s="110"/>
    </row>
    <row r="786">
      <c r="A786" s="110"/>
      <c r="B786" s="110"/>
      <c r="C786" s="110"/>
      <c r="D786" s="110"/>
      <c r="E786" s="110"/>
      <c r="F786" s="110"/>
      <c r="G786" s="110"/>
      <c r="H786" s="110"/>
      <c r="I786" s="110"/>
      <c r="J786" s="110"/>
      <c r="K786" s="110"/>
      <c r="L786" s="110"/>
      <c r="M786" s="110"/>
      <c r="N786" s="110"/>
      <c r="O786" s="110"/>
      <c r="P786" s="110"/>
      <c r="Q786" s="110"/>
      <c r="R786" s="110"/>
      <c r="S786" s="110"/>
      <c r="T786" s="110"/>
      <c r="U786" s="110"/>
      <c r="V786" s="110"/>
      <c r="W786" s="110"/>
      <c r="X786" s="110"/>
      <c r="Y786" s="110"/>
      <c r="Z786" s="110"/>
      <c r="AA786" s="110"/>
      <c r="AB786" s="110"/>
      <c r="AC786" s="110"/>
      <c r="AD786" s="110"/>
      <c r="AE786" s="110"/>
      <c r="AF786" s="110"/>
      <c r="AG786" s="110"/>
      <c r="AH786" s="110"/>
    </row>
    <row r="787">
      <c r="A787" s="110"/>
      <c r="B787" s="110"/>
      <c r="C787" s="110"/>
      <c r="D787" s="110"/>
      <c r="E787" s="110"/>
      <c r="F787" s="110"/>
      <c r="G787" s="110"/>
      <c r="H787" s="110"/>
      <c r="I787" s="110"/>
      <c r="J787" s="110"/>
      <c r="K787" s="110"/>
      <c r="L787" s="110"/>
      <c r="M787" s="110"/>
      <c r="N787" s="110"/>
      <c r="O787" s="110"/>
      <c r="P787" s="110"/>
      <c r="Q787" s="110"/>
      <c r="R787" s="110"/>
      <c r="S787" s="110"/>
      <c r="T787" s="110"/>
      <c r="U787" s="110"/>
      <c r="V787" s="110"/>
      <c r="W787" s="110"/>
      <c r="X787" s="110"/>
      <c r="Y787" s="110"/>
      <c r="Z787" s="110"/>
      <c r="AA787" s="110"/>
      <c r="AB787" s="110"/>
      <c r="AC787" s="110"/>
      <c r="AD787" s="110"/>
      <c r="AE787" s="110"/>
      <c r="AF787" s="110"/>
      <c r="AG787" s="110"/>
      <c r="AH787" s="110"/>
    </row>
    <row r="788">
      <c r="A788" s="110"/>
      <c r="B788" s="110"/>
      <c r="C788" s="110"/>
      <c r="D788" s="110"/>
      <c r="E788" s="110"/>
      <c r="F788" s="110"/>
      <c r="G788" s="110"/>
      <c r="H788" s="110"/>
      <c r="I788" s="110"/>
      <c r="J788" s="110"/>
      <c r="K788" s="110"/>
      <c r="L788" s="110"/>
      <c r="M788" s="110"/>
      <c r="N788" s="110"/>
      <c r="O788" s="110"/>
      <c r="P788" s="110"/>
      <c r="Q788" s="110"/>
      <c r="R788" s="110"/>
      <c r="S788" s="110"/>
      <c r="T788" s="110"/>
      <c r="U788" s="110"/>
      <c r="V788" s="110"/>
      <c r="W788" s="110"/>
      <c r="X788" s="110"/>
      <c r="Y788" s="110"/>
      <c r="Z788" s="110"/>
      <c r="AA788" s="110"/>
      <c r="AB788" s="110"/>
      <c r="AC788" s="110"/>
      <c r="AD788" s="110"/>
      <c r="AE788" s="110"/>
      <c r="AF788" s="110"/>
      <c r="AG788" s="110"/>
      <c r="AH788" s="110"/>
    </row>
    <row r="789">
      <c r="A789" s="110"/>
      <c r="B789" s="110"/>
      <c r="C789" s="110"/>
      <c r="D789" s="110"/>
      <c r="E789" s="110"/>
      <c r="F789" s="110"/>
      <c r="G789" s="110"/>
      <c r="H789" s="110"/>
      <c r="I789" s="110"/>
      <c r="J789" s="110"/>
      <c r="K789" s="110"/>
      <c r="L789" s="110"/>
      <c r="M789" s="110"/>
      <c r="N789" s="110"/>
      <c r="O789" s="110"/>
      <c r="P789" s="110"/>
      <c r="Q789" s="110"/>
      <c r="R789" s="110"/>
      <c r="S789" s="110"/>
      <c r="T789" s="110"/>
      <c r="U789" s="110"/>
      <c r="V789" s="110"/>
      <c r="W789" s="110"/>
      <c r="X789" s="110"/>
      <c r="Y789" s="110"/>
      <c r="Z789" s="110"/>
      <c r="AA789" s="110"/>
      <c r="AB789" s="110"/>
      <c r="AC789" s="110"/>
      <c r="AD789" s="110"/>
      <c r="AE789" s="110"/>
      <c r="AF789" s="110"/>
      <c r="AG789" s="110"/>
      <c r="AH789" s="110"/>
    </row>
    <row r="790">
      <c r="A790" s="110"/>
      <c r="B790" s="110"/>
      <c r="C790" s="110"/>
      <c r="D790" s="110"/>
      <c r="E790" s="110"/>
      <c r="F790" s="110"/>
      <c r="G790" s="110"/>
      <c r="H790" s="110"/>
      <c r="I790" s="110"/>
      <c r="J790" s="110"/>
      <c r="K790" s="110"/>
      <c r="L790" s="110"/>
      <c r="M790" s="110"/>
      <c r="N790" s="110"/>
      <c r="O790" s="110"/>
      <c r="P790" s="110"/>
      <c r="Q790" s="110"/>
      <c r="R790" s="110"/>
      <c r="S790" s="110"/>
      <c r="T790" s="110"/>
      <c r="U790" s="110"/>
      <c r="V790" s="110"/>
      <c r="W790" s="110"/>
      <c r="X790" s="110"/>
      <c r="Y790" s="110"/>
      <c r="Z790" s="110"/>
      <c r="AA790" s="110"/>
      <c r="AB790" s="110"/>
      <c r="AC790" s="110"/>
      <c r="AD790" s="110"/>
      <c r="AE790" s="110"/>
      <c r="AF790" s="110"/>
      <c r="AG790" s="110"/>
      <c r="AH790" s="110"/>
    </row>
    <row r="791">
      <c r="A791" s="110"/>
      <c r="B791" s="110"/>
      <c r="C791" s="110"/>
      <c r="D791" s="110"/>
      <c r="E791" s="110"/>
      <c r="F791" s="110"/>
      <c r="G791" s="110"/>
      <c r="H791" s="110"/>
      <c r="I791" s="110"/>
      <c r="J791" s="110"/>
      <c r="K791" s="110"/>
      <c r="L791" s="110"/>
      <c r="M791" s="110"/>
      <c r="N791" s="110"/>
      <c r="O791" s="110"/>
      <c r="P791" s="110"/>
      <c r="Q791" s="110"/>
      <c r="R791" s="110"/>
      <c r="S791" s="110"/>
      <c r="T791" s="110"/>
      <c r="U791" s="110"/>
      <c r="V791" s="110"/>
      <c r="W791" s="110"/>
      <c r="X791" s="110"/>
      <c r="Y791" s="110"/>
      <c r="Z791" s="110"/>
      <c r="AA791" s="110"/>
      <c r="AB791" s="110"/>
      <c r="AC791" s="110"/>
      <c r="AD791" s="110"/>
      <c r="AE791" s="110"/>
      <c r="AF791" s="110"/>
      <c r="AG791" s="110"/>
      <c r="AH791" s="110"/>
    </row>
    <row r="792">
      <c r="A792" s="110"/>
      <c r="B792" s="110"/>
      <c r="C792" s="110"/>
      <c r="D792" s="110"/>
      <c r="E792" s="110"/>
      <c r="F792" s="110"/>
      <c r="G792" s="110"/>
      <c r="H792" s="110"/>
      <c r="I792" s="110"/>
      <c r="J792" s="110"/>
      <c r="K792" s="110"/>
      <c r="L792" s="110"/>
      <c r="M792" s="110"/>
      <c r="N792" s="110"/>
      <c r="O792" s="110"/>
      <c r="P792" s="110"/>
      <c r="Q792" s="110"/>
      <c r="R792" s="110"/>
      <c r="S792" s="110"/>
      <c r="T792" s="110"/>
      <c r="U792" s="110"/>
      <c r="V792" s="110"/>
      <c r="W792" s="110"/>
      <c r="X792" s="110"/>
      <c r="Y792" s="110"/>
      <c r="Z792" s="110"/>
      <c r="AA792" s="110"/>
      <c r="AB792" s="110"/>
      <c r="AC792" s="110"/>
      <c r="AD792" s="110"/>
      <c r="AE792" s="110"/>
      <c r="AF792" s="110"/>
      <c r="AG792" s="110"/>
      <c r="AH792" s="110"/>
    </row>
    <row r="793">
      <c r="A793" s="110"/>
      <c r="B793" s="110"/>
      <c r="C793" s="110"/>
      <c r="D793" s="110"/>
      <c r="E793" s="110"/>
      <c r="F793" s="110"/>
      <c r="G793" s="110"/>
      <c r="H793" s="110"/>
      <c r="I793" s="110"/>
      <c r="J793" s="110"/>
      <c r="K793" s="110"/>
      <c r="L793" s="110"/>
      <c r="M793" s="110"/>
      <c r="N793" s="110"/>
      <c r="O793" s="110"/>
      <c r="P793" s="110"/>
      <c r="Q793" s="110"/>
      <c r="R793" s="110"/>
      <c r="S793" s="110"/>
      <c r="T793" s="110"/>
      <c r="U793" s="110"/>
      <c r="V793" s="110"/>
      <c r="W793" s="110"/>
      <c r="X793" s="110"/>
      <c r="Y793" s="110"/>
      <c r="Z793" s="110"/>
      <c r="AA793" s="110"/>
      <c r="AB793" s="110"/>
      <c r="AC793" s="110"/>
      <c r="AD793" s="110"/>
      <c r="AE793" s="110"/>
      <c r="AF793" s="110"/>
      <c r="AG793" s="110"/>
      <c r="AH793" s="110"/>
    </row>
    <row r="794">
      <c r="A794" s="110"/>
      <c r="B794" s="110"/>
      <c r="C794" s="110"/>
      <c r="D794" s="110"/>
      <c r="E794" s="110"/>
      <c r="F794" s="110"/>
      <c r="G794" s="110"/>
      <c r="H794" s="110"/>
      <c r="I794" s="110"/>
      <c r="J794" s="110"/>
      <c r="K794" s="110"/>
      <c r="L794" s="110"/>
      <c r="M794" s="110"/>
      <c r="N794" s="110"/>
      <c r="O794" s="110"/>
      <c r="P794" s="110"/>
      <c r="Q794" s="110"/>
      <c r="R794" s="110"/>
      <c r="S794" s="110"/>
      <c r="T794" s="110"/>
      <c r="U794" s="110"/>
      <c r="V794" s="110"/>
      <c r="W794" s="110"/>
      <c r="X794" s="110"/>
      <c r="Y794" s="110"/>
      <c r="Z794" s="110"/>
      <c r="AA794" s="110"/>
      <c r="AB794" s="110"/>
      <c r="AC794" s="110"/>
      <c r="AD794" s="110"/>
      <c r="AE794" s="110"/>
      <c r="AF794" s="110"/>
      <c r="AG794" s="110"/>
      <c r="AH794" s="110"/>
    </row>
    <row r="795">
      <c r="A795" s="110"/>
      <c r="B795" s="110"/>
      <c r="C795" s="110"/>
      <c r="D795" s="110"/>
      <c r="E795" s="110"/>
      <c r="F795" s="110"/>
      <c r="G795" s="110"/>
      <c r="H795" s="110"/>
      <c r="I795" s="110"/>
      <c r="J795" s="110"/>
      <c r="K795" s="110"/>
      <c r="L795" s="110"/>
      <c r="M795" s="110"/>
      <c r="N795" s="110"/>
      <c r="O795" s="110"/>
      <c r="P795" s="110"/>
      <c r="Q795" s="110"/>
      <c r="R795" s="110"/>
      <c r="S795" s="110"/>
      <c r="T795" s="110"/>
      <c r="U795" s="110"/>
      <c r="V795" s="110"/>
      <c r="W795" s="110"/>
      <c r="X795" s="110"/>
      <c r="Y795" s="110"/>
      <c r="Z795" s="110"/>
      <c r="AA795" s="110"/>
      <c r="AB795" s="110"/>
      <c r="AC795" s="110"/>
      <c r="AD795" s="110"/>
      <c r="AE795" s="110"/>
      <c r="AF795" s="110"/>
      <c r="AG795" s="110"/>
      <c r="AH795" s="110"/>
    </row>
    <row r="796">
      <c r="A796" s="110"/>
      <c r="B796" s="110"/>
      <c r="C796" s="110"/>
      <c r="D796" s="110"/>
      <c r="E796" s="110"/>
      <c r="F796" s="110"/>
      <c r="G796" s="110"/>
      <c r="H796" s="110"/>
      <c r="I796" s="110"/>
      <c r="J796" s="110"/>
      <c r="K796" s="110"/>
      <c r="L796" s="110"/>
      <c r="M796" s="110"/>
      <c r="N796" s="110"/>
      <c r="O796" s="110"/>
      <c r="P796" s="110"/>
      <c r="Q796" s="110"/>
      <c r="R796" s="110"/>
      <c r="S796" s="110"/>
      <c r="T796" s="110"/>
      <c r="U796" s="110"/>
      <c r="V796" s="110"/>
      <c r="W796" s="110"/>
      <c r="X796" s="110"/>
      <c r="Y796" s="110"/>
      <c r="Z796" s="110"/>
      <c r="AA796" s="110"/>
      <c r="AB796" s="110"/>
      <c r="AC796" s="110"/>
      <c r="AD796" s="110"/>
      <c r="AE796" s="110"/>
      <c r="AF796" s="110"/>
      <c r="AG796" s="110"/>
      <c r="AH796" s="110"/>
    </row>
    <row r="797">
      <c r="A797" s="110"/>
      <c r="B797" s="110"/>
      <c r="C797" s="110"/>
      <c r="D797" s="110"/>
      <c r="E797" s="110"/>
      <c r="F797" s="110"/>
      <c r="G797" s="110"/>
      <c r="H797" s="110"/>
      <c r="I797" s="110"/>
      <c r="J797" s="110"/>
      <c r="K797" s="110"/>
      <c r="L797" s="110"/>
      <c r="M797" s="110"/>
      <c r="N797" s="110"/>
      <c r="O797" s="110"/>
      <c r="P797" s="110"/>
      <c r="Q797" s="110"/>
      <c r="R797" s="110"/>
      <c r="S797" s="110"/>
      <c r="T797" s="110"/>
      <c r="U797" s="110"/>
      <c r="V797" s="110"/>
      <c r="W797" s="110"/>
      <c r="X797" s="110"/>
      <c r="Y797" s="110"/>
      <c r="Z797" s="110"/>
      <c r="AA797" s="110"/>
      <c r="AB797" s="110"/>
      <c r="AC797" s="110"/>
      <c r="AD797" s="110"/>
      <c r="AE797" s="110"/>
      <c r="AF797" s="110"/>
      <c r="AG797" s="110"/>
      <c r="AH797" s="110"/>
    </row>
    <row r="798">
      <c r="A798" s="110"/>
      <c r="B798" s="110"/>
      <c r="C798" s="110"/>
      <c r="D798" s="110"/>
      <c r="E798" s="110"/>
      <c r="F798" s="110"/>
      <c r="G798" s="110"/>
      <c r="H798" s="110"/>
      <c r="I798" s="110"/>
      <c r="J798" s="110"/>
      <c r="K798" s="110"/>
      <c r="L798" s="110"/>
      <c r="M798" s="110"/>
      <c r="N798" s="110"/>
      <c r="O798" s="110"/>
      <c r="P798" s="110"/>
      <c r="Q798" s="110"/>
      <c r="R798" s="110"/>
      <c r="S798" s="110"/>
      <c r="T798" s="110"/>
      <c r="U798" s="110"/>
      <c r="V798" s="110"/>
      <c r="W798" s="110"/>
      <c r="X798" s="110"/>
      <c r="Y798" s="110"/>
      <c r="Z798" s="110"/>
      <c r="AA798" s="110"/>
      <c r="AB798" s="110"/>
      <c r="AC798" s="110"/>
      <c r="AD798" s="110"/>
      <c r="AE798" s="110"/>
      <c r="AF798" s="110"/>
      <c r="AG798" s="110"/>
      <c r="AH798" s="110"/>
    </row>
    <row r="799">
      <c r="A799" s="110"/>
      <c r="B799" s="110"/>
      <c r="C799" s="110"/>
      <c r="D799" s="110"/>
      <c r="E799" s="110"/>
      <c r="F799" s="110"/>
      <c r="G799" s="110"/>
      <c r="H799" s="110"/>
      <c r="I799" s="110"/>
      <c r="J799" s="110"/>
      <c r="K799" s="110"/>
      <c r="L799" s="110"/>
      <c r="M799" s="110"/>
      <c r="N799" s="110"/>
      <c r="O799" s="110"/>
      <c r="P799" s="110"/>
      <c r="Q799" s="110"/>
      <c r="R799" s="110"/>
      <c r="S799" s="110"/>
      <c r="T799" s="110"/>
      <c r="U799" s="110"/>
      <c r="V799" s="110"/>
      <c r="W799" s="110"/>
      <c r="X799" s="110"/>
      <c r="Y799" s="110"/>
      <c r="Z799" s="110"/>
      <c r="AA799" s="110"/>
      <c r="AB799" s="110"/>
      <c r="AC799" s="110"/>
      <c r="AD799" s="110"/>
      <c r="AE799" s="110"/>
      <c r="AF799" s="110"/>
      <c r="AG799" s="110"/>
      <c r="AH799" s="110"/>
    </row>
    <row r="800">
      <c r="A800" s="110"/>
      <c r="B800" s="110"/>
      <c r="C800" s="110"/>
      <c r="D800" s="110"/>
      <c r="E800" s="110"/>
      <c r="F800" s="110"/>
      <c r="G800" s="110"/>
      <c r="H800" s="110"/>
      <c r="I800" s="110"/>
      <c r="J800" s="110"/>
      <c r="K800" s="110"/>
      <c r="L800" s="110"/>
      <c r="M800" s="110"/>
      <c r="N800" s="110"/>
      <c r="O800" s="110"/>
      <c r="P800" s="110"/>
      <c r="Q800" s="110"/>
      <c r="R800" s="110"/>
      <c r="S800" s="110"/>
      <c r="T800" s="110"/>
      <c r="U800" s="110"/>
      <c r="V800" s="110"/>
      <c r="W800" s="110"/>
      <c r="X800" s="110"/>
      <c r="Y800" s="110"/>
      <c r="Z800" s="110"/>
      <c r="AA800" s="110"/>
      <c r="AB800" s="110"/>
      <c r="AC800" s="110"/>
      <c r="AD800" s="110"/>
      <c r="AE800" s="110"/>
      <c r="AF800" s="110"/>
      <c r="AG800" s="110"/>
      <c r="AH800" s="110"/>
    </row>
    <row r="801">
      <c r="A801" s="110"/>
      <c r="B801" s="110"/>
      <c r="C801" s="110"/>
      <c r="D801" s="110"/>
      <c r="E801" s="110"/>
      <c r="F801" s="110"/>
      <c r="G801" s="110"/>
      <c r="H801" s="110"/>
      <c r="I801" s="110"/>
      <c r="J801" s="110"/>
      <c r="K801" s="110"/>
      <c r="L801" s="110"/>
      <c r="M801" s="110"/>
      <c r="N801" s="110"/>
      <c r="O801" s="110"/>
      <c r="P801" s="110"/>
      <c r="Q801" s="110"/>
      <c r="R801" s="110"/>
      <c r="S801" s="110"/>
      <c r="T801" s="110"/>
      <c r="U801" s="110"/>
      <c r="V801" s="110"/>
      <c r="W801" s="110"/>
      <c r="X801" s="110"/>
      <c r="Y801" s="110"/>
      <c r="Z801" s="110"/>
      <c r="AA801" s="110"/>
      <c r="AB801" s="110"/>
      <c r="AC801" s="110"/>
      <c r="AD801" s="110"/>
      <c r="AE801" s="110"/>
      <c r="AF801" s="110"/>
      <c r="AG801" s="110"/>
      <c r="AH801" s="110"/>
    </row>
    <row r="802">
      <c r="A802" s="110"/>
      <c r="B802" s="110"/>
      <c r="C802" s="110"/>
      <c r="D802" s="110"/>
      <c r="E802" s="110"/>
      <c r="F802" s="110"/>
      <c r="G802" s="110"/>
      <c r="H802" s="110"/>
      <c r="I802" s="110"/>
      <c r="J802" s="110"/>
      <c r="K802" s="110"/>
      <c r="L802" s="110"/>
      <c r="M802" s="110"/>
      <c r="N802" s="110"/>
      <c r="O802" s="110"/>
      <c r="P802" s="110"/>
      <c r="Q802" s="110"/>
      <c r="R802" s="110"/>
      <c r="S802" s="110"/>
      <c r="T802" s="110"/>
      <c r="U802" s="110"/>
      <c r="V802" s="110"/>
      <c r="W802" s="110"/>
      <c r="X802" s="110"/>
      <c r="Y802" s="110"/>
      <c r="Z802" s="110"/>
      <c r="AA802" s="110"/>
      <c r="AB802" s="110"/>
      <c r="AC802" s="110"/>
      <c r="AD802" s="110"/>
      <c r="AE802" s="110"/>
      <c r="AF802" s="110"/>
      <c r="AG802" s="110"/>
      <c r="AH802" s="110"/>
    </row>
    <row r="803">
      <c r="A803" s="110"/>
      <c r="B803" s="110"/>
      <c r="C803" s="110"/>
      <c r="D803" s="110"/>
      <c r="E803" s="110"/>
      <c r="F803" s="110"/>
      <c r="G803" s="110"/>
      <c r="H803" s="110"/>
      <c r="I803" s="110"/>
      <c r="J803" s="110"/>
      <c r="K803" s="110"/>
      <c r="L803" s="110"/>
      <c r="M803" s="110"/>
      <c r="N803" s="110"/>
      <c r="O803" s="110"/>
      <c r="P803" s="110"/>
      <c r="Q803" s="110"/>
      <c r="R803" s="110"/>
      <c r="S803" s="110"/>
      <c r="T803" s="110"/>
      <c r="U803" s="110"/>
      <c r="V803" s="110"/>
      <c r="W803" s="110"/>
      <c r="X803" s="110"/>
      <c r="Y803" s="110"/>
      <c r="Z803" s="110"/>
      <c r="AA803" s="110"/>
      <c r="AB803" s="110"/>
      <c r="AC803" s="110"/>
      <c r="AD803" s="110"/>
      <c r="AE803" s="110"/>
      <c r="AF803" s="110"/>
      <c r="AG803" s="110"/>
      <c r="AH803" s="110"/>
    </row>
    <row r="804">
      <c r="A804" s="110"/>
      <c r="B804" s="110"/>
      <c r="C804" s="110"/>
      <c r="D804" s="110"/>
      <c r="E804" s="110"/>
      <c r="F804" s="110"/>
      <c r="G804" s="110"/>
      <c r="H804" s="110"/>
      <c r="I804" s="110"/>
      <c r="J804" s="110"/>
      <c r="K804" s="110"/>
      <c r="L804" s="110"/>
      <c r="M804" s="110"/>
      <c r="N804" s="110"/>
      <c r="O804" s="110"/>
      <c r="P804" s="110"/>
      <c r="Q804" s="110"/>
      <c r="R804" s="110"/>
      <c r="S804" s="110"/>
      <c r="T804" s="110"/>
      <c r="U804" s="110"/>
      <c r="V804" s="110"/>
      <c r="W804" s="110"/>
      <c r="X804" s="110"/>
      <c r="Y804" s="110"/>
      <c r="Z804" s="110"/>
      <c r="AA804" s="110"/>
      <c r="AB804" s="110"/>
      <c r="AC804" s="110"/>
      <c r="AD804" s="110"/>
      <c r="AE804" s="110"/>
      <c r="AF804" s="110"/>
      <c r="AG804" s="110"/>
      <c r="AH804" s="110"/>
    </row>
    <row r="805">
      <c r="A805" s="110"/>
      <c r="B805" s="110"/>
      <c r="C805" s="110"/>
      <c r="D805" s="110"/>
      <c r="E805" s="110"/>
      <c r="F805" s="110"/>
      <c r="G805" s="110"/>
      <c r="H805" s="110"/>
      <c r="I805" s="110"/>
      <c r="J805" s="110"/>
      <c r="K805" s="110"/>
      <c r="L805" s="110"/>
      <c r="M805" s="110"/>
      <c r="N805" s="110"/>
      <c r="O805" s="110"/>
      <c r="P805" s="110"/>
      <c r="Q805" s="110"/>
      <c r="R805" s="110"/>
      <c r="S805" s="110"/>
      <c r="T805" s="110"/>
      <c r="U805" s="110"/>
      <c r="V805" s="110"/>
      <c r="W805" s="110"/>
      <c r="X805" s="110"/>
      <c r="Y805" s="110"/>
      <c r="Z805" s="110"/>
      <c r="AA805" s="110"/>
      <c r="AB805" s="110"/>
      <c r="AC805" s="110"/>
      <c r="AD805" s="110"/>
      <c r="AE805" s="110"/>
      <c r="AF805" s="110"/>
      <c r="AG805" s="110"/>
      <c r="AH805" s="110"/>
    </row>
    <row r="806">
      <c r="A806" s="110"/>
      <c r="B806" s="110"/>
      <c r="C806" s="110"/>
      <c r="D806" s="110"/>
      <c r="E806" s="110"/>
      <c r="F806" s="110"/>
      <c r="G806" s="110"/>
      <c r="H806" s="110"/>
      <c r="I806" s="110"/>
      <c r="J806" s="110"/>
      <c r="K806" s="110"/>
      <c r="L806" s="110"/>
      <c r="M806" s="110"/>
      <c r="N806" s="110"/>
      <c r="O806" s="110"/>
      <c r="P806" s="110"/>
      <c r="Q806" s="110"/>
      <c r="R806" s="110"/>
      <c r="S806" s="110"/>
      <c r="T806" s="110"/>
      <c r="U806" s="110"/>
      <c r="V806" s="110"/>
      <c r="W806" s="110"/>
      <c r="X806" s="110"/>
      <c r="Y806" s="110"/>
      <c r="Z806" s="110"/>
      <c r="AA806" s="110"/>
      <c r="AB806" s="110"/>
      <c r="AC806" s="110"/>
      <c r="AD806" s="110"/>
      <c r="AE806" s="110"/>
      <c r="AF806" s="110"/>
      <c r="AG806" s="110"/>
      <c r="AH806" s="110"/>
    </row>
    <row r="807">
      <c r="A807" s="110"/>
      <c r="B807" s="110"/>
      <c r="C807" s="110"/>
      <c r="D807" s="110"/>
      <c r="E807" s="110"/>
      <c r="F807" s="110"/>
      <c r="G807" s="110"/>
      <c r="H807" s="110"/>
      <c r="I807" s="110"/>
      <c r="J807" s="110"/>
      <c r="K807" s="110"/>
      <c r="L807" s="110"/>
      <c r="M807" s="110"/>
      <c r="N807" s="110"/>
      <c r="O807" s="110"/>
      <c r="P807" s="110"/>
      <c r="Q807" s="110"/>
      <c r="R807" s="110"/>
      <c r="S807" s="110"/>
      <c r="T807" s="110"/>
      <c r="U807" s="110"/>
      <c r="V807" s="110"/>
      <c r="W807" s="110"/>
      <c r="X807" s="110"/>
      <c r="Y807" s="110"/>
      <c r="Z807" s="110"/>
      <c r="AA807" s="110"/>
      <c r="AB807" s="110"/>
      <c r="AC807" s="110"/>
      <c r="AD807" s="110"/>
      <c r="AE807" s="110"/>
      <c r="AF807" s="110"/>
      <c r="AG807" s="110"/>
      <c r="AH807" s="110"/>
    </row>
    <row r="808">
      <c r="A808" s="110"/>
      <c r="B808" s="110"/>
      <c r="C808" s="110"/>
      <c r="D808" s="110"/>
      <c r="E808" s="110"/>
      <c r="F808" s="110"/>
      <c r="G808" s="110"/>
      <c r="H808" s="110"/>
      <c r="I808" s="110"/>
      <c r="J808" s="110"/>
      <c r="K808" s="110"/>
      <c r="L808" s="110"/>
      <c r="M808" s="110"/>
      <c r="N808" s="110"/>
      <c r="O808" s="110"/>
      <c r="P808" s="110"/>
      <c r="Q808" s="110"/>
      <c r="R808" s="110"/>
      <c r="S808" s="110"/>
      <c r="T808" s="110"/>
      <c r="U808" s="110"/>
      <c r="V808" s="110"/>
      <c r="W808" s="110"/>
      <c r="X808" s="110"/>
      <c r="Y808" s="110"/>
      <c r="Z808" s="110"/>
      <c r="AA808" s="110"/>
      <c r="AB808" s="110"/>
      <c r="AC808" s="110"/>
      <c r="AD808" s="110"/>
      <c r="AE808" s="110"/>
      <c r="AF808" s="110"/>
      <c r="AG808" s="110"/>
      <c r="AH808" s="110"/>
    </row>
    <row r="809">
      <c r="A809" s="110"/>
      <c r="B809" s="110"/>
      <c r="C809" s="110"/>
      <c r="D809" s="110"/>
      <c r="E809" s="110"/>
      <c r="F809" s="110"/>
      <c r="G809" s="110"/>
      <c r="H809" s="110"/>
      <c r="I809" s="110"/>
      <c r="J809" s="110"/>
      <c r="K809" s="110"/>
      <c r="L809" s="110"/>
      <c r="M809" s="110"/>
      <c r="N809" s="110"/>
      <c r="O809" s="110"/>
      <c r="P809" s="110"/>
      <c r="Q809" s="110"/>
      <c r="R809" s="110"/>
      <c r="S809" s="110"/>
      <c r="T809" s="110"/>
      <c r="U809" s="110"/>
      <c r="V809" s="110"/>
      <c r="W809" s="110"/>
      <c r="X809" s="110"/>
      <c r="Y809" s="110"/>
      <c r="Z809" s="110"/>
      <c r="AA809" s="110"/>
      <c r="AB809" s="110"/>
      <c r="AC809" s="110"/>
      <c r="AD809" s="110"/>
      <c r="AE809" s="110"/>
      <c r="AF809" s="110"/>
      <c r="AG809" s="110"/>
      <c r="AH809" s="110"/>
    </row>
    <row r="810">
      <c r="A810" s="110"/>
      <c r="B810" s="110"/>
      <c r="C810" s="110"/>
      <c r="D810" s="110"/>
      <c r="E810" s="110"/>
      <c r="F810" s="110"/>
      <c r="G810" s="110"/>
      <c r="H810" s="110"/>
      <c r="I810" s="110"/>
      <c r="J810" s="110"/>
      <c r="K810" s="110"/>
      <c r="L810" s="110"/>
      <c r="M810" s="110"/>
      <c r="N810" s="110"/>
      <c r="O810" s="110"/>
      <c r="P810" s="110"/>
      <c r="Q810" s="110"/>
      <c r="R810" s="110"/>
      <c r="S810" s="110"/>
      <c r="T810" s="110"/>
      <c r="U810" s="110"/>
      <c r="V810" s="110"/>
      <c r="W810" s="110"/>
      <c r="X810" s="110"/>
      <c r="Y810" s="110"/>
      <c r="Z810" s="110"/>
      <c r="AA810" s="110"/>
      <c r="AB810" s="110"/>
      <c r="AC810" s="110"/>
      <c r="AD810" s="110"/>
      <c r="AE810" s="110"/>
      <c r="AF810" s="110"/>
      <c r="AG810" s="110"/>
      <c r="AH810" s="110"/>
    </row>
    <row r="811">
      <c r="A811" s="110"/>
      <c r="B811" s="110"/>
      <c r="C811" s="110"/>
      <c r="D811" s="110"/>
      <c r="E811" s="110"/>
      <c r="F811" s="110"/>
      <c r="G811" s="110"/>
      <c r="H811" s="110"/>
      <c r="I811" s="110"/>
      <c r="J811" s="110"/>
      <c r="K811" s="110"/>
      <c r="L811" s="110"/>
      <c r="M811" s="110"/>
      <c r="N811" s="110"/>
      <c r="O811" s="110"/>
      <c r="P811" s="110"/>
      <c r="Q811" s="110"/>
      <c r="R811" s="110"/>
      <c r="S811" s="110"/>
      <c r="T811" s="110"/>
      <c r="U811" s="110"/>
      <c r="V811" s="110"/>
      <c r="W811" s="110"/>
      <c r="X811" s="110"/>
      <c r="Y811" s="110"/>
      <c r="Z811" s="110"/>
      <c r="AA811" s="110"/>
      <c r="AB811" s="110"/>
      <c r="AC811" s="110"/>
      <c r="AD811" s="110"/>
      <c r="AE811" s="110"/>
      <c r="AF811" s="110"/>
      <c r="AG811" s="110"/>
      <c r="AH811" s="110"/>
    </row>
    <row r="812">
      <c r="A812" s="110"/>
      <c r="B812" s="110"/>
      <c r="C812" s="110"/>
      <c r="D812" s="110"/>
      <c r="E812" s="110"/>
      <c r="F812" s="110"/>
      <c r="G812" s="110"/>
      <c r="H812" s="110"/>
      <c r="I812" s="110"/>
      <c r="J812" s="110"/>
      <c r="K812" s="110"/>
      <c r="L812" s="110"/>
      <c r="M812" s="110"/>
      <c r="N812" s="110"/>
      <c r="O812" s="110"/>
      <c r="P812" s="110"/>
      <c r="Q812" s="110"/>
      <c r="R812" s="110"/>
      <c r="S812" s="110"/>
      <c r="T812" s="110"/>
      <c r="U812" s="110"/>
      <c r="V812" s="110"/>
      <c r="W812" s="110"/>
      <c r="X812" s="110"/>
      <c r="Y812" s="110"/>
      <c r="Z812" s="110"/>
      <c r="AA812" s="110"/>
      <c r="AB812" s="110"/>
      <c r="AC812" s="110"/>
      <c r="AD812" s="110"/>
      <c r="AE812" s="110"/>
      <c r="AF812" s="110"/>
      <c r="AG812" s="110"/>
      <c r="AH812" s="110"/>
    </row>
    <row r="813">
      <c r="A813" s="110"/>
      <c r="B813" s="110"/>
      <c r="C813" s="110"/>
      <c r="D813" s="110"/>
      <c r="E813" s="110"/>
      <c r="F813" s="110"/>
      <c r="G813" s="110"/>
      <c r="H813" s="110"/>
      <c r="I813" s="110"/>
      <c r="J813" s="110"/>
      <c r="K813" s="110"/>
      <c r="L813" s="110"/>
      <c r="M813" s="110"/>
      <c r="N813" s="110"/>
      <c r="O813" s="110"/>
      <c r="P813" s="110"/>
      <c r="Q813" s="110"/>
      <c r="R813" s="110"/>
      <c r="S813" s="110"/>
      <c r="T813" s="110"/>
      <c r="U813" s="110"/>
      <c r="V813" s="110"/>
      <c r="W813" s="110"/>
      <c r="X813" s="110"/>
      <c r="Y813" s="110"/>
      <c r="Z813" s="110"/>
      <c r="AA813" s="110"/>
      <c r="AB813" s="110"/>
      <c r="AC813" s="110"/>
      <c r="AD813" s="110"/>
      <c r="AE813" s="110"/>
      <c r="AF813" s="110"/>
      <c r="AG813" s="110"/>
      <c r="AH813" s="110"/>
    </row>
    <row r="814">
      <c r="A814" s="110"/>
      <c r="B814" s="110"/>
      <c r="C814" s="110"/>
      <c r="D814" s="110"/>
      <c r="E814" s="110"/>
      <c r="F814" s="110"/>
      <c r="G814" s="110"/>
      <c r="H814" s="110"/>
      <c r="I814" s="110"/>
      <c r="J814" s="110"/>
      <c r="K814" s="110"/>
      <c r="L814" s="110"/>
      <c r="M814" s="110"/>
      <c r="N814" s="110"/>
      <c r="O814" s="110"/>
      <c r="P814" s="110"/>
      <c r="Q814" s="110"/>
      <c r="R814" s="110"/>
      <c r="S814" s="110"/>
      <c r="T814" s="110"/>
      <c r="U814" s="110"/>
      <c r="V814" s="110"/>
      <c r="W814" s="110"/>
      <c r="X814" s="110"/>
      <c r="Y814" s="110"/>
      <c r="Z814" s="110"/>
      <c r="AA814" s="110"/>
      <c r="AB814" s="110"/>
      <c r="AC814" s="110"/>
      <c r="AD814" s="110"/>
      <c r="AE814" s="110"/>
      <c r="AF814" s="110"/>
      <c r="AG814" s="110"/>
      <c r="AH814" s="110"/>
    </row>
    <row r="815">
      <c r="A815" s="110"/>
      <c r="B815" s="110"/>
      <c r="C815" s="110"/>
      <c r="D815" s="110"/>
      <c r="E815" s="110"/>
      <c r="F815" s="110"/>
      <c r="G815" s="110"/>
      <c r="H815" s="110"/>
      <c r="I815" s="110"/>
      <c r="J815" s="110"/>
      <c r="K815" s="110"/>
      <c r="L815" s="110"/>
      <c r="M815" s="110"/>
      <c r="N815" s="110"/>
      <c r="O815" s="110"/>
      <c r="P815" s="110"/>
      <c r="Q815" s="110"/>
      <c r="R815" s="110"/>
      <c r="S815" s="110"/>
      <c r="T815" s="110"/>
      <c r="U815" s="110"/>
      <c r="V815" s="110"/>
      <c r="W815" s="110"/>
      <c r="X815" s="110"/>
      <c r="Y815" s="110"/>
      <c r="Z815" s="110"/>
      <c r="AA815" s="110"/>
      <c r="AB815" s="110"/>
      <c r="AC815" s="110"/>
      <c r="AD815" s="110"/>
      <c r="AE815" s="110"/>
      <c r="AF815" s="110"/>
      <c r="AG815" s="110"/>
      <c r="AH815" s="110"/>
    </row>
    <row r="816">
      <c r="A816" s="110"/>
      <c r="B816" s="110"/>
      <c r="C816" s="110"/>
      <c r="D816" s="110"/>
      <c r="E816" s="110"/>
      <c r="F816" s="110"/>
      <c r="G816" s="110"/>
      <c r="H816" s="110"/>
      <c r="I816" s="110"/>
      <c r="J816" s="110"/>
      <c r="K816" s="110"/>
      <c r="L816" s="110"/>
      <c r="M816" s="110"/>
      <c r="N816" s="110"/>
      <c r="O816" s="110"/>
      <c r="P816" s="110"/>
      <c r="Q816" s="110"/>
      <c r="R816" s="110"/>
      <c r="S816" s="110"/>
      <c r="T816" s="110"/>
      <c r="U816" s="110"/>
      <c r="V816" s="110"/>
      <c r="W816" s="110"/>
      <c r="X816" s="110"/>
      <c r="Y816" s="110"/>
      <c r="Z816" s="110"/>
      <c r="AA816" s="110"/>
      <c r="AB816" s="110"/>
      <c r="AC816" s="110"/>
      <c r="AD816" s="110"/>
      <c r="AE816" s="110"/>
      <c r="AF816" s="110"/>
      <c r="AG816" s="110"/>
      <c r="AH816" s="110"/>
    </row>
    <row r="817">
      <c r="A817" s="110"/>
      <c r="B817" s="110"/>
      <c r="C817" s="110"/>
      <c r="D817" s="110"/>
      <c r="E817" s="110"/>
      <c r="F817" s="110"/>
      <c r="G817" s="110"/>
      <c r="H817" s="110"/>
      <c r="I817" s="110"/>
      <c r="J817" s="110"/>
      <c r="K817" s="110"/>
      <c r="L817" s="110"/>
      <c r="M817" s="110"/>
      <c r="N817" s="110"/>
      <c r="O817" s="110"/>
      <c r="P817" s="110"/>
      <c r="Q817" s="110"/>
      <c r="R817" s="110"/>
      <c r="S817" s="110"/>
      <c r="T817" s="110"/>
      <c r="U817" s="110"/>
      <c r="V817" s="110"/>
      <c r="W817" s="110"/>
      <c r="X817" s="110"/>
      <c r="Y817" s="110"/>
      <c r="Z817" s="110"/>
      <c r="AA817" s="110"/>
      <c r="AB817" s="110"/>
      <c r="AC817" s="110"/>
      <c r="AD817" s="110"/>
      <c r="AE817" s="110"/>
      <c r="AF817" s="110"/>
      <c r="AG817" s="110"/>
      <c r="AH817" s="110"/>
    </row>
    <row r="818">
      <c r="A818" s="110"/>
      <c r="B818" s="110"/>
      <c r="C818" s="110"/>
      <c r="D818" s="110"/>
      <c r="E818" s="110"/>
      <c r="F818" s="110"/>
      <c r="G818" s="110"/>
      <c r="H818" s="110"/>
      <c r="I818" s="110"/>
      <c r="J818" s="110"/>
      <c r="K818" s="110"/>
      <c r="L818" s="110"/>
      <c r="M818" s="110"/>
      <c r="N818" s="110"/>
      <c r="O818" s="110"/>
      <c r="P818" s="110"/>
      <c r="Q818" s="110"/>
      <c r="R818" s="110"/>
      <c r="S818" s="110"/>
      <c r="T818" s="110"/>
      <c r="U818" s="110"/>
      <c r="V818" s="110"/>
      <c r="W818" s="110"/>
      <c r="X818" s="110"/>
      <c r="Y818" s="110"/>
      <c r="Z818" s="110"/>
      <c r="AA818" s="110"/>
      <c r="AB818" s="110"/>
      <c r="AC818" s="110"/>
      <c r="AD818" s="110"/>
      <c r="AE818" s="110"/>
      <c r="AF818" s="110"/>
      <c r="AG818" s="110"/>
      <c r="AH818" s="110"/>
    </row>
    <row r="819">
      <c r="A819" s="110"/>
      <c r="B819" s="110"/>
      <c r="C819" s="110"/>
      <c r="D819" s="110"/>
      <c r="E819" s="110"/>
      <c r="F819" s="110"/>
      <c r="G819" s="110"/>
      <c r="H819" s="110"/>
      <c r="I819" s="110"/>
      <c r="J819" s="110"/>
      <c r="K819" s="110"/>
      <c r="L819" s="110"/>
      <c r="M819" s="110"/>
      <c r="N819" s="110"/>
      <c r="O819" s="110"/>
      <c r="P819" s="110"/>
      <c r="Q819" s="110"/>
      <c r="R819" s="110"/>
      <c r="S819" s="110"/>
      <c r="T819" s="110"/>
      <c r="U819" s="110"/>
      <c r="V819" s="110"/>
      <c r="W819" s="110"/>
      <c r="X819" s="110"/>
      <c r="Y819" s="110"/>
      <c r="Z819" s="110"/>
      <c r="AA819" s="110"/>
      <c r="AB819" s="110"/>
      <c r="AC819" s="110"/>
      <c r="AD819" s="110"/>
      <c r="AE819" s="110"/>
      <c r="AF819" s="110"/>
      <c r="AG819" s="110"/>
      <c r="AH819" s="110"/>
    </row>
    <row r="820">
      <c r="A820" s="110"/>
      <c r="B820" s="110"/>
      <c r="C820" s="110"/>
      <c r="D820" s="110"/>
      <c r="E820" s="110"/>
      <c r="F820" s="110"/>
      <c r="G820" s="110"/>
      <c r="H820" s="110"/>
      <c r="I820" s="110"/>
      <c r="J820" s="110"/>
      <c r="K820" s="110"/>
      <c r="L820" s="110"/>
      <c r="M820" s="110"/>
      <c r="N820" s="110"/>
      <c r="O820" s="110"/>
      <c r="P820" s="110"/>
      <c r="Q820" s="110"/>
      <c r="R820" s="110"/>
      <c r="S820" s="110"/>
      <c r="T820" s="110"/>
      <c r="U820" s="110"/>
      <c r="V820" s="110"/>
      <c r="W820" s="110"/>
      <c r="X820" s="110"/>
      <c r="Y820" s="110"/>
      <c r="Z820" s="110"/>
      <c r="AA820" s="110"/>
      <c r="AB820" s="110"/>
      <c r="AC820" s="110"/>
      <c r="AD820" s="110"/>
      <c r="AE820" s="110"/>
      <c r="AF820" s="110"/>
      <c r="AG820" s="110"/>
      <c r="AH820" s="110"/>
    </row>
    <row r="821">
      <c r="A821" s="110"/>
      <c r="B821" s="110"/>
      <c r="C821" s="110"/>
      <c r="D821" s="110"/>
      <c r="E821" s="110"/>
      <c r="F821" s="110"/>
      <c r="G821" s="110"/>
      <c r="H821" s="110"/>
      <c r="I821" s="110"/>
      <c r="J821" s="110"/>
      <c r="K821" s="110"/>
      <c r="L821" s="110"/>
      <c r="M821" s="110"/>
      <c r="N821" s="110"/>
      <c r="O821" s="110"/>
      <c r="P821" s="110"/>
      <c r="Q821" s="110"/>
      <c r="R821" s="110"/>
      <c r="S821" s="110"/>
      <c r="T821" s="110"/>
      <c r="U821" s="110"/>
      <c r="V821" s="110"/>
      <c r="W821" s="110"/>
      <c r="X821" s="110"/>
      <c r="Y821" s="110"/>
      <c r="Z821" s="110"/>
      <c r="AA821" s="110"/>
      <c r="AB821" s="110"/>
      <c r="AC821" s="110"/>
      <c r="AD821" s="110"/>
      <c r="AE821" s="110"/>
      <c r="AF821" s="110"/>
      <c r="AG821" s="110"/>
      <c r="AH821" s="110"/>
    </row>
    <row r="822">
      <c r="A822" s="110"/>
      <c r="B822" s="110"/>
      <c r="C822" s="110"/>
      <c r="D822" s="110"/>
      <c r="E822" s="110"/>
      <c r="F822" s="110"/>
      <c r="G822" s="110"/>
      <c r="H822" s="110"/>
      <c r="I822" s="110"/>
      <c r="J822" s="110"/>
      <c r="K822" s="110"/>
      <c r="L822" s="110"/>
      <c r="M822" s="110"/>
      <c r="N822" s="110"/>
      <c r="O822" s="110"/>
      <c r="P822" s="110"/>
      <c r="Q822" s="110"/>
      <c r="R822" s="110"/>
      <c r="S822" s="110"/>
      <c r="T822" s="110"/>
      <c r="U822" s="110"/>
      <c r="V822" s="110"/>
      <c r="W822" s="110"/>
      <c r="X822" s="110"/>
      <c r="Y822" s="110"/>
      <c r="Z822" s="110"/>
      <c r="AA822" s="110"/>
      <c r="AB822" s="110"/>
      <c r="AC822" s="110"/>
      <c r="AD822" s="110"/>
      <c r="AE822" s="110"/>
      <c r="AF822" s="110"/>
      <c r="AG822" s="110"/>
      <c r="AH822" s="110"/>
    </row>
    <row r="823">
      <c r="A823" s="110"/>
      <c r="B823" s="110"/>
      <c r="C823" s="110"/>
      <c r="D823" s="110"/>
      <c r="E823" s="110"/>
      <c r="F823" s="110"/>
      <c r="G823" s="110"/>
      <c r="H823" s="110"/>
      <c r="I823" s="110"/>
      <c r="J823" s="110"/>
      <c r="K823" s="110"/>
      <c r="L823" s="110"/>
      <c r="M823" s="110"/>
      <c r="N823" s="110"/>
      <c r="O823" s="110"/>
      <c r="P823" s="110"/>
      <c r="Q823" s="110"/>
      <c r="R823" s="110"/>
      <c r="S823" s="110"/>
      <c r="T823" s="110"/>
      <c r="U823" s="110"/>
      <c r="V823" s="110"/>
      <c r="W823" s="110"/>
      <c r="X823" s="110"/>
      <c r="Y823" s="110"/>
      <c r="Z823" s="110"/>
      <c r="AA823" s="110"/>
      <c r="AB823" s="110"/>
      <c r="AC823" s="110"/>
      <c r="AD823" s="110"/>
      <c r="AE823" s="110"/>
      <c r="AF823" s="110"/>
      <c r="AG823" s="110"/>
      <c r="AH823" s="110"/>
    </row>
    <row r="824">
      <c r="A824" s="110"/>
      <c r="B824" s="110"/>
      <c r="C824" s="110"/>
      <c r="D824" s="110"/>
      <c r="E824" s="110"/>
      <c r="F824" s="110"/>
      <c r="G824" s="110"/>
      <c r="H824" s="110"/>
      <c r="I824" s="110"/>
      <c r="J824" s="110"/>
      <c r="K824" s="110"/>
      <c r="L824" s="110"/>
      <c r="M824" s="110"/>
      <c r="N824" s="110"/>
      <c r="O824" s="110"/>
      <c r="P824" s="110"/>
      <c r="Q824" s="110"/>
      <c r="R824" s="110"/>
      <c r="S824" s="110"/>
      <c r="T824" s="110"/>
      <c r="U824" s="110"/>
      <c r="V824" s="110"/>
      <c r="W824" s="110"/>
      <c r="X824" s="110"/>
      <c r="Y824" s="110"/>
      <c r="Z824" s="110"/>
      <c r="AA824" s="110"/>
      <c r="AB824" s="110"/>
      <c r="AC824" s="110"/>
      <c r="AD824" s="110"/>
      <c r="AE824" s="110"/>
      <c r="AF824" s="110"/>
      <c r="AG824" s="110"/>
      <c r="AH824" s="110"/>
    </row>
    <row r="825">
      <c r="A825" s="110"/>
      <c r="B825" s="110"/>
      <c r="C825" s="110"/>
      <c r="D825" s="110"/>
      <c r="E825" s="110"/>
      <c r="F825" s="110"/>
      <c r="G825" s="110"/>
      <c r="H825" s="110"/>
      <c r="I825" s="110"/>
      <c r="J825" s="110"/>
      <c r="K825" s="110"/>
      <c r="L825" s="110"/>
      <c r="M825" s="110"/>
      <c r="N825" s="110"/>
      <c r="O825" s="110"/>
      <c r="P825" s="110"/>
      <c r="Q825" s="110"/>
      <c r="R825" s="110"/>
      <c r="S825" s="110"/>
      <c r="T825" s="110"/>
      <c r="U825" s="110"/>
      <c r="V825" s="110"/>
      <c r="W825" s="110"/>
      <c r="X825" s="110"/>
      <c r="Y825" s="110"/>
      <c r="Z825" s="110"/>
      <c r="AA825" s="110"/>
      <c r="AB825" s="110"/>
      <c r="AC825" s="110"/>
      <c r="AD825" s="110"/>
      <c r="AE825" s="110"/>
      <c r="AF825" s="110"/>
      <c r="AG825" s="110"/>
      <c r="AH825" s="110"/>
    </row>
    <row r="826">
      <c r="A826" s="110"/>
      <c r="B826" s="110"/>
      <c r="C826" s="110"/>
      <c r="D826" s="110"/>
      <c r="E826" s="110"/>
      <c r="F826" s="110"/>
      <c r="G826" s="110"/>
      <c r="H826" s="110"/>
      <c r="I826" s="110"/>
      <c r="J826" s="110"/>
      <c r="K826" s="110"/>
      <c r="L826" s="110"/>
      <c r="M826" s="110"/>
      <c r="N826" s="110"/>
      <c r="O826" s="110"/>
      <c r="P826" s="110"/>
      <c r="Q826" s="110"/>
      <c r="R826" s="110"/>
      <c r="S826" s="110"/>
      <c r="T826" s="110"/>
      <c r="U826" s="110"/>
      <c r="V826" s="110"/>
      <c r="W826" s="110"/>
      <c r="X826" s="110"/>
      <c r="Y826" s="110"/>
      <c r="Z826" s="110"/>
      <c r="AA826" s="110"/>
      <c r="AB826" s="110"/>
      <c r="AC826" s="110"/>
      <c r="AD826" s="110"/>
      <c r="AE826" s="110"/>
      <c r="AF826" s="110"/>
      <c r="AG826" s="110"/>
      <c r="AH826" s="110"/>
    </row>
    <row r="827">
      <c r="A827" s="110"/>
      <c r="B827" s="110"/>
      <c r="C827" s="110"/>
      <c r="D827" s="110"/>
      <c r="E827" s="110"/>
      <c r="F827" s="110"/>
      <c r="G827" s="110"/>
      <c r="H827" s="110"/>
      <c r="I827" s="110"/>
      <c r="J827" s="110"/>
      <c r="K827" s="110"/>
      <c r="L827" s="110"/>
      <c r="M827" s="110"/>
      <c r="N827" s="110"/>
      <c r="O827" s="110"/>
      <c r="P827" s="110"/>
      <c r="Q827" s="110"/>
      <c r="R827" s="110"/>
      <c r="S827" s="110"/>
      <c r="T827" s="110"/>
      <c r="U827" s="110"/>
      <c r="V827" s="110"/>
      <c r="W827" s="110"/>
      <c r="X827" s="110"/>
      <c r="Y827" s="110"/>
      <c r="Z827" s="110"/>
      <c r="AA827" s="110"/>
      <c r="AB827" s="110"/>
      <c r="AC827" s="110"/>
      <c r="AD827" s="110"/>
      <c r="AE827" s="110"/>
      <c r="AF827" s="110"/>
      <c r="AG827" s="110"/>
      <c r="AH827" s="110"/>
    </row>
    <row r="828">
      <c r="A828" s="110"/>
      <c r="B828" s="110"/>
      <c r="C828" s="110"/>
      <c r="D828" s="110"/>
      <c r="E828" s="110"/>
      <c r="F828" s="110"/>
      <c r="G828" s="110"/>
      <c r="H828" s="110"/>
      <c r="I828" s="110"/>
      <c r="J828" s="110"/>
      <c r="K828" s="110"/>
      <c r="L828" s="110"/>
      <c r="M828" s="110"/>
      <c r="N828" s="110"/>
      <c r="O828" s="110"/>
      <c r="P828" s="110"/>
      <c r="Q828" s="110"/>
      <c r="R828" s="110"/>
      <c r="S828" s="110"/>
      <c r="T828" s="110"/>
      <c r="U828" s="110"/>
      <c r="V828" s="110"/>
      <c r="W828" s="110"/>
      <c r="X828" s="110"/>
      <c r="Y828" s="110"/>
      <c r="Z828" s="110"/>
      <c r="AA828" s="110"/>
      <c r="AB828" s="110"/>
      <c r="AC828" s="110"/>
      <c r="AD828" s="110"/>
      <c r="AE828" s="110"/>
      <c r="AF828" s="110"/>
      <c r="AG828" s="110"/>
      <c r="AH828" s="110"/>
    </row>
    <row r="829">
      <c r="A829" s="110"/>
      <c r="B829" s="110"/>
      <c r="C829" s="110"/>
      <c r="D829" s="110"/>
      <c r="E829" s="110"/>
      <c r="F829" s="110"/>
      <c r="G829" s="110"/>
      <c r="H829" s="110"/>
      <c r="I829" s="110"/>
      <c r="J829" s="110"/>
      <c r="K829" s="110"/>
      <c r="L829" s="110"/>
      <c r="M829" s="110"/>
      <c r="N829" s="110"/>
      <c r="O829" s="110"/>
      <c r="P829" s="110"/>
      <c r="Q829" s="110"/>
      <c r="R829" s="110"/>
      <c r="S829" s="110"/>
      <c r="T829" s="110"/>
      <c r="U829" s="110"/>
      <c r="V829" s="110"/>
      <c r="W829" s="110"/>
      <c r="X829" s="110"/>
      <c r="Y829" s="110"/>
      <c r="Z829" s="110"/>
      <c r="AA829" s="110"/>
      <c r="AB829" s="110"/>
      <c r="AC829" s="110"/>
      <c r="AD829" s="110"/>
      <c r="AE829" s="110"/>
      <c r="AF829" s="110"/>
      <c r="AG829" s="110"/>
      <c r="AH829" s="110"/>
    </row>
    <row r="830">
      <c r="A830" s="110"/>
      <c r="B830" s="110"/>
      <c r="C830" s="110"/>
      <c r="D830" s="110"/>
      <c r="E830" s="110"/>
      <c r="F830" s="110"/>
      <c r="G830" s="110"/>
      <c r="H830" s="110"/>
      <c r="I830" s="110"/>
      <c r="J830" s="110"/>
      <c r="K830" s="110"/>
      <c r="L830" s="110"/>
      <c r="M830" s="110"/>
      <c r="N830" s="110"/>
      <c r="O830" s="110"/>
      <c r="P830" s="110"/>
      <c r="Q830" s="110"/>
      <c r="R830" s="110"/>
      <c r="S830" s="110"/>
      <c r="T830" s="110"/>
      <c r="U830" s="110"/>
      <c r="V830" s="110"/>
      <c r="W830" s="110"/>
      <c r="X830" s="110"/>
      <c r="Y830" s="110"/>
      <c r="Z830" s="110"/>
      <c r="AA830" s="110"/>
      <c r="AB830" s="110"/>
      <c r="AC830" s="110"/>
      <c r="AD830" s="110"/>
      <c r="AE830" s="110"/>
      <c r="AF830" s="110"/>
      <c r="AG830" s="110"/>
      <c r="AH830" s="110"/>
    </row>
    <row r="831">
      <c r="A831" s="110"/>
      <c r="B831" s="110"/>
      <c r="C831" s="110"/>
      <c r="D831" s="110"/>
      <c r="E831" s="110"/>
      <c r="F831" s="110"/>
      <c r="G831" s="110"/>
      <c r="H831" s="110"/>
      <c r="I831" s="110"/>
      <c r="J831" s="110"/>
      <c r="K831" s="110"/>
      <c r="L831" s="110"/>
      <c r="M831" s="110"/>
      <c r="N831" s="110"/>
      <c r="O831" s="110"/>
      <c r="P831" s="110"/>
      <c r="Q831" s="110"/>
      <c r="R831" s="110"/>
      <c r="S831" s="110"/>
      <c r="T831" s="110"/>
      <c r="U831" s="110"/>
      <c r="V831" s="110"/>
      <c r="W831" s="110"/>
      <c r="X831" s="110"/>
      <c r="Y831" s="110"/>
      <c r="Z831" s="110"/>
      <c r="AA831" s="110"/>
      <c r="AB831" s="110"/>
      <c r="AC831" s="110"/>
      <c r="AD831" s="110"/>
      <c r="AE831" s="110"/>
      <c r="AF831" s="110"/>
      <c r="AG831" s="110"/>
      <c r="AH831" s="110"/>
    </row>
    <row r="832">
      <c r="A832" s="110"/>
      <c r="B832" s="110"/>
      <c r="C832" s="110"/>
      <c r="D832" s="110"/>
      <c r="E832" s="110"/>
      <c r="F832" s="110"/>
      <c r="G832" s="110"/>
      <c r="H832" s="110"/>
      <c r="I832" s="110"/>
      <c r="J832" s="110"/>
      <c r="K832" s="110"/>
      <c r="L832" s="110"/>
      <c r="M832" s="110"/>
      <c r="N832" s="110"/>
      <c r="O832" s="110"/>
      <c r="P832" s="110"/>
      <c r="Q832" s="110"/>
      <c r="R832" s="110"/>
      <c r="S832" s="110"/>
      <c r="T832" s="110"/>
      <c r="U832" s="110"/>
      <c r="V832" s="110"/>
      <c r="W832" s="110"/>
      <c r="X832" s="110"/>
      <c r="Y832" s="110"/>
      <c r="Z832" s="110"/>
      <c r="AA832" s="110"/>
      <c r="AB832" s="110"/>
      <c r="AC832" s="110"/>
      <c r="AD832" s="110"/>
      <c r="AE832" s="110"/>
      <c r="AF832" s="110"/>
      <c r="AG832" s="110"/>
      <c r="AH832" s="110"/>
    </row>
    <row r="833">
      <c r="A833" s="110"/>
      <c r="B833" s="110"/>
      <c r="C833" s="110"/>
      <c r="D833" s="110"/>
      <c r="E833" s="110"/>
      <c r="F833" s="110"/>
      <c r="G833" s="110"/>
      <c r="H833" s="110"/>
      <c r="I833" s="110"/>
      <c r="J833" s="110"/>
      <c r="K833" s="110"/>
      <c r="L833" s="110"/>
      <c r="M833" s="110"/>
      <c r="N833" s="110"/>
      <c r="O833" s="110"/>
      <c r="P833" s="110"/>
      <c r="Q833" s="110"/>
      <c r="R833" s="110"/>
      <c r="S833" s="110"/>
      <c r="T833" s="110"/>
      <c r="U833" s="110"/>
      <c r="V833" s="110"/>
      <c r="W833" s="110"/>
      <c r="X833" s="110"/>
      <c r="Y833" s="110"/>
      <c r="Z833" s="110"/>
      <c r="AA833" s="110"/>
      <c r="AB833" s="110"/>
      <c r="AC833" s="110"/>
      <c r="AD833" s="110"/>
      <c r="AE833" s="110"/>
      <c r="AF833" s="110"/>
      <c r="AG833" s="110"/>
      <c r="AH833" s="110"/>
    </row>
    <row r="834">
      <c r="A834" s="110"/>
      <c r="B834" s="110"/>
      <c r="C834" s="110"/>
      <c r="D834" s="110"/>
      <c r="E834" s="110"/>
      <c r="F834" s="110"/>
      <c r="G834" s="110"/>
      <c r="H834" s="110"/>
      <c r="I834" s="110"/>
      <c r="J834" s="110"/>
      <c r="K834" s="110"/>
      <c r="L834" s="110"/>
      <c r="M834" s="110"/>
      <c r="N834" s="110"/>
      <c r="O834" s="110"/>
      <c r="P834" s="110"/>
      <c r="Q834" s="110"/>
      <c r="R834" s="110"/>
      <c r="S834" s="110"/>
      <c r="T834" s="110"/>
      <c r="U834" s="110"/>
      <c r="V834" s="110"/>
      <c r="W834" s="110"/>
      <c r="X834" s="110"/>
      <c r="Y834" s="110"/>
      <c r="Z834" s="110"/>
      <c r="AA834" s="110"/>
      <c r="AB834" s="110"/>
      <c r="AC834" s="110"/>
      <c r="AD834" s="110"/>
      <c r="AE834" s="110"/>
      <c r="AF834" s="110"/>
      <c r="AG834" s="110"/>
      <c r="AH834" s="110"/>
    </row>
    <row r="835">
      <c r="A835" s="110"/>
      <c r="B835" s="110"/>
      <c r="C835" s="110"/>
      <c r="D835" s="110"/>
      <c r="E835" s="110"/>
      <c r="F835" s="110"/>
      <c r="G835" s="110"/>
      <c r="H835" s="110"/>
      <c r="I835" s="110"/>
      <c r="J835" s="110"/>
      <c r="K835" s="110"/>
      <c r="L835" s="110"/>
      <c r="M835" s="110"/>
      <c r="N835" s="110"/>
      <c r="O835" s="110"/>
      <c r="P835" s="110"/>
      <c r="Q835" s="110"/>
      <c r="R835" s="110"/>
      <c r="S835" s="110"/>
      <c r="T835" s="110"/>
      <c r="U835" s="110"/>
      <c r="V835" s="110"/>
      <c r="W835" s="110"/>
      <c r="X835" s="110"/>
      <c r="Y835" s="110"/>
      <c r="Z835" s="110"/>
      <c r="AA835" s="110"/>
      <c r="AB835" s="110"/>
      <c r="AC835" s="110"/>
      <c r="AD835" s="110"/>
      <c r="AE835" s="110"/>
      <c r="AF835" s="110"/>
      <c r="AG835" s="110"/>
      <c r="AH835" s="110"/>
    </row>
    <row r="836">
      <c r="A836" s="110"/>
      <c r="B836" s="110"/>
      <c r="C836" s="110"/>
      <c r="D836" s="110"/>
      <c r="E836" s="110"/>
      <c r="F836" s="110"/>
      <c r="G836" s="110"/>
      <c r="H836" s="110"/>
      <c r="I836" s="110"/>
      <c r="J836" s="110"/>
      <c r="K836" s="110"/>
      <c r="L836" s="110"/>
      <c r="M836" s="110"/>
      <c r="N836" s="110"/>
      <c r="O836" s="110"/>
      <c r="P836" s="110"/>
      <c r="Q836" s="110"/>
      <c r="R836" s="110"/>
      <c r="S836" s="110"/>
      <c r="T836" s="110"/>
      <c r="U836" s="110"/>
      <c r="V836" s="110"/>
      <c r="W836" s="110"/>
      <c r="X836" s="110"/>
      <c r="Y836" s="110"/>
      <c r="Z836" s="110"/>
      <c r="AA836" s="110"/>
      <c r="AB836" s="110"/>
      <c r="AC836" s="110"/>
      <c r="AD836" s="110"/>
      <c r="AE836" s="110"/>
      <c r="AF836" s="110"/>
      <c r="AG836" s="110"/>
      <c r="AH836" s="110"/>
    </row>
    <row r="837">
      <c r="A837" s="110"/>
      <c r="B837" s="110"/>
      <c r="C837" s="110"/>
      <c r="D837" s="110"/>
      <c r="E837" s="110"/>
      <c r="F837" s="110"/>
      <c r="G837" s="110"/>
      <c r="H837" s="110"/>
      <c r="I837" s="110"/>
      <c r="J837" s="110"/>
      <c r="K837" s="110"/>
      <c r="L837" s="110"/>
      <c r="M837" s="110"/>
      <c r="N837" s="110"/>
      <c r="O837" s="110"/>
      <c r="P837" s="110"/>
      <c r="Q837" s="110"/>
      <c r="R837" s="110"/>
      <c r="S837" s="110"/>
      <c r="T837" s="110"/>
      <c r="U837" s="110"/>
      <c r="V837" s="110"/>
      <c r="W837" s="110"/>
      <c r="X837" s="110"/>
      <c r="Y837" s="110"/>
      <c r="Z837" s="110"/>
      <c r="AA837" s="110"/>
      <c r="AB837" s="110"/>
      <c r="AC837" s="110"/>
      <c r="AD837" s="110"/>
      <c r="AE837" s="110"/>
      <c r="AF837" s="110"/>
      <c r="AG837" s="110"/>
      <c r="AH837" s="110"/>
    </row>
    <row r="838">
      <c r="A838" s="110"/>
      <c r="B838" s="110"/>
      <c r="C838" s="110"/>
      <c r="D838" s="110"/>
      <c r="E838" s="110"/>
      <c r="F838" s="110"/>
      <c r="G838" s="110"/>
      <c r="H838" s="110"/>
      <c r="I838" s="110"/>
      <c r="J838" s="110"/>
      <c r="K838" s="110"/>
      <c r="L838" s="110"/>
      <c r="M838" s="110"/>
      <c r="N838" s="110"/>
      <c r="O838" s="110"/>
      <c r="P838" s="110"/>
      <c r="Q838" s="110"/>
      <c r="R838" s="110"/>
      <c r="S838" s="110"/>
      <c r="T838" s="110"/>
      <c r="U838" s="110"/>
      <c r="V838" s="110"/>
      <c r="W838" s="110"/>
      <c r="X838" s="110"/>
      <c r="Y838" s="110"/>
      <c r="Z838" s="110"/>
      <c r="AA838" s="110"/>
      <c r="AB838" s="110"/>
      <c r="AC838" s="110"/>
      <c r="AD838" s="110"/>
      <c r="AE838" s="110"/>
      <c r="AF838" s="110"/>
      <c r="AG838" s="110"/>
      <c r="AH838" s="110"/>
    </row>
    <row r="839">
      <c r="A839" s="110"/>
      <c r="B839" s="110"/>
      <c r="C839" s="110"/>
      <c r="D839" s="110"/>
      <c r="E839" s="110"/>
      <c r="F839" s="110"/>
      <c r="G839" s="110"/>
      <c r="H839" s="110"/>
      <c r="I839" s="110"/>
      <c r="J839" s="110"/>
      <c r="K839" s="110"/>
      <c r="L839" s="110"/>
      <c r="M839" s="110"/>
      <c r="N839" s="110"/>
      <c r="O839" s="110"/>
      <c r="P839" s="110"/>
      <c r="Q839" s="110"/>
      <c r="R839" s="110"/>
      <c r="S839" s="110"/>
      <c r="T839" s="110"/>
      <c r="U839" s="110"/>
      <c r="V839" s="110"/>
      <c r="W839" s="110"/>
      <c r="X839" s="110"/>
      <c r="Y839" s="110"/>
      <c r="Z839" s="110"/>
      <c r="AA839" s="110"/>
      <c r="AB839" s="110"/>
      <c r="AC839" s="110"/>
      <c r="AD839" s="110"/>
      <c r="AE839" s="110"/>
      <c r="AF839" s="110"/>
      <c r="AG839" s="110"/>
      <c r="AH839" s="110"/>
    </row>
    <row r="840">
      <c r="A840" s="110"/>
      <c r="B840" s="110"/>
      <c r="C840" s="110"/>
      <c r="D840" s="110"/>
      <c r="E840" s="110"/>
      <c r="F840" s="110"/>
      <c r="G840" s="110"/>
      <c r="H840" s="110"/>
      <c r="I840" s="110"/>
      <c r="J840" s="110"/>
      <c r="K840" s="110"/>
      <c r="L840" s="110"/>
      <c r="M840" s="110"/>
      <c r="N840" s="110"/>
      <c r="O840" s="110"/>
      <c r="P840" s="110"/>
      <c r="Q840" s="110"/>
      <c r="R840" s="110"/>
      <c r="S840" s="110"/>
      <c r="T840" s="110"/>
      <c r="U840" s="110"/>
      <c r="V840" s="110"/>
      <c r="W840" s="110"/>
      <c r="X840" s="110"/>
      <c r="Y840" s="110"/>
      <c r="Z840" s="110"/>
      <c r="AA840" s="110"/>
      <c r="AB840" s="110"/>
      <c r="AC840" s="110"/>
      <c r="AD840" s="110"/>
      <c r="AE840" s="110"/>
      <c r="AF840" s="110"/>
      <c r="AG840" s="110"/>
      <c r="AH840" s="110"/>
    </row>
    <row r="841">
      <c r="A841" s="110"/>
      <c r="B841" s="110"/>
      <c r="C841" s="110"/>
      <c r="D841" s="110"/>
      <c r="E841" s="110"/>
      <c r="F841" s="110"/>
      <c r="G841" s="110"/>
      <c r="H841" s="110"/>
      <c r="I841" s="110"/>
      <c r="J841" s="110"/>
      <c r="K841" s="110"/>
      <c r="L841" s="110"/>
      <c r="M841" s="110"/>
      <c r="N841" s="110"/>
      <c r="O841" s="110"/>
      <c r="P841" s="110"/>
      <c r="Q841" s="110"/>
      <c r="R841" s="110"/>
      <c r="S841" s="110"/>
      <c r="T841" s="110"/>
      <c r="U841" s="110"/>
      <c r="V841" s="110"/>
      <c r="W841" s="110"/>
      <c r="X841" s="110"/>
      <c r="Y841" s="110"/>
      <c r="Z841" s="110"/>
      <c r="AA841" s="110"/>
      <c r="AB841" s="110"/>
      <c r="AC841" s="110"/>
      <c r="AD841" s="110"/>
      <c r="AE841" s="110"/>
      <c r="AF841" s="110"/>
      <c r="AG841" s="110"/>
      <c r="AH841" s="110"/>
    </row>
    <row r="842">
      <c r="A842" s="110"/>
      <c r="B842" s="110"/>
      <c r="C842" s="110"/>
      <c r="D842" s="110"/>
      <c r="E842" s="110"/>
      <c r="F842" s="110"/>
      <c r="G842" s="110"/>
      <c r="H842" s="110"/>
      <c r="I842" s="110"/>
      <c r="J842" s="110"/>
      <c r="K842" s="110"/>
      <c r="L842" s="110"/>
      <c r="M842" s="110"/>
      <c r="N842" s="110"/>
      <c r="O842" s="110"/>
      <c r="P842" s="110"/>
      <c r="Q842" s="110"/>
      <c r="R842" s="110"/>
      <c r="S842" s="110"/>
      <c r="T842" s="110"/>
      <c r="U842" s="110"/>
      <c r="V842" s="110"/>
      <c r="W842" s="110"/>
      <c r="X842" s="110"/>
      <c r="Y842" s="110"/>
      <c r="Z842" s="110"/>
      <c r="AA842" s="110"/>
      <c r="AB842" s="110"/>
      <c r="AC842" s="110"/>
      <c r="AD842" s="110"/>
      <c r="AE842" s="110"/>
      <c r="AF842" s="110"/>
      <c r="AG842" s="110"/>
      <c r="AH842" s="110"/>
    </row>
    <row r="843">
      <c r="A843" s="110"/>
      <c r="B843" s="110"/>
      <c r="C843" s="110"/>
      <c r="D843" s="110"/>
      <c r="E843" s="110"/>
      <c r="F843" s="110"/>
      <c r="G843" s="110"/>
      <c r="H843" s="110"/>
      <c r="I843" s="110"/>
      <c r="J843" s="110"/>
      <c r="K843" s="110"/>
      <c r="L843" s="110"/>
      <c r="M843" s="110"/>
      <c r="N843" s="110"/>
      <c r="O843" s="110"/>
      <c r="P843" s="110"/>
      <c r="Q843" s="110"/>
      <c r="R843" s="110"/>
      <c r="S843" s="110"/>
      <c r="T843" s="110"/>
      <c r="U843" s="110"/>
      <c r="V843" s="110"/>
      <c r="W843" s="110"/>
      <c r="X843" s="110"/>
      <c r="Y843" s="110"/>
      <c r="Z843" s="110"/>
      <c r="AA843" s="110"/>
      <c r="AB843" s="110"/>
      <c r="AC843" s="110"/>
      <c r="AD843" s="110"/>
      <c r="AE843" s="110"/>
      <c r="AF843" s="110"/>
      <c r="AG843" s="110"/>
      <c r="AH843" s="110"/>
    </row>
    <row r="844">
      <c r="A844" s="110"/>
      <c r="B844" s="110"/>
      <c r="C844" s="110"/>
      <c r="D844" s="110"/>
      <c r="E844" s="110"/>
      <c r="F844" s="110"/>
      <c r="G844" s="110"/>
      <c r="H844" s="110"/>
      <c r="I844" s="110"/>
      <c r="J844" s="110"/>
      <c r="K844" s="110"/>
      <c r="L844" s="110"/>
      <c r="M844" s="110"/>
      <c r="N844" s="110"/>
      <c r="O844" s="110"/>
      <c r="P844" s="110"/>
      <c r="Q844" s="110"/>
      <c r="R844" s="110"/>
      <c r="S844" s="110"/>
      <c r="T844" s="110"/>
      <c r="U844" s="110"/>
      <c r="V844" s="110"/>
      <c r="W844" s="110"/>
      <c r="X844" s="110"/>
      <c r="Y844" s="110"/>
      <c r="Z844" s="110"/>
      <c r="AA844" s="110"/>
      <c r="AB844" s="110"/>
      <c r="AC844" s="110"/>
      <c r="AD844" s="110"/>
      <c r="AE844" s="110"/>
      <c r="AF844" s="110"/>
      <c r="AG844" s="110"/>
      <c r="AH844" s="110"/>
    </row>
    <row r="845">
      <c r="A845" s="110"/>
      <c r="B845" s="110"/>
      <c r="C845" s="110"/>
      <c r="D845" s="110"/>
      <c r="E845" s="110"/>
      <c r="F845" s="110"/>
      <c r="G845" s="110"/>
      <c r="H845" s="110"/>
      <c r="I845" s="110"/>
      <c r="J845" s="110"/>
      <c r="K845" s="110"/>
      <c r="L845" s="110"/>
      <c r="M845" s="110"/>
      <c r="N845" s="110"/>
      <c r="O845" s="110"/>
      <c r="P845" s="110"/>
      <c r="Q845" s="110"/>
      <c r="R845" s="110"/>
      <c r="S845" s="110"/>
      <c r="T845" s="110"/>
      <c r="U845" s="110"/>
      <c r="V845" s="110"/>
      <c r="W845" s="110"/>
      <c r="X845" s="110"/>
      <c r="Y845" s="110"/>
      <c r="Z845" s="110"/>
      <c r="AA845" s="110"/>
      <c r="AB845" s="110"/>
      <c r="AC845" s="110"/>
      <c r="AD845" s="110"/>
      <c r="AE845" s="110"/>
      <c r="AF845" s="110"/>
      <c r="AG845" s="110"/>
      <c r="AH845" s="110"/>
    </row>
    <row r="846">
      <c r="A846" s="110"/>
      <c r="B846" s="110"/>
      <c r="C846" s="110"/>
      <c r="D846" s="110"/>
      <c r="E846" s="110"/>
      <c r="F846" s="110"/>
      <c r="G846" s="110"/>
      <c r="H846" s="110"/>
      <c r="I846" s="110"/>
      <c r="J846" s="110"/>
      <c r="K846" s="110"/>
      <c r="L846" s="110"/>
      <c r="M846" s="110"/>
      <c r="N846" s="110"/>
      <c r="O846" s="110"/>
      <c r="P846" s="110"/>
      <c r="Q846" s="110"/>
      <c r="R846" s="110"/>
      <c r="S846" s="110"/>
      <c r="T846" s="110"/>
      <c r="U846" s="110"/>
      <c r="V846" s="110"/>
      <c r="W846" s="110"/>
      <c r="X846" s="110"/>
      <c r="Y846" s="110"/>
      <c r="Z846" s="110"/>
      <c r="AA846" s="110"/>
      <c r="AB846" s="110"/>
      <c r="AC846" s="110"/>
      <c r="AD846" s="110"/>
      <c r="AE846" s="110"/>
      <c r="AF846" s="110"/>
      <c r="AG846" s="110"/>
      <c r="AH846" s="110"/>
    </row>
    <row r="847">
      <c r="A847" s="110"/>
      <c r="B847" s="110"/>
      <c r="C847" s="110"/>
      <c r="D847" s="110"/>
      <c r="E847" s="110"/>
      <c r="F847" s="110"/>
      <c r="G847" s="110"/>
      <c r="H847" s="110"/>
      <c r="I847" s="110"/>
      <c r="J847" s="110"/>
      <c r="K847" s="110"/>
      <c r="L847" s="110"/>
      <c r="M847" s="110"/>
      <c r="N847" s="110"/>
      <c r="O847" s="110"/>
      <c r="P847" s="110"/>
      <c r="Q847" s="110"/>
      <c r="R847" s="110"/>
      <c r="S847" s="110"/>
      <c r="T847" s="110"/>
      <c r="U847" s="110"/>
      <c r="V847" s="110"/>
      <c r="W847" s="110"/>
      <c r="X847" s="110"/>
      <c r="Y847" s="110"/>
      <c r="Z847" s="110"/>
      <c r="AA847" s="110"/>
      <c r="AB847" s="110"/>
      <c r="AC847" s="110"/>
      <c r="AD847" s="110"/>
      <c r="AE847" s="110"/>
      <c r="AF847" s="110"/>
      <c r="AG847" s="110"/>
      <c r="AH847" s="110"/>
    </row>
    <row r="848">
      <c r="A848" s="110"/>
      <c r="B848" s="110"/>
      <c r="C848" s="110"/>
      <c r="D848" s="110"/>
      <c r="E848" s="110"/>
      <c r="F848" s="110"/>
      <c r="G848" s="110"/>
      <c r="H848" s="110"/>
      <c r="I848" s="110"/>
      <c r="J848" s="110"/>
      <c r="K848" s="110"/>
      <c r="L848" s="110"/>
      <c r="M848" s="110"/>
      <c r="N848" s="110"/>
      <c r="O848" s="110"/>
      <c r="P848" s="110"/>
      <c r="Q848" s="110"/>
      <c r="R848" s="110"/>
      <c r="S848" s="110"/>
      <c r="T848" s="110"/>
      <c r="U848" s="110"/>
      <c r="V848" s="110"/>
      <c r="W848" s="110"/>
      <c r="X848" s="110"/>
      <c r="Y848" s="110"/>
      <c r="Z848" s="110"/>
      <c r="AA848" s="110"/>
      <c r="AB848" s="110"/>
      <c r="AC848" s="110"/>
      <c r="AD848" s="110"/>
      <c r="AE848" s="110"/>
      <c r="AF848" s="110"/>
      <c r="AG848" s="110"/>
      <c r="AH848" s="110"/>
    </row>
    <row r="849">
      <c r="A849" s="110"/>
      <c r="B849" s="110"/>
      <c r="C849" s="110"/>
      <c r="D849" s="110"/>
      <c r="E849" s="110"/>
      <c r="F849" s="110"/>
      <c r="G849" s="110"/>
      <c r="H849" s="110"/>
      <c r="I849" s="110"/>
      <c r="J849" s="110"/>
      <c r="K849" s="110"/>
      <c r="L849" s="110"/>
      <c r="M849" s="110"/>
      <c r="N849" s="110"/>
      <c r="O849" s="110"/>
      <c r="P849" s="110"/>
      <c r="Q849" s="110"/>
      <c r="R849" s="110"/>
      <c r="S849" s="110"/>
      <c r="T849" s="110"/>
      <c r="U849" s="110"/>
      <c r="V849" s="110"/>
      <c r="W849" s="110"/>
      <c r="X849" s="110"/>
      <c r="Y849" s="110"/>
      <c r="Z849" s="110"/>
      <c r="AA849" s="110"/>
      <c r="AB849" s="110"/>
      <c r="AC849" s="110"/>
      <c r="AD849" s="110"/>
      <c r="AE849" s="110"/>
      <c r="AF849" s="110"/>
      <c r="AG849" s="110"/>
      <c r="AH849" s="110"/>
    </row>
    <row r="850">
      <c r="A850" s="110"/>
      <c r="B850" s="110"/>
      <c r="C850" s="110"/>
      <c r="D850" s="110"/>
      <c r="E850" s="110"/>
      <c r="F850" s="110"/>
      <c r="G850" s="110"/>
      <c r="H850" s="110"/>
      <c r="I850" s="110"/>
      <c r="J850" s="110"/>
      <c r="K850" s="110"/>
      <c r="L850" s="110"/>
      <c r="M850" s="110"/>
      <c r="N850" s="110"/>
      <c r="O850" s="110"/>
      <c r="P850" s="110"/>
      <c r="Q850" s="110"/>
      <c r="R850" s="110"/>
      <c r="S850" s="110"/>
      <c r="T850" s="110"/>
      <c r="U850" s="110"/>
      <c r="V850" s="110"/>
      <c r="W850" s="110"/>
      <c r="X850" s="110"/>
      <c r="Y850" s="110"/>
      <c r="Z850" s="110"/>
      <c r="AA850" s="110"/>
      <c r="AB850" s="110"/>
      <c r="AC850" s="110"/>
      <c r="AD850" s="110"/>
      <c r="AE850" s="110"/>
      <c r="AF850" s="110"/>
      <c r="AG850" s="110"/>
      <c r="AH850" s="110"/>
    </row>
    <row r="851">
      <c r="A851" s="110"/>
      <c r="B851" s="110"/>
      <c r="C851" s="110"/>
      <c r="D851" s="110"/>
      <c r="E851" s="110"/>
      <c r="F851" s="110"/>
      <c r="G851" s="110"/>
      <c r="H851" s="110"/>
      <c r="I851" s="110"/>
      <c r="J851" s="110"/>
      <c r="K851" s="110"/>
      <c r="L851" s="110"/>
      <c r="M851" s="110"/>
      <c r="N851" s="110"/>
      <c r="O851" s="110"/>
      <c r="P851" s="110"/>
      <c r="Q851" s="110"/>
      <c r="R851" s="110"/>
      <c r="S851" s="110"/>
      <c r="T851" s="110"/>
      <c r="U851" s="110"/>
      <c r="V851" s="110"/>
      <c r="W851" s="110"/>
      <c r="X851" s="110"/>
      <c r="Y851" s="110"/>
      <c r="Z851" s="110"/>
      <c r="AA851" s="110"/>
      <c r="AB851" s="110"/>
      <c r="AC851" s="110"/>
      <c r="AD851" s="110"/>
      <c r="AE851" s="110"/>
      <c r="AF851" s="110"/>
      <c r="AG851" s="110"/>
      <c r="AH851" s="110"/>
    </row>
    <row r="852">
      <c r="A852" s="110"/>
      <c r="B852" s="110"/>
      <c r="C852" s="110"/>
      <c r="D852" s="110"/>
      <c r="E852" s="110"/>
      <c r="F852" s="110"/>
      <c r="G852" s="110"/>
      <c r="H852" s="110"/>
      <c r="I852" s="110"/>
      <c r="J852" s="110"/>
      <c r="K852" s="110"/>
      <c r="L852" s="110"/>
      <c r="M852" s="110"/>
      <c r="N852" s="110"/>
      <c r="O852" s="110"/>
      <c r="P852" s="110"/>
      <c r="Q852" s="110"/>
      <c r="R852" s="110"/>
      <c r="S852" s="110"/>
      <c r="T852" s="110"/>
      <c r="U852" s="110"/>
      <c r="V852" s="110"/>
      <c r="W852" s="110"/>
      <c r="X852" s="110"/>
      <c r="Y852" s="110"/>
      <c r="Z852" s="110"/>
      <c r="AA852" s="110"/>
      <c r="AB852" s="110"/>
      <c r="AC852" s="110"/>
      <c r="AD852" s="110"/>
      <c r="AE852" s="110"/>
      <c r="AF852" s="110"/>
      <c r="AG852" s="110"/>
      <c r="AH852" s="110"/>
    </row>
    <row r="853">
      <c r="A853" s="110"/>
      <c r="B853" s="110"/>
      <c r="C853" s="110"/>
      <c r="D853" s="110"/>
      <c r="E853" s="110"/>
      <c r="F853" s="110"/>
      <c r="G853" s="110"/>
      <c r="H853" s="110"/>
      <c r="I853" s="110"/>
      <c r="J853" s="110"/>
      <c r="K853" s="110"/>
      <c r="L853" s="110"/>
      <c r="M853" s="110"/>
      <c r="N853" s="110"/>
      <c r="O853" s="110"/>
      <c r="P853" s="110"/>
      <c r="Q853" s="110"/>
      <c r="R853" s="110"/>
      <c r="S853" s="110"/>
      <c r="T853" s="110"/>
      <c r="U853" s="110"/>
      <c r="V853" s="110"/>
      <c r="W853" s="110"/>
      <c r="X853" s="110"/>
      <c r="Y853" s="110"/>
      <c r="Z853" s="110"/>
      <c r="AA853" s="110"/>
      <c r="AB853" s="110"/>
      <c r="AC853" s="110"/>
      <c r="AD853" s="110"/>
      <c r="AE853" s="110"/>
      <c r="AF853" s="110"/>
      <c r="AG853" s="110"/>
      <c r="AH853" s="110"/>
    </row>
    <row r="854">
      <c r="A854" s="110"/>
      <c r="B854" s="110"/>
      <c r="C854" s="110"/>
      <c r="D854" s="110"/>
      <c r="E854" s="110"/>
      <c r="F854" s="110"/>
      <c r="G854" s="110"/>
      <c r="H854" s="110"/>
      <c r="I854" s="110"/>
      <c r="J854" s="110"/>
      <c r="K854" s="110"/>
      <c r="L854" s="110"/>
      <c r="M854" s="110"/>
      <c r="N854" s="110"/>
      <c r="O854" s="110"/>
      <c r="P854" s="110"/>
      <c r="Q854" s="110"/>
      <c r="R854" s="110"/>
      <c r="S854" s="110"/>
      <c r="T854" s="110"/>
      <c r="U854" s="110"/>
      <c r="V854" s="110"/>
      <c r="W854" s="110"/>
      <c r="X854" s="110"/>
      <c r="Y854" s="110"/>
      <c r="Z854" s="110"/>
      <c r="AA854" s="110"/>
      <c r="AB854" s="110"/>
      <c r="AC854" s="110"/>
      <c r="AD854" s="110"/>
      <c r="AE854" s="110"/>
      <c r="AF854" s="110"/>
      <c r="AG854" s="110"/>
      <c r="AH854" s="110"/>
    </row>
    <row r="855">
      <c r="A855" s="110"/>
      <c r="B855" s="110"/>
      <c r="C855" s="110"/>
      <c r="D855" s="110"/>
      <c r="E855" s="110"/>
      <c r="F855" s="110"/>
      <c r="G855" s="110"/>
      <c r="H855" s="110"/>
      <c r="I855" s="110"/>
      <c r="J855" s="110"/>
      <c r="K855" s="110"/>
      <c r="L855" s="110"/>
      <c r="M855" s="110"/>
      <c r="N855" s="110"/>
      <c r="O855" s="110"/>
      <c r="P855" s="110"/>
      <c r="Q855" s="110"/>
      <c r="R855" s="110"/>
      <c r="S855" s="110"/>
      <c r="T855" s="110"/>
      <c r="U855" s="110"/>
      <c r="V855" s="110"/>
      <c r="W855" s="110"/>
      <c r="X855" s="110"/>
      <c r="Y855" s="110"/>
      <c r="Z855" s="110"/>
      <c r="AA855" s="110"/>
      <c r="AB855" s="110"/>
      <c r="AC855" s="110"/>
      <c r="AD855" s="110"/>
      <c r="AE855" s="110"/>
      <c r="AF855" s="110"/>
      <c r="AG855" s="110"/>
      <c r="AH855" s="110"/>
    </row>
    <row r="856">
      <c r="A856" s="110"/>
      <c r="B856" s="110"/>
      <c r="C856" s="110"/>
      <c r="D856" s="110"/>
      <c r="E856" s="110"/>
      <c r="F856" s="110"/>
      <c r="G856" s="110"/>
      <c r="H856" s="110"/>
      <c r="I856" s="110"/>
      <c r="J856" s="110"/>
      <c r="K856" s="110"/>
      <c r="L856" s="110"/>
      <c r="M856" s="110"/>
      <c r="N856" s="110"/>
      <c r="O856" s="110"/>
      <c r="P856" s="110"/>
      <c r="Q856" s="110"/>
      <c r="R856" s="110"/>
      <c r="S856" s="110"/>
      <c r="T856" s="110"/>
      <c r="U856" s="110"/>
      <c r="V856" s="110"/>
      <c r="W856" s="110"/>
      <c r="X856" s="110"/>
      <c r="Y856" s="110"/>
      <c r="Z856" s="110"/>
      <c r="AA856" s="110"/>
      <c r="AB856" s="110"/>
      <c r="AC856" s="110"/>
      <c r="AD856" s="110"/>
      <c r="AE856" s="110"/>
      <c r="AF856" s="110"/>
      <c r="AG856" s="110"/>
      <c r="AH856" s="110"/>
    </row>
    <row r="857">
      <c r="A857" s="110"/>
      <c r="B857" s="110"/>
      <c r="C857" s="110"/>
      <c r="D857" s="110"/>
      <c r="E857" s="110"/>
      <c r="F857" s="110"/>
      <c r="G857" s="110"/>
      <c r="H857" s="110"/>
      <c r="I857" s="110"/>
      <c r="J857" s="110"/>
      <c r="K857" s="110"/>
      <c r="L857" s="110"/>
      <c r="M857" s="110"/>
      <c r="N857" s="110"/>
      <c r="O857" s="110"/>
      <c r="P857" s="110"/>
      <c r="Q857" s="110"/>
      <c r="R857" s="110"/>
      <c r="S857" s="110"/>
      <c r="T857" s="110"/>
      <c r="U857" s="110"/>
      <c r="V857" s="110"/>
      <c r="W857" s="110"/>
      <c r="X857" s="110"/>
      <c r="Y857" s="110"/>
      <c r="Z857" s="110"/>
      <c r="AA857" s="110"/>
      <c r="AB857" s="110"/>
      <c r="AC857" s="110"/>
      <c r="AD857" s="110"/>
      <c r="AE857" s="110"/>
      <c r="AF857" s="110"/>
      <c r="AG857" s="110"/>
      <c r="AH857" s="110"/>
    </row>
    <row r="858">
      <c r="A858" s="110"/>
      <c r="B858" s="110"/>
      <c r="C858" s="110"/>
      <c r="D858" s="110"/>
      <c r="E858" s="110"/>
      <c r="F858" s="110"/>
      <c r="G858" s="110"/>
      <c r="H858" s="110"/>
      <c r="I858" s="110"/>
      <c r="J858" s="110"/>
      <c r="K858" s="110"/>
      <c r="L858" s="110"/>
      <c r="M858" s="110"/>
      <c r="N858" s="110"/>
      <c r="O858" s="110"/>
      <c r="P858" s="110"/>
      <c r="Q858" s="110"/>
      <c r="R858" s="110"/>
      <c r="S858" s="110"/>
      <c r="T858" s="110"/>
      <c r="U858" s="110"/>
      <c r="V858" s="110"/>
      <c r="W858" s="110"/>
      <c r="X858" s="110"/>
      <c r="Y858" s="110"/>
      <c r="Z858" s="110"/>
      <c r="AA858" s="110"/>
      <c r="AB858" s="110"/>
      <c r="AC858" s="110"/>
      <c r="AD858" s="110"/>
      <c r="AE858" s="110"/>
      <c r="AF858" s="110"/>
      <c r="AG858" s="110"/>
      <c r="AH858" s="110"/>
    </row>
    <row r="859">
      <c r="A859" s="110"/>
      <c r="B859" s="110"/>
      <c r="C859" s="110"/>
      <c r="D859" s="110"/>
      <c r="E859" s="110"/>
      <c r="F859" s="110"/>
      <c r="G859" s="110"/>
      <c r="H859" s="110"/>
      <c r="I859" s="110"/>
      <c r="J859" s="110"/>
      <c r="K859" s="110"/>
      <c r="L859" s="110"/>
      <c r="M859" s="110"/>
      <c r="N859" s="110"/>
      <c r="O859" s="110"/>
      <c r="P859" s="110"/>
      <c r="Q859" s="110"/>
      <c r="R859" s="110"/>
      <c r="S859" s="110"/>
      <c r="T859" s="110"/>
      <c r="U859" s="110"/>
      <c r="V859" s="110"/>
      <c r="W859" s="110"/>
      <c r="X859" s="110"/>
      <c r="Y859" s="110"/>
      <c r="Z859" s="110"/>
      <c r="AA859" s="110"/>
      <c r="AB859" s="110"/>
      <c r="AC859" s="110"/>
      <c r="AD859" s="110"/>
      <c r="AE859" s="110"/>
      <c r="AF859" s="110"/>
      <c r="AG859" s="110"/>
      <c r="AH859" s="110"/>
    </row>
    <row r="860">
      <c r="A860" s="110"/>
      <c r="B860" s="110"/>
      <c r="C860" s="110"/>
      <c r="D860" s="110"/>
      <c r="E860" s="110"/>
      <c r="F860" s="110"/>
      <c r="G860" s="110"/>
      <c r="H860" s="110"/>
      <c r="I860" s="110"/>
      <c r="J860" s="110"/>
      <c r="K860" s="110"/>
      <c r="L860" s="110"/>
      <c r="M860" s="110"/>
      <c r="N860" s="110"/>
      <c r="O860" s="110"/>
      <c r="P860" s="110"/>
      <c r="Q860" s="110"/>
      <c r="R860" s="110"/>
      <c r="S860" s="110"/>
      <c r="T860" s="110"/>
      <c r="U860" s="110"/>
      <c r="V860" s="110"/>
      <c r="W860" s="110"/>
      <c r="X860" s="110"/>
      <c r="Y860" s="110"/>
      <c r="Z860" s="110"/>
      <c r="AA860" s="110"/>
      <c r="AB860" s="110"/>
      <c r="AC860" s="110"/>
      <c r="AD860" s="110"/>
      <c r="AE860" s="110"/>
      <c r="AF860" s="110"/>
      <c r="AG860" s="110"/>
      <c r="AH860" s="110"/>
    </row>
    <row r="861">
      <c r="A861" s="110"/>
      <c r="B861" s="110"/>
      <c r="C861" s="110"/>
      <c r="D861" s="110"/>
      <c r="E861" s="110"/>
      <c r="F861" s="110"/>
      <c r="G861" s="110"/>
      <c r="H861" s="110"/>
      <c r="I861" s="110"/>
      <c r="J861" s="110"/>
      <c r="K861" s="110"/>
      <c r="L861" s="110"/>
      <c r="M861" s="110"/>
      <c r="N861" s="110"/>
      <c r="O861" s="110"/>
      <c r="P861" s="110"/>
      <c r="Q861" s="110"/>
      <c r="R861" s="110"/>
      <c r="S861" s="110"/>
      <c r="T861" s="110"/>
      <c r="U861" s="110"/>
      <c r="V861" s="110"/>
      <c r="W861" s="110"/>
      <c r="X861" s="110"/>
      <c r="Y861" s="110"/>
      <c r="Z861" s="110"/>
      <c r="AA861" s="110"/>
      <c r="AB861" s="110"/>
      <c r="AC861" s="110"/>
      <c r="AD861" s="110"/>
      <c r="AE861" s="110"/>
      <c r="AF861" s="110"/>
      <c r="AG861" s="110"/>
      <c r="AH861" s="110"/>
    </row>
    <row r="862">
      <c r="A862" s="110"/>
      <c r="B862" s="110"/>
      <c r="C862" s="110"/>
      <c r="D862" s="110"/>
      <c r="E862" s="110"/>
      <c r="F862" s="110"/>
      <c r="G862" s="110"/>
      <c r="H862" s="110"/>
      <c r="I862" s="110"/>
      <c r="J862" s="110"/>
      <c r="K862" s="110"/>
      <c r="L862" s="110"/>
      <c r="M862" s="110"/>
      <c r="N862" s="110"/>
      <c r="O862" s="110"/>
      <c r="P862" s="110"/>
      <c r="Q862" s="110"/>
      <c r="R862" s="110"/>
      <c r="S862" s="110"/>
      <c r="T862" s="110"/>
      <c r="U862" s="110"/>
      <c r="V862" s="110"/>
      <c r="W862" s="110"/>
      <c r="X862" s="110"/>
      <c r="Y862" s="110"/>
      <c r="Z862" s="110"/>
      <c r="AA862" s="110"/>
      <c r="AB862" s="110"/>
      <c r="AC862" s="110"/>
      <c r="AD862" s="110"/>
      <c r="AE862" s="110"/>
      <c r="AF862" s="110"/>
      <c r="AG862" s="110"/>
      <c r="AH862" s="110"/>
    </row>
    <row r="863">
      <c r="A863" s="110"/>
      <c r="B863" s="110"/>
      <c r="C863" s="110"/>
      <c r="D863" s="110"/>
      <c r="E863" s="110"/>
      <c r="F863" s="110"/>
      <c r="G863" s="110"/>
      <c r="H863" s="110"/>
      <c r="I863" s="110"/>
      <c r="J863" s="110"/>
      <c r="K863" s="110"/>
      <c r="L863" s="110"/>
      <c r="M863" s="110"/>
      <c r="N863" s="110"/>
      <c r="O863" s="110"/>
      <c r="P863" s="110"/>
      <c r="Q863" s="110"/>
      <c r="R863" s="110"/>
      <c r="S863" s="110"/>
      <c r="T863" s="110"/>
      <c r="U863" s="110"/>
      <c r="V863" s="110"/>
      <c r="W863" s="110"/>
      <c r="X863" s="110"/>
      <c r="Y863" s="110"/>
      <c r="Z863" s="110"/>
      <c r="AA863" s="110"/>
      <c r="AB863" s="110"/>
      <c r="AC863" s="110"/>
      <c r="AD863" s="110"/>
      <c r="AE863" s="110"/>
      <c r="AF863" s="110"/>
      <c r="AG863" s="110"/>
      <c r="AH863" s="110"/>
    </row>
    <row r="864">
      <c r="A864" s="110"/>
      <c r="B864" s="110"/>
      <c r="C864" s="110"/>
      <c r="D864" s="110"/>
      <c r="E864" s="110"/>
      <c r="F864" s="110"/>
      <c r="G864" s="110"/>
      <c r="H864" s="110"/>
      <c r="I864" s="110"/>
      <c r="J864" s="110"/>
      <c r="K864" s="110"/>
      <c r="L864" s="110"/>
      <c r="M864" s="110"/>
      <c r="N864" s="110"/>
      <c r="O864" s="110"/>
      <c r="P864" s="110"/>
      <c r="Q864" s="110"/>
      <c r="R864" s="110"/>
      <c r="S864" s="110"/>
      <c r="T864" s="110"/>
      <c r="U864" s="110"/>
      <c r="V864" s="110"/>
      <c r="W864" s="110"/>
      <c r="X864" s="110"/>
      <c r="Y864" s="110"/>
      <c r="Z864" s="110"/>
      <c r="AA864" s="110"/>
      <c r="AB864" s="110"/>
      <c r="AC864" s="110"/>
      <c r="AD864" s="110"/>
      <c r="AE864" s="110"/>
      <c r="AF864" s="110"/>
      <c r="AG864" s="110"/>
      <c r="AH864" s="110"/>
    </row>
    <row r="865">
      <c r="A865" s="110"/>
      <c r="B865" s="110"/>
      <c r="C865" s="110"/>
      <c r="D865" s="110"/>
      <c r="E865" s="110"/>
      <c r="F865" s="110"/>
      <c r="G865" s="110"/>
      <c r="H865" s="110"/>
      <c r="I865" s="110"/>
      <c r="J865" s="110"/>
      <c r="K865" s="110"/>
      <c r="L865" s="110"/>
      <c r="M865" s="110"/>
      <c r="N865" s="110"/>
      <c r="O865" s="110"/>
      <c r="P865" s="110"/>
      <c r="Q865" s="110"/>
      <c r="R865" s="110"/>
      <c r="S865" s="110"/>
      <c r="T865" s="110"/>
      <c r="U865" s="110"/>
      <c r="V865" s="110"/>
      <c r="W865" s="110"/>
      <c r="X865" s="110"/>
      <c r="Y865" s="110"/>
      <c r="Z865" s="110"/>
      <c r="AA865" s="110"/>
      <c r="AB865" s="110"/>
      <c r="AC865" s="110"/>
      <c r="AD865" s="110"/>
      <c r="AE865" s="110"/>
      <c r="AF865" s="110"/>
      <c r="AG865" s="110"/>
      <c r="AH865" s="110"/>
    </row>
    <row r="866">
      <c r="A866" s="110"/>
      <c r="B866" s="110"/>
      <c r="C866" s="110"/>
      <c r="D866" s="110"/>
      <c r="E866" s="110"/>
      <c r="F866" s="110"/>
      <c r="G866" s="110"/>
      <c r="H866" s="110"/>
      <c r="I866" s="110"/>
      <c r="J866" s="110"/>
      <c r="K866" s="110"/>
      <c r="L866" s="110"/>
      <c r="M866" s="110"/>
      <c r="N866" s="110"/>
      <c r="O866" s="110"/>
      <c r="P866" s="110"/>
      <c r="Q866" s="110"/>
      <c r="R866" s="110"/>
      <c r="S866" s="110"/>
      <c r="T866" s="110"/>
      <c r="U866" s="110"/>
      <c r="V866" s="110"/>
      <c r="W866" s="110"/>
      <c r="X866" s="110"/>
      <c r="Y866" s="110"/>
      <c r="Z866" s="110"/>
      <c r="AA866" s="110"/>
      <c r="AB866" s="110"/>
      <c r="AC866" s="110"/>
      <c r="AD866" s="110"/>
      <c r="AE866" s="110"/>
      <c r="AF866" s="110"/>
      <c r="AG866" s="110"/>
      <c r="AH866" s="110"/>
    </row>
    <row r="867">
      <c r="A867" s="110"/>
      <c r="B867" s="110"/>
      <c r="C867" s="110"/>
      <c r="D867" s="110"/>
      <c r="E867" s="110"/>
      <c r="F867" s="110"/>
      <c r="G867" s="110"/>
      <c r="H867" s="110"/>
      <c r="I867" s="110"/>
      <c r="J867" s="110"/>
      <c r="K867" s="110"/>
      <c r="L867" s="110"/>
      <c r="M867" s="110"/>
      <c r="N867" s="110"/>
      <c r="O867" s="110"/>
      <c r="P867" s="110"/>
      <c r="Q867" s="110"/>
      <c r="R867" s="110"/>
      <c r="S867" s="110"/>
      <c r="T867" s="110"/>
      <c r="U867" s="110"/>
      <c r="V867" s="110"/>
      <c r="W867" s="110"/>
      <c r="X867" s="110"/>
      <c r="Y867" s="110"/>
      <c r="Z867" s="110"/>
      <c r="AA867" s="110"/>
      <c r="AB867" s="110"/>
      <c r="AC867" s="110"/>
      <c r="AD867" s="110"/>
      <c r="AE867" s="110"/>
      <c r="AF867" s="110"/>
      <c r="AG867" s="110"/>
      <c r="AH867" s="110"/>
    </row>
    <row r="868">
      <c r="A868" s="110"/>
      <c r="B868" s="110"/>
      <c r="C868" s="110"/>
      <c r="D868" s="110"/>
      <c r="E868" s="110"/>
      <c r="F868" s="110"/>
      <c r="G868" s="110"/>
      <c r="H868" s="110"/>
      <c r="I868" s="110"/>
      <c r="J868" s="110"/>
      <c r="K868" s="110"/>
      <c r="L868" s="110"/>
      <c r="M868" s="110"/>
      <c r="N868" s="110"/>
      <c r="O868" s="110"/>
      <c r="P868" s="110"/>
      <c r="Q868" s="110"/>
      <c r="R868" s="110"/>
      <c r="S868" s="110"/>
      <c r="T868" s="110"/>
      <c r="U868" s="110"/>
      <c r="V868" s="110"/>
      <c r="W868" s="110"/>
      <c r="X868" s="110"/>
      <c r="Y868" s="110"/>
      <c r="Z868" s="110"/>
      <c r="AA868" s="110"/>
      <c r="AB868" s="110"/>
      <c r="AC868" s="110"/>
      <c r="AD868" s="110"/>
      <c r="AE868" s="110"/>
      <c r="AF868" s="110"/>
      <c r="AG868" s="110"/>
      <c r="AH868" s="110"/>
    </row>
    <row r="869">
      <c r="A869" s="110"/>
      <c r="B869" s="110"/>
      <c r="C869" s="110"/>
      <c r="D869" s="110"/>
      <c r="E869" s="110"/>
      <c r="F869" s="110"/>
      <c r="G869" s="110"/>
      <c r="H869" s="110"/>
      <c r="I869" s="110"/>
      <c r="J869" s="110"/>
      <c r="K869" s="110"/>
      <c r="L869" s="110"/>
      <c r="M869" s="110"/>
      <c r="N869" s="110"/>
      <c r="O869" s="110"/>
      <c r="P869" s="110"/>
      <c r="Q869" s="110"/>
      <c r="R869" s="110"/>
      <c r="S869" s="110"/>
      <c r="T869" s="110"/>
      <c r="U869" s="110"/>
      <c r="V869" s="110"/>
      <c r="W869" s="110"/>
      <c r="X869" s="110"/>
      <c r="Y869" s="110"/>
      <c r="Z869" s="110"/>
      <c r="AA869" s="110"/>
      <c r="AB869" s="110"/>
      <c r="AC869" s="110"/>
      <c r="AD869" s="110"/>
      <c r="AE869" s="110"/>
      <c r="AF869" s="110"/>
      <c r="AG869" s="110"/>
      <c r="AH869" s="110"/>
    </row>
    <row r="870">
      <c r="A870" s="110"/>
      <c r="B870" s="110"/>
      <c r="C870" s="110"/>
      <c r="D870" s="110"/>
      <c r="E870" s="110"/>
      <c r="F870" s="110"/>
      <c r="G870" s="110"/>
      <c r="H870" s="110"/>
      <c r="I870" s="110"/>
      <c r="J870" s="110"/>
      <c r="K870" s="110"/>
      <c r="L870" s="110"/>
      <c r="M870" s="110"/>
      <c r="N870" s="110"/>
      <c r="O870" s="110"/>
      <c r="P870" s="110"/>
      <c r="Q870" s="110"/>
      <c r="R870" s="110"/>
      <c r="S870" s="110"/>
      <c r="T870" s="110"/>
      <c r="U870" s="110"/>
      <c r="V870" s="110"/>
      <c r="W870" s="110"/>
      <c r="X870" s="110"/>
      <c r="Y870" s="110"/>
      <c r="Z870" s="110"/>
      <c r="AA870" s="110"/>
      <c r="AB870" s="110"/>
      <c r="AC870" s="110"/>
      <c r="AD870" s="110"/>
      <c r="AE870" s="110"/>
      <c r="AF870" s="110"/>
      <c r="AG870" s="110"/>
      <c r="AH870" s="110"/>
    </row>
    <row r="871">
      <c r="A871" s="110"/>
      <c r="B871" s="110"/>
      <c r="C871" s="110"/>
      <c r="D871" s="110"/>
      <c r="E871" s="110"/>
      <c r="F871" s="110"/>
      <c r="G871" s="110"/>
      <c r="H871" s="110"/>
      <c r="I871" s="110"/>
      <c r="J871" s="110"/>
      <c r="K871" s="110"/>
      <c r="L871" s="110"/>
      <c r="M871" s="110"/>
      <c r="N871" s="110"/>
      <c r="O871" s="110"/>
      <c r="P871" s="110"/>
      <c r="Q871" s="110"/>
      <c r="R871" s="110"/>
      <c r="S871" s="110"/>
      <c r="T871" s="110"/>
      <c r="U871" s="110"/>
      <c r="V871" s="110"/>
      <c r="W871" s="110"/>
      <c r="X871" s="110"/>
      <c r="Y871" s="110"/>
      <c r="Z871" s="110"/>
      <c r="AA871" s="110"/>
      <c r="AB871" s="110"/>
      <c r="AC871" s="110"/>
      <c r="AD871" s="110"/>
      <c r="AE871" s="110"/>
      <c r="AF871" s="110"/>
      <c r="AG871" s="110"/>
      <c r="AH871" s="110"/>
    </row>
    <row r="872">
      <c r="A872" s="110"/>
      <c r="B872" s="110"/>
      <c r="C872" s="110"/>
      <c r="D872" s="110"/>
      <c r="E872" s="110"/>
      <c r="F872" s="110"/>
      <c r="G872" s="110"/>
      <c r="H872" s="110"/>
      <c r="I872" s="110"/>
      <c r="J872" s="110"/>
      <c r="K872" s="110"/>
      <c r="L872" s="110"/>
      <c r="M872" s="110"/>
      <c r="N872" s="110"/>
      <c r="O872" s="110"/>
      <c r="P872" s="110"/>
      <c r="Q872" s="110"/>
      <c r="R872" s="110"/>
      <c r="S872" s="110"/>
      <c r="T872" s="110"/>
      <c r="U872" s="110"/>
      <c r="V872" s="110"/>
      <c r="W872" s="110"/>
      <c r="X872" s="110"/>
      <c r="Y872" s="110"/>
      <c r="Z872" s="110"/>
      <c r="AA872" s="110"/>
      <c r="AB872" s="110"/>
      <c r="AC872" s="110"/>
      <c r="AD872" s="110"/>
      <c r="AE872" s="110"/>
      <c r="AF872" s="110"/>
      <c r="AG872" s="110"/>
      <c r="AH872" s="110"/>
    </row>
    <row r="873">
      <c r="A873" s="110"/>
      <c r="B873" s="110"/>
      <c r="C873" s="110"/>
      <c r="D873" s="110"/>
      <c r="E873" s="110"/>
      <c r="F873" s="110"/>
      <c r="G873" s="110"/>
      <c r="H873" s="110"/>
      <c r="I873" s="110"/>
      <c r="J873" s="110"/>
      <c r="K873" s="110"/>
      <c r="L873" s="110"/>
      <c r="M873" s="110"/>
      <c r="N873" s="110"/>
      <c r="O873" s="110"/>
      <c r="P873" s="110"/>
      <c r="Q873" s="110"/>
      <c r="R873" s="110"/>
      <c r="S873" s="110"/>
      <c r="T873" s="110"/>
      <c r="U873" s="110"/>
      <c r="V873" s="110"/>
      <c r="W873" s="110"/>
      <c r="X873" s="110"/>
      <c r="Y873" s="110"/>
      <c r="Z873" s="110"/>
      <c r="AA873" s="110"/>
      <c r="AB873" s="110"/>
      <c r="AC873" s="110"/>
      <c r="AD873" s="110"/>
      <c r="AE873" s="110"/>
      <c r="AF873" s="110"/>
      <c r="AG873" s="110"/>
      <c r="AH873" s="110"/>
    </row>
    <row r="874">
      <c r="A874" s="110"/>
      <c r="B874" s="110"/>
      <c r="C874" s="110"/>
      <c r="D874" s="110"/>
      <c r="E874" s="110"/>
      <c r="F874" s="110"/>
      <c r="G874" s="110"/>
      <c r="H874" s="110"/>
      <c r="I874" s="110"/>
      <c r="J874" s="110"/>
      <c r="K874" s="110"/>
      <c r="L874" s="110"/>
      <c r="M874" s="110"/>
      <c r="N874" s="110"/>
      <c r="O874" s="110"/>
      <c r="P874" s="110"/>
      <c r="Q874" s="110"/>
      <c r="R874" s="110"/>
      <c r="S874" s="110"/>
      <c r="T874" s="110"/>
      <c r="U874" s="110"/>
      <c r="V874" s="110"/>
      <c r="W874" s="110"/>
      <c r="X874" s="110"/>
      <c r="Y874" s="110"/>
      <c r="Z874" s="110"/>
      <c r="AA874" s="110"/>
      <c r="AB874" s="110"/>
      <c r="AC874" s="110"/>
      <c r="AD874" s="110"/>
      <c r="AE874" s="110"/>
      <c r="AF874" s="110"/>
      <c r="AG874" s="110"/>
      <c r="AH874" s="110"/>
    </row>
    <row r="875">
      <c r="A875" s="110"/>
      <c r="B875" s="110"/>
      <c r="C875" s="110"/>
      <c r="D875" s="110"/>
      <c r="E875" s="110"/>
      <c r="F875" s="110"/>
      <c r="G875" s="110"/>
      <c r="H875" s="110"/>
      <c r="I875" s="110"/>
      <c r="J875" s="110"/>
      <c r="K875" s="110"/>
      <c r="L875" s="110"/>
      <c r="M875" s="110"/>
      <c r="N875" s="110"/>
      <c r="O875" s="110"/>
      <c r="P875" s="110"/>
      <c r="Q875" s="110"/>
      <c r="R875" s="110"/>
      <c r="S875" s="110"/>
      <c r="T875" s="110"/>
      <c r="U875" s="110"/>
      <c r="V875" s="110"/>
      <c r="W875" s="110"/>
      <c r="X875" s="110"/>
      <c r="Y875" s="110"/>
      <c r="Z875" s="110"/>
      <c r="AA875" s="110"/>
      <c r="AB875" s="110"/>
      <c r="AC875" s="110"/>
      <c r="AD875" s="110"/>
      <c r="AE875" s="110"/>
      <c r="AF875" s="110"/>
      <c r="AG875" s="110"/>
      <c r="AH875" s="110"/>
    </row>
    <row r="876">
      <c r="A876" s="110"/>
      <c r="B876" s="110"/>
      <c r="C876" s="110"/>
      <c r="D876" s="110"/>
      <c r="E876" s="110"/>
      <c r="F876" s="110"/>
      <c r="G876" s="110"/>
      <c r="H876" s="110"/>
      <c r="I876" s="110"/>
      <c r="J876" s="110"/>
      <c r="K876" s="110"/>
      <c r="L876" s="110"/>
      <c r="M876" s="110"/>
      <c r="N876" s="110"/>
      <c r="O876" s="110"/>
      <c r="P876" s="110"/>
      <c r="Q876" s="110"/>
      <c r="R876" s="110"/>
      <c r="S876" s="110"/>
      <c r="T876" s="110"/>
      <c r="U876" s="110"/>
      <c r="V876" s="110"/>
      <c r="W876" s="110"/>
      <c r="X876" s="110"/>
      <c r="Y876" s="110"/>
      <c r="Z876" s="110"/>
      <c r="AA876" s="110"/>
      <c r="AB876" s="110"/>
      <c r="AC876" s="110"/>
      <c r="AD876" s="110"/>
      <c r="AE876" s="110"/>
      <c r="AF876" s="110"/>
      <c r="AG876" s="110"/>
      <c r="AH876" s="110"/>
    </row>
    <row r="877">
      <c r="A877" s="110"/>
      <c r="B877" s="110"/>
      <c r="C877" s="110"/>
      <c r="D877" s="110"/>
      <c r="E877" s="110"/>
      <c r="F877" s="110"/>
      <c r="G877" s="110"/>
      <c r="H877" s="110"/>
      <c r="I877" s="110"/>
      <c r="J877" s="110"/>
      <c r="K877" s="110"/>
      <c r="L877" s="110"/>
      <c r="M877" s="110"/>
      <c r="N877" s="110"/>
      <c r="O877" s="110"/>
      <c r="P877" s="110"/>
      <c r="Q877" s="110"/>
      <c r="R877" s="110"/>
      <c r="S877" s="110"/>
      <c r="T877" s="110"/>
      <c r="U877" s="110"/>
      <c r="V877" s="110"/>
      <c r="W877" s="110"/>
      <c r="X877" s="110"/>
      <c r="Y877" s="110"/>
      <c r="Z877" s="110"/>
      <c r="AA877" s="110"/>
      <c r="AB877" s="110"/>
      <c r="AC877" s="110"/>
      <c r="AD877" s="110"/>
      <c r="AE877" s="110"/>
      <c r="AF877" s="110"/>
      <c r="AG877" s="110"/>
      <c r="AH877" s="110"/>
    </row>
    <row r="878">
      <c r="A878" s="110"/>
      <c r="B878" s="110"/>
      <c r="C878" s="110"/>
      <c r="D878" s="110"/>
      <c r="E878" s="110"/>
      <c r="F878" s="110"/>
      <c r="G878" s="110"/>
      <c r="H878" s="110"/>
      <c r="I878" s="110"/>
      <c r="J878" s="110"/>
      <c r="K878" s="110"/>
      <c r="L878" s="110"/>
      <c r="M878" s="110"/>
      <c r="N878" s="110"/>
      <c r="O878" s="110"/>
      <c r="P878" s="110"/>
      <c r="Q878" s="110"/>
      <c r="R878" s="110"/>
      <c r="S878" s="110"/>
      <c r="T878" s="110"/>
      <c r="U878" s="110"/>
      <c r="V878" s="110"/>
      <c r="W878" s="110"/>
      <c r="X878" s="110"/>
      <c r="Y878" s="110"/>
      <c r="Z878" s="110"/>
      <c r="AA878" s="110"/>
      <c r="AB878" s="110"/>
      <c r="AC878" s="110"/>
      <c r="AD878" s="110"/>
      <c r="AE878" s="110"/>
      <c r="AF878" s="110"/>
      <c r="AG878" s="110"/>
      <c r="AH878" s="110"/>
    </row>
    <row r="879">
      <c r="A879" s="110"/>
      <c r="B879" s="110"/>
      <c r="C879" s="110"/>
      <c r="D879" s="110"/>
      <c r="E879" s="110"/>
      <c r="F879" s="110"/>
      <c r="G879" s="110"/>
      <c r="H879" s="110"/>
      <c r="I879" s="110"/>
      <c r="J879" s="110"/>
      <c r="K879" s="110"/>
      <c r="L879" s="110"/>
      <c r="M879" s="110"/>
      <c r="N879" s="110"/>
      <c r="O879" s="110"/>
      <c r="P879" s="110"/>
      <c r="Q879" s="110"/>
      <c r="R879" s="110"/>
      <c r="S879" s="110"/>
      <c r="T879" s="110"/>
      <c r="U879" s="110"/>
      <c r="V879" s="110"/>
      <c r="W879" s="110"/>
      <c r="X879" s="110"/>
      <c r="Y879" s="110"/>
      <c r="Z879" s="110"/>
      <c r="AA879" s="110"/>
      <c r="AB879" s="110"/>
      <c r="AC879" s="110"/>
      <c r="AD879" s="110"/>
      <c r="AE879" s="110"/>
      <c r="AF879" s="110"/>
      <c r="AG879" s="110"/>
      <c r="AH879" s="110"/>
    </row>
    <row r="880">
      <c r="A880" s="110"/>
      <c r="B880" s="110"/>
      <c r="C880" s="110"/>
      <c r="D880" s="110"/>
      <c r="E880" s="110"/>
      <c r="F880" s="110"/>
      <c r="G880" s="110"/>
      <c r="H880" s="110"/>
      <c r="I880" s="110"/>
      <c r="J880" s="110"/>
      <c r="K880" s="110"/>
      <c r="L880" s="110"/>
      <c r="M880" s="110"/>
      <c r="N880" s="110"/>
      <c r="O880" s="110"/>
      <c r="P880" s="110"/>
      <c r="Q880" s="110"/>
      <c r="R880" s="110"/>
      <c r="S880" s="110"/>
      <c r="T880" s="110"/>
      <c r="U880" s="110"/>
      <c r="V880" s="110"/>
      <c r="W880" s="110"/>
      <c r="X880" s="110"/>
      <c r="Y880" s="110"/>
      <c r="Z880" s="110"/>
      <c r="AA880" s="110"/>
      <c r="AB880" s="110"/>
      <c r="AC880" s="110"/>
      <c r="AD880" s="110"/>
      <c r="AE880" s="110"/>
      <c r="AF880" s="110"/>
      <c r="AG880" s="110"/>
      <c r="AH880" s="110"/>
    </row>
    <row r="881">
      <c r="A881" s="110"/>
      <c r="B881" s="110"/>
      <c r="C881" s="110"/>
      <c r="D881" s="110"/>
      <c r="E881" s="110"/>
      <c r="F881" s="110"/>
      <c r="G881" s="110"/>
      <c r="H881" s="110"/>
      <c r="I881" s="110"/>
      <c r="J881" s="110"/>
      <c r="K881" s="110"/>
      <c r="L881" s="110"/>
      <c r="M881" s="110"/>
      <c r="N881" s="110"/>
      <c r="O881" s="110"/>
      <c r="P881" s="110"/>
      <c r="Q881" s="110"/>
      <c r="R881" s="110"/>
      <c r="S881" s="110"/>
      <c r="T881" s="110"/>
      <c r="U881" s="110"/>
      <c r="V881" s="110"/>
      <c r="W881" s="110"/>
      <c r="X881" s="110"/>
      <c r="Y881" s="110"/>
      <c r="Z881" s="110"/>
      <c r="AA881" s="110"/>
      <c r="AB881" s="110"/>
      <c r="AC881" s="110"/>
      <c r="AD881" s="110"/>
      <c r="AE881" s="110"/>
      <c r="AF881" s="110"/>
      <c r="AG881" s="110"/>
      <c r="AH881" s="110"/>
    </row>
    <row r="882">
      <c r="A882" s="110"/>
      <c r="B882" s="110"/>
      <c r="C882" s="110"/>
      <c r="D882" s="110"/>
      <c r="E882" s="110"/>
      <c r="F882" s="110"/>
      <c r="G882" s="110"/>
      <c r="H882" s="110"/>
      <c r="I882" s="110"/>
      <c r="J882" s="110"/>
      <c r="K882" s="110"/>
      <c r="L882" s="110"/>
      <c r="M882" s="110"/>
      <c r="N882" s="110"/>
      <c r="O882" s="110"/>
      <c r="P882" s="110"/>
      <c r="Q882" s="110"/>
      <c r="R882" s="110"/>
      <c r="S882" s="110"/>
      <c r="T882" s="110"/>
      <c r="U882" s="110"/>
      <c r="V882" s="110"/>
      <c r="W882" s="110"/>
      <c r="X882" s="110"/>
      <c r="Y882" s="110"/>
      <c r="Z882" s="110"/>
      <c r="AA882" s="110"/>
      <c r="AB882" s="110"/>
      <c r="AC882" s="110"/>
      <c r="AD882" s="110"/>
      <c r="AE882" s="110"/>
      <c r="AF882" s="110"/>
      <c r="AG882" s="110"/>
      <c r="AH882" s="110"/>
    </row>
    <row r="883">
      <c r="A883" s="110"/>
      <c r="B883" s="110"/>
      <c r="C883" s="110"/>
      <c r="D883" s="110"/>
      <c r="E883" s="110"/>
      <c r="F883" s="110"/>
      <c r="G883" s="110"/>
      <c r="H883" s="110"/>
      <c r="I883" s="110"/>
      <c r="J883" s="110"/>
      <c r="K883" s="110"/>
      <c r="L883" s="110"/>
      <c r="M883" s="110"/>
      <c r="N883" s="110"/>
      <c r="O883" s="110"/>
      <c r="P883" s="110"/>
      <c r="Q883" s="110"/>
      <c r="R883" s="110"/>
      <c r="S883" s="110"/>
      <c r="T883" s="110"/>
      <c r="U883" s="110"/>
      <c r="V883" s="110"/>
      <c r="W883" s="110"/>
      <c r="X883" s="110"/>
      <c r="Y883" s="110"/>
      <c r="Z883" s="110"/>
      <c r="AA883" s="110"/>
      <c r="AB883" s="110"/>
      <c r="AC883" s="110"/>
      <c r="AD883" s="110"/>
      <c r="AE883" s="110"/>
      <c r="AF883" s="110"/>
      <c r="AG883" s="110"/>
      <c r="AH883" s="110"/>
    </row>
    <row r="884">
      <c r="A884" s="110"/>
      <c r="B884" s="110"/>
      <c r="C884" s="110"/>
      <c r="D884" s="110"/>
      <c r="E884" s="110"/>
      <c r="F884" s="110"/>
      <c r="G884" s="110"/>
      <c r="H884" s="110"/>
      <c r="I884" s="110"/>
      <c r="J884" s="110"/>
      <c r="K884" s="110"/>
      <c r="L884" s="110"/>
      <c r="M884" s="110"/>
      <c r="N884" s="110"/>
      <c r="O884" s="110"/>
      <c r="P884" s="110"/>
      <c r="Q884" s="110"/>
      <c r="R884" s="110"/>
      <c r="S884" s="110"/>
      <c r="T884" s="110"/>
      <c r="U884" s="110"/>
      <c r="V884" s="110"/>
      <c r="W884" s="110"/>
      <c r="X884" s="110"/>
      <c r="Y884" s="110"/>
      <c r="Z884" s="110"/>
      <c r="AA884" s="110"/>
      <c r="AB884" s="110"/>
      <c r="AC884" s="110"/>
      <c r="AD884" s="110"/>
      <c r="AE884" s="110"/>
      <c r="AF884" s="110"/>
      <c r="AG884" s="110"/>
      <c r="AH884" s="110"/>
    </row>
    <row r="885">
      <c r="A885" s="110"/>
      <c r="B885" s="110"/>
      <c r="C885" s="110"/>
      <c r="D885" s="110"/>
      <c r="E885" s="110"/>
      <c r="F885" s="110"/>
      <c r="G885" s="110"/>
      <c r="H885" s="110"/>
      <c r="I885" s="110"/>
      <c r="J885" s="110"/>
      <c r="K885" s="110"/>
      <c r="L885" s="110"/>
      <c r="M885" s="110"/>
      <c r="N885" s="110"/>
      <c r="O885" s="110"/>
      <c r="P885" s="110"/>
      <c r="Q885" s="110"/>
      <c r="R885" s="110"/>
      <c r="S885" s="110"/>
      <c r="T885" s="110"/>
      <c r="U885" s="110"/>
      <c r="V885" s="110"/>
      <c r="W885" s="110"/>
      <c r="X885" s="110"/>
      <c r="Y885" s="110"/>
      <c r="Z885" s="110"/>
      <c r="AA885" s="110"/>
      <c r="AB885" s="110"/>
      <c r="AC885" s="110"/>
      <c r="AD885" s="110"/>
      <c r="AE885" s="110"/>
      <c r="AF885" s="110"/>
      <c r="AG885" s="110"/>
      <c r="AH885" s="110"/>
    </row>
    <row r="886">
      <c r="A886" s="110"/>
      <c r="B886" s="110"/>
      <c r="C886" s="110"/>
      <c r="D886" s="110"/>
      <c r="E886" s="110"/>
      <c r="F886" s="110"/>
      <c r="G886" s="110"/>
      <c r="H886" s="110"/>
      <c r="I886" s="110"/>
      <c r="J886" s="110"/>
      <c r="K886" s="110"/>
      <c r="L886" s="110"/>
      <c r="M886" s="110"/>
      <c r="N886" s="110"/>
      <c r="O886" s="110"/>
      <c r="P886" s="110"/>
      <c r="Q886" s="110"/>
      <c r="R886" s="110"/>
      <c r="S886" s="110"/>
      <c r="T886" s="110"/>
      <c r="U886" s="110"/>
      <c r="V886" s="110"/>
      <c r="W886" s="110"/>
      <c r="X886" s="110"/>
      <c r="Y886" s="110"/>
      <c r="Z886" s="110"/>
      <c r="AA886" s="110"/>
      <c r="AB886" s="110"/>
      <c r="AC886" s="110"/>
      <c r="AD886" s="110"/>
      <c r="AE886" s="110"/>
      <c r="AF886" s="110"/>
      <c r="AG886" s="110"/>
      <c r="AH886" s="110"/>
    </row>
    <row r="887">
      <c r="A887" s="110"/>
      <c r="B887" s="110"/>
      <c r="C887" s="110"/>
      <c r="D887" s="110"/>
      <c r="E887" s="110"/>
      <c r="F887" s="110"/>
      <c r="G887" s="110"/>
      <c r="H887" s="110"/>
      <c r="I887" s="110"/>
      <c r="J887" s="110"/>
      <c r="K887" s="110"/>
      <c r="L887" s="110"/>
      <c r="M887" s="110"/>
      <c r="N887" s="110"/>
      <c r="O887" s="110"/>
      <c r="P887" s="110"/>
      <c r="Q887" s="110"/>
      <c r="R887" s="110"/>
      <c r="S887" s="110"/>
      <c r="T887" s="110"/>
      <c r="U887" s="110"/>
      <c r="V887" s="110"/>
      <c r="W887" s="110"/>
      <c r="X887" s="110"/>
      <c r="Y887" s="110"/>
      <c r="Z887" s="110"/>
      <c r="AA887" s="110"/>
      <c r="AB887" s="110"/>
      <c r="AC887" s="110"/>
      <c r="AD887" s="110"/>
      <c r="AE887" s="110"/>
      <c r="AF887" s="110"/>
      <c r="AG887" s="110"/>
      <c r="AH887" s="110"/>
    </row>
    <row r="888">
      <c r="A888" s="110"/>
      <c r="B888" s="110"/>
      <c r="C888" s="110"/>
      <c r="D888" s="110"/>
      <c r="E888" s="110"/>
      <c r="F888" s="110"/>
      <c r="G888" s="110"/>
      <c r="H888" s="110"/>
      <c r="I888" s="110"/>
      <c r="J888" s="110"/>
      <c r="K888" s="110"/>
      <c r="L888" s="110"/>
      <c r="M888" s="110"/>
      <c r="N888" s="110"/>
      <c r="O888" s="110"/>
      <c r="P888" s="110"/>
      <c r="Q888" s="110"/>
      <c r="R888" s="110"/>
      <c r="S888" s="110"/>
      <c r="T888" s="110"/>
      <c r="U888" s="110"/>
      <c r="V888" s="110"/>
      <c r="W888" s="110"/>
      <c r="X888" s="110"/>
      <c r="Y888" s="110"/>
      <c r="Z888" s="110"/>
      <c r="AA888" s="110"/>
      <c r="AB888" s="110"/>
      <c r="AC888" s="110"/>
      <c r="AD888" s="110"/>
      <c r="AE888" s="110"/>
      <c r="AF888" s="110"/>
      <c r="AG888" s="110"/>
      <c r="AH888" s="110"/>
    </row>
    <row r="889">
      <c r="A889" s="110"/>
      <c r="B889" s="110"/>
      <c r="C889" s="110"/>
      <c r="D889" s="110"/>
      <c r="E889" s="110"/>
      <c r="F889" s="110"/>
      <c r="G889" s="110"/>
      <c r="H889" s="110"/>
      <c r="I889" s="110"/>
      <c r="J889" s="110"/>
      <c r="K889" s="110"/>
      <c r="L889" s="110"/>
      <c r="M889" s="110"/>
      <c r="N889" s="110"/>
      <c r="O889" s="110"/>
      <c r="P889" s="110"/>
      <c r="Q889" s="110"/>
      <c r="R889" s="110"/>
      <c r="S889" s="110"/>
      <c r="T889" s="110"/>
      <c r="U889" s="110"/>
      <c r="V889" s="110"/>
      <c r="W889" s="110"/>
      <c r="X889" s="110"/>
      <c r="Y889" s="110"/>
      <c r="Z889" s="110"/>
      <c r="AA889" s="110"/>
      <c r="AB889" s="110"/>
      <c r="AC889" s="110"/>
      <c r="AD889" s="110"/>
      <c r="AE889" s="110"/>
      <c r="AF889" s="110"/>
      <c r="AG889" s="110"/>
      <c r="AH889" s="110"/>
    </row>
    <row r="890">
      <c r="A890" s="110"/>
      <c r="B890" s="110"/>
      <c r="C890" s="110"/>
      <c r="D890" s="110"/>
      <c r="E890" s="110"/>
      <c r="F890" s="110"/>
      <c r="G890" s="110"/>
      <c r="H890" s="110"/>
      <c r="I890" s="110"/>
      <c r="J890" s="110"/>
      <c r="K890" s="110"/>
      <c r="L890" s="110"/>
      <c r="M890" s="110"/>
      <c r="N890" s="110"/>
      <c r="O890" s="110"/>
      <c r="P890" s="110"/>
      <c r="Q890" s="110"/>
      <c r="R890" s="110"/>
      <c r="S890" s="110"/>
      <c r="T890" s="110"/>
      <c r="U890" s="110"/>
      <c r="V890" s="110"/>
      <c r="W890" s="110"/>
      <c r="X890" s="110"/>
      <c r="Y890" s="110"/>
      <c r="Z890" s="110"/>
      <c r="AA890" s="110"/>
      <c r="AB890" s="110"/>
      <c r="AC890" s="110"/>
      <c r="AD890" s="110"/>
      <c r="AE890" s="110"/>
      <c r="AF890" s="110"/>
      <c r="AG890" s="110"/>
      <c r="AH890" s="110"/>
    </row>
    <row r="891">
      <c r="A891" s="110"/>
      <c r="B891" s="110"/>
      <c r="C891" s="110"/>
      <c r="D891" s="110"/>
      <c r="E891" s="110"/>
      <c r="F891" s="110"/>
      <c r="G891" s="110"/>
      <c r="H891" s="110"/>
      <c r="I891" s="110"/>
      <c r="J891" s="110"/>
      <c r="K891" s="110"/>
      <c r="L891" s="110"/>
      <c r="M891" s="110"/>
      <c r="N891" s="110"/>
      <c r="O891" s="110"/>
      <c r="P891" s="110"/>
      <c r="Q891" s="110"/>
      <c r="R891" s="110"/>
      <c r="S891" s="110"/>
      <c r="T891" s="110"/>
      <c r="U891" s="110"/>
      <c r="V891" s="110"/>
      <c r="W891" s="110"/>
      <c r="X891" s="110"/>
      <c r="Y891" s="110"/>
      <c r="Z891" s="110"/>
      <c r="AA891" s="110"/>
      <c r="AB891" s="110"/>
      <c r="AC891" s="110"/>
      <c r="AD891" s="110"/>
      <c r="AE891" s="110"/>
      <c r="AF891" s="110"/>
      <c r="AG891" s="110"/>
      <c r="AH891" s="110"/>
    </row>
    <row r="892">
      <c r="A892" s="110"/>
      <c r="B892" s="110"/>
      <c r="C892" s="110"/>
      <c r="D892" s="110"/>
      <c r="E892" s="110"/>
      <c r="F892" s="110"/>
      <c r="G892" s="110"/>
      <c r="H892" s="110"/>
      <c r="I892" s="110"/>
      <c r="J892" s="110"/>
      <c r="K892" s="110"/>
      <c r="L892" s="110"/>
      <c r="M892" s="110"/>
      <c r="N892" s="110"/>
      <c r="O892" s="110"/>
      <c r="P892" s="110"/>
      <c r="Q892" s="110"/>
      <c r="R892" s="110"/>
      <c r="S892" s="110"/>
      <c r="T892" s="110"/>
      <c r="U892" s="110"/>
      <c r="V892" s="110"/>
      <c r="W892" s="110"/>
      <c r="X892" s="110"/>
      <c r="Y892" s="110"/>
      <c r="Z892" s="110"/>
      <c r="AA892" s="110"/>
      <c r="AB892" s="110"/>
      <c r="AC892" s="110"/>
      <c r="AD892" s="110"/>
      <c r="AE892" s="110"/>
      <c r="AF892" s="110"/>
      <c r="AG892" s="110"/>
      <c r="AH892" s="110"/>
    </row>
    <row r="893">
      <c r="A893" s="110"/>
      <c r="B893" s="110"/>
      <c r="C893" s="110"/>
      <c r="D893" s="110"/>
      <c r="E893" s="110"/>
      <c r="F893" s="110"/>
      <c r="G893" s="110"/>
      <c r="H893" s="110"/>
      <c r="I893" s="110"/>
      <c r="J893" s="110"/>
      <c r="K893" s="110"/>
      <c r="L893" s="110"/>
      <c r="M893" s="110"/>
      <c r="N893" s="110"/>
      <c r="O893" s="110"/>
      <c r="P893" s="110"/>
      <c r="Q893" s="110"/>
      <c r="R893" s="110"/>
      <c r="S893" s="110"/>
      <c r="T893" s="110"/>
      <c r="U893" s="110"/>
      <c r="V893" s="110"/>
      <c r="W893" s="110"/>
      <c r="X893" s="110"/>
      <c r="Y893" s="110"/>
      <c r="Z893" s="110"/>
      <c r="AA893" s="110"/>
      <c r="AB893" s="110"/>
      <c r="AC893" s="110"/>
      <c r="AD893" s="110"/>
      <c r="AE893" s="110"/>
      <c r="AF893" s="110"/>
      <c r="AG893" s="110"/>
      <c r="AH893" s="110"/>
    </row>
    <row r="894">
      <c r="A894" s="110"/>
      <c r="B894" s="110"/>
      <c r="C894" s="110"/>
      <c r="D894" s="110"/>
      <c r="E894" s="110"/>
      <c r="F894" s="110"/>
      <c r="G894" s="110"/>
      <c r="H894" s="110"/>
      <c r="I894" s="110"/>
      <c r="J894" s="110"/>
      <c r="K894" s="110"/>
      <c r="L894" s="110"/>
      <c r="M894" s="110"/>
      <c r="N894" s="110"/>
      <c r="O894" s="110"/>
      <c r="P894" s="110"/>
      <c r="Q894" s="110"/>
      <c r="R894" s="110"/>
      <c r="S894" s="110"/>
      <c r="T894" s="110"/>
      <c r="U894" s="110"/>
      <c r="V894" s="110"/>
      <c r="W894" s="110"/>
      <c r="X894" s="110"/>
      <c r="Y894" s="110"/>
      <c r="Z894" s="110"/>
      <c r="AA894" s="110"/>
      <c r="AB894" s="110"/>
      <c r="AC894" s="110"/>
      <c r="AD894" s="110"/>
      <c r="AE894" s="110"/>
      <c r="AF894" s="110"/>
      <c r="AG894" s="110"/>
      <c r="AH894" s="110"/>
    </row>
    <row r="895">
      <c r="A895" s="110"/>
      <c r="B895" s="110"/>
      <c r="C895" s="110"/>
      <c r="D895" s="110"/>
      <c r="E895" s="110"/>
      <c r="F895" s="110"/>
      <c r="G895" s="110"/>
      <c r="H895" s="110"/>
      <c r="I895" s="110"/>
      <c r="J895" s="110"/>
      <c r="K895" s="110"/>
      <c r="L895" s="110"/>
      <c r="M895" s="110"/>
      <c r="N895" s="110"/>
      <c r="O895" s="110"/>
      <c r="P895" s="110"/>
      <c r="Q895" s="110"/>
      <c r="R895" s="110"/>
      <c r="S895" s="110"/>
      <c r="T895" s="110"/>
      <c r="U895" s="110"/>
      <c r="V895" s="110"/>
      <c r="W895" s="110"/>
      <c r="X895" s="110"/>
      <c r="Y895" s="110"/>
      <c r="Z895" s="110"/>
      <c r="AA895" s="110"/>
      <c r="AB895" s="110"/>
      <c r="AC895" s="110"/>
      <c r="AD895" s="110"/>
      <c r="AE895" s="110"/>
      <c r="AF895" s="110"/>
      <c r="AG895" s="110"/>
      <c r="AH895" s="110"/>
    </row>
    <row r="896">
      <c r="A896" s="110"/>
      <c r="B896" s="110"/>
      <c r="C896" s="110"/>
      <c r="D896" s="110"/>
      <c r="E896" s="110"/>
      <c r="F896" s="110"/>
      <c r="G896" s="110"/>
      <c r="H896" s="110"/>
      <c r="I896" s="110"/>
      <c r="J896" s="110"/>
      <c r="K896" s="110"/>
      <c r="L896" s="110"/>
      <c r="M896" s="110"/>
      <c r="N896" s="110"/>
      <c r="O896" s="110"/>
      <c r="P896" s="110"/>
      <c r="Q896" s="110"/>
      <c r="R896" s="110"/>
      <c r="S896" s="110"/>
      <c r="T896" s="110"/>
      <c r="U896" s="110"/>
      <c r="V896" s="110"/>
      <c r="W896" s="110"/>
      <c r="X896" s="110"/>
      <c r="Y896" s="110"/>
      <c r="Z896" s="110"/>
      <c r="AA896" s="110"/>
      <c r="AB896" s="110"/>
      <c r="AC896" s="110"/>
      <c r="AD896" s="110"/>
      <c r="AE896" s="110"/>
      <c r="AF896" s="110"/>
      <c r="AG896" s="110"/>
      <c r="AH896" s="110"/>
    </row>
    <row r="897">
      <c r="A897" s="110"/>
      <c r="B897" s="110"/>
      <c r="C897" s="110"/>
      <c r="D897" s="110"/>
      <c r="E897" s="110"/>
      <c r="F897" s="110"/>
      <c r="G897" s="110"/>
      <c r="H897" s="110"/>
      <c r="I897" s="110"/>
      <c r="J897" s="110"/>
      <c r="K897" s="110"/>
      <c r="L897" s="110"/>
      <c r="M897" s="110"/>
      <c r="N897" s="110"/>
      <c r="O897" s="110"/>
      <c r="P897" s="110"/>
      <c r="Q897" s="110"/>
      <c r="R897" s="110"/>
      <c r="S897" s="110"/>
      <c r="T897" s="110"/>
      <c r="U897" s="110"/>
      <c r="V897" s="110"/>
      <c r="W897" s="110"/>
      <c r="X897" s="110"/>
      <c r="Y897" s="110"/>
      <c r="Z897" s="110"/>
      <c r="AA897" s="110"/>
      <c r="AB897" s="110"/>
      <c r="AC897" s="110"/>
      <c r="AD897" s="110"/>
      <c r="AE897" s="110"/>
      <c r="AF897" s="110"/>
      <c r="AG897" s="110"/>
      <c r="AH897" s="110"/>
    </row>
    <row r="898">
      <c r="A898" s="110"/>
      <c r="B898" s="110"/>
      <c r="C898" s="110"/>
      <c r="D898" s="110"/>
      <c r="E898" s="110"/>
      <c r="F898" s="110"/>
      <c r="G898" s="110"/>
      <c r="H898" s="110"/>
      <c r="I898" s="110"/>
      <c r="J898" s="110"/>
      <c r="K898" s="110"/>
      <c r="L898" s="110"/>
      <c r="M898" s="110"/>
      <c r="N898" s="110"/>
      <c r="O898" s="110"/>
      <c r="P898" s="110"/>
      <c r="Q898" s="110"/>
      <c r="R898" s="110"/>
      <c r="S898" s="110"/>
      <c r="T898" s="110"/>
      <c r="U898" s="110"/>
      <c r="V898" s="110"/>
      <c r="W898" s="110"/>
      <c r="X898" s="110"/>
      <c r="Y898" s="110"/>
      <c r="Z898" s="110"/>
      <c r="AA898" s="110"/>
      <c r="AB898" s="110"/>
      <c r="AC898" s="110"/>
      <c r="AD898" s="110"/>
      <c r="AE898" s="110"/>
      <c r="AF898" s="110"/>
      <c r="AG898" s="110"/>
      <c r="AH898" s="110"/>
    </row>
    <row r="899">
      <c r="A899" s="110"/>
      <c r="B899" s="110"/>
      <c r="C899" s="110"/>
      <c r="D899" s="110"/>
      <c r="E899" s="110"/>
      <c r="F899" s="110"/>
      <c r="G899" s="110"/>
      <c r="H899" s="110"/>
      <c r="I899" s="110"/>
      <c r="J899" s="110"/>
      <c r="K899" s="110"/>
      <c r="L899" s="110"/>
      <c r="M899" s="110"/>
      <c r="N899" s="110"/>
      <c r="O899" s="110"/>
      <c r="P899" s="110"/>
      <c r="Q899" s="110"/>
      <c r="R899" s="110"/>
      <c r="S899" s="110"/>
      <c r="T899" s="110"/>
      <c r="U899" s="110"/>
      <c r="V899" s="110"/>
      <c r="W899" s="110"/>
      <c r="X899" s="110"/>
      <c r="Y899" s="110"/>
      <c r="Z899" s="110"/>
      <c r="AA899" s="110"/>
      <c r="AB899" s="110"/>
      <c r="AC899" s="110"/>
      <c r="AD899" s="110"/>
      <c r="AE899" s="110"/>
      <c r="AF899" s="110"/>
      <c r="AG899" s="110"/>
      <c r="AH899" s="110"/>
    </row>
    <row r="900">
      <c r="A900" s="110"/>
      <c r="B900" s="110"/>
      <c r="C900" s="110"/>
      <c r="D900" s="110"/>
      <c r="E900" s="110"/>
      <c r="F900" s="110"/>
      <c r="G900" s="110"/>
      <c r="H900" s="110"/>
      <c r="I900" s="110"/>
      <c r="J900" s="110"/>
      <c r="K900" s="110"/>
      <c r="L900" s="110"/>
      <c r="M900" s="110"/>
      <c r="N900" s="110"/>
      <c r="O900" s="110"/>
      <c r="P900" s="110"/>
      <c r="Q900" s="110"/>
      <c r="R900" s="110"/>
      <c r="S900" s="110"/>
      <c r="T900" s="110"/>
      <c r="U900" s="110"/>
      <c r="V900" s="110"/>
      <c r="W900" s="110"/>
      <c r="X900" s="110"/>
      <c r="Y900" s="110"/>
      <c r="Z900" s="110"/>
      <c r="AA900" s="110"/>
      <c r="AB900" s="110"/>
      <c r="AC900" s="110"/>
      <c r="AD900" s="110"/>
      <c r="AE900" s="110"/>
      <c r="AF900" s="110"/>
      <c r="AG900" s="110"/>
      <c r="AH900" s="110"/>
    </row>
    <row r="901">
      <c r="A901" s="110"/>
      <c r="B901" s="110"/>
      <c r="C901" s="110"/>
      <c r="D901" s="110"/>
      <c r="E901" s="110"/>
      <c r="F901" s="110"/>
      <c r="G901" s="110"/>
      <c r="H901" s="110"/>
      <c r="I901" s="110"/>
      <c r="J901" s="110"/>
      <c r="K901" s="110"/>
      <c r="L901" s="110"/>
      <c r="M901" s="110"/>
      <c r="N901" s="110"/>
      <c r="O901" s="110"/>
      <c r="P901" s="110"/>
      <c r="Q901" s="110"/>
      <c r="R901" s="110"/>
      <c r="S901" s="110"/>
      <c r="T901" s="110"/>
      <c r="U901" s="110"/>
      <c r="V901" s="110"/>
      <c r="W901" s="110"/>
      <c r="X901" s="110"/>
      <c r="Y901" s="110"/>
      <c r="Z901" s="110"/>
      <c r="AA901" s="110"/>
      <c r="AB901" s="110"/>
      <c r="AC901" s="110"/>
      <c r="AD901" s="110"/>
      <c r="AE901" s="110"/>
      <c r="AF901" s="110"/>
      <c r="AG901" s="110"/>
      <c r="AH901" s="110"/>
    </row>
    <row r="902">
      <c r="A902" s="110"/>
      <c r="B902" s="110"/>
      <c r="C902" s="110"/>
      <c r="D902" s="110"/>
      <c r="E902" s="110"/>
      <c r="F902" s="110"/>
      <c r="G902" s="110"/>
      <c r="H902" s="110"/>
      <c r="I902" s="110"/>
      <c r="J902" s="110"/>
      <c r="K902" s="110"/>
      <c r="L902" s="110"/>
      <c r="M902" s="110"/>
      <c r="N902" s="110"/>
      <c r="O902" s="110"/>
      <c r="P902" s="110"/>
      <c r="Q902" s="110"/>
      <c r="R902" s="110"/>
      <c r="S902" s="110"/>
      <c r="T902" s="110"/>
      <c r="U902" s="110"/>
      <c r="V902" s="110"/>
      <c r="W902" s="110"/>
      <c r="X902" s="110"/>
      <c r="Y902" s="110"/>
      <c r="Z902" s="110"/>
      <c r="AA902" s="110"/>
      <c r="AB902" s="110"/>
      <c r="AC902" s="110"/>
      <c r="AD902" s="110"/>
      <c r="AE902" s="110"/>
      <c r="AF902" s="110"/>
      <c r="AG902" s="110"/>
      <c r="AH902" s="110"/>
    </row>
    <row r="903">
      <c r="A903" s="110"/>
      <c r="B903" s="110"/>
      <c r="C903" s="110"/>
      <c r="D903" s="110"/>
      <c r="E903" s="110"/>
      <c r="F903" s="110"/>
      <c r="G903" s="110"/>
      <c r="H903" s="110"/>
      <c r="I903" s="110"/>
      <c r="J903" s="110"/>
      <c r="K903" s="110"/>
      <c r="L903" s="110"/>
      <c r="M903" s="110"/>
      <c r="N903" s="110"/>
      <c r="O903" s="110"/>
      <c r="P903" s="110"/>
      <c r="Q903" s="110"/>
      <c r="R903" s="110"/>
      <c r="S903" s="110"/>
      <c r="T903" s="110"/>
      <c r="U903" s="110"/>
      <c r="V903" s="110"/>
      <c r="W903" s="110"/>
      <c r="X903" s="110"/>
      <c r="Y903" s="110"/>
      <c r="Z903" s="110"/>
      <c r="AA903" s="110"/>
      <c r="AB903" s="110"/>
      <c r="AC903" s="110"/>
      <c r="AD903" s="110"/>
      <c r="AE903" s="110"/>
      <c r="AF903" s="110"/>
      <c r="AG903" s="110"/>
      <c r="AH903" s="110"/>
    </row>
    <row r="904">
      <c r="A904" s="110"/>
      <c r="B904" s="110"/>
      <c r="C904" s="110"/>
      <c r="D904" s="110"/>
      <c r="E904" s="110"/>
      <c r="F904" s="110"/>
      <c r="G904" s="110"/>
      <c r="H904" s="110"/>
      <c r="I904" s="110"/>
      <c r="J904" s="110"/>
      <c r="K904" s="110"/>
      <c r="L904" s="110"/>
      <c r="M904" s="110"/>
      <c r="N904" s="110"/>
      <c r="O904" s="110"/>
      <c r="P904" s="110"/>
      <c r="Q904" s="110"/>
      <c r="R904" s="110"/>
      <c r="S904" s="110"/>
      <c r="T904" s="110"/>
      <c r="U904" s="110"/>
      <c r="V904" s="110"/>
      <c r="W904" s="110"/>
      <c r="X904" s="110"/>
      <c r="Y904" s="110"/>
      <c r="Z904" s="110"/>
      <c r="AA904" s="110"/>
      <c r="AB904" s="110"/>
      <c r="AC904" s="110"/>
      <c r="AD904" s="110"/>
      <c r="AE904" s="110"/>
      <c r="AF904" s="110"/>
      <c r="AG904" s="110"/>
      <c r="AH904" s="110"/>
    </row>
    <row r="905">
      <c r="A905" s="110"/>
      <c r="B905" s="110"/>
      <c r="C905" s="110"/>
      <c r="D905" s="110"/>
      <c r="E905" s="110"/>
      <c r="F905" s="110"/>
      <c r="G905" s="110"/>
      <c r="H905" s="110"/>
      <c r="I905" s="110"/>
      <c r="J905" s="110"/>
      <c r="K905" s="110"/>
      <c r="L905" s="110"/>
      <c r="M905" s="110"/>
      <c r="N905" s="110"/>
      <c r="O905" s="110"/>
      <c r="P905" s="110"/>
      <c r="Q905" s="110"/>
      <c r="R905" s="110"/>
      <c r="S905" s="110"/>
      <c r="T905" s="110"/>
      <c r="U905" s="110"/>
      <c r="V905" s="110"/>
      <c r="W905" s="110"/>
      <c r="X905" s="110"/>
      <c r="Y905" s="110"/>
      <c r="Z905" s="110"/>
      <c r="AA905" s="110"/>
      <c r="AB905" s="110"/>
      <c r="AC905" s="110"/>
      <c r="AD905" s="110"/>
      <c r="AE905" s="110"/>
      <c r="AF905" s="110"/>
      <c r="AG905" s="110"/>
      <c r="AH905" s="110"/>
    </row>
    <row r="906">
      <c r="A906" s="110"/>
      <c r="B906" s="110"/>
      <c r="C906" s="110"/>
      <c r="D906" s="110"/>
      <c r="E906" s="110"/>
      <c r="F906" s="110"/>
      <c r="G906" s="110"/>
      <c r="H906" s="110"/>
      <c r="I906" s="110"/>
      <c r="J906" s="110"/>
      <c r="K906" s="110"/>
      <c r="L906" s="110"/>
      <c r="M906" s="110"/>
      <c r="N906" s="110"/>
      <c r="O906" s="110"/>
      <c r="P906" s="110"/>
      <c r="Q906" s="110"/>
      <c r="R906" s="110"/>
      <c r="S906" s="110"/>
      <c r="T906" s="110"/>
      <c r="U906" s="110"/>
      <c r="V906" s="110"/>
      <c r="W906" s="110"/>
      <c r="X906" s="110"/>
      <c r="Y906" s="110"/>
      <c r="Z906" s="110"/>
      <c r="AA906" s="110"/>
      <c r="AB906" s="110"/>
      <c r="AC906" s="110"/>
      <c r="AD906" s="110"/>
      <c r="AE906" s="110"/>
      <c r="AF906" s="110"/>
      <c r="AG906" s="110"/>
      <c r="AH906" s="110"/>
    </row>
    <row r="907">
      <c r="A907" s="110"/>
      <c r="B907" s="110"/>
      <c r="C907" s="110"/>
      <c r="D907" s="110"/>
      <c r="E907" s="110"/>
      <c r="F907" s="110"/>
      <c r="G907" s="110"/>
      <c r="H907" s="110"/>
      <c r="I907" s="110"/>
      <c r="J907" s="110"/>
      <c r="K907" s="110"/>
      <c r="L907" s="110"/>
      <c r="M907" s="110"/>
      <c r="N907" s="110"/>
      <c r="O907" s="110"/>
      <c r="P907" s="110"/>
      <c r="Q907" s="110"/>
      <c r="R907" s="110"/>
      <c r="S907" s="110"/>
      <c r="T907" s="110"/>
      <c r="U907" s="110"/>
      <c r="V907" s="110"/>
      <c r="W907" s="110"/>
      <c r="X907" s="110"/>
      <c r="Y907" s="110"/>
      <c r="Z907" s="110"/>
      <c r="AA907" s="110"/>
      <c r="AB907" s="110"/>
      <c r="AC907" s="110"/>
      <c r="AD907" s="110"/>
      <c r="AE907" s="110"/>
      <c r="AF907" s="110"/>
      <c r="AG907" s="110"/>
      <c r="AH907" s="110"/>
    </row>
    <row r="908">
      <c r="A908" s="110"/>
      <c r="B908" s="110"/>
      <c r="C908" s="110"/>
      <c r="D908" s="110"/>
      <c r="E908" s="110"/>
      <c r="F908" s="110"/>
      <c r="G908" s="110"/>
      <c r="H908" s="110"/>
      <c r="I908" s="110"/>
      <c r="J908" s="110"/>
      <c r="K908" s="110"/>
      <c r="L908" s="110"/>
      <c r="M908" s="110"/>
      <c r="N908" s="110"/>
      <c r="O908" s="110"/>
      <c r="P908" s="110"/>
      <c r="Q908" s="110"/>
      <c r="R908" s="110"/>
      <c r="S908" s="110"/>
      <c r="T908" s="110"/>
      <c r="U908" s="110"/>
      <c r="V908" s="110"/>
      <c r="W908" s="110"/>
      <c r="X908" s="110"/>
      <c r="Y908" s="110"/>
      <c r="Z908" s="110"/>
      <c r="AA908" s="110"/>
      <c r="AB908" s="110"/>
      <c r="AC908" s="110"/>
      <c r="AD908" s="110"/>
      <c r="AE908" s="110"/>
      <c r="AF908" s="110"/>
      <c r="AG908" s="110"/>
      <c r="AH908" s="110"/>
    </row>
    <row r="909">
      <c r="A909" s="110"/>
      <c r="B909" s="110"/>
      <c r="C909" s="110"/>
      <c r="D909" s="110"/>
      <c r="E909" s="110"/>
      <c r="F909" s="110"/>
      <c r="G909" s="110"/>
      <c r="H909" s="110"/>
      <c r="I909" s="110"/>
      <c r="J909" s="110"/>
      <c r="K909" s="110"/>
      <c r="L909" s="110"/>
      <c r="M909" s="110"/>
      <c r="N909" s="110"/>
      <c r="O909" s="110"/>
      <c r="P909" s="110"/>
      <c r="Q909" s="110"/>
      <c r="R909" s="110"/>
      <c r="S909" s="110"/>
      <c r="T909" s="110"/>
      <c r="U909" s="110"/>
      <c r="V909" s="110"/>
      <c r="W909" s="110"/>
      <c r="X909" s="110"/>
      <c r="Y909" s="110"/>
      <c r="Z909" s="110"/>
      <c r="AA909" s="110"/>
      <c r="AB909" s="110"/>
      <c r="AC909" s="110"/>
      <c r="AD909" s="110"/>
      <c r="AE909" s="110"/>
      <c r="AF909" s="110"/>
      <c r="AG909" s="110"/>
      <c r="AH909" s="110"/>
    </row>
    <row r="910">
      <c r="A910" s="110"/>
      <c r="B910" s="110"/>
      <c r="C910" s="110"/>
      <c r="D910" s="110"/>
      <c r="E910" s="110"/>
      <c r="F910" s="110"/>
      <c r="G910" s="110"/>
      <c r="H910" s="110"/>
      <c r="I910" s="110"/>
      <c r="J910" s="110"/>
      <c r="K910" s="110"/>
      <c r="L910" s="110"/>
      <c r="M910" s="110"/>
      <c r="N910" s="110"/>
      <c r="O910" s="110"/>
      <c r="P910" s="110"/>
      <c r="Q910" s="110"/>
      <c r="R910" s="110"/>
      <c r="S910" s="110"/>
      <c r="T910" s="110"/>
      <c r="U910" s="110"/>
      <c r="V910" s="110"/>
      <c r="W910" s="110"/>
      <c r="X910" s="110"/>
      <c r="Y910" s="110"/>
      <c r="Z910" s="110"/>
      <c r="AA910" s="110"/>
      <c r="AB910" s="110"/>
      <c r="AC910" s="110"/>
      <c r="AD910" s="110"/>
      <c r="AE910" s="110"/>
      <c r="AF910" s="110"/>
      <c r="AG910" s="110"/>
      <c r="AH910" s="110"/>
    </row>
    <row r="911">
      <c r="A911" s="110"/>
      <c r="B911" s="110"/>
      <c r="C911" s="110"/>
      <c r="D911" s="110"/>
      <c r="E911" s="110"/>
      <c r="F911" s="110"/>
      <c r="G911" s="110"/>
      <c r="H911" s="110"/>
      <c r="I911" s="110"/>
      <c r="J911" s="110"/>
      <c r="K911" s="110"/>
      <c r="L911" s="110"/>
      <c r="M911" s="110"/>
      <c r="N911" s="110"/>
      <c r="O911" s="110"/>
      <c r="P911" s="110"/>
      <c r="Q911" s="110"/>
      <c r="R911" s="110"/>
      <c r="S911" s="110"/>
      <c r="T911" s="110"/>
      <c r="U911" s="110"/>
      <c r="V911" s="110"/>
      <c r="W911" s="110"/>
      <c r="X911" s="110"/>
      <c r="Y911" s="110"/>
      <c r="Z911" s="110"/>
      <c r="AA911" s="110"/>
      <c r="AB911" s="110"/>
      <c r="AC911" s="110"/>
      <c r="AD911" s="110"/>
      <c r="AE911" s="110"/>
      <c r="AF911" s="110"/>
      <c r="AG911" s="110"/>
      <c r="AH911" s="110"/>
    </row>
    <row r="912">
      <c r="A912" s="110"/>
      <c r="B912" s="110"/>
      <c r="C912" s="110"/>
      <c r="D912" s="110"/>
      <c r="E912" s="110"/>
      <c r="F912" s="110"/>
      <c r="G912" s="110"/>
      <c r="H912" s="110"/>
      <c r="I912" s="110"/>
      <c r="J912" s="110"/>
      <c r="K912" s="110"/>
      <c r="L912" s="110"/>
      <c r="M912" s="110"/>
      <c r="N912" s="110"/>
      <c r="O912" s="110"/>
      <c r="P912" s="110"/>
      <c r="Q912" s="110"/>
      <c r="R912" s="110"/>
      <c r="S912" s="110"/>
      <c r="T912" s="110"/>
      <c r="U912" s="110"/>
      <c r="V912" s="110"/>
      <c r="W912" s="110"/>
      <c r="X912" s="110"/>
      <c r="Y912" s="110"/>
      <c r="Z912" s="110"/>
      <c r="AA912" s="110"/>
      <c r="AB912" s="110"/>
      <c r="AC912" s="110"/>
      <c r="AD912" s="110"/>
      <c r="AE912" s="110"/>
      <c r="AF912" s="110"/>
      <c r="AG912" s="110"/>
      <c r="AH912" s="110"/>
    </row>
    <row r="913">
      <c r="A913" s="110"/>
      <c r="B913" s="110"/>
      <c r="C913" s="110"/>
      <c r="D913" s="110"/>
      <c r="E913" s="110"/>
      <c r="F913" s="110"/>
      <c r="G913" s="110"/>
      <c r="H913" s="110"/>
      <c r="I913" s="110"/>
      <c r="J913" s="110"/>
      <c r="K913" s="110"/>
      <c r="L913" s="110"/>
      <c r="M913" s="110"/>
      <c r="N913" s="110"/>
      <c r="O913" s="110"/>
      <c r="P913" s="110"/>
      <c r="Q913" s="110"/>
      <c r="R913" s="110"/>
      <c r="S913" s="110"/>
      <c r="T913" s="110"/>
      <c r="U913" s="110"/>
      <c r="V913" s="110"/>
      <c r="W913" s="110"/>
      <c r="X913" s="110"/>
      <c r="Y913" s="110"/>
      <c r="Z913" s="110"/>
      <c r="AA913" s="110"/>
      <c r="AB913" s="110"/>
      <c r="AC913" s="110"/>
      <c r="AD913" s="110"/>
      <c r="AE913" s="110"/>
      <c r="AF913" s="110"/>
      <c r="AG913" s="110"/>
      <c r="AH913" s="110"/>
    </row>
    <row r="914">
      <c r="A914" s="110"/>
      <c r="B914" s="110"/>
      <c r="C914" s="110"/>
      <c r="D914" s="110"/>
      <c r="E914" s="110"/>
      <c r="F914" s="110"/>
      <c r="G914" s="110"/>
      <c r="H914" s="110"/>
      <c r="I914" s="110"/>
      <c r="J914" s="110"/>
      <c r="K914" s="110"/>
      <c r="L914" s="110"/>
      <c r="M914" s="110"/>
      <c r="N914" s="110"/>
      <c r="O914" s="110"/>
      <c r="P914" s="110"/>
      <c r="Q914" s="110"/>
      <c r="R914" s="110"/>
      <c r="S914" s="110"/>
      <c r="T914" s="110"/>
      <c r="U914" s="110"/>
      <c r="V914" s="110"/>
      <c r="W914" s="110"/>
      <c r="X914" s="110"/>
      <c r="Y914" s="110"/>
      <c r="Z914" s="110"/>
      <c r="AA914" s="110"/>
      <c r="AB914" s="110"/>
      <c r="AC914" s="110"/>
      <c r="AD914" s="110"/>
      <c r="AE914" s="110"/>
      <c r="AF914" s="110"/>
      <c r="AG914" s="110"/>
      <c r="AH914" s="110"/>
    </row>
    <row r="915">
      <c r="A915" s="110"/>
      <c r="B915" s="110"/>
      <c r="C915" s="110"/>
      <c r="D915" s="110"/>
      <c r="E915" s="110"/>
      <c r="F915" s="110"/>
      <c r="G915" s="110"/>
      <c r="H915" s="110"/>
      <c r="I915" s="110"/>
      <c r="J915" s="110"/>
      <c r="K915" s="110"/>
      <c r="L915" s="110"/>
      <c r="M915" s="110"/>
      <c r="N915" s="110"/>
      <c r="O915" s="110"/>
      <c r="P915" s="110"/>
      <c r="Q915" s="110"/>
      <c r="R915" s="110"/>
      <c r="S915" s="110"/>
      <c r="T915" s="110"/>
      <c r="U915" s="110"/>
      <c r="V915" s="110"/>
      <c r="W915" s="110"/>
      <c r="X915" s="110"/>
      <c r="Y915" s="110"/>
      <c r="Z915" s="110"/>
      <c r="AA915" s="110"/>
      <c r="AB915" s="110"/>
      <c r="AC915" s="110"/>
      <c r="AD915" s="110"/>
      <c r="AE915" s="110"/>
      <c r="AF915" s="110"/>
      <c r="AG915" s="110"/>
      <c r="AH915" s="110"/>
    </row>
    <row r="916">
      <c r="A916" s="110"/>
      <c r="B916" s="110"/>
      <c r="C916" s="110"/>
      <c r="D916" s="110"/>
      <c r="E916" s="110"/>
      <c r="F916" s="110"/>
      <c r="G916" s="110"/>
      <c r="H916" s="110"/>
      <c r="I916" s="110"/>
      <c r="J916" s="110"/>
      <c r="K916" s="110"/>
      <c r="L916" s="110"/>
      <c r="M916" s="110"/>
      <c r="N916" s="110"/>
      <c r="O916" s="110"/>
      <c r="P916" s="110"/>
      <c r="Q916" s="110"/>
      <c r="R916" s="110"/>
      <c r="S916" s="110"/>
      <c r="T916" s="110"/>
      <c r="U916" s="110"/>
      <c r="V916" s="110"/>
      <c r="W916" s="110"/>
      <c r="X916" s="110"/>
      <c r="Y916" s="110"/>
      <c r="Z916" s="110"/>
      <c r="AA916" s="110"/>
      <c r="AB916" s="110"/>
      <c r="AC916" s="110"/>
      <c r="AD916" s="110"/>
      <c r="AE916" s="110"/>
      <c r="AF916" s="110"/>
      <c r="AG916" s="110"/>
      <c r="AH916" s="110"/>
    </row>
    <row r="917">
      <c r="A917" s="110"/>
      <c r="B917" s="110"/>
      <c r="C917" s="110"/>
      <c r="D917" s="110"/>
      <c r="E917" s="110"/>
      <c r="F917" s="110"/>
      <c r="G917" s="110"/>
      <c r="H917" s="110"/>
      <c r="I917" s="110"/>
      <c r="J917" s="110"/>
      <c r="K917" s="110"/>
      <c r="L917" s="110"/>
      <c r="M917" s="110"/>
      <c r="N917" s="110"/>
      <c r="O917" s="110"/>
      <c r="P917" s="110"/>
      <c r="Q917" s="110"/>
      <c r="R917" s="110"/>
      <c r="S917" s="110"/>
      <c r="T917" s="110"/>
      <c r="U917" s="110"/>
      <c r="V917" s="110"/>
      <c r="W917" s="110"/>
      <c r="X917" s="110"/>
      <c r="Y917" s="110"/>
      <c r="Z917" s="110"/>
      <c r="AA917" s="110"/>
      <c r="AB917" s="110"/>
      <c r="AC917" s="110"/>
      <c r="AD917" s="110"/>
      <c r="AE917" s="110"/>
      <c r="AF917" s="110"/>
      <c r="AG917" s="110"/>
      <c r="AH917" s="110"/>
    </row>
    <row r="918">
      <c r="A918" s="110"/>
      <c r="B918" s="110"/>
      <c r="C918" s="110"/>
      <c r="D918" s="110"/>
      <c r="E918" s="110"/>
      <c r="F918" s="110"/>
      <c r="G918" s="110"/>
      <c r="H918" s="110"/>
      <c r="I918" s="110"/>
      <c r="J918" s="110"/>
      <c r="K918" s="110"/>
      <c r="L918" s="110"/>
      <c r="M918" s="110"/>
      <c r="N918" s="110"/>
      <c r="O918" s="110"/>
      <c r="P918" s="110"/>
      <c r="Q918" s="110"/>
      <c r="R918" s="110"/>
      <c r="S918" s="110"/>
      <c r="T918" s="110"/>
      <c r="U918" s="110"/>
      <c r="V918" s="110"/>
      <c r="W918" s="110"/>
      <c r="X918" s="110"/>
      <c r="Y918" s="110"/>
      <c r="Z918" s="110"/>
      <c r="AA918" s="110"/>
      <c r="AB918" s="110"/>
      <c r="AC918" s="110"/>
      <c r="AD918" s="110"/>
      <c r="AE918" s="110"/>
      <c r="AF918" s="110"/>
      <c r="AG918" s="110"/>
      <c r="AH918" s="110"/>
    </row>
    <row r="919">
      <c r="A919" s="110"/>
      <c r="B919" s="110"/>
      <c r="C919" s="110"/>
      <c r="D919" s="110"/>
      <c r="E919" s="110"/>
      <c r="F919" s="110"/>
      <c r="G919" s="110"/>
      <c r="H919" s="110"/>
      <c r="I919" s="110"/>
      <c r="J919" s="110"/>
      <c r="K919" s="110"/>
      <c r="L919" s="110"/>
      <c r="M919" s="110"/>
      <c r="N919" s="110"/>
      <c r="O919" s="110"/>
      <c r="P919" s="110"/>
      <c r="Q919" s="110"/>
      <c r="R919" s="110"/>
      <c r="S919" s="110"/>
      <c r="T919" s="110"/>
      <c r="U919" s="110"/>
      <c r="V919" s="110"/>
      <c r="W919" s="110"/>
      <c r="X919" s="110"/>
      <c r="Y919" s="110"/>
      <c r="Z919" s="110"/>
      <c r="AA919" s="110"/>
      <c r="AB919" s="110"/>
      <c r="AC919" s="110"/>
      <c r="AD919" s="110"/>
      <c r="AE919" s="110"/>
      <c r="AF919" s="110"/>
      <c r="AG919" s="110"/>
      <c r="AH919" s="110"/>
    </row>
    <row r="920">
      <c r="A920" s="110"/>
      <c r="B920" s="110"/>
      <c r="C920" s="110"/>
      <c r="D920" s="110"/>
      <c r="E920" s="110"/>
      <c r="F920" s="110"/>
      <c r="G920" s="110"/>
      <c r="H920" s="110"/>
      <c r="I920" s="110"/>
      <c r="J920" s="110"/>
      <c r="K920" s="110"/>
      <c r="L920" s="110"/>
      <c r="M920" s="110"/>
      <c r="N920" s="110"/>
      <c r="O920" s="110"/>
      <c r="P920" s="110"/>
      <c r="Q920" s="110"/>
      <c r="R920" s="110"/>
      <c r="S920" s="110"/>
      <c r="T920" s="110"/>
      <c r="U920" s="110"/>
      <c r="V920" s="110"/>
      <c r="W920" s="110"/>
      <c r="X920" s="110"/>
      <c r="Y920" s="110"/>
      <c r="Z920" s="110"/>
      <c r="AA920" s="110"/>
      <c r="AB920" s="110"/>
      <c r="AC920" s="110"/>
      <c r="AD920" s="110"/>
      <c r="AE920" s="110"/>
      <c r="AF920" s="110"/>
      <c r="AG920" s="110"/>
      <c r="AH920" s="110"/>
    </row>
    <row r="921">
      <c r="A921" s="110"/>
      <c r="B921" s="110"/>
      <c r="C921" s="110"/>
      <c r="D921" s="110"/>
      <c r="E921" s="110"/>
      <c r="F921" s="110"/>
      <c r="G921" s="110"/>
      <c r="H921" s="110"/>
      <c r="I921" s="110"/>
      <c r="J921" s="110"/>
      <c r="K921" s="110"/>
      <c r="L921" s="110"/>
      <c r="M921" s="110"/>
      <c r="N921" s="110"/>
      <c r="O921" s="110"/>
      <c r="P921" s="110"/>
      <c r="Q921" s="110"/>
      <c r="R921" s="110"/>
      <c r="S921" s="110"/>
      <c r="T921" s="110"/>
      <c r="U921" s="110"/>
      <c r="V921" s="110"/>
      <c r="W921" s="110"/>
      <c r="X921" s="110"/>
      <c r="Y921" s="110"/>
      <c r="Z921" s="110"/>
      <c r="AA921" s="110"/>
      <c r="AB921" s="110"/>
      <c r="AC921" s="110"/>
      <c r="AD921" s="110"/>
      <c r="AE921" s="110"/>
      <c r="AF921" s="110"/>
      <c r="AG921" s="110"/>
      <c r="AH921" s="110"/>
    </row>
    <row r="922">
      <c r="A922" s="110"/>
      <c r="B922" s="110"/>
      <c r="C922" s="110"/>
      <c r="D922" s="110"/>
      <c r="E922" s="110"/>
      <c r="F922" s="110"/>
      <c r="G922" s="110"/>
      <c r="H922" s="110"/>
      <c r="I922" s="110"/>
      <c r="J922" s="110"/>
      <c r="K922" s="110"/>
      <c r="L922" s="110"/>
      <c r="M922" s="110"/>
      <c r="N922" s="110"/>
      <c r="O922" s="110"/>
      <c r="P922" s="110"/>
      <c r="Q922" s="110"/>
      <c r="R922" s="110"/>
      <c r="S922" s="110"/>
      <c r="T922" s="110"/>
      <c r="U922" s="110"/>
      <c r="V922" s="110"/>
      <c r="W922" s="110"/>
      <c r="X922" s="110"/>
      <c r="Y922" s="110"/>
      <c r="Z922" s="110"/>
      <c r="AA922" s="110"/>
      <c r="AB922" s="110"/>
      <c r="AC922" s="110"/>
      <c r="AD922" s="110"/>
      <c r="AE922" s="110"/>
      <c r="AF922" s="110"/>
      <c r="AG922" s="110"/>
      <c r="AH922" s="110"/>
    </row>
    <row r="923">
      <c r="A923" s="110"/>
      <c r="B923" s="110"/>
      <c r="C923" s="110"/>
      <c r="D923" s="110"/>
      <c r="E923" s="110"/>
      <c r="F923" s="110"/>
      <c r="G923" s="110"/>
      <c r="H923" s="110"/>
      <c r="I923" s="110"/>
      <c r="J923" s="110"/>
      <c r="K923" s="110"/>
      <c r="L923" s="110"/>
      <c r="M923" s="110"/>
      <c r="N923" s="110"/>
      <c r="O923" s="110"/>
      <c r="P923" s="110"/>
      <c r="Q923" s="110"/>
      <c r="R923" s="110"/>
      <c r="S923" s="110"/>
      <c r="T923" s="110"/>
      <c r="U923" s="110"/>
      <c r="V923" s="110"/>
      <c r="W923" s="110"/>
      <c r="X923" s="110"/>
      <c r="Y923" s="110"/>
      <c r="Z923" s="110"/>
      <c r="AA923" s="110"/>
      <c r="AB923" s="110"/>
      <c r="AC923" s="110"/>
      <c r="AD923" s="110"/>
      <c r="AE923" s="110"/>
      <c r="AF923" s="110"/>
      <c r="AG923" s="110"/>
      <c r="AH923" s="110"/>
    </row>
    <row r="924">
      <c r="A924" s="110"/>
      <c r="B924" s="110"/>
      <c r="C924" s="110"/>
      <c r="D924" s="110"/>
      <c r="E924" s="110"/>
      <c r="F924" s="110"/>
      <c r="G924" s="110"/>
      <c r="H924" s="110"/>
      <c r="I924" s="110"/>
      <c r="J924" s="110"/>
      <c r="K924" s="110"/>
      <c r="L924" s="110"/>
      <c r="M924" s="110"/>
      <c r="N924" s="110"/>
      <c r="O924" s="110"/>
      <c r="P924" s="110"/>
      <c r="Q924" s="110"/>
      <c r="R924" s="110"/>
      <c r="S924" s="110"/>
      <c r="T924" s="110"/>
      <c r="U924" s="110"/>
      <c r="V924" s="110"/>
      <c r="W924" s="110"/>
      <c r="X924" s="110"/>
      <c r="Y924" s="110"/>
      <c r="Z924" s="110"/>
      <c r="AA924" s="110"/>
      <c r="AB924" s="110"/>
      <c r="AC924" s="110"/>
      <c r="AD924" s="110"/>
      <c r="AE924" s="110"/>
      <c r="AF924" s="110"/>
      <c r="AG924" s="110"/>
      <c r="AH924" s="110"/>
    </row>
    <row r="925">
      <c r="A925" s="110"/>
      <c r="B925" s="110"/>
      <c r="C925" s="110"/>
      <c r="D925" s="110"/>
      <c r="E925" s="110"/>
      <c r="F925" s="110"/>
      <c r="G925" s="110"/>
      <c r="H925" s="110"/>
      <c r="I925" s="110"/>
      <c r="J925" s="110"/>
      <c r="K925" s="110"/>
      <c r="L925" s="110"/>
      <c r="M925" s="110"/>
      <c r="N925" s="110"/>
      <c r="O925" s="110"/>
      <c r="P925" s="110"/>
      <c r="Q925" s="110"/>
      <c r="R925" s="110"/>
      <c r="S925" s="110"/>
      <c r="T925" s="110"/>
      <c r="U925" s="110"/>
      <c r="V925" s="110"/>
      <c r="W925" s="110"/>
      <c r="X925" s="110"/>
      <c r="Y925" s="110"/>
      <c r="Z925" s="110"/>
      <c r="AA925" s="110"/>
      <c r="AB925" s="110"/>
      <c r="AC925" s="110"/>
      <c r="AD925" s="110"/>
      <c r="AE925" s="110"/>
      <c r="AF925" s="110"/>
      <c r="AG925" s="110"/>
      <c r="AH925" s="110"/>
    </row>
    <row r="926">
      <c r="A926" s="110"/>
      <c r="B926" s="110"/>
      <c r="C926" s="110"/>
      <c r="D926" s="110"/>
      <c r="E926" s="110"/>
      <c r="F926" s="110"/>
      <c r="G926" s="110"/>
      <c r="H926" s="110"/>
      <c r="I926" s="110"/>
      <c r="J926" s="110"/>
      <c r="K926" s="110"/>
      <c r="L926" s="110"/>
      <c r="M926" s="110"/>
      <c r="N926" s="110"/>
      <c r="O926" s="110"/>
      <c r="P926" s="110"/>
      <c r="Q926" s="110"/>
      <c r="R926" s="110"/>
      <c r="S926" s="110"/>
      <c r="T926" s="110"/>
      <c r="U926" s="110"/>
      <c r="V926" s="110"/>
      <c r="W926" s="110"/>
      <c r="X926" s="110"/>
      <c r="Y926" s="110"/>
      <c r="Z926" s="110"/>
      <c r="AA926" s="110"/>
      <c r="AB926" s="110"/>
      <c r="AC926" s="110"/>
      <c r="AD926" s="110"/>
      <c r="AE926" s="110"/>
      <c r="AF926" s="110"/>
      <c r="AG926" s="110"/>
      <c r="AH926" s="110"/>
    </row>
    <row r="927">
      <c r="A927" s="110"/>
      <c r="B927" s="110"/>
      <c r="C927" s="110"/>
      <c r="D927" s="110"/>
      <c r="E927" s="110"/>
      <c r="F927" s="110"/>
      <c r="G927" s="110"/>
      <c r="H927" s="110"/>
      <c r="I927" s="110"/>
      <c r="J927" s="110"/>
      <c r="K927" s="110"/>
      <c r="L927" s="110"/>
      <c r="M927" s="110"/>
      <c r="N927" s="110"/>
      <c r="O927" s="110"/>
      <c r="P927" s="110"/>
      <c r="Q927" s="110"/>
      <c r="R927" s="110"/>
      <c r="S927" s="110"/>
      <c r="T927" s="110"/>
      <c r="U927" s="110"/>
      <c r="V927" s="110"/>
      <c r="W927" s="110"/>
      <c r="X927" s="110"/>
      <c r="Y927" s="110"/>
      <c r="Z927" s="110"/>
      <c r="AA927" s="110"/>
      <c r="AB927" s="110"/>
      <c r="AC927" s="110"/>
      <c r="AD927" s="110"/>
      <c r="AE927" s="110"/>
      <c r="AF927" s="110"/>
      <c r="AG927" s="110"/>
      <c r="AH927" s="110"/>
    </row>
    <row r="928">
      <c r="A928" s="110"/>
      <c r="B928" s="110"/>
      <c r="C928" s="110"/>
      <c r="D928" s="110"/>
      <c r="E928" s="110"/>
      <c r="F928" s="110"/>
      <c r="G928" s="110"/>
      <c r="H928" s="110"/>
      <c r="I928" s="110"/>
      <c r="J928" s="110"/>
      <c r="K928" s="110"/>
      <c r="L928" s="110"/>
      <c r="M928" s="110"/>
      <c r="N928" s="110"/>
      <c r="O928" s="110"/>
      <c r="P928" s="110"/>
      <c r="Q928" s="110"/>
      <c r="R928" s="110"/>
      <c r="S928" s="110"/>
      <c r="T928" s="110"/>
      <c r="U928" s="110"/>
      <c r="V928" s="110"/>
      <c r="W928" s="110"/>
      <c r="X928" s="110"/>
      <c r="Y928" s="110"/>
      <c r="Z928" s="110"/>
      <c r="AA928" s="110"/>
      <c r="AB928" s="110"/>
      <c r="AC928" s="110"/>
      <c r="AD928" s="110"/>
      <c r="AE928" s="110"/>
      <c r="AF928" s="110"/>
      <c r="AG928" s="110"/>
      <c r="AH928" s="110"/>
    </row>
    <row r="929">
      <c r="A929" s="110"/>
      <c r="B929" s="110"/>
      <c r="C929" s="110"/>
      <c r="D929" s="110"/>
      <c r="E929" s="110"/>
      <c r="F929" s="110"/>
      <c r="G929" s="110"/>
      <c r="H929" s="110"/>
      <c r="I929" s="110"/>
      <c r="J929" s="110"/>
      <c r="K929" s="110"/>
      <c r="L929" s="110"/>
      <c r="M929" s="110"/>
      <c r="N929" s="110"/>
      <c r="O929" s="110"/>
      <c r="P929" s="110"/>
      <c r="Q929" s="110"/>
      <c r="R929" s="110"/>
      <c r="S929" s="110"/>
      <c r="T929" s="110"/>
      <c r="U929" s="110"/>
      <c r="V929" s="110"/>
      <c r="W929" s="110"/>
      <c r="X929" s="110"/>
      <c r="Y929" s="110"/>
      <c r="Z929" s="110"/>
      <c r="AA929" s="110"/>
      <c r="AB929" s="110"/>
      <c r="AC929" s="110"/>
      <c r="AD929" s="110"/>
      <c r="AE929" s="110"/>
      <c r="AF929" s="110"/>
      <c r="AG929" s="110"/>
      <c r="AH929" s="110"/>
    </row>
    <row r="930">
      <c r="A930" s="110"/>
      <c r="B930" s="110"/>
      <c r="C930" s="110"/>
      <c r="D930" s="110"/>
      <c r="E930" s="110"/>
      <c r="F930" s="110"/>
      <c r="G930" s="110"/>
      <c r="H930" s="110"/>
      <c r="I930" s="110"/>
      <c r="J930" s="110"/>
      <c r="K930" s="110"/>
      <c r="L930" s="110"/>
      <c r="M930" s="110"/>
      <c r="N930" s="110"/>
      <c r="O930" s="110"/>
      <c r="P930" s="110"/>
      <c r="Q930" s="110"/>
      <c r="R930" s="110"/>
      <c r="S930" s="110"/>
      <c r="T930" s="110"/>
      <c r="U930" s="110"/>
      <c r="V930" s="110"/>
      <c r="W930" s="110"/>
      <c r="X930" s="110"/>
      <c r="Y930" s="110"/>
      <c r="Z930" s="110"/>
      <c r="AA930" s="110"/>
      <c r="AB930" s="110"/>
      <c r="AC930" s="110"/>
      <c r="AD930" s="110"/>
      <c r="AE930" s="110"/>
      <c r="AF930" s="110"/>
      <c r="AG930" s="110"/>
      <c r="AH930" s="110"/>
    </row>
    <row r="931">
      <c r="A931" s="110"/>
      <c r="B931" s="110"/>
      <c r="C931" s="110"/>
      <c r="D931" s="110"/>
      <c r="E931" s="110"/>
      <c r="F931" s="110"/>
      <c r="G931" s="110"/>
      <c r="H931" s="110"/>
      <c r="I931" s="110"/>
      <c r="J931" s="110"/>
      <c r="K931" s="110"/>
      <c r="L931" s="110"/>
      <c r="M931" s="110"/>
      <c r="N931" s="110"/>
      <c r="O931" s="110"/>
      <c r="P931" s="110"/>
      <c r="Q931" s="110"/>
      <c r="R931" s="110"/>
      <c r="S931" s="110"/>
      <c r="T931" s="110"/>
      <c r="U931" s="110"/>
      <c r="V931" s="110"/>
      <c r="W931" s="110"/>
      <c r="X931" s="110"/>
      <c r="Y931" s="110"/>
      <c r="Z931" s="110"/>
      <c r="AA931" s="110"/>
      <c r="AB931" s="110"/>
      <c r="AC931" s="110"/>
      <c r="AD931" s="110"/>
      <c r="AE931" s="110"/>
      <c r="AF931" s="110"/>
      <c r="AG931" s="110"/>
      <c r="AH931" s="110"/>
    </row>
    <row r="932">
      <c r="A932" s="110"/>
      <c r="B932" s="110"/>
      <c r="C932" s="110"/>
      <c r="D932" s="110"/>
      <c r="E932" s="110"/>
      <c r="F932" s="110"/>
      <c r="G932" s="110"/>
      <c r="H932" s="110"/>
      <c r="I932" s="110"/>
      <c r="J932" s="110"/>
      <c r="K932" s="110"/>
      <c r="L932" s="110"/>
      <c r="M932" s="110"/>
      <c r="N932" s="110"/>
      <c r="O932" s="110"/>
      <c r="P932" s="110"/>
      <c r="Q932" s="110"/>
      <c r="R932" s="110"/>
      <c r="S932" s="110"/>
      <c r="T932" s="110"/>
      <c r="U932" s="110"/>
      <c r="V932" s="110"/>
      <c r="W932" s="110"/>
      <c r="X932" s="110"/>
      <c r="Y932" s="110"/>
      <c r="Z932" s="110"/>
      <c r="AA932" s="110"/>
      <c r="AB932" s="110"/>
      <c r="AC932" s="110"/>
      <c r="AD932" s="110"/>
      <c r="AE932" s="110"/>
      <c r="AF932" s="110"/>
      <c r="AG932" s="110"/>
      <c r="AH932" s="110"/>
    </row>
    <row r="933">
      <c r="A933" s="110"/>
      <c r="B933" s="110"/>
      <c r="C933" s="110"/>
      <c r="D933" s="110"/>
      <c r="E933" s="110"/>
      <c r="F933" s="110"/>
      <c r="G933" s="110"/>
      <c r="H933" s="110"/>
      <c r="I933" s="110"/>
      <c r="J933" s="110"/>
      <c r="K933" s="110"/>
      <c r="L933" s="110"/>
      <c r="M933" s="110"/>
      <c r="N933" s="110"/>
      <c r="O933" s="110"/>
      <c r="P933" s="110"/>
      <c r="Q933" s="110"/>
      <c r="R933" s="110"/>
      <c r="S933" s="110"/>
      <c r="T933" s="110"/>
      <c r="U933" s="110"/>
      <c r="V933" s="110"/>
      <c r="W933" s="110"/>
      <c r="X933" s="110"/>
      <c r="Y933" s="110"/>
      <c r="Z933" s="110"/>
      <c r="AA933" s="110"/>
      <c r="AB933" s="110"/>
      <c r="AC933" s="110"/>
      <c r="AD933" s="110"/>
      <c r="AE933" s="110"/>
      <c r="AF933" s="110"/>
      <c r="AG933" s="110"/>
      <c r="AH933" s="110"/>
    </row>
    <row r="934">
      <c r="A934" s="110"/>
      <c r="B934" s="110"/>
      <c r="C934" s="110"/>
      <c r="D934" s="110"/>
      <c r="E934" s="110"/>
      <c r="F934" s="110"/>
      <c r="G934" s="110"/>
      <c r="H934" s="110"/>
      <c r="I934" s="110"/>
      <c r="J934" s="110"/>
      <c r="K934" s="110"/>
      <c r="L934" s="110"/>
      <c r="M934" s="110"/>
      <c r="N934" s="110"/>
      <c r="O934" s="110"/>
      <c r="P934" s="110"/>
      <c r="Q934" s="110"/>
      <c r="R934" s="110"/>
      <c r="S934" s="110"/>
      <c r="T934" s="110"/>
      <c r="U934" s="110"/>
      <c r="V934" s="110"/>
      <c r="W934" s="110"/>
      <c r="X934" s="110"/>
      <c r="Y934" s="110"/>
      <c r="Z934" s="110"/>
      <c r="AA934" s="110"/>
      <c r="AB934" s="110"/>
      <c r="AC934" s="110"/>
      <c r="AD934" s="110"/>
      <c r="AE934" s="110"/>
      <c r="AF934" s="110"/>
      <c r="AG934" s="110"/>
      <c r="AH934" s="110"/>
    </row>
    <row r="935">
      <c r="A935" s="110"/>
      <c r="B935" s="110"/>
      <c r="C935" s="110"/>
      <c r="D935" s="110"/>
      <c r="E935" s="110"/>
      <c r="F935" s="110"/>
      <c r="G935" s="110"/>
      <c r="H935" s="110"/>
      <c r="I935" s="110"/>
      <c r="J935" s="110"/>
      <c r="K935" s="110"/>
      <c r="L935" s="110"/>
      <c r="M935" s="110"/>
      <c r="N935" s="110"/>
      <c r="O935" s="110"/>
      <c r="P935" s="110"/>
      <c r="Q935" s="110"/>
      <c r="R935" s="110"/>
      <c r="S935" s="110"/>
      <c r="T935" s="110"/>
      <c r="U935" s="110"/>
      <c r="V935" s="110"/>
      <c r="W935" s="110"/>
      <c r="X935" s="110"/>
      <c r="Y935" s="110"/>
      <c r="Z935" s="110"/>
      <c r="AA935" s="110"/>
      <c r="AB935" s="110"/>
      <c r="AC935" s="110"/>
      <c r="AD935" s="110"/>
      <c r="AE935" s="110"/>
      <c r="AF935" s="110"/>
      <c r="AG935" s="110"/>
      <c r="AH935" s="110"/>
    </row>
    <row r="936">
      <c r="A936" s="110"/>
      <c r="B936" s="110"/>
      <c r="C936" s="110"/>
      <c r="D936" s="110"/>
      <c r="E936" s="110"/>
      <c r="F936" s="110"/>
      <c r="G936" s="110"/>
      <c r="H936" s="110"/>
      <c r="I936" s="110"/>
      <c r="J936" s="110"/>
      <c r="K936" s="110"/>
      <c r="L936" s="110"/>
      <c r="M936" s="110"/>
      <c r="N936" s="110"/>
      <c r="O936" s="110"/>
      <c r="P936" s="110"/>
      <c r="Q936" s="110"/>
      <c r="R936" s="110"/>
      <c r="S936" s="110"/>
      <c r="T936" s="110"/>
      <c r="U936" s="110"/>
      <c r="V936" s="110"/>
      <c r="W936" s="110"/>
      <c r="X936" s="110"/>
      <c r="Y936" s="110"/>
      <c r="Z936" s="110"/>
      <c r="AA936" s="110"/>
      <c r="AB936" s="110"/>
      <c r="AC936" s="110"/>
      <c r="AD936" s="110"/>
      <c r="AE936" s="110"/>
      <c r="AF936" s="110"/>
      <c r="AG936" s="110"/>
      <c r="AH936" s="110"/>
    </row>
    <row r="937">
      <c r="A937" s="110"/>
      <c r="B937" s="110"/>
      <c r="C937" s="110"/>
      <c r="D937" s="110"/>
      <c r="E937" s="110"/>
      <c r="F937" s="110"/>
      <c r="G937" s="110"/>
      <c r="H937" s="110"/>
      <c r="I937" s="110"/>
      <c r="J937" s="110"/>
      <c r="K937" s="110"/>
      <c r="L937" s="110"/>
      <c r="M937" s="110"/>
      <c r="N937" s="110"/>
      <c r="O937" s="110"/>
      <c r="P937" s="110"/>
      <c r="Q937" s="110"/>
      <c r="R937" s="110"/>
      <c r="S937" s="110"/>
      <c r="T937" s="110"/>
      <c r="U937" s="110"/>
      <c r="V937" s="110"/>
      <c r="W937" s="110"/>
      <c r="X937" s="110"/>
      <c r="Y937" s="110"/>
      <c r="Z937" s="110"/>
      <c r="AA937" s="110"/>
      <c r="AB937" s="110"/>
      <c r="AC937" s="110"/>
      <c r="AD937" s="110"/>
      <c r="AE937" s="110"/>
      <c r="AF937" s="110"/>
      <c r="AG937" s="110"/>
      <c r="AH937" s="110"/>
    </row>
    <row r="938">
      <c r="A938" s="110"/>
      <c r="B938" s="110"/>
      <c r="C938" s="110"/>
      <c r="D938" s="110"/>
      <c r="E938" s="110"/>
      <c r="F938" s="110"/>
      <c r="G938" s="110"/>
      <c r="H938" s="110"/>
      <c r="I938" s="110"/>
      <c r="J938" s="110"/>
      <c r="K938" s="110"/>
      <c r="L938" s="110"/>
      <c r="M938" s="110"/>
      <c r="N938" s="110"/>
      <c r="O938" s="110"/>
      <c r="P938" s="110"/>
      <c r="Q938" s="110"/>
      <c r="R938" s="110"/>
      <c r="S938" s="110"/>
      <c r="T938" s="110"/>
      <c r="U938" s="110"/>
      <c r="V938" s="110"/>
      <c r="W938" s="110"/>
      <c r="X938" s="110"/>
      <c r="Y938" s="110"/>
      <c r="Z938" s="110"/>
      <c r="AA938" s="110"/>
      <c r="AB938" s="110"/>
      <c r="AC938" s="110"/>
      <c r="AD938" s="110"/>
      <c r="AE938" s="110"/>
      <c r="AF938" s="110"/>
      <c r="AG938" s="110"/>
      <c r="AH938" s="110"/>
    </row>
    <row r="939">
      <c r="A939" s="110"/>
      <c r="B939" s="110"/>
      <c r="C939" s="110"/>
      <c r="D939" s="110"/>
      <c r="E939" s="110"/>
      <c r="F939" s="110"/>
      <c r="G939" s="110"/>
      <c r="H939" s="110"/>
      <c r="I939" s="110"/>
      <c r="J939" s="110"/>
      <c r="K939" s="110"/>
      <c r="L939" s="110"/>
      <c r="M939" s="110"/>
      <c r="N939" s="110"/>
      <c r="O939" s="110"/>
      <c r="P939" s="110"/>
      <c r="Q939" s="110"/>
      <c r="R939" s="110"/>
      <c r="S939" s="110"/>
      <c r="T939" s="110"/>
      <c r="U939" s="110"/>
      <c r="V939" s="110"/>
      <c r="W939" s="110"/>
      <c r="X939" s="110"/>
      <c r="Y939" s="110"/>
      <c r="Z939" s="110"/>
      <c r="AA939" s="110"/>
      <c r="AB939" s="110"/>
      <c r="AC939" s="110"/>
      <c r="AD939" s="110"/>
      <c r="AE939" s="110"/>
      <c r="AF939" s="110"/>
      <c r="AG939" s="110"/>
      <c r="AH939" s="110"/>
    </row>
    <row r="940">
      <c r="A940" s="110"/>
      <c r="B940" s="110"/>
      <c r="C940" s="110"/>
      <c r="D940" s="110"/>
      <c r="E940" s="110"/>
      <c r="F940" s="110"/>
      <c r="G940" s="110"/>
      <c r="H940" s="110"/>
      <c r="I940" s="110"/>
      <c r="J940" s="110"/>
      <c r="K940" s="110"/>
      <c r="L940" s="110"/>
      <c r="M940" s="110"/>
      <c r="N940" s="110"/>
      <c r="O940" s="110"/>
      <c r="P940" s="110"/>
      <c r="Q940" s="110"/>
      <c r="R940" s="110"/>
      <c r="S940" s="110"/>
      <c r="T940" s="110"/>
      <c r="U940" s="110"/>
      <c r="V940" s="110"/>
      <c r="W940" s="110"/>
      <c r="X940" s="110"/>
      <c r="Y940" s="110"/>
      <c r="Z940" s="110"/>
      <c r="AA940" s="110"/>
      <c r="AB940" s="110"/>
      <c r="AC940" s="110"/>
      <c r="AD940" s="110"/>
      <c r="AE940" s="110"/>
      <c r="AF940" s="110"/>
      <c r="AG940" s="110"/>
      <c r="AH940" s="110"/>
    </row>
    <row r="941">
      <c r="A941" s="110"/>
      <c r="B941" s="110"/>
      <c r="C941" s="110"/>
      <c r="D941" s="110"/>
      <c r="E941" s="110"/>
      <c r="F941" s="110"/>
      <c r="G941" s="110"/>
      <c r="H941" s="110"/>
      <c r="I941" s="110"/>
      <c r="J941" s="110"/>
      <c r="K941" s="110"/>
      <c r="L941" s="110"/>
      <c r="M941" s="110"/>
      <c r="N941" s="110"/>
      <c r="O941" s="110"/>
      <c r="P941" s="110"/>
      <c r="Q941" s="110"/>
      <c r="R941" s="110"/>
      <c r="S941" s="110"/>
      <c r="T941" s="110"/>
      <c r="U941" s="110"/>
      <c r="V941" s="110"/>
      <c r="W941" s="110"/>
      <c r="X941" s="110"/>
      <c r="Y941" s="110"/>
      <c r="Z941" s="110"/>
      <c r="AA941" s="110"/>
      <c r="AB941" s="110"/>
      <c r="AC941" s="110"/>
      <c r="AD941" s="110"/>
      <c r="AE941" s="110"/>
      <c r="AF941" s="110"/>
      <c r="AG941" s="110"/>
      <c r="AH941" s="110"/>
    </row>
    <row r="942">
      <c r="A942" s="110"/>
      <c r="B942" s="110"/>
      <c r="C942" s="110"/>
      <c r="D942" s="110"/>
      <c r="E942" s="110"/>
      <c r="F942" s="110"/>
      <c r="G942" s="110"/>
      <c r="H942" s="110"/>
      <c r="I942" s="110"/>
      <c r="J942" s="110"/>
      <c r="K942" s="110"/>
      <c r="L942" s="110"/>
      <c r="M942" s="110"/>
      <c r="N942" s="110"/>
      <c r="O942" s="110"/>
      <c r="P942" s="110"/>
      <c r="Q942" s="110"/>
      <c r="R942" s="110"/>
      <c r="S942" s="110"/>
      <c r="T942" s="110"/>
      <c r="U942" s="110"/>
      <c r="V942" s="110"/>
      <c r="W942" s="110"/>
      <c r="X942" s="110"/>
      <c r="Y942" s="110"/>
      <c r="Z942" s="110"/>
      <c r="AA942" s="110"/>
      <c r="AB942" s="110"/>
      <c r="AC942" s="110"/>
      <c r="AD942" s="110"/>
      <c r="AE942" s="110"/>
      <c r="AF942" s="110"/>
      <c r="AG942" s="110"/>
      <c r="AH942" s="110"/>
    </row>
    <row r="943">
      <c r="A943" s="110"/>
      <c r="B943" s="110"/>
      <c r="C943" s="110"/>
      <c r="D943" s="110"/>
      <c r="E943" s="110"/>
      <c r="F943" s="110"/>
      <c r="G943" s="110"/>
      <c r="H943" s="110"/>
      <c r="I943" s="110"/>
      <c r="J943" s="110"/>
      <c r="K943" s="110"/>
      <c r="L943" s="110"/>
      <c r="M943" s="110"/>
      <c r="N943" s="110"/>
      <c r="O943" s="110"/>
      <c r="P943" s="110"/>
      <c r="Q943" s="110"/>
      <c r="R943" s="110"/>
      <c r="S943" s="110"/>
      <c r="T943" s="110"/>
      <c r="U943" s="110"/>
      <c r="V943" s="110"/>
      <c r="W943" s="110"/>
      <c r="X943" s="110"/>
      <c r="Y943" s="110"/>
      <c r="Z943" s="110"/>
      <c r="AA943" s="110"/>
      <c r="AB943" s="110"/>
      <c r="AC943" s="110"/>
      <c r="AD943" s="110"/>
      <c r="AE943" s="110"/>
      <c r="AF943" s="110"/>
      <c r="AG943" s="110"/>
      <c r="AH943" s="110"/>
    </row>
    <row r="944">
      <c r="A944" s="110"/>
      <c r="B944" s="110"/>
      <c r="C944" s="110"/>
      <c r="D944" s="110"/>
      <c r="E944" s="110"/>
      <c r="F944" s="110"/>
      <c r="G944" s="110"/>
      <c r="H944" s="110"/>
      <c r="I944" s="110"/>
      <c r="J944" s="110"/>
      <c r="K944" s="110"/>
      <c r="L944" s="110"/>
      <c r="M944" s="110"/>
      <c r="N944" s="110"/>
      <c r="O944" s="110"/>
      <c r="P944" s="110"/>
      <c r="Q944" s="110"/>
      <c r="R944" s="110"/>
      <c r="S944" s="110"/>
      <c r="T944" s="110"/>
      <c r="U944" s="110"/>
      <c r="V944" s="110"/>
      <c r="W944" s="110"/>
      <c r="X944" s="110"/>
      <c r="Y944" s="110"/>
      <c r="Z944" s="110"/>
      <c r="AA944" s="110"/>
      <c r="AB944" s="110"/>
      <c r="AC944" s="110"/>
      <c r="AD944" s="110"/>
      <c r="AE944" s="110"/>
      <c r="AF944" s="110"/>
      <c r="AG944" s="110"/>
      <c r="AH944" s="110"/>
    </row>
    <row r="945">
      <c r="A945" s="110"/>
      <c r="B945" s="110"/>
      <c r="C945" s="110"/>
      <c r="D945" s="110"/>
      <c r="E945" s="110"/>
      <c r="F945" s="110"/>
      <c r="G945" s="110"/>
      <c r="H945" s="110"/>
      <c r="I945" s="110"/>
      <c r="J945" s="110"/>
      <c r="K945" s="110"/>
      <c r="L945" s="110"/>
      <c r="M945" s="110"/>
      <c r="N945" s="110"/>
      <c r="O945" s="110"/>
      <c r="P945" s="110"/>
      <c r="Q945" s="110"/>
      <c r="R945" s="110"/>
      <c r="S945" s="110"/>
      <c r="T945" s="110"/>
      <c r="U945" s="110"/>
      <c r="V945" s="110"/>
      <c r="W945" s="110"/>
      <c r="X945" s="110"/>
      <c r="Y945" s="110"/>
      <c r="Z945" s="110"/>
      <c r="AA945" s="110"/>
      <c r="AB945" s="110"/>
      <c r="AC945" s="110"/>
      <c r="AD945" s="110"/>
      <c r="AE945" s="110"/>
      <c r="AF945" s="110"/>
      <c r="AG945" s="110"/>
      <c r="AH945" s="110"/>
    </row>
    <row r="946">
      <c r="A946" s="110"/>
      <c r="B946" s="110"/>
      <c r="C946" s="110"/>
      <c r="D946" s="110"/>
      <c r="E946" s="110"/>
      <c r="F946" s="110"/>
      <c r="G946" s="110"/>
      <c r="H946" s="110"/>
      <c r="I946" s="110"/>
      <c r="J946" s="110"/>
      <c r="K946" s="110"/>
      <c r="L946" s="110"/>
      <c r="M946" s="110"/>
      <c r="N946" s="110"/>
      <c r="O946" s="110"/>
      <c r="P946" s="110"/>
      <c r="Q946" s="110"/>
      <c r="R946" s="110"/>
      <c r="S946" s="110"/>
      <c r="T946" s="110"/>
      <c r="U946" s="110"/>
      <c r="V946" s="110"/>
      <c r="W946" s="110"/>
      <c r="X946" s="110"/>
      <c r="Y946" s="110"/>
      <c r="Z946" s="110"/>
      <c r="AA946" s="110"/>
      <c r="AB946" s="110"/>
      <c r="AC946" s="110"/>
      <c r="AD946" s="110"/>
      <c r="AE946" s="110"/>
      <c r="AF946" s="110"/>
      <c r="AG946" s="110"/>
      <c r="AH946" s="110"/>
    </row>
    <row r="947">
      <c r="A947" s="110"/>
      <c r="B947" s="110"/>
      <c r="C947" s="110"/>
      <c r="D947" s="110"/>
      <c r="E947" s="110"/>
      <c r="F947" s="110"/>
      <c r="G947" s="110"/>
      <c r="H947" s="110"/>
      <c r="I947" s="110"/>
      <c r="J947" s="110"/>
      <c r="K947" s="110"/>
      <c r="L947" s="110"/>
      <c r="M947" s="110"/>
      <c r="N947" s="110"/>
      <c r="O947" s="110"/>
      <c r="P947" s="110"/>
      <c r="Q947" s="110"/>
      <c r="R947" s="110"/>
      <c r="S947" s="110"/>
      <c r="T947" s="110"/>
      <c r="U947" s="110"/>
      <c r="V947" s="110"/>
      <c r="W947" s="110"/>
      <c r="X947" s="110"/>
      <c r="Y947" s="110"/>
      <c r="Z947" s="110"/>
      <c r="AA947" s="110"/>
      <c r="AB947" s="110"/>
      <c r="AC947" s="110"/>
      <c r="AD947" s="110"/>
      <c r="AE947" s="110"/>
      <c r="AF947" s="110"/>
      <c r="AG947" s="110"/>
      <c r="AH947" s="110"/>
    </row>
    <row r="948">
      <c r="A948" s="110"/>
      <c r="B948" s="110"/>
      <c r="C948" s="110"/>
      <c r="D948" s="110"/>
      <c r="E948" s="110"/>
      <c r="F948" s="110"/>
      <c r="G948" s="110"/>
      <c r="H948" s="110"/>
      <c r="I948" s="110"/>
      <c r="J948" s="110"/>
      <c r="K948" s="110"/>
      <c r="L948" s="110"/>
      <c r="M948" s="110"/>
      <c r="N948" s="110"/>
      <c r="O948" s="110"/>
      <c r="P948" s="110"/>
      <c r="Q948" s="110"/>
      <c r="R948" s="110"/>
      <c r="S948" s="110"/>
      <c r="T948" s="110"/>
      <c r="U948" s="110"/>
      <c r="V948" s="110"/>
      <c r="W948" s="110"/>
      <c r="X948" s="110"/>
      <c r="Y948" s="110"/>
      <c r="Z948" s="110"/>
      <c r="AA948" s="110"/>
      <c r="AB948" s="110"/>
      <c r="AC948" s="110"/>
      <c r="AD948" s="110"/>
      <c r="AE948" s="110"/>
      <c r="AF948" s="110"/>
      <c r="AG948" s="110"/>
      <c r="AH948" s="110"/>
    </row>
    <row r="949">
      <c r="A949" s="110"/>
      <c r="B949" s="110"/>
      <c r="C949" s="110"/>
      <c r="D949" s="110"/>
      <c r="E949" s="110"/>
      <c r="F949" s="110"/>
      <c r="G949" s="110"/>
      <c r="H949" s="110"/>
      <c r="I949" s="110"/>
      <c r="J949" s="110"/>
      <c r="K949" s="110"/>
      <c r="L949" s="110"/>
      <c r="M949" s="110"/>
      <c r="N949" s="110"/>
      <c r="O949" s="110"/>
      <c r="P949" s="110"/>
      <c r="Q949" s="110"/>
      <c r="R949" s="110"/>
      <c r="S949" s="110"/>
      <c r="T949" s="110"/>
      <c r="U949" s="110"/>
      <c r="V949" s="110"/>
      <c r="W949" s="110"/>
      <c r="X949" s="110"/>
      <c r="Y949" s="110"/>
      <c r="Z949" s="110"/>
      <c r="AA949" s="110"/>
      <c r="AB949" s="110"/>
      <c r="AC949" s="110"/>
      <c r="AD949" s="110"/>
      <c r="AE949" s="110"/>
      <c r="AF949" s="110"/>
      <c r="AG949" s="110"/>
      <c r="AH949" s="110"/>
    </row>
    <row r="950">
      <c r="A950" s="110"/>
      <c r="B950" s="110"/>
      <c r="C950" s="110"/>
      <c r="D950" s="110"/>
      <c r="E950" s="110"/>
      <c r="F950" s="110"/>
      <c r="G950" s="110"/>
      <c r="H950" s="110"/>
      <c r="I950" s="110"/>
      <c r="J950" s="110"/>
      <c r="K950" s="110"/>
      <c r="L950" s="110"/>
      <c r="M950" s="110"/>
      <c r="N950" s="110"/>
      <c r="O950" s="110"/>
      <c r="P950" s="110"/>
      <c r="Q950" s="110"/>
      <c r="R950" s="110"/>
      <c r="S950" s="110"/>
      <c r="T950" s="110"/>
      <c r="U950" s="110"/>
      <c r="V950" s="110"/>
      <c r="W950" s="110"/>
      <c r="X950" s="110"/>
      <c r="Y950" s="110"/>
      <c r="Z950" s="110"/>
      <c r="AA950" s="110"/>
      <c r="AB950" s="110"/>
      <c r="AC950" s="110"/>
      <c r="AD950" s="110"/>
      <c r="AE950" s="110"/>
      <c r="AF950" s="110"/>
      <c r="AG950" s="110"/>
      <c r="AH950" s="110"/>
    </row>
    <row r="951">
      <c r="A951" s="110"/>
      <c r="B951" s="110"/>
      <c r="C951" s="110"/>
      <c r="D951" s="110"/>
      <c r="E951" s="110"/>
      <c r="F951" s="110"/>
      <c r="G951" s="110"/>
      <c r="H951" s="110"/>
      <c r="I951" s="110"/>
      <c r="J951" s="110"/>
      <c r="K951" s="110"/>
      <c r="L951" s="110"/>
      <c r="M951" s="110"/>
      <c r="N951" s="110"/>
      <c r="O951" s="110"/>
      <c r="P951" s="110"/>
      <c r="Q951" s="110"/>
      <c r="R951" s="110"/>
      <c r="S951" s="110"/>
      <c r="T951" s="110"/>
      <c r="U951" s="110"/>
      <c r="V951" s="110"/>
      <c r="W951" s="110"/>
      <c r="X951" s="110"/>
      <c r="Y951" s="110"/>
      <c r="Z951" s="110"/>
      <c r="AA951" s="110"/>
      <c r="AB951" s="110"/>
      <c r="AC951" s="110"/>
      <c r="AD951" s="110"/>
      <c r="AE951" s="110"/>
      <c r="AF951" s="110"/>
      <c r="AG951" s="110"/>
      <c r="AH951" s="110"/>
    </row>
    <row r="952">
      <c r="A952" s="110"/>
      <c r="B952" s="110"/>
      <c r="C952" s="110"/>
      <c r="D952" s="110"/>
      <c r="E952" s="110"/>
      <c r="F952" s="110"/>
      <c r="G952" s="110"/>
      <c r="H952" s="110"/>
      <c r="I952" s="110"/>
      <c r="J952" s="110"/>
      <c r="K952" s="110"/>
      <c r="L952" s="110"/>
      <c r="M952" s="110"/>
      <c r="N952" s="110"/>
      <c r="O952" s="110"/>
      <c r="P952" s="110"/>
      <c r="Q952" s="110"/>
      <c r="R952" s="110"/>
      <c r="S952" s="110"/>
      <c r="T952" s="110"/>
      <c r="U952" s="110"/>
      <c r="V952" s="110"/>
      <c r="W952" s="110"/>
      <c r="X952" s="110"/>
      <c r="Y952" s="110"/>
      <c r="Z952" s="110"/>
      <c r="AA952" s="110"/>
      <c r="AB952" s="110"/>
      <c r="AC952" s="110"/>
      <c r="AD952" s="110"/>
      <c r="AE952" s="110"/>
      <c r="AF952" s="110"/>
      <c r="AG952" s="110"/>
      <c r="AH952" s="110"/>
    </row>
    <row r="953">
      <c r="A953" s="110"/>
      <c r="B953" s="110"/>
      <c r="C953" s="110"/>
      <c r="D953" s="110"/>
      <c r="E953" s="110"/>
      <c r="F953" s="110"/>
      <c r="G953" s="110"/>
      <c r="H953" s="110"/>
      <c r="I953" s="110"/>
      <c r="J953" s="110"/>
      <c r="K953" s="110"/>
      <c r="L953" s="110"/>
      <c r="M953" s="110"/>
      <c r="N953" s="110"/>
      <c r="O953" s="110"/>
      <c r="P953" s="110"/>
      <c r="Q953" s="110"/>
      <c r="R953" s="110"/>
      <c r="S953" s="110"/>
      <c r="T953" s="110"/>
      <c r="U953" s="110"/>
      <c r="V953" s="110"/>
      <c r="W953" s="110"/>
      <c r="X953" s="110"/>
      <c r="Y953" s="110"/>
      <c r="Z953" s="110"/>
      <c r="AA953" s="110"/>
      <c r="AB953" s="110"/>
      <c r="AC953" s="110"/>
      <c r="AD953" s="110"/>
      <c r="AE953" s="110"/>
      <c r="AF953" s="110"/>
      <c r="AG953" s="110"/>
      <c r="AH953" s="110"/>
    </row>
    <row r="954">
      <c r="A954" s="110"/>
      <c r="B954" s="110"/>
      <c r="C954" s="110"/>
      <c r="D954" s="110"/>
      <c r="E954" s="110"/>
      <c r="F954" s="110"/>
      <c r="G954" s="110"/>
      <c r="H954" s="110"/>
      <c r="I954" s="110"/>
      <c r="J954" s="110"/>
      <c r="K954" s="110"/>
      <c r="L954" s="110"/>
      <c r="M954" s="110"/>
      <c r="N954" s="110"/>
      <c r="O954" s="110"/>
      <c r="P954" s="110"/>
      <c r="Q954" s="110"/>
      <c r="R954" s="110"/>
      <c r="S954" s="110"/>
      <c r="T954" s="110"/>
      <c r="U954" s="110"/>
      <c r="V954" s="110"/>
      <c r="W954" s="110"/>
      <c r="X954" s="110"/>
      <c r="Y954" s="110"/>
      <c r="Z954" s="110"/>
      <c r="AA954" s="110"/>
      <c r="AB954" s="110"/>
      <c r="AC954" s="110"/>
      <c r="AD954" s="110"/>
      <c r="AE954" s="110"/>
      <c r="AF954" s="110"/>
      <c r="AG954" s="110"/>
      <c r="AH954" s="110"/>
    </row>
    <row r="955">
      <c r="A955" s="110"/>
      <c r="B955" s="110"/>
      <c r="C955" s="110"/>
      <c r="D955" s="110"/>
      <c r="E955" s="110"/>
      <c r="F955" s="110"/>
      <c r="G955" s="110"/>
      <c r="H955" s="110"/>
      <c r="I955" s="110"/>
      <c r="J955" s="110"/>
      <c r="K955" s="110"/>
      <c r="L955" s="110"/>
      <c r="M955" s="110"/>
      <c r="N955" s="110"/>
      <c r="O955" s="110"/>
      <c r="P955" s="110"/>
      <c r="Q955" s="110"/>
      <c r="R955" s="110"/>
      <c r="S955" s="110"/>
      <c r="T955" s="110"/>
      <c r="U955" s="110"/>
      <c r="V955" s="110"/>
      <c r="W955" s="110"/>
      <c r="X955" s="110"/>
      <c r="Y955" s="110"/>
      <c r="Z955" s="110"/>
      <c r="AA955" s="110"/>
      <c r="AB955" s="110"/>
      <c r="AC955" s="110"/>
      <c r="AD955" s="110"/>
      <c r="AE955" s="110"/>
      <c r="AF955" s="110"/>
      <c r="AG955" s="110"/>
      <c r="AH955" s="110"/>
    </row>
    <row r="956">
      <c r="A956" s="110"/>
      <c r="B956" s="110"/>
      <c r="C956" s="110"/>
      <c r="D956" s="110"/>
      <c r="E956" s="110"/>
      <c r="F956" s="110"/>
      <c r="G956" s="110"/>
      <c r="H956" s="110"/>
      <c r="I956" s="110"/>
      <c r="J956" s="110"/>
      <c r="K956" s="110"/>
      <c r="L956" s="110"/>
      <c r="M956" s="110"/>
      <c r="N956" s="110"/>
      <c r="O956" s="110"/>
      <c r="P956" s="110"/>
      <c r="Q956" s="110"/>
      <c r="R956" s="110"/>
      <c r="S956" s="110"/>
      <c r="T956" s="110"/>
      <c r="U956" s="110"/>
      <c r="V956" s="110"/>
      <c r="W956" s="110"/>
      <c r="X956" s="110"/>
      <c r="Y956" s="110"/>
      <c r="Z956" s="110"/>
      <c r="AA956" s="110"/>
      <c r="AB956" s="110"/>
      <c r="AC956" s="110"/>
      <c r="AD956" s="110"/>
      <c r="AE956" s="110"/>
      <c r="AF956" s="110"/>
      <c r="AG956" s="110"/>
      <c r="AH956" s="110"/>
    </row>
    <row r="957">
      <c r="A957" s="110"/>
      <c r="B957" s="110"/>
      <c r="C957" s="110"/>
      <c r="D957" s="110"/>
      <c r="E957" s="110"/>
      <c r="F957" s="110"/>
      <c r="G957" s="110"/>
      <c r="H957" s="110"/>
      <c r="I957" s="110"/>
      <c r="J957" s="110"/>
      <c r="K957" s="110"/>
      <c r="L957" s="110"/>
      <c r="M957" s="110"/>
      <c r="N957" s="110"/>
      <c r="O957" s="110"/>
      <c r="P957" s="110"/>
      <c r="Q957" s="110"/>
      <c r="R957" s="110"/>
      <c r="S957" s="110"/>
      <c r="T957" s="110"/>
      <c r="U957" s="110"/>
      <c r="V957" s="110"/>
      <c r="W957" s="110"/>
      <c r="X957" s="110"/>
      <c r="Y957" s="110"/>
      <c r="Z957" s="110"/>
      <c r="AA957" s="110"/>
      <c r="AB957" s="110"/>
      <c r="AC957" s="110"/>
      <c r="AD957" s="110"/>
      <c r="AE957" s="110"/>
      <c r="AF957" s="110"/>
      <c r="AG957" s="110"/>
      <c r="AH957" s="110"/>
    </row>
    <row r="958">
      <c r="A958" s="110"/>
      <c r="B958" s="110"/>
      <c r="C958" s="110"/>
      <c r="D958" s="110"/>
      <c r="E958" s="110"/>
      <c r="F958" s="110"/>
      <c r="G958" s="110"/>
      <c r="H958" s="110"/>
      <c r="I958" s="110"/>
      <c r="J958" s="110"/>
      <c r="K958" s="110"/>
      <c r="L958" s="110"/>
      <c r="M958" s="110"/>
      <c r="N958" s="110"/>
      <c r="O958" s="110"/>
      <c r="P958" s="110"/>
      <c r="Q958" s="110"/>
      <c r="R958" s="110"/>
      <c r="S958" s="110"/>
      <c r="T958" s="110"/>
      <c r="U958" s="110"/>
      <c r="V958" s="110"/>
      <c r="W958" s="110"/>
      <c r="X958" s="110"/>
      <c r="Y958" s="110"/>
      <c r="Z958" s="110"/>
      <c r="AA958" s="110"/>
      <c r="AB958" s="110"/>
      <c r="AC958" s="110"/>
      <c r="AD958" s="110"/>
      <c r="AE958" s="110"/>
      <c r="AF958" s="110"/>
      <c r="AG958" s="110"/>
      <c r="AH958" s="110"/>
    </row>
    <row r="959">
      <c r="A959" s="110"/>
      <c r="B959" s="110"/>
      <c r="C959" s="110"/>
      <c r="D959" s="110"/>
      <c r="E959" s="110"/>
      <c r="F959" s="110"/>
      <c r="G959" s="110"/>
      <c r="H959" s="110"/>
      <c r="I959" s="110"/>
      <c r="J959" s="110"/>
      <c r="K959" s="110"/>
      <c r="L959" s="110"/>
      <c r="M959" s="110"/>
      <c r="N959" s="110"/>
      <c r="O959" s="110"/>
      <c r="P959" s="110"/>
      <c r="Q959" s="110"/>
      <c r="R959" s="110"/>
      <c r="S959" s="110"/>
      <c r="T959" s="110"/>
      <c r="U959" s="110"/>
      <c r="V959" s="110"/>
      <c r="W959" s="110"/>
      <c r="X959" s="110"/>
      <c r="Y959" s="110"/>
      <c r="Z959" s="110"/>
      <c r="AA959" s="110"/>
      <c r="AB959" s="110"/>
      <c r="AC959" s="110"/>
      <c r="AD959" s="110"/>
      <c r="AE959" s="110"/>
      <c r="AF959" s="110"/>
      <c r="AG959" s="110"/>
      <c r="AH959" s="110"/>
    </row>
    <row r="960">
      <c r="A960" s="110"/>
      <c r="B960" s="110"/>
      <c r="C960" s="110"/>
      <c r="D960" s="110"/>
      <c r="E960" s="110"/>
      <c r="F960" s="110"/>
      <c r="G960" s="110"/>
      <c r="H960" s="110"/>
      <c r="I960" s="110"/>
      <c r="J960" s="110"/>
      <c r="K960" s="110"/>
      <c r="L960" s="110"/>
      <c r="M960" s="110"/>
      <c r="N960" s="110"/>
      <c r="O960" s="110"/>
      <c r="P960" s="110"/>
      <c r="Q960" s="110"/>
      <c r="R960" s="110"/>
      <c r="S960" s="110"/>
      <c r="T960" s="110"/>
      <c r="U960" s="110"/>
      <c r="V960" s="110"/>
      <c r="W960" s="110"/>
      <c r="X960" s="110"/>
      <c r="Y960" s="110"/>
      <c r="Z960" s="110"/>
      <c r="AA960" s="110"/>
      <c r="AB960" s="110"/>
      <c r="AC960" s="110"/>
      <c r="AD960" s="110"/>
      <c r="AE960" s="110"/>
      <c r="AF960" s="110"/>
      <c r="AG960" s="110"/>
      <c r="AH960" s="110"/>
    </row>
    <row r="961">
      <c r="A961" s="110"/>
      <c r="B961" s="110"/>
      <c r="C961" s="110"/>
      <c r="D961" s="110"/>
      <c r="E961" s="110"/>
      <c r="F961" s="110"/>
      <c r="G961" s="110"/>
      <c r="H961" s="110"/>
      <c r="I961" s="110"/>
      <c r="J961" s="110"/>
      <c r="K961" s="110"/>
      <c r="L961" s="110"/>
      <c r="M961" s="110"/>
      <c r="N961" s="110"/>
      <c r="O961" s="110"/>
      <c r="P961" s="110"/>
      <c r="Q961" s="110"/>
      <c r="R961" s="110"/>
      <c r="S961" s="110"/>
      <c r="T961" s="110"/>
      <c r="U961" s="110"/>
      <c r="V961" s="110"/>
      <c r="W961" s="110"/>
      <c r="X961" s="110"/>
      <c r="Y961" s="110"/>
      <c r="Z961" s="110"/>
      <c r="AA961" s="110"/>
      <c r="AB961" s="110"/>
      <c r="AC961" s="110"/>
      <c r="AD961" s="110"/>
      <c r="AE961" s="110"/>
      <c r="AF961" s="110"/>
      <c r="AG961" s="110"/>
      <c r="AH961" s="110"/>
    </row>
    <row r="962">
      <c r="A962" s="110"/>
      <c r="B962" s="110"/>
      <c r="C962" s="110"/>
      <c r="D962" s="110"/>
      <c r="E962" s="110"/>
      <c r="F962" s="110"/>
      <c r="G962" s="110"/>
      <c r="H962" s="110"/>
      <c r="I962" s="110"/>
      <c r="J962" s="110"/>
      <c r="K962" s="110"/>
      <c r="L962" s="110"/>
      <c r="M962" s="110"/>
      <c r="N962" s="110"/>
      <c r="O962" s="110"/>
      <c r="P962" s="110"/>
      <c r="Q962" s="110"/>
      <c r="R962" s="110"/>
      <c r="S962" s="110"/>
      <c r="T962" s="110"/>
      <c r="U962" s="110"/>
      <c r="V962" s="110"/>
      <c r="W962" s="110"/>
      <c r="X962" s="110"/>
      <c r="Y962" s="110"/>
      <c r="Z962" s="110"/>
      <c r="AA962" s="110"/>
      <c r="AB962" s="110"/>
      <c r="AC962" s="110"/>
      <c r="AD962" s="110"/>
      <c r="AE962" s="110"/>
      <c r="AF962" s="110"/>
      <c r="AG962" s="110"/>
      <c r="AH962" s="110"/>
    </row>
    <row r="963">
      <c r="A963" s="110"/>
      <c r="B963" s="110"/>
      <c r="C963" s="110"/>
      <c r="D963" s="110"/>
      <c r="E963" s="110"/>
      <c r="F963" s="110"/>
      <c r="G963" s="110"/>
      <c r="H963" s="110"/>
      <c r="I963" s="110"/>
      <c r="J963" s="110"/>
      <c r="K963" s="110"/>
      <c r="L963" s="110"/>
      <c r="M963" s="110"/>
      <c r="N963" s="110"/>
      <c r="O963" s="110"/>
      <c r="P963" s="110"/>
      <c r="Q963" s="110"/>
      <c r="R963" s="110"/>
      <c r="S963" s="110"/>
      <c r="T963" s="110"/>
      <c r="U963" s="110"/>
      <c r="V963" s="110"/>
      <c r="W963" s="110"/>
      <c r="X963" s="110"/>
      <c r="Y963" s="110"/>
      <c r="Z963" s="110"/>
      <c r="AA963" s="110"/>
      <c r="AB963" s="110"/>
      <c r="AC963" s="110"/>
      <c r="AD963" s="110"/>
      <c r="AE963" s="110"/>
      <c r="AF963" s="110"/>
      <c r="AG963" s="110"/>
      <c r="AH963" s="110"/>
    </row>
    <row r="964">
      <c r="A964" s="110"/>
      <c r="B964" s="110"/>
      <c r="C964" s="110"/>
      <c r="D964" s="110"/>
      <c r="E964" s="110"/>
      <c r="F964" s="110"/>
      <c r="G964" s="110"/>
      <c r="H964" s="110"/>
      <c r="I964" s="110"/>
      <c r="J964" s="110"/>
      <c r="K964" s="110"/>
      <c r="L964" s="110"/>
      <c r="M964" s="110"/>
      <c r="N964" s="110"/>
      <c r="O964" s="110"/>
      <c r="P964" s="110"/>
      <c r="Q964" s="110"/>
      <c r="R964" s="110"/>
      <c r="S964" s="110"/>
      <c r="T964" s="110"/>
      <c r="U964" s="110"/>
      <c r="V964" s="110"/>
      <c r="W964" s="110"/>
      <c r="X964" s="110"/>
      <c r="Y964" s="110"/>
      <c r="Z964" s="110"/>
      <c r="AA964" s="110"/>
      <c r="AB964" s="110"/>
      <c r="AC964" s="110"/>
      <c r="AD964" s="110"/>
      <c r="AE964" s="110"/>
      <c r="AF964" s="110"/>
      <c r="AG964" s="110"/>
      <c r="AH964" s="110"/>
    </row>
    <row r="965">
      <c r="A965" s="110"/>
      <c r="B965" s="110"/>
      <c r="C965" s="110"/>
      <c r="D965" s="110"/>
      <c r="E965" s="110"/>
      <c r="F965" s="110"/>
      <c r="G965" s="110"/>
      <c r="H965" s="110"/>
      <c r="I965" s="110"/>
      <c r="J965" s="110"/>
      <c r="K965" s="110"/>
      <c r="L965" s="110"/>
      <c r="M965" s="110"/>
      <c r="N965" s="110"/>
      <c r="O965" s="110"/>
      <c r="P965" s="110"/>
      <c r="Q965" s="110"/>
      <c r="R965" s="110"/>
      <c r="S965" s="110"/>
      <c r="T965" s="110"/>
      <c r="U965" s="110"/>
      <c r="V965" s="110"/>
      <c r="W965" s="110"/>
      <c r="X965" s="110"/>
      <c r="Y965" s="110"/>
      <c r="Z965" s="110"/>
      <c r="AA965" s="110"/>
      <c r="AB965" s="110"/>
      <c r="AC965" s="110"/>
      <c r="AD965" s="110"/>
      <c r="AE965" s="110"/>
      <c r="AF965" s="110"/>
      <c r="AG965" s="110"/>
      <c r="AH965" s="110"/>
    </row>
    <row r="966">
      <c r="A966" s="110"/>
      <c r="B966" s="110"/>
      <c r="C966" s="110"/>
      <c r="D966" s="110"/>
      <c r="E966" s="110"/>
      <c r="F966" s="110"/>
      <c r="G966" s="110"/>
      <c r="H966" s="110"/>
      <c r="I966" s="110"/>
      <c r="J966" s="110"/>
      <c r="K966" s="110"/>
      <c r="L966" s="110"/>
      <c r="M966" s="110"/>
      <c r="N966" s="110"/>
      <c r="O966" s="110"/>
      <c r="P966" s="110"/>
      <c r="Q966" s="110"/>
      <c r="R966" s="110"/>
      <c r="S966" s="110"/>
      <c r="T966" s="110"/>
      <c r="U966" s="110"/>
      <c r="V966" s="110"/>
      <c r="W966" s="110"/>
      <c r="X966" s="110"/>
      <c r="Y966" s="110"/>
      <c r="Z966" s="110"/>
      <c r="AA966" s="110"/>
      <c r="AB966" s="110"/>
      <c r="AC966" s="110"/>
      <c r="AD966" s="110"/>
      <c r="AE966" s="110"/>
      <c r="AF966" s="110"/>
      <c r="AG966" s="110"/>
      <c r="AH966" s="110"/>
    </row>
    <row r="967">
      <c r="A967" s="110"/>
      <c r="B967" s="110"/>
      <c r="C967" s="110"/>
      <c r="D967" s="110"/>
      <c r="E967" s="110"/>
      <c r="F967" s="110"/>
      <c r="G967" s="110"/>
      <c r="H967" s="110"/>
      <c r="I967" s="110"/>
      <c r="J967" s="110"/>
      <c r="K967" s="110"/>
      <c r="L967" s="110"/>
      <c r="M967" s="110"/>
      <c r="N967" s="110"/>
      <c r="O967" s="110"/>
      <c r="P967" s="110"/>
      <c r="Q967" s="110"/>
      <c r="R967" s="110"/>
      <c r="S967" s="110"/>
      <c r="T967" s="110"/>
      <c r="U967" s="110"/>
      <c r="V967" s="110"/>
      <c r="W967" s="110"/>
      <c r="X967" s="110"/>
      <c r="Y967" s="110"/>
      <c r="Z967" s="110"/>
      <c r="AA967" s="110"/>
      <c r="AB967" s="110"/>
      <c r="AC967" s="110"/>
      <c r="AD967" s="110"/>
      <c r="AE967" s="110"/>
      <c r="AF967" s="110"/>
      <c r="AG967" s="110"/>
      <c r="AH967" s="110"/>
    </row>
    <row r="968">
      <c r="A968" s="110"/>
      <c r="B968" s="110"/>
      <c r="C968" s="110"/>
      <c r="D968" s="110"/>
      <c r="E968" s="110"/>
      <c r="F968" s="110"/>
      <c r="G968" s="110"/>
      <c r="H968" s="110"/>
      <c r="I968" s="110"/>
      <c r="J968" s="110"/>
      <c r="K968" s="110"/>
      <c r="L968" s="110"/>
      <c r="M968" s="110"/>
      <c r="N968" s="110"/>
      <c r="O968" s="110"/>
      <c r="P968" s="110"/>
      <c r="Q968" s="110"/>
      <c r="R968" s="110"/>
      <c r="S968" s="110"/>
      <c r="T968" s="110"/>
      <c r="U968" s="110"/>
      <c r="V968" s="110"/>
      <c r="W968" s="110"/>
      <c r="X968" s="110"/>
      <c r="Y968" s="110"/>
      <c r="Z968" s="110"/>
      <c r="AA968" s="110"/>
      <c r="AB968" s="110"/>
      <c r="AC968" s="110"/>
      <c r="AD968" s="110"/>
      <c r="AE968" s="110"/>
      <c r="AF968" s="110"/>
      <c r="AG968" s="110"/>
      <c r="AH968" s="110"/>
    </row>
    <row r="969">
      <c r="A969" s="110"/>
      <c r="B969" s="110"/>
      <c r="C969" s="110"/>
      <c r="D969" s="110"/>
      <c r="E969" s="110"/>
      <c r="F969" s="110"/>
      <c r="G969" s="110"/>
      <c r="H969" s="110"/>
      <c r="I969" s="110"/>
      <c r="J969" s="110"/>
      <c r="K969" s="110"/>
      <c r="L969" s="110"/>
      <c r="M969" s="110"/>
      <c r="N969" s="110"/>
      <c r="O969" s="110"/>
      <c r="P969" s="110"/>
      <c r="Q969" s="110"/>
      <c r="R969" s="110"/>
      <c r="S969" s="110"/>
      <c r="T969" s="110"/>
      <c r="U969" s="110"/>
      <c r="V969" s="110"/>
      <c r="W969" s="110"/>
      <c r="X969" s="110"/>
      <c r="Y969" s="110"/>
      <c r="Z969" s="110"/>
      <c r="AA969" s="110"/>
      <c r="AB969" s="110"/>
      <c r="AC969" s="110"/>
      <c r="AD969" s="110"/>
      <c r="AE969" s="110"/>
      <c r="AF969" s="110"/>
      <c r="AG969" s="110"/>
      <c r="AH969" s="110"/>
    </row>
    <row r="970">
      <c r="A970" s="110"/>
      <c r="B970" s="110"/>
      <c r="C970" s="110"/>
      <c r="D970" s="110"/>
      <c r="E970" s="110"/>
      <c r="F970" s="110"/>
      <c r="G970" s="110"/>
      <c r="H970" s="110"/>
      <c r="I970" s="110"/>
      <c r="J970" s="110"/>
      <c r="K970" s="110"/>
      <c r="L970" s="110"/>
      <c r="M970" s="110"/>
      <c r="N970" s="110"/>
      <c r="O970" s="110"/>
      <c r="P970" s="110"/>
      <c r="Q970" s="110"/>
      <c r="R970" s="110"/>
      <c r="S970" s="110"/>
      <c r="T970" s="110"/>
      <c r="U970" s="110"/>
      <c r="V970" s="110"/>
      <c r="W970" s="110"/>
      <c r="X970" s="110"/>
      <c r="Y970" s="110"/>
      <c r="Z970" s="110"/>
      <c r="AA970" s="110"/>
      <c r="AB970" s="110"/>
      <c r="AC970" s="110"/>
      <c r="AD970" s="110"/>
      <c r="AE970" s="110"/>
      <c r="AF970" s="110"/>
      <c r="AG970" s="110"/>
      <c r="AH970" s="110"/>
    </row>
    <row r="971">
      <c r="A971" s="110"/>
      <c r="B971" s="110"/>
      <c r="C971" s="110"/>
      <c r="D971" s="110"/>
      <c r="E971" s="110"/>
      <c r="F971" s="110"/>
      <c r="G971" s="110"/>
      <c r="H971" s="110"/>
      <c r="I971" s="110"/>
      <c r="J971" s="110"/>
      <c r="K971" s="110"/>
      <c r="L971" s="110"/>
      <c r="M971" s="110"/>
      <c r="N971" s="110"/>
      <c r="O971" s="110"/>
      <c r="P971" s="110"/>
      <c r="Q971" s="110"/>
      <c r="R971" s="110"/>
      <c r="S971" s="110"/>
      <c r="T971" s="110"/>
      <c r="U971" s="110"/>
      <c r="V971" s="110"/>
      <c r="W971" s="110"/>
      <c r="X971" s="110"/>
      <c r="Y971" s="110"/>
      <c r="Z971" s="110"/>
      <c r="AA971" s="110"/>
      <c r="AB971" s="110"/>
      <c r="AC971" s="110"/>
      <c r="AD971" s="110"/>
      <c r="AE971" s="110"/>
      <c r="AF971" s="110"/>
      <c r="AG971" s="110"/>
      <c r="AH971" s="110"/>
    </row>
    <row r="972">
      <c r="A972" s="110"/>
      <c r="B972" s="110"/>
      <c r="C972" s="110"/>
      <c r="D972" s="110"/>
      <c r="E972" s="110"/>
      <c r="F972" s="110"/>
      <c r="G972" s="110"/>
      <c r="H972" s="110"/>
      <c r="I972" s="110"/>
      <c r="J972" s="110"/>
      <c r="K972" s="110"/>
      <c r="L972" s="110"/>
      <c r="M972" s="110"/>
      <c r="N972" s="110"/>
      <c r="O972" s="110"/>
      <c r="P972" s="110"/>
      <c r="Q972" s="110"/>
      <c r="R972" s="110"/>
      <c r="S972" s="110"/>
      <c r="T972" s="110"/>
      <c r="U972" s="110"/>
      <c r="V972" s="110"/>
      <c r="W972" s="110"/>
      <c r="X972" s="110"/>
      <c r="Y972" s="110"/>
      <c r="Z972" s="110"/>
      <c r="AA972" s="110"/>
      <c r="AB972" s="110"/>
      <c r="AC972" s="110"/>
      <c r="AD972" s="110"/>
      <c r="AE972" s="110"/>
      <c r="AF972" s="110"/>
      <c r="AG972" s="110"/>
      <c r="AH972" s="110"/>
    </row>
    <row r="973">
      <c r="A973" s="110"/>
      <c r="B973" s="110"/>
      <c r="C973" s="110"/>
      <c r="D973" s="110"/>
      <c r="E973" s="110"/>
      <c r="F973" s="110"/>
      <c r="G973" s="110"/>
      <c r="H973" s="110"/>
      <c r="I973" s="110"/>
      <c r="J973" s="110"/>
      <c r="K973" s="110"/>
      <c r="L973" s="110"/>
      <c r="M973" s="110"/>
      <c r="N973" s="110"/>
      <c r="O973" s="110"/>
      <c r="P973" s="110"/>
      <c r="Q973" s="110"/>
      <c r="R973" s="110"/>
      <c r="S973" s="110"/>
      <c r="T973" s="110"/>
      <c r="U973" s="110"/>
      <c r="V973" s="110"/>
      <c r="W973" s="110"/>
      <c r="X973" s="110"/>
      <c r="Y973" s="110"/>
      <c r="Z973" s="110"/>
      <c r="AA973" s="110"/>
      <c r="AB973" s="110"/>
      <c r="AC973" s="110"/>
      <c r="AD973" s="110"/>
      <c r="AE973" s="110"/>
      <c r="AF973" s="110"/>
      <c r="AG973" s="110"/>
      <c r="AH973" s="110"/>
    </row>
    <row r="974">
      <c r="A974" s="110"/>
      <c r="B974" s="110"/>
      <c r="C974" s="110"/>
      <c r="D974" s="110"/>
      <c r="E974" s="110"/>
      <c r="F974" s="110"/>
      <c r="G974" s="110"/>
      <c r="H974" s="110"/>
      <c r="I974" s="110"/>
      <c r="J974" s="110"/>
      <c r="K974" s="110"/>
      <c r="L974" s="110"/>
      <c r="M974" s="110"/>
      <c r="N974" s="110"/>
      <c r="O974" s="110"/>
      <c r="P974" s="110"/>
      <c r="Q974" s="110"/>
      <c r="R974" s="110"/>
      <c r="S974" s="110"/>
      <c r="T974" s="110"/>
      <c r="U974" s="110"/>
      <c r="V974" s="110"/>
      <c r="W974" s="110"/>
      <c r="X974" s="110"/>
      <c r="Y974" s="110"/>
      <c r="Z974" s="110"/>
      <c r="AA974" s="110"/>
      <c r="AB974" s="110"/>
      <c r="AC974" s="110"/>
      <c r="AD974" s="110"/>
      <c r="AE974" s="110"/>
      <c r="AF974" s="110"/>
      <c r="AG974" s="110"/>
      <c r="AH974" s="110"/>
    </row>
    <row r="975">
      <c r="A975" s="110"/>
      <c r="B975" s="110"/>
      <c r="C975" s="110"/>
      <c r="D975" s="110"/>
      <c r="E975" s="110"/>
      <c r="F975" s="110"/>
      <c r="G975" s="110"/>
      <c r="H975" s="110"/>
      <c r="I975" s="110"/>
      <c r="J975" s="110"/>
      <c r="K975" s="110"/>
      <c r="L975" s="110"/>
      <c r="M975" s="110"/>
      <c r="N975" s="110"/>
      <c r="O975" s="110"/>
      <c r="P975" s="110"/>
      <c r="Q975" s="110"/>
      <c r="R975" s="110"/>
      <c r="S975" s="110"/>
      <c r="T975" s="110"/>
      <c r="U975" s="110"/>
      <c r="V975" s="110"/>
      <c r="W975" s="110"/>
      <c r="X975" s="110"/>
      <c r="Y975" s="110"/>
      <c r="Z975" s="110"/>
      <c r="AA975" s="110"/>
      <c r="AB975" s="110"/>
      <c r="AC975" s="110"/>
      <c r="AD975" s="110"/>
      <c r="AE975" s="110"/>
      <c r="AF975" s="110"/>
      <c r="AG975" s="110"/>
      <c r="AH975" s="110"/>
    </row>
    <row r="976">
      <c r="A976" s="110"/>
      <c r="B976" s="110"/>
      <c r="C976" s="110"/>
      <c r="D976" s="110"/>
      <c r="E976" s="110"/>
      <c r="F976" s="110"/>
      <c r="G976" s="110"/>
      <c r="H976" s="110"/>
      <c r="I976" s="110"/>
      <c r="J976" s="110"/>
      <c r="K976" s="110"/>
      <c r="L976" s="110"/>
      <c r="M976" s="110"/>
      <c r="N976" s="110"/>
      <c r="O976" s="110"/>
      <c r="P976" s="110"/>
      <c r="Q976" s="110"/>
      <c r="R976" s="110"/>
      <c r="S976" s="110"/>
      <c r="T976" s="110"/>
      <c r="U976" s="110"/>
      <c r="V976" s="110"/>
      <c r="W976" s="110"/>
      <c r="X976" s="110"/>
      <c r="Y976" s="110"/>
      <c r="Z976" s="110"/>
      <c r="AA976" s="110"/>
      <c r="AB976" s="110"/>
      <c r="AC976" s="110"/>
      <c r="AD976" s="110"/>
      <c r="AE976" s="110"/>
      <c r="AF976" s="110"/>
      <c r="AG976" s="110"/>
      <c r="AH976" s="110"/>
    </row>
    <row r="977">
      <c r="A977" s="110"/>
      <c r="B977" s="110"/>
      <c r="C977" s="110"/>
      <c r="D977" s="110"/>
      <c r="E977" s="110"/>
      <c r="F977" s="110"/>
      <c r="G977" s="110"/>
      <c r="H977" s="110"/>
      <c r="I977" s="110"/>
      <c r="J977" s="110"/>
      <c r="K977" s="110"/>
      <c r="L977" s="110"/>
      <c r="M977" s="110"/>
      <c r="N977" s="110"/>
      <c r="O977" s="110"/>
      <c r="P977" s="110"/>
      <c r="Q977" s="110"/>
      <c r="R977" s="110"/>
      <c r="S977" s="110"/>
      <c r="T977" s="110"/>
      <c r="U977" s="110"/>
      <c r="V977" s="110"/>
      <c r="W977" s="110"/>
      <c r="X977" s="110"/>
      <c r="Y977" s="110"/>
      <c r="Z977" s="110"/>
      <c r="AA977" s="110"/>
      <c r="AB977" s="110"/>
      <c r="AC977" s="110"/>
      <c r="AD977" s="110"/>
      <c r="AE977" s="110"/>
      <c r="AF977" s="110"/>
      <c r="AG977" s="110"/>
      <c r="AH977" s="110"/>
    </row>
    <row r="978">
      <c r="A978" s="110"/>
      <c r="B978" s="110"/>
      <c r="C978" s="110"/>
      <c r="D978" s="110"/>
      <c r="E978" s="110"/>
      <c r="F978" s="110"/>
      <c r="G978" s="110"/>
      <c r="H978" s="110"/>
      <c r="I978" s="110"/>
      <c r="J978" s="110"/>
      <c r="K978" s="110"/>
      <c r="L978" s="110"/>
      <c r="M978" s="110"/>
      <c r="N978" s="110"/>
      <c r="O978" s="110"/>
      <c r="P978" s="110"/>
      <c r="Q978" s="110"/>
      <c r="R978" s="110"/>
      <c r="S978" s="110"/>
      <c r="T978" s="110"/>
      <c r="U978" s="110"/>
      <c r="V978" s="110"/>
      <c r="W978" s="110"/>
      <c r="X978" s="110"/>
      <c r="Y978" s="110"/>
      <c r="Z978" s="110"/>
      <c r="AA978" s="110"/>
      <c r="AB978" s="110"/>
      <c r="AC978" s="110"/>
      <c r="AD978" s="110"/>
      <c r="AE978" s="110"/>
      <c r="AF978" s="110"/>
      <c r="AG978" s="110"/>
      <c r="AH978" s="110"/>
    </row>
    <row r="979">
      <c r="A979" s="110"/>
      <c r="B979" s="110"/>
      <c r="C979" s="110"/>
      <c r="D979" s="110"/>
      <c r="E979" s="110"/>
      <c r="F979" s="110"/>
      <c r="G979" s="110"/>
      <c r="H979" s="110"/>
      <c r="I979" s="110"/>
      <c r="J979" s="110"/>
      <c r="K979" s="110"/>
      <c r="L979" s="110"/>
      <c r="M979" s="110"/>
      <c r="N979" s="110"/>
      <c r="O979" s="110"/>
      <c r="P979" s="110"/>
      <c r="Q979" s="110"/>
      <c r="R979" s="110"/>
      <c r="S979" s="110"/>
      <c r="T979" s="110"/>
      <c r="U979" s="110"/>
      <c r="V979" s="110"/>
      <c r="W979" s="110"/>
      <c r="X979" s="110"/>
      <c r="Y979" s="110"/>
      <c r="Z979" s="110"/>
      <c r="AA979" s="110"/>
      <c r="AB979" s="110"/>
      <c r="AC979" s="110"/>
      <c r="AD979" s="110"/>
      <c r="AE979" s="110"/>
      <c r="AF979" s="110"/>
      <c r="AG979" s="110"/>
      <c r="AH979" s="110"/>
    </row>
    <row r="980">
      <c r="A980" s="110"/>
      <c r="B980" s="110"/>
      <c r="C980" s="110"/>
      <c r="D980" s="110"/>
      <c r="E980" s="110"/>
      <c r="F980" s="110"/>
      <c r="G980" s="110"/>
      <c r="H980" s="110"/>
      <c r="I980" s="110"/>
      <c r="J980" s="110"/>
      <c r="K980" s="110"/>
      <c r="L980" s="110"/>
      <c r="M980" s="110"/>
      <c r="N980" s="110"/>
      <c r="O980" s="110"/>
      <c r="P980" s="110"/>
      <c r="Q980" s="110"/>
      <c r="R980" s="110"/>
      <c r="S980" s="110"/>
      <c r="T980" s="110"/>
      <c r="U980" s="110"/>
      <c r="V980" s="110"/>
      <c r="W980" s="110"/>
      <c r="X980" s="110"/>
      <c r="Y980" s="110"/>
      <c r="Z980" s="110"/>
      <c r="AA980" s="110"/>
      <c r="AB980" s="110"/>
      <c r="AC980" s="110"/>
      <c r="AD980" s="110"/>
      <c r="AE980" s="110"/>
      <c r="AF980" s="110"/>
      <c r="AG980" s="110"/>
      <c r="AH980" s="110"/>
    </row>
    <row r="981">
      <c r="A981" s="110"/>
      <c r="B981" s="110"/>
      <c r="C981" s="110"/>
      <c r="D981" s="110"/>
      <c r="E981" s="110"/>
      <c r="F981" s="110"/>
      <c r="G981" s="110"/>
      <c r="H981" s="110"/>
      <c r="I981" s="110"/>
      <c r="J981" s="110"/>
      <c r="K981" s="110"/>
      <c r="L981" s="110"/>
      <c r="M981" s="110"/>
      <c r="N981" s="110"/>
      <c r="O981" s="110"/>
      <c r="P981" s="110"/>
      <c r="Q981" s="110"/>
      <c r="R981" s="110"/>
      <c r="S981" s="110"/>
      <c r="T981" s="110"/>
      <c r="U981" s="110"/>
      <c r="V981" s="110"/>
      <c r="W981" s="110"/>
      <c r="X981" s="110"/>
      <c r="Y981" s="110"/>
      <c r="Z981" s="110"/>
      <c r="AA981" s="110"/>
      <c r="AB981" s="110"/>
      <c r="AC981" s="110"/>
      <c r="AD981" s="110"/>
      <c r="AE981" s="110"/>
      <c r="AF981" s="110"/>
      <c r="AG981" s="110"/>
      <c r="AH981" s="110"/>
    </row>
    <row r="982">
      <c r="A982" s="110"/>
      <c r="B982" s="110"/>
      <c r="C982" s="110"/>
      <c r="D982" s="110"/>
      <c r="E982" s="110"/>
      <c r="F982" s="110"/>
      <c r="G982" s="110"/>
      <c r="H982" s="110"/>
      <c r="I982" s="110"/>
      <c r="J982" s="110"/>
      <c r="K982" s="110"/>
      <c r="L982" s="110"/>
      <c r="M982" s="110"/>
      <c r="N982" s="110"/>
      <c r="O982" s="110"/>
      <c r="P982" s="110"/>
      <c r="Q982" s="110"/>
      <c r="R982" s="110"/>
      <c r="S982" s="110"/>
      <c r="T982" s="110"/>
      <c r="U982" s="110"/>
      <c r="V982" s="110"/>
      <c r="W982" s="110"/>
      <c r="X982" s="110"/>
      <c r="Y982" s="110"/>
      <c r="Z982" s="110"/>
      <c r="AA982" s="110"/>
      <c r="AB982" s="110"/>
      <c r="AC982" s="110"/>
      <c r="AD982" s="110"/>
      <c r="AE982" s="110"/>
      <c r="AF982" s="110"/>
      <c r="AG982" s="110"/>
      <c r="AH982" s="110"/>
    </row>
    <row r="983">
      <c r="A983" s="110"/>
      <c r="B983" s="110"/>
      <c r="C983" s="110"/>
      <c r="D983" s="110"/>
      <c r="E983" s="110"/>
      <c r="F983" s="110"/>
      <c r="G983" s="110"/>
      <c r="H983" s="110"/>
      <c r="I983" s="110"/>
      <c r="J983" s="110"/>
      <c r="K983" s="110"/>
      <c r="L983" s="110"/>
      <c r="M983" s="110"/>
      <c r="N983" s="110"/>
      <c r="O983" s="110"/>
      <c r="P983" s="110"/>
      <c r="Q983" s="110"/>
      <c r="R983" s="110"/>
      <c r="S983" s="110"/>
      <c r="T983" s="110"/>
      <c r="U983" s="110"/>
      <c r="V983" s="110"/>
      <c r="W983" s="110"/>
      <c r="X983" s="110"/>
      <c r="Y983" s="110"/>
      <c r="Z983" s="110"/>
      <c r="AA983" s="110"/>
      <c r="AB983" s="110"/>
      <c r="AC983" s="110"/>
      <c r="AD983" s="110"/>
      <c r="AE983" s="110"/>
      <c r="AF983" s="110"/>
      <c r="AG983" s="110"/>
      <c r="AH983" s="110"/>
    </row>
    <row r="984">
      <c r="A984" s="110"/>
      <c r="B984" s="110"/>
      <c r="C984" s="110"/>
      <c r="D984" s="110"/>
      <c r="E984" s="110"/>
      <c r="F984" s="110"/>
      <c r="G984" s="110"/>
      <c r="H984" s="110"/>
      <c r="I984" s="110"/>
      <c r="J984" s="110"/>
      <c r="K984" s="110"/>
      <c r="L984" s="110"/>
      <c r="M984" s="110"/>
      <c r="N984" s="110"/>
      <c r="O984" s="110"/>
      <c r="P984" s="110"/>
      <c r="Q984" s="110"/>
      <c r="R984" s="110"/>
      <c r="S984" s="110"/>
      <c r="T984" s="110"/>
      <c r="U984" s="110"/>
      <c r="V984" s="110"/>
      <c r="W984" s="110"/>
      <c r="X984" s="110"/>
      <c r="Y984" s="110"/>
      <c r="Z984" s="110"/>
      <c r="AA984" s="110"/>
      <c r="AB984" s="110"/>
      <c r="AC984" s="110"/>
      <c r="AD984" s="110"/>
      <c r="AE984" s="110"/>
      <c r="AF984" s="110"/>
      <c r="AG984" s="110"/>
      <c r="AH984" s="110"/>
    </row>
    <row r="985">
      <c r="A985" s="110"/>
      <c r="B985" s="110"/>
      <c r="C985" s="110"/>
      <c r="D985" s="110"/>
      <c r="E985" s="110"/>
      <c r="F985" s="110"/>
      <c r="G985" s="110"/>
      <c r="H985" s="110"/>
      <c r="I985" s="110"/>
      <c r="J985" s="110"/>
      <c r="K985" s="110"/>
      <c r="L985" s="110"/>
      <c r="M985" s="110"/>
      <c r="N985" s="110"/>
      <c r="O985" s="110"/>
      <c r="P985" s="110"/>
      <c r="Q985" s="110"/>
      <c r="R985" s="110"/>
      <c r="S985" s="110"/>
      <c r="T985" s="110"/>
      <c r="U985" s="110"/>
      <c r="V985" s="110"/>
      <c r="W985" s="110"/>
      <c r="X985" s="110"/>
      <c r="Y985" s="110"/>
      <c r="Z985" s="110"/>
      <c r="AA985" s="110"/>
      <c r="AB985" s="110"/>
      <c r="AC985" s="110"/>
      <c r="AD985" s="110"/>
      <c r="AE985" s="110"/>
      <c r="AF985" s="110"/>
      <c r="AG985" s="110"/>
      <c r="AH985" s="110"/>
    </row>
    <row r="986">
      <c r="A986" s="110"/>
      <c r="B986" s="110"/>
      <c r="C986" s="110"/>
      <c r="D986" s="110"/>
      <c r="E986" s="110"/>
      <c r="F986" s="110"/>
      <c r="G986" s="110"/>
      <c r="H986" s="110"/>
      <c r="I986" s="110"/>
      <c r="J986" s="110"/>
      <c r="K986" s="110"/>
      <c r="L986" s="110"/>
      <c r="M986" s="110"/>
      <c r="N986" s="110"/>
      <c r="O986" s="110"/>
      <c r="P986" s="110"/>
      <c r="Q986" s="110"/>
      <c r="R986" s="110"/>
      <c r="S986" s="110"/>
      <c r="T986" s="110"/>
      <c r="U986" s="110"/>
      <c r="V986" s="110"/>
      <c r="W986" s="110"/>
      <c r="X986" s="110"/>
      <c r="Y986" s="110"/>
      <c r="Z986" s="110"/>
      <c r="AA986" s="110"/>
      <c r="AB986" s="110"/>
      <c r="AC986" s="110"/>
      <c r="AD986" s="110"/>
      <c r="AE986" s="110"/>
      <c r="AF986" s="110"/>
      <c r="AG986" s="110"/>
      <c r="AH986" s="110"/>
    </row>
    <row r="987">
      <c r="A987" s="110"/>
      <c r="B987" s="110"/>
      <c r="C987" s="110"/>
      <c r="D987" s="110"/>
      <c r="E987" s="110"/>
      <c r="F987" s="110"/>
      <c r="G987" s="110"/>
      <c r="H987" s="110"/>
      <c r="I987" s="110"/>
      <c r="J987" s="110"/>
      <c r="K987" s="110"/>
      <c r="L987" s="110"/>
      <c r="M987" s="110"/>
      <c r="N987" s="110"/>
      <c r="O987" s="110"/>
      <c r="P987" s="110"/>
      <c r="Q987" s="110"/>
      <c r="R987" s="110"/>
      <c r="S987" s="110"/>
      <c r="T987" s="110"/>
      <c r="U987" s="110"/>
      <c r="V987" s="110"/>
      <c r="W987" s="110"/>
      <c r="X987" s="110"/>
      <c r="Y987" s="110"/>
      <c r="Z987" s="110"/>
      <c r="AA987" s="110"/>
      <c r="AB987" s="110"/>
      <c r="AC987" s="110"/>
      <c r="AD987" s="110"/>
      <c r="AE987" s="110"/>
      <c r="AF987" s="110"/>
      <c r="AG987" s="110"/>
      <c r="AH987" s="110"/>
    </row>
    <row r="988">
      <c r="A988" s="110"/>
      <c r="B988" s="110"/>
      <c r="C988" s="110"/>
      <c r="D988" s="110"/>
      <c r="E988" s="110"/>
      <c r="F988" s="110"/>
      <c r="G988" s="110"/>
      <c r="H988" s="110"/>
      <c r="I988" s="110"/>
      <c r="J988" s="110"/>
      <c r="K988" s="110"/>
      <c r="L988" s="110"/>
      <c r="M988" s="110"/>
      <c r="N988" s="110"/>
      <c r="O988" s="110"/>
      <c r="P988" s="110"/>
      <c r="Q988" s="110"/>
      <c r="R988" s="110"/>
      <c r="S988" s="110"/>
      <c r="T988" s="110"/>
      <c r="U988" s="110"/>
      <c r="V988" s="110"/>
      <c r="W988" s="110"/>
      <c r="X988" s="110"/>
      <c r="Y988" s="110"/>
      <c r="Z988" s="110"/>
      <c r="AA988" s="110"/>
      <c r="AB988" s="110"/>
      <c r="AC988" s="110"/>
      <c r="AD988" s="110"/>
      <c r="AE988" s="110"/>
      <c r="AF988" s="110"/>
      <c r="AG988" s="110"/>
      <c r="AH988" s="110"/>
    </row>
    <row r="989">
      <c r="A989" s="110"/>
      <c r="B989" s="110"/>
      <c r="C989" s="110"/>
      <c r="D989" s="110"/>
      <c r="E989" s="110"/>
      <c r="F989" s="110"/>
      <c r="G989" s="110"/>
      <c r="H989" s="110"/>
      <c r="I989" s="110"/>
      <c r="J989" s="110"/>
      <c r="K989" s="110"/>
      <c r="L989" s="110"/>
      <c r="M989" s="110"/>
      <c r="N989" s="110"/>
      <c r="O989" s="110"/>
      <c r="P989" s="110"/>
      <c r="Q989" s="110"/>
      <c r="R989" s="110"/>
      <c r="S989" s="110"/>
      <c r="T989" s="110"/>
      <c r="U989" s="110"/>
      <c r="V989" s="110"/>
      <c r="W989" s="110"/>
      <c r="X989" s="110"/>
      <c r="Y989" s="110"/>
      <c r="Z989" s="110"/>
      <c r="AA989" s="110"/>
      <c r="AB989" s="110"/>
      <c r="AC989" s="110"/>
      <c r="AD989" s="110"/>
      <c r="AE989" s="110"/>
      <c r="AF989" s="110"/>
      <c r="AG989" s="110"/>
      <c r="AH989" s="110"/>
    </row>
    <row r="990">
      <c r="A990" s="110"/>
      <c r="B990" s="110"/>
      <c r="C990" s="110"/>
      <c r="D990" s="110"/>
      <c r="E990" s="110"/>
      <c r="F990" s="110"/>
      <c r="G990" s="110"/>
      <c r="H990" s="110"/>
      <c r="I990" s="110"/>
      <c r="J990" s="110"/>
      <c r="K990" s="110"/>
      <c r="L990" s="110"/>
      <c r="M990" s="110"/>
      <c r="N990" s="110"/>
      <c r="O990" s="110"/>
      <c r="P990" s="110"/>
      <c r="Q990" s="110"/>
      <c r="R990" s="110"/>
      <c r="S990" s="110"/>
      <c r="T990" s="110"/>
      <c r="U990" s="110"/>
      <c r="V990" s="110"/>
      <c r="W990" s="110"/>
      <c r="X990" s="110"/>
      <c r="Y990" s="110"/>
      <c r="Z990" s="110"/>
      <c r="AA990" s="110"/>
      <c r="AB990" s="110"/>
      <c r="AC990" s="110"/>
      <c r="AD990" s="110"/>
      <c r="AE990" s="110"/>
      <c r="AF990" s="110"/>
      <c r="AG990" s="110"/>
      <c r="AH990" s="110"/>
    </row>
    <row r="991">
      <c r="A991" s="110"/>
      <c r="B991" s="110"/>
      <c r="C991" s="110"/>
      <c r="D991" s="110"/>
      <c r="E991" s="110"/>
      <c r="F991" s="110"/>
      <c r="G991" s="110"/>
      <c r="H991" s="110"/>
      <c r="I991" s="110"/>
      <c r="J991" s="110"/>
      <c r="K991" s="110"/>
      <c r="L991" s="110"/>
      <c r="M991" s="110"/>
      <c r="N991" s="110"/>
      <c r="O991" s="110"/>
      <c r="P991" s="110"/>
      <c r="Q991" s="110"/>
      <c r="R991" s="110"/>
      <c r="S991" s="110"/>
      <c r="T991" s="110"/>
      <c r="U991" s="110"/>
      <c r="V991" s="110"/>
      <c r="W991" s="110"/>
      <c r="X991" s="110"/>
      <c r="Y991" s="110"/>
      <c r="Z991" s="110"/>
      <c r="AA991" s="110"/>
      <c r="AB991" s="110"/>
      <c r="AC991" s="110"/>
      <c r="AD991" s="110"/>
      <c r="AE991" s="110"/>
      <c r="AF991" s="110"/>
      <c r="AG991" s="110"/>
      <c r="AH991" s="110"/>
    </row>
    <row r="992">
      <c r="A992" s="110"/>
      <c r="B992" s="110"/>
      <c r="C992" s="110"/>
      <c r="D992" s="110"/>
      <c r="E992" s="110"/>
      <c r="F992" s="110"/>
      <c r="G992" s="110"/>
      <c r="H992" s="110"/>
      <c r="I992" s="110"/>
      <c r="J992" s="110"/>
      <c r="K992" s="110"/>
      <c r="L992" s="110"/>
      <c r="M992" s="110"/>
      <c r="N992" s="110"/>
      <c r="O992" s="110"/>
      <c r="P992" s="110"/>
      <c r="Q992" s="110"/>
      <c r="R992" s="110"/>
      <c r="S992" s="110"/>
      <c r="T992" s="110"/>
      <c r="U992" s="110"/>
      <c r="V992" s="110"/>
      <c r="W992" s="110"/>
      <c r="X992" s="110"/>
      <c r="Y992" s="110"/>
      <c r="Z992" s="110"/>
      <c r="AA992" s="110"/>
      <c r="AB992" s="110"/>
      <c r="AC992" s="110"/>
      <c r="AD992" s="110"/>
      <c r="AE992" s="110"/>
      <c r="AF992" s="110"/>
      <c r="AG992" s="110"/>
      <c r="AH992" s="110"/>
    </row>
    <row r="993">
      <c r="A993" s="110"/>
      <c r="B993" s="110"/>
      <c r="C993" s="110"/>
      <c r="D993" s="110"/>
      <c r="E993" s="110"/>
      <c r="F993" s="110"/>
      <c r="G993" s="110"/>
      <c r="H993" s="110"/>
      <c r="I993" s="110"/>
      <c r="J993" s="110"/>
      <c r="K993" s="110"/>
      <c r="L993" s="110"/>
      <c r="M993" s="110"/>
      <c r="N993" s="110"/>
      <c r="O993" s="110"/>
      <c r="P993" s="110"/>
      <c r="Q993" s="110"/>
      <c r="R993" s="110"/>
      <c r="S993" s="110"/>
      <c r="T993" s="110"/>
      <c r="U993" s="110"/>
      <c r="V993" s="110"/>
      <c r="W993" s="110"/>
      <c r="X993" s="110"/>
      <c r="Y993" s="110"/>
      <c r="Z993" s="110"/>
      <c r="AA993" s="110"/>
      <c r="AB993" s="110"/>
      <c r="AC993" s="110"/>
      <c r="AD993" s="110"/>
      <c r="AE993" s="110"/>
      <c r="AF993" s="110"/>
      <c r="AG993" s="110"/>
      <c r="AH993" s="110"/>
    </row>
    <row r="994">
      <c r="A994" s="110"/>
      <c r="B994" s="110"/>
      <c r="C994" s="110"/>
      <c r="D994" s="110"/>
      <c r="E994" s="110"/>
      <c r="F994" s="110"/>
      <c r="G994" s="110"/>
      <c r="H994" s="110"/>
      <c r="I994" s="110"/>
      <c r="J994" s="110"/>
      <c r="K994" s="110"/>
      <c r="L994" s="110"/>
      <c r="M994" s="110"/>
      <c r="N994" s="110"/>
      <c r="O994" s="110"/>
      <c r="P994" s="110"/>
      <c r="Q994" s="110"/>
      <c r="R994" s="110"/>
      <c r="S994" s="110"/>
      <c r="T994" s="110"/>
      <c r="U994" s="110"/>
      <c r="V994" s="110"/>
      <c r="W994" s="110"/>
      <c r="X994" s="110"/>
      <c r="Y994" s="110"/>
      <c r="Z994" s="110"/>
      <c r="AA994" s="110"/>
      <c r="AB994" s="110"/>
      <c r="AC994" s="110"/>
      <c r="AD994" s="110"/>
      <c r="AE994" s="110"/>
      <c r="AF994" s="110"/>
      <c r="AG994" s="110"/>
      <c r="AH994" s="110"/>
    </row>
    <row r="995">
      <c r="A995" s="110"/>
      <c r="B995" s="110"/>
      <c r="C995" s="110"/>
      <c r="D995" s="110"/>
      <c r="E995" s="110"/>
      <c r="F995" s="110"/>
      <c r="G995" s="110"/>
      <c r="H995" s="110"/>
      <c r="I995" s="110"/>
      <c r="J995" s="110"/>
      <c r="K995" s="110"/>
      <c r="L995" s="110"/>
      <c r="M995" s="110"/>
      <c r="N995" s="110"/>
      <c r="O995" s="110"/>
      <c r="P995" s="110"/>
      <c r="Q995" s="110"/>
      <c r="R995" s="110"/>
      <c r="S995" s="110"/>
      <c r="T995" s="110"/>
      <c r="U995" s="110"/>
      <c r="V995" s="110"/>
      <c r="W995" s="110"/>
      <c r="X995" s="110"/>
      <c r="Y995" s="110"/>
      <c r="Z995" s="110"/>
      <c r="AA995" s="110"/>
      <c r="AB995" s="110"/>
      <c r="AC995" s="110"/>
      <c r="AD995" s="110"/>
      <c r="AE995" s="110"/>
      <c r="AF995" s="110"/>
      <c r="AG995" s="110"/>
      <c r="AH995" s="110"/>
    </row>
    <row r="996">
      <c r="A996" s="110"/>
      <c r="B996" s="110"/>
      <c r="C996" s="110"/>
      <c r="D996" s="110"/>
      <c r="E996" s="110"/>
      <c r="F996" s="110"/>
      <c r="G996" s="110"/>
      <c r="H996" s="110"/>
      <c r="I996" s="110"/>
      <c r="J996" s="110"/>
      <c r="K996" s="110"/>
      <c r="L996" s="110"/>
      <c r="M996" s="110"/>
      <c r="N996" s="110"/>
      <c r="O996" s="110"/>
      <c r="P996" s="110"/>
      <c r="Q996" s="110"/>
      <c r="R996" s="110"/>
      <c r="S996" s="110"/>
      <c r="T996" s="110"/>
      <c r="U996" s="110"/>
      <c r="V996" s="110"/>
      <c r="W996" s="110"/>
      <c r="X996" s="110"/>
      <c r="Y996" s="110"/>
      <c r="Z996" s="110"/>
      <c r="AA996" s="110"/>
      <c r="AB996" s="110"/>
      <c r="AC996" s="110"/>
      <c r="AD996" s="110"/>
      <c r="AE996" s="110"/>
      <c r="AF996" s="110"/>
      <c r="AG996" s="110"/>
      <c r="AH996" s="110"/>
    </row>
    <row r="997">
      <c r="A997" s="110"/>
      <c r="B997" s="110"/>
      <c r="C997" s="110"/>
      <c r="D997" s="110"/>
      <c r="E997" s="110"/>
      <c r="F997" s="110"/>
      <c r="G997" s="110"/>
      <c r="H997" s="110"/>
      <c r="I997" s="110"/>
      <c r="J997" s="110"/>
      <c r="K997" s="110"/>
      <c r="L997" s="110"/>
      <c r="M997" s="110"/>
      <c r="N997" s="110"/>
      <c r="O997" s="110"/>
      <c r="P997" s="110"/>
      <c r="Q997" s="110"/>
      <c r="R997" s="110"/>
      <c r="S997" s="110"/>
      <c r="T997" s="110"/>
      <c r="U997" s="110"/>
      <c r="V997" s="110"/>
      <c r="W997" s="110"/>
      <c r="X997" s="110"/>
      <c r="Y997" s="110"/>
      <c r="Z997" s="110"/>
      <c r="AA997" s="110"/>
      <c r="AB997" s="110"/>
      <c r="AC997" s="110"/>
      <c r="AD997" s="110"/>
      <c r="AE997" s="110"/>
      <c r="AF997" s="110"/>
      <c r="AG997" s="110"/>
      <c r="AH997" s="110"/>
    </row>
    <row r="998">
      <c r="A998" s="110"/>
      <c r="B998" s="110"/>
      <c r="C998" s="110"/>
      <c r="D998" s="110"/>
      <c r="E998" s="110"/>
      <c r="F998" s="110"/>
      <c r="G998" s="110"/>
      <c r="H998" s="110"/>
      <c r="I998" s="110"/>
      <c r="J998" s="110"/>
      <c r="K998" s="110"/>
      <c r="L998" s="110"/>
      <c r="M998" s="110"/>
      <c r="N998" s="110"/>
      <c r="O998" s="110"/>
      <c r="P998" s="110"/>
      <c r="Q998" s="110"/>
      <c r="R998" s="110"/>
      <c r="S998" s="110"/>
      <c r="T998" s="110"/>
      <c r="U998" s="110"/>
      <c r="V998" s="110"/>
      <c r="W998" s="110"/>
      <c r="X998" s="110"/>
      <c r="Y998" s="110"/>
      <c r="Z998" s="110"/>
      <c r="AA998" s="110"/>
      <c r="AB998" s="110"/>
      <c r="AC998" s="110"/>
      <c r="AD998" s="110"/>
      <c r="AE998" s="110"/>
      <c r="AF998" s="110"/>
      <c r="AG998" s="110"/>
      <c r="AH998" s="110"/>
    </row>
    <row r="999">
      <c r="A999" s="110"/>
      <c r="B999" s="110"/>
      <c r="C999" s="110"/>
      <c r="D999" s="110"/>
      <c r="E999" s="110"/>
      <c r="F999" s="110"/>
      <c r="G999" s="110"/>
      <c r="H999" s="110"/>
      <c r="I999" s="110"/>
      <c r="J999" s="110"/>
      <c r="K999" s="110"/>
      <c r="L999" s="110"/>
      <c r="M999" s="110"/>
      <c r="N999" s="110"/>
      <c r="O999" s="110"/>
      <c r="P999" s="110"/>
      <c r="Q999" s="110"/>
      <c r="R999" s="110"/>
      <c r="S999" s="110"/>
      <c r="T999" s="110"/>
      <c r="U999" s="110"/>
      <c r="V999" s="110"/>
      <c r="W999" s="110"/>
      <c r="X999" s="110"/>
      <c r="Y999" s="110"/>
      <c r="Z999" s="110"/>
      <c r="AA999" s="110"/>
      <c r="AB999" s="110"/>
      <c r="AC999" s="110"/>
      <c r="AD999" s="110"/>
      <c r="AE999" s="110"/>
      <c r="AF999" s="110"/>
      <c r="AG999" s="110"/>
      <c r="AH999" s="110"/>
    </row>
    <row r="1000">
      <c r="A1000" s="110"/>
      <c r="B1000" s="110"/>
      <c r="C1000" s="110"/>
      <c r="D1000" s="110"/>
      <c r="E1000" s="110"/>
      <c r="F1000" s="110"/>
      <c r="G1000" s="110"/>
      <c r="H1000" s="110"/>
      <c r="I1000" s="110"/>
      <c r="J1000" s="110"/>
      <c r="K1000" s="110"/>
      <c r="L1000" s="110"/>
      <c r="M1000" s="110"/>
      <c r="N1000" s="110"/>
      <c r="O1000" s="110"/>
      <c r="P1000" s="110"/>
      <c r="Q1000" s="110"/>
      <c r="R1000" s="110"/>
      <c r="S1000" s="110"/>
      <c r="T1000" s="110"/>
      <c r="U1000" s="110"/>
      <c r="V1000" s="110"/>
      <c r="W1000" s="110"/>
      <c r="X1000" s="110"/>
      <c r="Y1000" s="110"/>
      <c r="Z1000" s="110"/>
      <c r="AA1000" s="110"/>
      <c r="AB1000" s="110"/>
      <c r="AC1000" s="110"/>
      <c r="AD1000" s="110"/>
      <c r="AE1000" s="110"/>
      <c r="AF1000" s="110"/>
      <c r="AG1000" s="110"/>
      <c r="AH1000" s="110"/>
    </row>
  </sheetData>
  <hyperlinks>
    <hyperlink r:id="rId1" ref="B2"/>
    <hyperlink r:id="rId2" ref="B3"/>
    <hyperlink r:id="rId3" ref="B4"/>
    <hyperlink r:id="rId4" location="openings" ref="B5"/>
    <hyperlink r:id="rId5" location="results" ref="B6"/>
    <hyperlink r:id="rId6" ref="B7"/>
    <hyperlink r:id="rId7" ref="B8"/>
    <hyperlink r:id="rId8" ref="B14"/>
  </hyperlinks>
  <drawing r:id="rId9"/>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11.13"/>
    <col customWidth="1" min="3" max="3" width="6.75"/>
    <col customWidth="1" min="14" max="14" width="16.25"/>
    <col customWidth="1" min="17" max="17" width="19.0"/>
    <col customWidth="1" min="18" max="18" width="14.0"/>
    <col customWidth="1" min="19" max="19" width="20.0"/>
    <col customWidth="1" min="20" max="20" width="5.5"/>
    <col customWidth="1" min="21" max="21" width="16.13"/>
  </cols>
  <sheetData>
    <row r="1">
      <c r="A1" s="112" t="str">
        <f>IFERROR(__xludf.DUMMYFUNCTION("QUERY('Enhanced Jobs Data'!Z2:Z1000, 
       ""select Z, count(Z) 
        where Z is not null 
        group by Z 
        order by Z 
        label Z 'Date', count(Z) 'Daily Count'"")
"),"Date")</f>
        <v>Date</v>
      </c>
      <c r="B1" s="113" t="str">
        <f>IFERROR(__xludf.DUMMYFUNCTION("""COMPUTED_VALUE"""),"Daily Count")</f>
        <v>Daily Count</v>
      </c>
      <c r="C1" s="114"/>
      <c r="D1" s="114" t="str">
        <f>IFERROR(__xludf.DUMMYFUNCTION("QUERY('Enhanced Jobs Data'!AA2:AA1000, 
       ""select AA, count(AA) 
        where AA is not null 
        group by AA 
        order by AA 
        label AA 'Week', count(AA) 'Applications'"")
"),"Week")</f>
        <v>Week</v>
      </c>
      <c r="E1" s="114" t="str">
        <f>IFERROR(__xludf.DUMMYFUNCTION("""COMPUTED_VALUE"""),"Applications")</f>
        <v>Applications</v>
      </c>
      <c r="F1" s="114"/>
      <c r="G1" s="114" t="str">
        <f>IFERROR(__xludf.DUMMYFUNCTION("QUERY('Enhanced Jobs Data'!AB2:AB1000, 
       ""select AB, count(AB) 
        where AB is not null 
        group by AB 
        order by AB 
        label AB 'Month', count(AB) 'Applications'"")
"),"Month")</f>
        <v>Month</v>
      </c>
      <c r="H1" s="114" t="str">
        <f>IFERROR(__xludf.DUMMYFUNCTION("""COMPUTED_VALUE"""),"Applications")</f>
        <v>Applications</v>
      </c>
      <c r="I1" s="114"/>
      <c r="J1" s="115" t="s">
        <v>4061</v>
      </c>
      <c r="K1" s="115" t="s">
        <v>1</v>
      </c>
      <c r="L1" s="115" t="s">
        <v>3947</v>
      </c>
      <c r="M1" s="115" t="s">
        <v>1</v>
      </c>
      <c r="N1" s="115" t="s">
        <v>3949</v>
      </c>
      <c r="O1" s="115" t="s">
        <v>1</v>
      </c>
      <c r="P1" s="2"/>
      <c r="Q1" s="1" t="s">
        <v>4062</v>
      </c>
      <c r="R1" s="1" t="s">
        <v>4063</v>
      </c>
      <c r="S1" s="1" t="s">
        <v>3944</v>
      </c>
      <c r="T1" s="1" t="s">
        <v>1</v>
      </c>
      <c r="U1" s="1" t="s">
        <v>3945</v>
      </c>
      <c r="V1" s="1" t="s">
        <v>1</v>
      </c>
      <c r="W1" s="2"/>
      <c r="X1" s="2" t="str">
        <f>IFERROR(__xludf.DUMMYFUNCTION("QUERY({
  TEXT('Enhanced Jobs Data'!Z2:Z1000 - WEEKDAY('Enhanced Jobs Data'!Z2:Z1000, 2) + 1, ""MMM d"")
  &amp; "" to ""
  &amp; TEXT('Enhanced Jobs Data'!Z2:Z1000 - WEEKDAY('Enhanced Jobs Data'!Z2:Z1000, 2) + 7, ""MMM d""),
  WEEKDAY('Enhanced Jobs Data'!Z2:Z10"&amp;"00, 2)
},
""select Col1,
        count(Col2)
 where Col2 is not null
 group by Col1
 pivot Col2
 label count(Col2) ''"",
0)
"),"#VALUE!")</f>
        <v>#VALUE!</v>
      </c>
    </row>
    <row r="2">
      <c r="A2" s="112">
        <f>IFERROR(__xludf.DUMMYFUNCTION("""COMPUTED_VALUE"""),45961.0)</f>
        <v>45961</v>
      </c>
      <c r="B2" s="113">
        <f>IFERROR(__xludf.DUMMYFUNCTION("""COMPUTED_VALUE"""),8.0)</f>
        <v>8</v>
      </c>
      <c r="C2" s="114" t="str">
        <f t="array" ref="C2:C1000">IF(B2:B1000="",,IF(ROW(B2:B1000)=2,"",ROUND((B2:B1000-OFFSET(B2:B1000,-1,0))/OFFSET(B2:B1000,-1,0)*100,1)&amp;"%"))</f>
        <v/>
      </c>
      <c r="D2" s="114" t="str">
        <f>IFERROR(__xludf.DUMMYFUNCTION("""COMPUTED_VALUE"""),"2025-W44")</f>
        <v>2025-W44</v>
      </c>
      <c r="E2" s="114">
        <f>IFERROR(__xludf.DUMMYFUNCTION("""COMPUTED_VALUE"""),17.0)</f>
        <v>17</v>
      </c>
      <c r="F2" s="114" t="str">
        <f t="array" ref="F2:F1000">IF(E2:E1000="",,IF(ROW(E2:E1000)=2,"",ROUND((E2:E1000-OFFSET(E2:E1000,-1,0))/OFFSET(E2:E1000,-1,0)*100,1)&amp;"%"))</f>
        <v/>
      </c>
      <c r="G2" s="114" t="str">
        <f>IFERROR(__xludf.DUMMYFUNCTION("""COMPUTED_VALUE"""),"2025-10")</f>
        <v>2025-10</v>
      </c>
      <c r="H2" s="114">
        <f>IFERROR(__xludf.DUMMYFUNCTION("""COMPUTED_VALUE"""),8.0)</f>
        <v>8</v>
      </c>
      <c r="I2" s="114" t="str">
        <f t="array" ref="I2:I1000">IF(H2:H1000="",,IF(ROW(H2:H1000)=2,"",ROUND((H2:H1000-OFFSET(H2:H1000,-1,0))/OFFSET(H2:H1000,-1,0)*100,1)&amp;"%"))</f>
        <v/>
      </c>
      <c r="J2" s="115" t="s">
        <v>3957</v>
      </c>
      <c r="K2" s="114">
        <f>COUNTIF('Enhanced Jobs Data'!J:J, "Yes")</f>
        <v>2</v>
      </c>
      <c r="L2" s="115" t="s">
        <v>3957</v>
      </c>
      <c r="M2" s="115">
        <v>1.0</v>
      </c>
      <c r="N2" s="114" t="str">
        <f t="array" ref="N2:N7">UNIQUE('Enhanced Jobs Data'!R2:R1000)</f>
        <v>Review</v>
      </c>
      <c r="O2" s="114">
        <f t="array" ref="O2:O1000">IF(N2:N1000="",,COUNTIF('Enhanced Jobs Data'!R:R,N2:N1000))</f>
        <v>515</v>
      </c>
      <c r="P2" s="2"/>
      <c r="Q2" s="2" t="str">
        <f t="array" ref="Q2:Q327">UNIQUE('Enhanced Jobs Data'!L2:L1000)</f>
        <v>San Francisco Bay Area</v>
      </c>
      <c r="R2" s="2">
        <f t="array" ref="R2:R1000">IF(Q2:Q1000="",,COUNTIF('Enhanced Jobs Data'!L:L, Q2:Q1000))</f>
        <v>3</v>
      </c>
      <c r="S2" s="2" t="str">
        <f t="array" ref="S2:S100">UNIQUE('Enhanced Jobs Data'!M2:M1000)</f>
        <v>10 minutes ago</v>
      </c>
      <c r="T2" s="2">
        <f t="array" ref="T2:T1000">IF(S2:S1000="",,COUNTIF('Enhanced Jobs Data'!M:M, S2:S1000))</f>
        <v>4</v>
      </c>
      <c r="U2" s="2">
        <f t="array" ref="U2:U158">UNIQUE('Enhanced Jobs Data'!N2:N1000)</f>
        <v>10</v>
      </c>
      <c r="V2" s="2">
        <f t="array" ref="V2:V1000">IF(U2:U1000="",,COUNTIF('Enhanced Jobs Data'!N:N,U2:U1000))</f>
        <v>6</v>
      </c>
      <c r="W2" s="2"/>
      <c r="X2" s="2"/>
    </row>
    <row r="3">
      <c r="A3" s="112">
        <f>IFERROR(__xludf.DUMMYFUNCTION("""COMPUTED_VALUE"""),45962.0)</f>
        <v>45962</v>
      </c>
      <c r="B3" s="113">
        <f>IFERROR(__xludf.DUMMYFUNCTION("""COMPUTED_VALUE"""),1.0)</f>
        <v>1</v>
      </c>
      <c r="C3" s="114" t="s">
        <v>4064</v>
      </c>
      <c r="D3" s="114" t="str">
        <f>IFERROR(__xludf.DUMMYFUNCTION("""COMPUTED_VALUE"""),"2025-W45")</f>
        <v>2025-W45</v>
      </c>
      <c r="E3" s="114">
        <f>IFERROR(__xludf.DUMMYFUNCTION("""COMPUTED_VALUE"""),49.0)</f>
        <v>49</v>
      </c>
      <c r="F3" s="114" t="s">
        <v>4065</v>
      </c>
      <c r="G3" s="114" t="str">
        <f>IFERROR(__xludf.DUMMYFUNCTION("""COMPUTED_VALUE"""),"2025-11")</f>
        <v>2025-11</v>
      </c>
      <c r="H3" s="114">
        <f>IFERROR(__xludf.DUMMYFUNCTION("""COMPUTED_VALUE"""),154.0)</f>
        <v>154</v>
      </c>
      <c r="I3" s="114" t="s">
        <v>4066</v>
      </c>
      <c r="J3" s="115" t="s">
        <v>4010</v>
      </c>
      <c r="K3" s="114">
        <f>COUNTIF('Enhanced Jobs Data'!J:J, "No")</f>
        <v>543</v>
      </c>
      <c r="L3" s="115" t="s">
        <v>4010</v>
      </c>
      <c r="M3" s="114">
        <f>COUNTIF('Enhanced Jobs Data'!K:K, "No")</f>
        <v>536</v>
      </c>
      <c r="N3" s="114" t="s">
        <v>3942</v>
      </c>
      <c r="O3" s="114">
        <v>2.0</v>
      </c>
      <c r="P3" s="2"/>
      <c r="Q3" s="2" t="s">
        <v>4067</v>
      </c>
      <c r="R3" s="2">
        <v>1.0</v>
      </c>
      <c r="S3" s="2" t="s">
        <v>4068</v>
      </c>
      <c r="T3" s="2">
        <v>2.0</v>
      </c>
      <c r="U3" s="2">
        <v>15.0</v>
      </c>
      <c r="V3" s="2">
        <v>3.0</v>
      </c>
      <c r="W3" s="2"/>
      <c r="X3" s="2"/>
    </row>
    <row r="4">
      <c r="A4" s="112">
        <f>IFERROR(__xludf.DUMMYFUNCTION("""COMPUTED_VALUE"""),45963.0)</f>
        <v>45963</v>
      </c>
      <c r="B4" s="113">
        <f>IFERROR(__xludf.DUMMYFUNCTION("""COMPUTED_VALUE"""),8.0)</f>
        <v>8</v>
      </c>
      <c r="C4" s="114" t="s">
        <v>4069</v>
      </c>
      <c r="D4" s="114" t="str">
        <f>IFERROR(__xludf.DUMMYFUNCTION("""COMPUTED_VALUE"""),"2025-W46")</f>
        <v>2025-W46</v>
      </c>
      <c r="E4" s="114">
        <f>IFERROR(__xludf.DUMMYFUNCTION("""COMPUTED_VALUE"""),13.0)</f>
        <v>13</v>
      </c>
      <c r="F4" s="114" t="s">
        <v>4070</v>
      </c>
      <c r="G4" s="114" t="str">
        <f>IFERROR(__xludf.DUMMYFUNCTION("""COMPUTED_VALUE"""),"2025-12")</f>
        <v>2025-12</v>
      </c>
      <c r="H4" s="114">
        <f>IFERROR(__xludf.DUMMYFUNCTION("""COMPUTED_VALUE"""),46.0)</f>
        <v>46</v>
      </c>
      <c r="I4" s="114" t="s">
        <v>4071</v>
      </c>
      <c r="J4" s="115" t="s">
        <v>3891</v>
      </c>
      <c r="K4" s="115">
        <v>2.0</v>
      </c>
      <c r="L4" s="115" t="s">
        <v>3891</v>
      </c>
      <c r="M4" s="115">
        <v>0.0</v>
      </c>
      <c r="N4" s="114" t="s">
        <v>3963</v>
      </c>
      <c r="O4" s="114">
        <v>26.0</v>
      </c>
      <c r="P4" s="2"/>
      <c r="Q4" s="2" t="s">
        <v>4072</v>
      </c>
      <c r="R4" s="2">
        <v>1.0</v>
      </c>
      <c r="S4" s="2" t="s">
        <v>4073</v>
      </c>
      <c r="T4" s="2">
        <v>3.0</v>
      </c>
      <c r="U4" s="2">
        <v>51.0</v>
      </c>
      <c r="V4" s="2">
        <v>3.0</v>
      </c>
      <c r="W4" s="2"/>
      <c r="X4" s="2"/>
    </row>
    <row r="5">
      <c r="A5" s="112">
        <f>IFERROR(__xludf.DUMMYFUNCTION("""COMPUTED_VALUE"""),45964.0)</f>
        <v>45964</v>
      </c>
      <c r="B5" s="113">
        <f>IFERROR(__xludf.DUMMYFUNCTION("""COMPUTED_VALUE"""),12.0)</f>
        <v>12</v>
      </c>
      <c r="C5" s="114" t="s">
        <v>4074</v>
      </c>
      <c r="D5" s="114" t="str">
        <f>IFERROR(__xludf.DUMMYFUNCTION("""COMPUTED_VALUE"""),"2025-W47")</f>
        <v>2025-W47</v>
      </c>
      <c r="E5" s="114">
        <f>IFERROR(__xludf.DUMMYFUNCTION("""COMPUTED_VALUE"""),61.0)</f>
        <v>61</v>
      </c>
      <c r="F5" s="114" t="s">
        <v>4075</v>
      </c>
      <c r="G5" s="114" t="str">
        <f>IFERROR(__xludf.DUMMYFUNCTION("""COMPUTED_VALUE"""),"2026-01")</f>
        <v>2026-01</v>
      </c>
      <c r="H5" s="114">
        <f>IFERROR(__xludf.DUMMYFUNCTION("""COMPUTED_VALUE"""),110.0)</f>
        <v>110</v>
      </c>
      <c r="I5" s="114" t="s">
        <v>4076</v>
      </c>
      <c r="J5" s="114"/>
      <c r="K5" s="114"/>
      <c r="L5" s="114"/>
      <c r="M5" s="114"/>
      <c r="N5" s="114" t="s">
        <v>3976</v>
      </c>
      <c r="O5" s="114">
        <v>1.0</v>
      </c>
      <c r="P5" s="2"/>
      <c r="Q5" s="2" t="s">
        <v>4077</v>
      </c>
      <c r="R5" s="2">
        <v>1.0</v>
      </c>
      <c r="S5" s="2" t="s">
        <v>4078</v>
      </c>
      <c r="T5" s="2">
        <v>2.0</v>
      </c>
      <c r="U5" s="2">
        <v>38.0</v>
      </c>
      <c r="V5" s="2">
        <v>2.0</v>
      </c>
      <c r="W5" s="2"/>
      <c r="X5" s="2"/>
    </row>
    <row r="6">
      <c r="A6" s="112">
        <f>IFERROR(__xludf.DUMMYFUNCTION("""COMPUTED_VALUE"""),45965.0)</f>
        <v>45965</v>
      </c>
      <c r="B6" s="113">
        <f>IFERROR(__xludf.DUMMYFUNCTION("""COMPUTED_VALUE"""),21.0)</f>
        <v>21</v>
      </c>
      <c r="C6" s="114" t="s">
        <v>4079</v>
      </c>
      <c r="D6" s="114" t="str">
        <f>IFERROR(__xludf.DUMMYFUNCTION("""COMPUTED_VALUE"""),"2025-W48")</f>
        <v>2025-W48</v>
      </c>
      <c r="E6" s="114">
        <f>IFERROR(__xludf.DUMMYFUNCTION("""COMPUTED_VALUE"""),22.0)</f>
        <v>22</v>
      </c>
      <c r="F6" s="114" t="s">
        <v>4080</v>
      </c>
      <c r="G6" s="114" t="str">
        <f>IFERROR(__xludf.DUMMYFUNCTION("""COMPUTED_VALUE"""),"2026-02")</f>
        <v>2026-02</v>
      </c>
      <c r="H6" s="114">
        <f>IFERROR(__xludf.DUMMYFUNCTION("""COMPUTED_VALUE"""),226.0)</f>
        <v>226</v>
      </c>
      <c r="I6" s="114" t="s">
        <v>4081</v>
      </c>
      <c r="J6" s="114"/>
      <c r="K6" s="114"/>
      <c r="L6" s="114"/>
      <c r="M6" s="114"/>
      <c r="N6" s="114" t="s">
        <v>3979</v>
      </c>
      <c r="O6" s="114">
        <v>1.0</v>
      </c>
      <c r="P6" s="2"/>
      <c r="Q6" s="2" t="s">
        <v>4082</v>
      </c>
      <c r="R6" s="2">
        <v>1.0</v>
      </c>
      <c r="S6" s="2" t="s">
        <v>4083</v>
      </c>
      <c r="T6" s="2">
        <v>10.0</v>
      </c>
      <c r="U6" s="2">
        <v>3.0</v>
      </c>
      <c r="V6" s="2">
        <v>13.0</v>
      </c>
      <c r="W6" s="2"/>
      <c r="X6" s="2"/>
    </row>
    <row r="7">
      <c r="A7" s="112">
        <f>IFERROR(__xludf.DUMMYFUNCTION("""COMPUTED_VALUE"""),45966.0)</f>
        <v>45966</v>
      </c>
      <c r="B7" s="113">
        <f>IFERROR(__xludf.DUMMYFUNCTION("""COMPUTED_VALUE"""),1.0)</f>
        <v>1</v>
      </c>
      <c r="C7" s="114" t="s">
        <v>4084</v>
      </c>
      <c r="D7" s="114" t="str">
        <f>IFERROR(__xludf.DUMMYFUNCTION("""COMPUTED_VALUE"""),"2025-W49")</f>
        <v>2025-W49</v>
      </c>
      <c r="E7" s="114">
        <f>IFERROR(__xludf.DUMMYFUNCTION("""COMPUTED_VALUE"""),3.0)</f>
        <v>3</v>
      </c>
      <c r="F7" s="114" t="s">
        <v>4085</v>
      </c>
      <c r="G7" s="114"/>
      <c r="H7" s="114"/>
      <c r="I7" s="114"/>
      <c r="J7" s="114"/>
      <c r="K7" s="114"/>
      <c r="L7" s="114"/>
      <c r="M7" s="114"/>
      <c r="N7" s="114" t="s">
        <v>4086</v>
      </c>
      <c r="O7" s="114"/>
      <c r="P7" s="2"/>
      <c r="Q7" s="2" t="s">
        <v>909</v>
      </c>
      <c r="R7" s="2">
        <v>3.0</v>
      </c>
      <c r="S7" s="2" t="s">
        <v>4087</v>
      </c>
      <c r="T7" s="2">
        <v>2.0</v>
      </c>
      <c r="U7" s="2">
        <v>49.0</v>
      </c>
      <c r="V7" s="2">
        <v>3.0</v>
      </c>
      <c r="W7" s="2"/>
      <c r="X7" s="2"/>
    </row>
    <row r="8">
      <c r="A8" s="112">
        <f>IFERROR(__xludf.DUMMYFUNCTION("""COMPUTED_VALUE"""),45967.0)</f>
        <v>45967</v>
      </c>
      <c r="B8" s="113">
        <f>IFERROR(__xludf.DUMMYFUNCTION("""COMPUTED_VALUE"""),11.0)</f>
        <v>11</v>
      </c>
      <c r="C8" s="114" t="s">
        <v>4088</v>
      </c>
      <c r="D8" s="114" t="str">
        <f>IFERROR(__xludf.DUMMYFUNCTION("""COMPUTED_VALUE"""),"2025-W50")</f>
        <v>2025-W50</v>
      </c>
      <c r="E8" s="114">
        <f>IFERROR(__xludf.DUMMYFUNCTION("""COMPUTED_VALUE"""),39.0)</f>
        <v>39</v>
      </c>
      <c r="F8" s="114" t="s">
        <v>4089</v>
      </c>
      <c r="G8" s="114"/>
      <c r="H8" s="114"/>
      <c r="I8" s="114"/>
      <c r="J8" s="114"/>
      <c r="K8" s="114"/>
      <c r="L8" s="114"/>
      <c r="M8" s="114"/>
      <c r="N8" s="114"/>
      <c r="O8" s="114"/>
      <c r="P8" s="2"/>
      <c r="Q8" s="2" t="s">
        <v>2251</v>
      </c>
      <c r="R8" s="2">
        <v>5.0</v>
      </c>
      <c r="S8" s="2" t="s">
        <v>4090</v>
      </c>
      <c r="T8" s="2">
        <v>1.0</v>
      </c>
      <c r="U8" s="2">
        <v>54.0</v>
      </c>
      <c r="V8" s="2">
        <v>1.0</v>
      </c>
      <c r="W8" s="2"/>
      <c r="X8" s="2"/>
    </row>
    <row r="9">
      <c r="A9" s="112">
        <f>IFERROR(__xludf.DUMMYFUNCTION("""COMPUTED_VALUE"""),45968.0)</f>
        <v>45968</v>
      </c>
      <c r="B9" s="113">
        <f>IFERROR(__xludf.DUMMYFUNCTION("""COMPUTED_VALUE"""),3.0)</f>
        <v>3</v>
      </c>
      <c r="C9" s="114" t="s">
        <v>4091</v>
      </c>
      <c r="D9" s="114" t="str">
        <f>IFERROR(__xludf.DUMMYFUNCTION("""COMPUTED_VALUE"""),"2025-W51")</f>
        <v>2025-W51</v>
      </c>
      <c r="E9" s="114">
        <f>IFERROR(__xludf.DUMMYFUNCTION("""COMPUTED_VALUE"""),3.0)</f>
        <v>3</v>
      </c>
      <c r="F9" s="114" t="s">
        <v>4092</v>
      </c>
      <c r="G9" s="114"/>
      <c r="H9" s="114"/>
      <c r="I9" s="114"/>
      <c r="J9" s="114"/>
      <c r="K9" s="114"/>
      <c r="L9" s="114"/>
      <c r="M9" s="114"/>
      <c r="N9" s="114"/>
      <c r="O9" s="114"/>
      <c r="P9" s="2"/>
      <c r="Q9" s="2" t="s">
        <v>944</v>
      </c>
      <c r="R9" s="2">
        <v>5.0</v>
      </c>
      <c r="S9" s="2" t="s">
        <v>4093</v>
      </c>
      <c r="T9" s="2">
        <v>1.0</v>
      </c>
      <c r="U9" s="2">
        <v>42.0</v>
      </c>
      <c r="V9" s="2">
        <v>4.0</v>
      </c>
      <c r="W9" s="2"/>
      <c r="X9" s="2"/>
    </row>
    <row r="10">
      <c r="A10" s="112">
        <f>IFERROR(__xludf.DUMMYFUNCTION("""COMPUTED_VALUE"""),45969.0)</f>
        <v>45969</v>
      </c>
      <c r="B10" s="113">
        <f>IFERROR(__xludf.DUMMYFUNCTION("""COMPUTED_VALUE"""),1.0)</f>
        <v>1</v>
      </c>
      <c r="C10" s="114" t="s">
        <v>4094</v>
      </c>
      <c r="D10" s="114" t="str">
        <f>IFERROR(__xludf.DUMMYFUNCTION("""COMPUTED_VALUE"""),"2025-W52")</f>
        <v>2025-W52</v>
      </c>
      <c r="E10" s="114">
        <f>IFERROR(__xludf.DUMMYFUNCTION("""COMPUTED_VALUE"""),1.0)</f>
        <v>1</v>
      </c>
      <c r="F10" s="114" t="s">
        <v>4094</v>
      </c>
      <c r="G10" s="114"/>
      <c r="H10" s="114"/>
      <c r="I10" s="114"/>
      <c r="J10" s="114"/>
      <c r="K10" s="114"/>
      <c r="L10" s="114"/>
      <c r="M10" s="114"/>
      <c r="N10" s="114"/>
      <c r="O10" s="114"/>
      <c r="P10" s="2"/>
      <c r="Q10" s="2" t="s">
        <v>4095</v>
      </c>
      <c r="R10" s="2">
        <v>1.0</v>
      </c>
      <c r="S10" s="2" t="s">
        <v>4096</v>
      </c>
      <c r="T10" s="2">
        <v>3.0</v>
      </c>
      <c r="U10" s="2">
        <v>1.0</v>
      </c>
      <c r="V10" s="2">
        <v>38.0</v>
      </c>
      <c r="W10" s="2"/>
      <c r="X10" s="2"/>
    </row>
    <row r="11">
      <c r="A11" s="112">
        <f>IFERROR(__xludf.DUMMYFUNCTION("""COMPUTED_VALUE"""),45974.0)</f>
        <v>45974</v>
      </c>
      <c r="B11" s="113">
        <f>IFERROR(__xludf.DUMMYFUNCTION("""COMPUTED_VALUE"""),1.0)</f>
        <v>1</v>
      </c>
      <c r="C11" s="114" t="s">
        <v>4097</v>
      </c>
      <c r="D11" s="114" t="str">
        <f>IFERROR(__xludf.DUMMYFUNCTION("""COMPUTED_VALUE"""),"2026-W01")</f>
        <v>2026-W01</v>
      </c>
      <c r="E11" s="114">
        <f>IFERROR(__xludf.DUMMYFUNCTION("""COMPUTED_VALUE"""),10.0)</f>
        <v>10</v>
      </c>
      <c r="F11" s="114" t="s">
        <v>4098</v>
      </c>
      <c r="G11" s="114"/>
      <c r="H11" s="114"/>
      <c r="I11" s="114"/>
      <c r="J11" s="114"/>
      <c r="K11" s="114"/>
      <c r="L11" s="114"/>
      <c r="M11" s="114"/>
      <c r="N11" s="114"/>
      <c r="O11" s="114"/>
      <c r="P11" s="2"/>
      <c r="Q11" s="2" t="s">
        <v>1520</v>
      </c>
      <c r="R11" s="2">
        <v>2.0</v>
      </c>
      <c r="S11" s="2" t="s">
        <v>4099</v>
      </c>
      <c r="T11" s="2">
        <v>1.0</v>
      </c>
      <c r="U11" s="2">
        <v>28.0</v>
      </c>
      <c r="V11" s="2">
        <v>4.0</v>
      </c>
      <c r="W11" s="2"/>
      <c r="X11" s="2"/>
    </row>
    <row r="12">
      <c r="A12" s="112">
        <f>IFERROR(__xludf.DUMMYFUNCTION("""COMPUTED_VALUE"""),45975.0)</f>
        <v>45975</v>
      </c>
      <c r="B12" s="113">
        <f>IFERROR(__xludf.DUMMYFUNCTION("""COMPUTED_VALUE"""),8.0)</f>
        <v>8</v>
      </c>
      <c r="C12" s="114" t="s">
        <v>4069</v>
      </c>
      <c r="D12" s="114" t="str">
        <f>IFERROR(__xludf.DUMMYFUNCTION("""COMPUTED_VALUE"""),"2026-W02")</f>
        <v>2026-W02</v>
      </c>
      <c r="E12" s="114">
        <f>IFERROR(__xludf.DUMMYFUNCTION("""COMPUTED_VALUE"""),58.0)</f>
        <v>58</v>
      </c>
      <c r="F12" s="114" t="s">
        <v>4100</v>
      </c>
      <c r="G12" s="114"/>
      <c r="H12" s="114"/>
      <c r="I12" s="114"/>
      <c r="J12" s="114"/>
      <c r="K12" s="114"/>
      <c r="L12" s="114"/>
      <c r="M12" s="114"/>
      <c r="N12" s="114"/>
      <c r="O12" s="114"/>
      <c r="P12" s="2"/>
      <c r="Q12" s="2" t="s">
        <v>2750</v>
      </c>
      <c r="R12" s="2">
        <v>2.0</v>
      </c>
      <c r="S12" s="2" t="s">
        <v>4101</v>
      </c>
      <c r="T12" s="2">
        <v>9.0</v>
      </c>
      <c r="U12" s="2">
        <v>2.0</v>
      </c>
      <c r="V12" s="2">
        <v>23.0</v>
      </c>
      <c r="W12" s="2"/>
      <c r="X12" s="2"/>
    </row>
    <row r="13">
      <c r="A13" s="112">
        <f>IFERROR(__xludf.DUMMYFUNCTION("""COMPUTED_VALUE"""),45976.0)</f>
        <v>45976</v>
      </c>
      <c r="B13" s="113">
        <f>IFERROR(__xludf.DUMMYFUNCTION("""COMPUTED_VALUE"""),2.0)</f>
        <v>2</v>
      </c>
      <c r="C13" s="114" t="s">
        <v>4102</v>
      </c>
      <c r="D13" s="114" t="str">
        <f>IFERROR(__xludf.DUMMYFUNCTION("""COMPUTED_VALUE"""),"2026-W03")</f>
        <v>2026-W03</v>
      </c>
      <c r="E13" s="114">
        <f>IFERROR(__xludf.DUMMYFUNCTION("""COMPUTED_VALUE"""),2.0)</f>
        <v>2</v>
      </c>
      <c r="F13" s="114" t="s">
        <v>4103</v>
      </c>
      <c r="G13" s="114"/>
      <c r="H13" s="114"/>
      <c r="I13" s="114"/>
      <c r="J13" s="114"/>
      <c r="K13" s="114"/>
      <c r="L13" s="114"/>
      <c r="M13" s="114"/>
      <c r="N13" s="114"/>
      <c r="O13" s="114"/>
      <c r="P13" s="2"/>
      <c r="Q13" s="2" t="s">
        <v>4104</v>
      </c>
      <c r="R13" s="2">
        <v>1.0</v>
      </c>
      <c r="S13" s="2" t="s">
        <v>4105</v>
      </c>
      <c r="T13" s="2">
        <v>2.0</v>
      </c>
      <c r="U13" s="2">
        <v>12.0</v>
      </c>
      <c r="V13" s="2">
        <v>7.0</v>
      </c>
      <c r="W13" s="2"/>
      <c r="X13" s="2"/>
    </row>
    <row r="14">
      <c r="A14" s="112">
        <f>IFERROR(__xludf.DUMMYFUNCTION("""COMPUTED_VALUE"""),45977.0)</f>
        <v>45977</v>
      </c>
      <c r="B14" s="113">
        <f>IFERROR(__xludf.DUMMYFUNCTION("""COMPUTED_VALUE"""),2.0)</f>
        <v>2</v>
      </c>
      <c r="C14" s="114" t="s">
        <v>4097</v>
      </c>
      <c r="D14" s="114" t="str">
        <f>IFERROR(__xludf.DUMMYFUNCTION("""COMPUTED_VALUE"""),"2026-W04")</f>
        <v>2026-W04</v>
      </c>
      <c r="E14" s="114">
        <f>IFERROR(__xludf.DUMMYFUNCTION("""COMPUTED_VALUE"""),1.0)</f>
        <v>1</v>
      </c>
      <c r="F14" s="114" t="s">
        <v>4106</v>
      </c>
      <c r="G14" s="114"/>
      <c r="H14" s="114"/>
      <c r="I14" s="114"/>
      <c r="J14" s="114"/>
      <c r="K14" s="114"/>
      <c r="L14" s="114"/>
      <c r="M14" s="114"/>
      <c r="N14" s="114"/>
      <c r="O14" s="114"/>
      <c r="P14" s="2"/>
      <c r="Q14" s="2" t="s">
        <v>1740</v>
      </c>
      <c r="R14" s="2">
        <v>1.0</v>
      </c>
      <c r="S14" s="2" t="s">
        <v>4107</v>
      </c>
      <c r="T14" s="2">
        <v>6.0</v>
      </c>
      <c r="U14" s="2">
        <v>7.0</v>
      </c>
      <c r="V14" s="2">
        <v>6.0</v>
      </c>
      <c r="W14" s="2"/>
      <c r="X14" s="2"/>
    </row>
    <row r="15">
      <c r="A15" s="112">
        <f>IFERROR(__xludf.DUMMYFUNCTION("""COMPUTED_VALUE"""),45978.0)</f>
        <v>45978</v>
      </c>
      <c r="B15" s="113">
        <f>IFERROR(__xludf.DUMMYFUNCTION("""COMPUTED_VALUE"""),14.0)</f>
        <v>14</v>
      </c>
      <c r="C15" s="114" t="s">
        <v>4108</v>
      </c>
      <c r="D15" s="114" t="str">
        <f>IFERROR(__xludf.DUMMYFUNCTION("""COMPUTED_VALUE"""),"2026-W05")</f>
        <v>2026-W05</v>
      </c>
      <c r="E15" s="114">
        <f>IFERROR(__xludf.DUMMYFUNCTION("""COMPUTED_VALUE"""),40.0)</f>
        <v>40</v>
      </c>
      <c r="F15" s="114" t="s">
        <v>4109</v>
      </c>
      <c r="G15" s="114"/>
      <c r="H15" s="114"/>
      <c r="I15" s="114"/>
      <c r="J15" s="114"/>
      <c r="K15" s="114"/>
      <c r="L15" s="114"/>
      <c r="M15" s="114"/>
      <c r="N15" s="114"/>
      <c r="O15" s="114"/>
      <c r="P15" s="2"/>
      <c r="Q15" s="2" t="s">
        <v>1077</v>
      </c>
      <c r="R15" s="2">
        <v>11.0</v>
      </c>
      <c r="S15" s="2" t="s">
        <v>4110</v>
      </c>
      <c r="T15" s="2">
        <v>4.0</v>
      </c>
      <c r="U15" s="2">
        <v>8.0</v>
      </c>
      <c r="V15" s="2">
        <v>3.0</v>
      </c>
      <c r="W15" s="2"/>
      <c r="X15" s="2"/>
    </row>
    <row r="16">
      <c r="A16" s="112">
        <f>IFERROR(__xludf.DUMMYFUNCTION("""COMPUTED_VALUE"""),45979.0)</f>
        <v>45979</v>
      </c>
      <c r="B16" s="113">
        <f>IFERROR(__xludf.DUMMYFUNCTION("""COMPUTED_VALUE"""),9.0)</f>
        <v>9</v>
      </c>
      <c r="C16" s="114" t="s">
        <v>4111</v>
      </c>
      <c r="D16" s="114" t="str">
        <f>IFERROR(__xludf.DUMMYFUNCTION("""COMPUTED_VALUE"""),"2026-W06")</f>
        <v>2026-W06</v>
      </c>
      <c r="E16" s="114">
        <f>IFERROR(__xludf.DUMMYFUNCTION("""COMPUTED_VALUE"""),57.0)</f>
        <v>57</v>
      </c>
      <c r="F16" s="114" t="s">
        <v>4112</v>
      </c>
      <c r="G16" s="114"/>
      <c r="H16" s="114"/>
      <c r="I16" s="114"/>
      <c r="J16" s="114"/>
      <c r="K16" s="114"/>
      <c r="L16" s="114"/>
      <c r="M16" s="114"/>
      <c r="N16" s="114"/>
      <c r="O16" s="114"/>
      <c r="P16" s="2"/>
      <c r="Q16" s="2" t="s">
        <v>3366</v>
      </c>
      <c r="R16" s="2">
        <v>2.0</v>
      </c>
      <c r="S16" s="2" t="s">
        <v>4113</v>
      </c>
      <c r="T16" s="2">
        <v>3.0</v>
      </c>
      <c r="U16" s="2">
        <v>11.0</v>
      </c>
      <c r="V16" s="2">
        <v>5.0</v>
      </c>
      <c r="W16" s="2"/>
      <c r="X16" s="2"/>
    </row>
    <row r="17">
      <c r="A17" s="112">
        <f>IFERROR(__xludf.DUMMYFUNCTION("""COMPUTED_VALUE"""),45980.0)</f>
        <v>45980</v>
      </c>
      <c r="B17" s="113">
        <f>IFERROR(__xludf.DUMMYFUNCTION("""COMPUTED_VALUE"""),10.0)</f>
        <v>10</v>
      </c>
      <c r="C17" s="114" t="s">
        <v>4114</v>
      </c>
      <c r="D17" s="114" t="str">
        <f>IFERROR(__xludf.DUMMYFUNCTION("""COMPUTED_VALUE"""),"2026-W07")</f>
        <v>2026-W07</v>
      </c>
      <c r="E17" s="114">
        <f>IFERROR(__xludf.DUMMYFUNCTION("""COMPUTED_VALUE"""),99.0)</f>
        <v>99</v>
      </c>
      <c r="F17" s="114" t="s">
        <v>4115</v>
      </c>
      <c r="G17" s="114"/>
      <c r="H17" s="114"/>
      <c r="I17" s="114"/>
      <c r="J17" s="114"/>
      <c r="K17" s="114"/>
      <c r="L17" s="114"/>
      <c r="M17" s="114"/>
      <c r="N17" s="114"/>
      <c r="O17" s="114"/>
      <c r="P17" s="2"/>
      <c r="Q17" s="2" t="s">
        <v>4116</v>
      </c>
      <c r="R17" s="2">
        <v>1.0</v>
      </c>
      <c r="S17" s="2" t="s">
        <v>4117</v>
      </c>
      <c r="T17" s="2">
        <v>2.0</v>
      </c>
      <c r="U17" s="2">
        <v>9.0</v>
      </c>
      <c r="V17" s="2">
        <v>6.0</v>
      </c>
      <c r="W17" s="2"/>
      <c r="X17" s="2"/>
    </row>
    <row r="18">
      <c r="A18" s="112">
        <f>IFERROR(__xludf.DUMMYFUNCTION("""COMPUTED_VALUE"""),45981.0)</f>
        <v>45981</v>
      </c>
      <c r="B18" s="113">
        <f>IFERROR(__xludf.DUMMYFUNCTION("""COMPUTED_VALUE"""),8.0)</f>
        <v>8</v>
      </c>
      <c r="C18" s="114" t="s">
        <v>4118</v>
      </c>
      <c r="D18" s="114" t="str">
        <f>IFERROR(__xludf.DUMMYFUNCTION("""COMPUTED_VALUE"""),"2026-W08")</f>
        <v>2026-W08</v>
      </c>
      <c r="E18" s="114">
        <f>IFERROR(__xludf.DUMMYFUNCTION("""COMPUTED_VALUE"""),69.0)</f>
        <v>69</v>
      </c>
      <c r="F18" s="114" t="s">
        <v>4119</v>
      </c>
      <c r="G18" s="114"/>
      <c r="H18" s="114"/>
      <c r="I18" s="114"/>
      <c r="J18" s="114"/>
      <c r="K18" s="114"/>
      <c r="L18" s="114"/>
      <c r="M18" s="114"/>
      <c r="N18" s="114"/>
      <c r="O18" s="114"/>
      <c r="P18" s="2"/>
      <c r="Q18" s="2" t="s">
        <v>4120</v>
      </c>
      <c r="R18" s="2">
        <v>1.0</v>
      </c>
      <c r="S18" s="2" t="s">
        <v>4121</v>
      </c>
      <c r="T18" s="2">
        <v>1.0</v>
      </c>
      <c r="U18" s="2">
        <v>35.0</v>
      </c>
      <c r="V18" s="2">
        <v>1.0</v>
      </c>
      <c r="W18" s="2"/>
      <c r="X18" s="2"/>
    </row>
    <row r="19">
      <c r="A19" s="112">
        <f>IFERROR(__xludf.DUMMYFUNCTION("""COMPUTED_VALUE"""),45982.0)</f>
        <v>45982</v>
      </c>
      <c r="B19" s="113">
        <f>IFERROR(__xludf.DUMMYFUNCTION("""COMPUTED_VALUE"""),19.0)</f>
        <v>19</v>
      </c>
      <c r="C19" s="114" t="s">
        <v>4122</v>
      </c>
      <c r="D19" s="114"/>
      <c r="E19" s="114"/>
      <c r="F19" s="114"/>
      <c r="G19" s="114"/>
      <c r="H19" s="114"/>
      <c r="I19" s="114"/>
      <c r="J19" s="114"/>
      <c r="K19" s="114"/>
      <c r="L19" s="114"/>
      <c r="M19" s="114"/>
      <c r="N19" s="114"/>
      <c r="O19" s="114"/>
      <c r="P19" s="2"/>
      <c r="Q19" s="2" t="s">
        <v>1093</v>
      </c>
      <c r="R19" s="2">
        <v>5.0</v>
      </c>
      <c r="S19" s="2" t="s">
        <v>4123</v>
      </c>
      <c r="T19" s="2">
        <v>2.0</v>
      </c>
      <c r="U19" s="2">
        <v>19.0</v>
      </c>
      <c r="V19" s="2">
        <v>2.0</v>
      </c>
      <c r="W19" s="2"/>
      <c r="X19" s="2"/>
    </row>
    <row r="20">
      <c r="A20" s="112">
        <f>IFERROR(__xludf.DUMMYFUNCTION("""COMPUTED_VALUE"""),45984.0)</f>
        <v>45984</v>
      </c>
      <c r="B20" s="113">
        <f>IFERROR(__xludf.DUMMYFUNCTION("""COMPUTED_VALUE"""),1.0)</f>
        <v>1</v>
      </c>
      <c r="C20" s="114" t="s">
        <v>4124</v>
      </c>
      <c r="D20" s="114"/>
      <c r="E20" s="114"/>
      <c r="F20" s="114"/>
      <c r="G20" s="114"/>
      <c r="H20" s="114"/>
      <c r="I20" s="114"/>
      <c r="J20" s="114"/>
      <c r="K20" s="114"/>
      <c r="L20" s="114"/>
      <c r="M20" s="114"/>
      <c r="N20" s="114"/>
      <c r="O20" s="114"/>
      <c r="P20" s="2"/>
      <c r="Q20" s="2" t="s">
        <v>4125</v>
      </c>
      <c r="R20" s="2">
        <v>5.0</v>
      </c>
      <c r="S20" s="2" t="s">
        <v>4126</v>
      </c>
      <c r="T20" s="2">
        <v>1.0</v>
      </c>
      <c r="U20" s="2">
        <v>36.0</v>
      </c>
      <c r="V20" s="2">
        <v>4.0</v>
      </c>
      <c r="W20" s="2"/>
      <c r="X20" s="2"/>
    </row>
    <row r="21">
      <c r="A21" s="112">
        <f>IFERROR(__xludf.DUMMYFUNCTION("""COMPUTED_VALUE"""),45985.0)</f>
        <v>45985</v>
      </c>
      <c r="B21" s="113">
        <f>IFERROR(__xludf.DUMMYFUNCTION("""COMPUTED_VALUE"""),5.0)</f>
        <v>5</v>
      </c>
      <c r="C21" s="114" t="s">
        <v>4127</v>
      </c>
      <c r="D21" s="114"/>
      <c r="E21" s="114"/>
      <c r="F21" s="114"/>
      <c r="G21" s="114"/>
      <c r="H21" s="114"/>
      <c r="I21" s="114"/>
      <c r="J21" s="114"/>
      <c r="K21" s="114"/>
      <c r="L21" s="114"/>
      <c r="M21" s="114"/>
      <c r="N21" s="114"/>
      <c r="O21" s="114"/>
      <c r="P21" s="2"/>
      <c r="Q21" s="2" t="s">
        <v>1319</v>
      </c>
      <c r="R21" s="2">
        <v>5.0</v>
      </c>
      <c r="S21" s="2" t="s">
        <v>4128</v>
      </c>
      <c r="T21" s="2">
        <v>18.0</v>
      </c>
      <c r="U21" s="2">
        <v>32.0</v>
      </c>
      <c r="V21" s="2">
        <v>2.0</v>
      </c>
      <c r="W21" s="2"/>
      <c r="X21" s="2"/>
    </row>
    <row r="22">
      <c r="A22" s="116">
        <f>IFERROR(__xludf.DUMMYFUNCTION("""COMPUTED_VALUE"""),45986.0)</f>
        <v>45986</v>
      </c>
      <c r="B22" s="44">
        <f>IFERROR(__xludf.DUMMYFUNCTION("""COMPUTED_VALUE"""),1.0)</f>
        <v>1</v>
      </c>
      <c r="C22" s="2" t="s">
        <v>4129</v>
      </c>
      <c r="D22" s="2"/>
      <c r="E22" s="2"/>
      <c r="F22" s="2"/>
      <c r="G22" s="2"/>
      <c r="H22" s="2"/>
      <c r="I22" s="2"/>
      <c r="J22" s="2"/>
      <c r="K22" s="2"/>
      <c r="L22" s="2"/>
      <c r="M22" s="2"/>
      <c r="N22" s="2"/>
      <c r="O22" s="2"/>
      <c r="P22" s="2"/>
      <c r="Q22" s="2" t="s">
        <v>4130</v>
      </c>
      <c r="R22" s="2">
        <v>1.0</v>
      </c>
      <c r="S22" s="2" t="s">
        <v>4131</v>
      </c>
      <c r="T22" s="2">
        <v>1.0</v>
      </c>
      <c r="U22" s="2">
        <v>29.0</v>
      </c>
      <c r="V22" s="2">
        <v>2.0</v>
      </c>
      <c r="W22" s="2"/>
      <c r="X22" s="2"/>
    </row>
    <row r="23">
      <c r="A23" s="116">
        <f>IFERROR(__xludf.DUMMYFUNCTION("""COMPUTED_VALUE"""),45990.0)</f>
        <v>45990</v>
      </c>
      <c r="B23" s="44">
        <f>IFERROR(__xludf.DUMMYFUNCTION("""COMPUTED_VALUE"""),2.0)</f>
        <v>2</v>
      </c>
      <c r="C23" s="2" t="s">
        <v>4132</v>
      </c>
      <c r="D23" s="2"/>
      <c r="E23" s="2"/>
      <c r="F23" s="2"/>
      <c r="G23" s="2"/>
      <c r="H23" s="2"/>
      <c r="I23" s="2"/>
      <c r="J23" s="2"/>
      <c r="K23" s="2"/>
      <c r="L23" s="2"/>
      <c r="M23" s="2"/>
      <c r="N23" s="2"/>
      <c r="O23" s="2"/>
      <c r="P23" s="2"/>
      <c r="Q23" s="2" t="s">
        <v>952</v>
      </c>
      <c r="R23" s="2">
        <v>6.0</v>
      </c>
      <c r="S23" s="2" t="s">
        <v>4133</v>
      </c>
      <c r="T23" s="2">
        <v>3.0</v>
      </c>
      <c r="U23" s="2">
        <v>57.0</v>
      </c>
      <c r="V23" s="2">
        <v>3.0</v>
      </c>
      <c r="W23" s="2"/>
      <c r="X23" s="2"/>
    </row>
    <row r="24">
      <c r="A24" s="116">
        <f>IFERROR(__xludf.DUMMYFUNCTION("""COMPUTED_VALUE"""),45991.0)</f>
        <v>45991</v>
      </c>
      <c r="B24" s="44">
        <f>IFERROR(__xludf.DUMMYFUNCTION("""COMPUTED_VALUE"""),14.0)</f>
        <v>14</v>
      </c>
      <c r="C24" s="2" t="s">
        <v>4108</v>
      </c>
      <c r="D24" s="2"/>
      <c r="E24" s="2"/>
      <c r="F24" s="2"/>
      <c r="G24" s="2"/>
      <c r="H24" s="2"/>
      <c r="I24" s="2"/>
      <c r="J24" s="2"/>
      <c r="K24" s="2"/>
      <c r="L24" s="2"/>
      <c r="M24" s="2"/>
      <c r="N24" s="2"/>
      <c r="O24" s="2"/>
      <c r="P24" s="2"/>
      <c r="Q24" s="2" t="s">
        <v>4134</v>
      </c>
      <c r="R24" s="2">
        <v>1.0</v>
      </c>
      <c r="S24" s="2" t="s">
        <v>4135</v>
      </c>
      <c r="T24" s="2">
        <v>1.0</v>
      </c>
      <c r="U24" s="2">
        <v>16.0</v>
      </c>
      <c r="V24" s="2">
        <v>2.0</v>
      </c>
      <c r="W24" s="2"/>
      <c r="X24" s="2"/>
    </row>
    <row r="25">
      <c r="A25" s="116">
        <f>IFERROR(__xludf.DUMMYFUNCTION("""COMPUTED_VALUE"""),45992.0)</f>
        <v>45992</v>
      </c>
      <c r="B25" s="44">
        <f>IFERROR(__xludf.DUMMYFUNCTION("""COMPUTED_VALUE"""),1.0)</f>
        <v>1</v>
      </c>
      <c r="C25" s="2" t="s">
        <v>4136</v>
      </c>
      <c r="D25" s="2"/>
      <c r="E25" s="2"/>
      <c r="F25" s="2"/>
      <c r="G25" s="2"/>
      <c r="H25" s="2"/>
      <c r="I25" s="2"/>
      <c r="J25" s="2"/>
      <c r="K25" s="2"/>
      <c r="L25" s="2"/>
      <c r="M25" s="2"/>
      <c r="N25" s="2"/>
      <c r="O25" s="2"/>
      <c r="P25" s="2"/>
      <c r="Q25" s="2" t="s">
        <v>4137</v>
      </c>
      <c r="R25" s="2">
        <v>1.0</v>
      </c>
      <c r="S25" s="2" t="s">
        <v>4138</v>
      </c>
      <c r="T25" s="2">
        <v>1.0</v>
      </c>
      <c r="U25" s="2">
        <v>5.0</v>
      </c>
      <c r="V25" s="2">
        <v>8.0</v>
      </c>
      <c r="W25" s="2"/>
      <c r="X25" s="2"/>
    </row>
    <row r="26">
      <c r="A26" s="116">
        <f>IFERROR(__xludf.DUMMYFUNCTION("""COMPUTED_VALUE"""),45998.0)</f>
        <v>45998</v>
      </c>
      <c r="B26" s="44">
        <f>IFERROR(__xludf.DUMMYFUNCTION("""COMPUTED_VALUE"""),2.0)</f>
        <v>2</v>
      </c>
      <c r="C26" s="2" t="s">
        <v>4132</v>
      </c>
      <c r="D26" s="2"/>
      <c r="E26" s="2"/>
      <c r="F26" s="2"/>
      <c r="G26" s="2"/>
      <c r="H26" s="2"/>
      <c r="I26" s="2"/>
      <c r="J26" s="2"/>
      <c r="K26" s="2"/>
      <c r="L26" s="2"/>
      <c r="M26" s="2"/>
      <c r="N26" s="2"/>
      <c r="O26" s="2"/>
      <c r="P26" s="2"/>
      <c r="Q26" s="2" t="s">
        <v>4139</v>
      </c>
      <c r="R26" s="2">
        <v>2.0</v>
      </c>
      <c r="S26" s="2" t="s">
        <v>4140</v>
      </c>
      <c r="T26" s="2">
        <v>1.0</v>
      </c>
      <c r="U26" s="2">
        <v>6.0</v>
      </c>
      <c r="V26" s="2">
        <v>5.0</v>
      </c>
      <c r="W26" s="2"/>
      <c r="X26" s="2"/>
    </row>
    <row r="27">
      <c r="A27" s="116">
        <f>IFERROR(__xludf.DUMMYFUNCTION("""COMPUTED_VALUE"""),46000.0)</f>
        <v>46000</v>
      </c>
      <c r="B27" s="44">
        <f>IFERROR(__xludf.DUMMYFUNCTION("""COMPUTED_VALUE"""),24.0)</f>
        <v>24</v>
      </c>
      <c r="C27" s="2" t="s">
        <v>4141</v>
      </c>
      <c r="D27" s="2"/>
      <c r="E27" s="2"/>
      <c r="F27" s="2"/>
      <c r="G27" s="2"/>
      <c r="H27" s="2"/>
      <c r="I27" s="2"/>
      <c r="J27" s="2"/>
      <c r="K27" s="2"/>
      <c r="L27" s="2"/>
      <c r="M27" s="2"/>
      <c r="N27" s="2"/>
      <c r="O27" s="2"/>
      <c r="P27" s="2"/>
      <c r="Q27" s="2" t="s">
        <v>1117</v>
      </c>
      <c r="R27" s="2">
        <v>1.0</v>
      </c>
      <c r="S27" s="2" t="s">
        <v>4142</v>
      </c>
      <c r="T27" s="2">
        <v>2.0</v>
      </c>
      <c r="U27" s="2">
        <v>21.0</v>
      </c>
      <c r="V27" s="2">
        <v>3.0</v>
      </c>
      <c r="W27" s="2"/>
      <c r="X27" s="2"/>
    </row>
    <row r="28">
      <c r="A28" s="116">
        <f>IFERROR(__xludf.DUMMYFUNCTION("""COMPUTED_VALUE"""),46001.0)</f>
        <v>46001</v>
      </c>
      <c r="B28" s="44">
        <f>IFERROR(__xludf.DUMMYFUNCTION("""COMPUTED_VALUE"""),15.0)</f>
        <v>15</v>
      </c>
      <c r="C28" s="2" t="s">
        <v>4143</v>
      </c>
      <c r="D28" s="2"/>
      <c r="E28" s="2"/>
      <c r="F28" s="2"/>
      <c r="G28" s="2"/>
      <c r="H28" s="2"/>
      <c r="I28" s="2"/>
      <c r="J28" s="2"/>
      <c r="K28" s="2"/>
      <c r="L28" s="2"/>
      <c r="M28" s="2"/>
      <c r="N28" s="2"/>
      <c r="O28" s="2"/>
      <c r="P28" s="2"/>
      <c r="Q28" s="2" t="s">
        <v>858</v>
      </c>
      <c r="R28" s="2">
        <v>18.0</v>
      </c>
      <c r="S28" s="2" t="s">
        <v>4144</v>
      </c>
      <c r="T28" s="2">
        <v>2.0</v>
      </c>
      <c r="U28" s="2">
        <v>20.0</v>
      </c>
      <c r="V28" s="2">
        <v>3.0</v>
      </c>
      <c r="W28" s="2"/>
      <c r="X28" s="2"/>
    </row>
    <row r="29">
      <c r="A29" s="116">
        <f>IFERROR(__xludf.DUMMYFUNCTION("""COMPUTED_VALUE"""),46010.0)</f>
        <v>46010</v>
      </c>
      <c r="B29" s="44">
        <f>IFERROR(__xludf.DUMMYFUNCTION("""COMPUTED_VALUE"""),1.0)</f>
        <v>1</v>
      </c>
      <c r="C29" s="2" t="s">
        <v>4145</v>
      </c>
      <c r="D29" s="2"/>
      <c r="E29" s="2"/>
      <c r="F29" s="2"/>
      <c r="G29" s="2"/>
      <c r="H29" s="2"/>
      <c r="I29" s="2"/>
      <c r="J29" s="2"/>
      <c r="K29" s="2"/>
      <c r="L29" s="2"/>
      <c r="M29" s="2"/>
      <c r="N29" s="2"/>
      <c r="O29" s="2"/>
      <c r="P29" s="2"/>
      <c r="Q29" s="2" t="s">
        <v>4146</v>
      </c>
      <c r="R29" s="2">
        <v>1.0</v>
      </c>
      <c r="S29" s="2" t="s">
        <v>4147</v>
      </c>
      <c r="T29" s="2">
        <v>2.0</v>
      </c>
      <c r="U29" s="2">
        <v>27.0</v>
      </c>
      <c r="V29" s="2">
        <v>3.0</v>
      </c>
      <c r="W29" s="2"/>
      <c r="X29" s="2"/>
    </row>
    <row r="30">
      <c r="A30" s="116">
        <f>IFERROR(__xludf.DUMMYFUNCTION("""COMPUTED_VALUE"""),46011.0)</f>
        <v>46011</v>
      </c>
      <c r="B30" s="44">
        <f>IFERROR(__xludf.DUMMYFUNCTION("""COMPUTED_VALUE"""),1.0)</f>
        <v>1</v>
      </c>
      <c r="C30" s="2" t="s">
        <v>4097</v>
      </c>
      <c r="D30" s="2"/>
      <c r="E30" s="2"/>
      <c r="F30" s="2"/>
      <c r="G30" s="2"/>
      <c r="H30" s="2"/>
      <c r="I30" s="2"/>
      <c r="J30" s="2"/>
      <c r="K30" s="2"/>
      <c r="L30" s="2"/>
      <c r="M30" s="2"/>
      <c r="N30" s="2"/>
      <c r="O30" s="2"/>
      <c r="P30" s="2"/>
      <c r="Q30" s="2" t="s">
        <v>1031</v>
      </c>
      <c r="R30" s="2">
        <v>2.0</v>
      </c>
      <c r="S30" s="2" t="s">
        <v>4148</v>
      </c>
      <c r="T30" s="2">
        <v>4.0</v>
      </c>
      <c r="U30" s="2" t="s">
        <v>4086</v>
      </c>
      <c r="V30" s="2"/>
      <c r="W30" s="2"/>
      <c r="X30" s="2"/>
    </row>
    <row r="31">
      <c r="A31" s="116">
        <f>IFERROR(__xludf.DUMMYFUNCTION("""COMPUTED_VALUE"""),46012.0)</f>
        <v>46012</v>
      </c>
      <c r="B31" s="44">
        <f>IFERROR(__xludf.DUMMYFUNCTION("""COMPUTED_VALUE"""),1.0)</f>
        <v>1</v>
      </c>
      <c r="C31" s="2" t="s">
        <v>4097</v>
      </c>
      <c r="D31" s="2"/>
      <c r="E31" s="2"/>
      <c r="F31" s="2"/>
      <c r="G31" s="2"/>
      <c r="H31" s="2"/>
      <c r="I31" s="2"/>
      <c r="J31" s="2"/>
      <c r="K31" s="2"/>
      <c r="L31" s="2"/>
      <c r="M31" s="2"/>
      <c r="N31" s="2"/>
      <c r="O31" s="2"/>
      <c r="P31" s="2"/>
      <c r="Q31" s="2" t="s">
        <v>1285</v>
      </c>
      <c r="R31" s="2">
        <v>8.0</v>
      </c>
      <c r="S31" s="2" t="s">
        <v>4149</v>
      </c>
      <c r="T31" s="2">
        <v>2.0</v>
      </c>
      <c r="U31" s="2">
        <v>55.0</v>
      </c>
      <c r="V31" s="2">
        <v>2.0</v>
      </c>
      <c r="W31" s="2"/>
      <c r="X31" s="2"/>
    </row>
    <row r="32">
      <c r="A32" s="116">
        <f>IFERROR(__xludf.DUMMYFUNCTION("""COMPUTED_VALUE"""),46015.0)</f>
        <v>46015</v>
      </c>
      <c r="B32" s="44">
        <f>IFERROR(__xludf.DUMMYFUNCTION("""COMPUTED_VALUE"""),1.0)</f>
        <v>1</v>
      </c>
      <c r="C32" s="2" t="s">
        <v>4097</v>
      </c>
      <c r="D32" s="2"/>
      <c r="E32" s="2"/>
      <c r="F32" s="2"/>
      <c r="G32" s="2"/>
      <c r="H32" s="2"/>
      <c r="I32" s="2"/>
      <c r="J32" s="2"/>
      <c r="K32" s="2"/>
      <c r="L32" s="2"/>
      <c r="M32" s="2"/>
      <c r="N32" s="2"/>
      <c r="O32" s="2"/>
      <c r="P32" s="2"/>
      <c r="Q32" s="2" t="s">
        <v>379</v>
      </c>
      <c r="R32" s="2">
        <v>7.0</v>
      </c>
      <c r="S32" s="2" t="s">
        <v>4150</v>
      </c>
      <c r="T32" s="2">
        <v>2.0</v>
      </c>
      <c r="U32" s="2">
        <v>58.0</v>
      </c>
      <c r="V32" s="2">
        <v>2.0</v>
      </c>
      <c r="W32" s="2"/>
      <c r="X32" s="2"/>
    </row>
    <row r="33">
      <c r="A33" s="116">
        <f>IFERROR(__xludf.DUMMYFUNCTION("""COMPUTED_VALUE"""),46023.0)</f>
        <v>46023</v>
      </c>
      <c r="B33" s="44">
        <f>IFERROR(__xludf.DUMMYFUNCTION("""COMPUTED_VALUE"""),6.0)</f>
        <v>6</v>
      </c>
      <c r="C33" s="2" t="s">
        <v>4151</v>
      </c>
      <c r="D33" s="2"/>
      <c r="E33" s="2"/>
      <c r="F33" s="2"/>
      <c r="G33" s="2"/>
      <c r="H33" s="2"/>
      <c r="I33" s="2"/>
      <c r="J33" s="2"/>
      <c r="K33" s="2"/>
      <c r="L33" s="2"/>
      <c r="M33" s="2"/>
      <c r="N33" s="2"/>
      <c r="O33" s="2"/>
      <c r="P33" s="2"/>
      <c r="Q33" s="2" t="s">
        <v>866</v>
      </c>
      <c r="R33" s="2">
        <v>4.0</v>
      </c>
      <c r="S33" s="2" t="s">
        <v>4152</v>
      </c>
      <c r="T33" s="2">
        <v>3.0</v>
      </c>
      <c r="U33" s="2">
        <v>46.0</v>
      </c>
      <c r="V33" s="2">
        <v>4.0</v>
      </c>
      <c r="W33" s="2"/>
      <c r="X33" s="2"/>
    </row>
    <row r="34">
      <c r="A34" s="116">
        <f>IFERROR(__xludf.DUMMYFUNCTION("""COMPUTED_VALUE"""),46025.0)</f>
        <v>46025</v>
      </c>
      <c r="B34" s="44">
        <f>IFERROR(__xludf.DUMMYFUNCTION("""COMPUTED_VALUE"""),1.0)</f>
        <v>1</v>
      </c>
      <c r="C34" s="2" t="s">
        <v>4153</v>
      </c>
      <c r="D34" s="2"/>
      <c r="E34" s="2"/>
      <c r="F34" s="2"/>
      <c r="G34" s="2"/>
      <c r="H34" s="2"/>
      <c r="I34" s="2"/>
      <c r="J34" s="2"/>
      <c r="K34" s="2"/>
      <c r="L34" s="2"/>
      <c r="M34" s="2"/>
      <c r="N34" s="2"/>
      <c r="O34" s="2"/>
      <c r="P34" s="2"/>
      <c r="Q34" s="2" t="s">
        <v>4154</v>
      </c>
      <c r="R34" s="2">
        <v>1.0</v>
      </c>
      <c r="S34" s="2" t="s">
        <v>4155</v>
      </c>
      <c r="T34" s="2">
        <v>1.0</v>
      </c>
      <c r="U34" s="2">
        <v>47.0</v>
      </c>
      <c r="V34" s="2">
        <v>1.0</v>
      </c>
      <c r="W34" s="2"/>
      <c r="X34" s="2"/>
    </row>
    <row r="35">
      <c r="A35" s="116">
        <f>IFERROR(__xludf.DUMMYFUNCTION("""COMPUTED_VALUE"""),46026.0)</f>
        <v>46026</v>
      </c>
      <c r="B35" s="44">
        <f>IFERROR(__xludf.DUMMYFUNCTION("""COMPUTED_VALUE"""),3.0)</f>
        <v>3</v>
      </c>
      <c r="C35" s="2" t="s">
        <v>4156</v>
      </c>
      <c r="D35" s="2"/>
      <c r="E35" s="2"/>
      <c r="F35" s="2"/>
      <c r="G35" s="2"/>
      <c r="H35" s="2"/>
      <c r="I35" s="2"/>
      <c r="J35" s="2"/>
      <c r="K35" s="2"/>
      <c r="L35" s="2"/>
      <c r="M35" s="2"/>
      <c r="N35" s="2"/>
      <c r="O35" s="2"/>
      <c r="P35" s="2"/>
      <c r="Q35" s="2" t="s">
        <v>4157</v>
      </c>
      <c r="R35" s="2">
        <v>1.0</v>
      </c>
      <c r="S35" s="2" t="s">
        <v>4158</v>
      </c>
      <c r="T35" s="2">
        <v>1.0</v>
      </c>
      <c r="U35" s="2">
        <v>22.0</v>
      </c>
      <c r="V35" s="2">
        <v>2.0</v>
      </c>
      <c r="W35" s="2"/>
      <c r="X35" s="2"/>
    </row>
    <row r="36">
      <c r="A36" s="116">
        <f>IFERROR(__xludf.DUMMYFUNCTION("""COMPUTED_VALUE"""),46027.0)</f>
        <v>46027</v>
      </c>
      <c r="B36" s="44">
        <f>IFERROR(__xludf.DUMMYFUNCTION("""COMPUTED_VALUE"""),34.0)</f>
        <v>34</v>
      </c>
      <c r="C36" s="2" t="s">
        <v>4159</v>
      </c>
      <c r="D36" s="2"/>
      <c r="E36" s="2"/>
      <c r="F36" s="2"/>
      <c r="G36" s="2"/>
      <c r="H36" s="2"/>
      <c r="I36" s="2"/>
      <c r="J36" s="2"/>
      <c r="K36" s="2"/>
      <c r="L36" s="2"/>
      <c r="M36" s="2"/>
      <c r="N36" s="2"/>
      <c r="O36" s="2"/>
      <c r="P36" s="2"/>
      <c r="Q36" s="2" t="s">
        <v>4160</v>
      </c>
      <c r="R36" s="2">
        <v>1.0</v>
      </c>
      <c r="S36" s="2" t="s">
        <v>4161</v>
      </c>
      <c r="T36" s="2">
        <v>2.0</v>
      </c>
      <c r="U36" s="2">
        <v>33.0</v>
      </c>
      <c r="V36" s="2">
        <v>1.0</v>
      </c>
      <c r="W36" s="2"/>
      <c r="X36" s="2"/>
    </row>
    <row r="37">
      <c r="A37" s="116">
        <f>IFERROR(__xludf.DUMMYFUNCTION("""COMPUTED_VALUE"""),46028.0)</f>
        <v>46028</v>
      </c>
      <c r="B37" s="44">
        <f>IFERROR(__xludf.DUMMYFUNCTION("""COMPUTED_VALUE"""),7.0)</f>
        <v>7</v>
      </c>
      <c r="C37" s="2" t="s">
        <v>4162</v>
      </c>
      <c r="D37" s="2"/>
      <c r="E37" s="2"/>
      <c r="F37" s="2"/>
      <c r="G37" s="2"/>
      <c r="H37" s="2"/>
      <c r="I37" s="2"/>
      <c r="J37" s="2"/>
      <c r="K37" s="2"/>
      <c r="L37" s="2"/>
      <c r="M37" s="2"/>
      <c r="N37" s="2"/>
      <c r="O37" s="2"/>
      <c r="P37" s="2"/>
      <c r="Q37" s="2" t="s">
        <v>4163</v>
      </c>
      <c r="R37" s="2">
        <v>1.0</v>
      </c>
      <c r="S37" s="2" t="s">
        <v>4086</v>
      </c>
      <c r="T37" s="2"/>
      <c r="U37" s="2">
        <v>25.0</v>
      </c>
      <c r="V37" s="2">
        <v>2.0</v>
      </c>
      <c r="W37" s="2"/>
      <c r="X37" s="2"/>
    </row>
    <row r="38">
      <c r="A38" s="116">
        <f>IFERROR(__xludf.DUMMYFUNCTION("""COMPUTED_VALUE"""),46029.0)</f>
        <v>46029</v>
      </c>
      <c r="B38" s="44">
        <f>IFERROR(__xludf.DUMMYFUNCTION("""COMPUTED_VALUE"""),16.0)</f>
        <v>16</v>
      </c>
      <c r="C38" s="2" t="s">
        <v>4164</v>
      </c>
      <c r="D38" s="2"/>
      <c r="E38" s="2"/>
      <c r="F38" s="2"/>
      <c r="G38" s="2"/>
      <c r="H38" s="2"/>
      <c r="I38" s="2"/>
      <c r="J38" s="2"/>
      <c r="K38" s="2"/>
      <c r="L38" s="2"/>
      <c r="M38" s="2"/>
      <c r="N38" s="2"/>
      <c r="O38" s="2"/>
      <c r="P38" s="2"/>
      <c r="Q38" s="2" t="s">
        <v>4165</v>
      </c>
      <c r="R38" s="2">
        <v>1.0</v>
      </c>
      <c r="S38" s="2" t="s">
        <v>4166</v>
      </c>
      <c r="T38" s="2">
        <v>2.0</v>
      </c>
      <c r="U38" s="2">
        <v>4.0</v>
      </c>
      <c r="V38" s="2">
        <v>7.0</v>
      </c>
      <c r="W38" s="2"/>
      <c r="X38" s="2"/>
    </row>
    <row r="39">
      <c r="A39" s="116">
        <f>IFERROR(__xludf.DUMMYFUNCTION("""COMPUTED_VALUE"""),46030.0)</f>
        <v>46030</v>
      </c>
      <c r="B39" s="44">
        <f>IFERROR(__xludf.DUMMYFUNCTION("""COMPUTED_VALUE"""),1.0)</f>
        <v>1</v>
      </c>
      <c r="C39" s="2" t="s">
        <v>4167</v>
      </c>
      <c r="D39" s="2"/>
      <c r="E39" s="2"/>
      <c r="F39" s="2"/>
      <c r="G39" s="2"/>
      <c r="H39" s="2"/>
      <c r="I39" s="2"/>
      <c r="J39" s="2"/>
      <c r="K39" s="2"/>
      <c r="L39" s="2"/>
      <c r="M39" s="2"/>
      <c r="N39" s="2"/>
      <c r="O39" s="2"/>
      <c r="P39" s="2"/>
      <c r="Q39" s="2" t="s">
        <v>874</v>
      </c>
      <c r="R39" s="2">
        <v>10.0</v>
      </c>
      <c r="S39" s="2" t="s">
        <v>4168</v>
      </c>
      <c r="T39" s="2">
        <v>1.0</v>
      </c>
      <c r="U39" s="2">
        <v>40.0</v>
      </c>
      <c r="V39" s="2">
        <v>4.0</v>
      </c>
      <c r="W39" s="2"/>
      <c r="X39" s="2"/>
    </row>
    <row r="40">
      <c r="A40" s="116">
        <f>IFERROR(__xludf.DUMMYFUNCTION("""COMPUTED_VALUE"""),46035.0)</f>
        <v>46035</v>
      </c>
      <c r="B40" s="44">
        <f>IFERROR(__xludf.DUMMYFUNCTION("""COMPUTED_VALUE"""),1.0)</f>
        <v>1</v>
      </c>
      <c r="C40" s="2" t="s">
        <v>4097</v>
      </c>
      <c r="D40" s="2"/>
      <c r="E40" s="2"/>
      <c r="F40" s="2"/>
      <c r="G40" s="2"/>
      <c r="H40" s="2"/>
      <c r="I40" s="2"/>
      <c r="J40" s="2"/>
      <c r="K40" s="2"/>
      <c r="L40" s="2"/>
      <c r="M40" s="2"/>
      <c r="N40" s="2"/>
      <c r="O40" s="2"/>
      <c r="P40" s="2"/>
      <c r="Q40" s="2" t="s">
        <v>231</v>
      </c>
      <c r="R40" s="2">
        <v>1.0</v>
      </c>
      <c r="S40" s="2" t="s">
        <v>4169</v>
      </c>
      <c r="T40" s="2">
        <v>1.0</v>
      </c>
      <c r="U40" s="2">
        <v>45.0</v>
      </c>
      <c r="V40" s="2">
        <v>1.0</v>
      </c>
      <c r="W40" s="2"/>
      <c r="X40" s="2"/>
    </row>
    <row r="41">
      <c r="A41" s="116">
        <f>IFERROR(__xludf.DUMMYFUNCTION("""COMPUTED_VALUE"""),46040.0)</f>
        <v>46040</v>
      </c>
      <c r="B41" s="44">
        <f>IFERROR(__xludf.DUMMYFUNCTION("""COMPUTED_VALUE"""),1.0)</f>
        <v>1</v>
      </c>
      <c r="C41" s="2" t="s">
        <v>4097</v>
      </c>
      <c r="D41" s="2"/>
      <c r="E41" s="2"/>
      <c r="F41" s="2"/>
      <c r="G41" s="2"/>
      <c r="H41" s="2"/>
      <c r="I41" s="2"/>
      <c r="J41" s="2"/>
      <c r="K41" s="2"/>
      <c r="L41" s="2"/>
      <c r="M41" s="2"/>
      <c r="N41" s="2"/>
      <c r="O41" s="2"/>
      <c r="P41" s="2"/>
      <c r="Q41" s="2" t="s">
        <v>1454</v>
      </c>
      <c r="R41" s="2">
        <v>1.0</v>
      </c>
      <c r="S41" s="2" t="s">
        <v>4170</v>
      </c>
      <c r="T41" s="2">
        <v>2.0</v>
      </c>
      <c r="U41" s="2">
        <v>53.0</v>
      </c>
      <c r="V41" s="2">
        <v>3.0</v>
      </c>
      <c r="W41" s="2"/>
      <c r="X41" s="2"/>
    </row>
    <row r="42">
      <c r="A42" s="116">
        <f>IFERROR(__xludf.DUMMYFUNCTION("""COMPUTED_VALUE"""),46042.0)</f>
        <v>46042</v>
      </c>
      <c r="B42" s="44">
        <f>IFERROR(__xludf.DUMMYFUNCTION("""COMPUTED_VALUE"""),1.0)</f>
        <v>1</v>
      </c>
      <c r="C42" s="2" t="s">
        <v>4097</v>
      </c>
      <c r="D42" s="2"/>
      <c r="E42" s="2"/>
      <c r="F42" s="2"/>
      <c r="G42" s="2"/>
      <c r="H42" s="2"/>
      <c r="I42" s="2"/>
      <c r="J42" s="2"/>
      <c r="K42" s="2"/>
      <c r="L42" s="2"/>
      <c r="M42" s="2"/>
      <c r="N42" s="2"/>
      <c r="O42" s="2"/>
      <c r="P42" s="2"/>
      <c r="Q42" s="2" t="s">
        <v>4171</v>
      </c>
      <c r="R42" s="2">
        <v>2.0</v>
      </c>
      <c r="S42" s="2" t="s">
        <v>4172</v>
      </c>
      <c r="T42" s="2">
        <v>1.0</v>
      </c>
      <c r="U42" s="2">
        <v>26.0</v>
      </c>
      <c r="V42" s="2">
        <v>1.0</v>
      </c>
      <c r="W42" s="2"/>
      <c r="X42" s="2"/>
    </row>
    <row r="43">
      <c r="A43" s="116">
        <f>IFERROR(__xludf.DUMMYFUNCTION("""COMPUTED_VALUE"""),46048.0)</f>
        <v>46048</v>
      </c>
      <c r="B43" s="44">
        <f>IFERROR(__xludf.DUMMYFUNCTION("""COMPUTED_VALUE"""),4.0)</f>
        <v>4</v>
      </c>
      <c r="C43" s="2" t="s">
        <v>4173</v>
      </c>
      <c r="D43" s="2"/>
      <c r="E43" s="2"/>
      <c r="F43" s="2"/>
      <c r="G43" s="2"/>
      <c r="H43" s="2"/>
      <c r="I43" s="2"/>
      <c r="J43" s="2"/>
      <c r="K43" s="2"/>
      <c r="L43" s="2"/>
      <c r="M43" s="2"/>
      <c r="N43" s="2"/>
      <c r="O43" s="2"/>
      <c r="P43" s="2"/>
      <c r="Q43" s="2" t="s">
        <v>996</v>
      </c>
      <c r="R43" s="2">
        <v>4.0</v>
      </c>
      <c r="S43" s="2" t="s">
        <v>4174</v>
      </c>
      <c r="T43" s="2">
        <v>1.0</v>
      </c>
      <c r="U43" s="2">
        <v>13.0</v>
      </c>
      <c r="V43" s="2">
        <v>1.0</v>
      </c>
      <c r="W43" s="2"/>
      <c r="X43" s="2"/>
    </row>
    <row r="44">
      <c r="A44" s="116">
        <f>IFERROR(__xludf.DUMMYFUNCTION("""COMPUTED_VALUE"""),46049.0)</f>
        <v>46049</v>
      </c>
      <c r="B44" s="44">
        <f>IFERROR(__xludf.DUMMYFUNCTION("""COMPUTED_VALUE"""),4.0)</f>
        <v>4</v>
      </c>
      <c r="C44" s="2" t="s">
        <v>4097</v>
      </c>
      <c r="D44" s="2"/>
      <c r="E44" s="2"/>
      <c r="F44" s="2"/>
      <c r="G44" s="2"/>
      <c r="H44" s="2"/>
      <c r="I44" s="2"/>
      <c r="J44" s="2"/>
      <c r="K44" s="2"/>
      <c r="L44" s="2"/>
      <c r="M44" s="2"/>
      <c r="N44" s="2"/>
      <c r="O44" s="2"/>
      <c r="P44" s="2"/>
      <c r="Q44" s="2" t="s">
        <v>4175</v>
      </c>
      <c r="R44" s="2">
        <v>1.0</v>
      </c>
      <c r="S44" s="2" t="s">
        <v>4176</v>
      </c>
      <c r="T44" s="2">
        <v>2.0</v>
      </c>
      <c r="U44" s="2">
        <v>34.0</v>
      </c>
      <c r="V44" s="2">
        <v>2.0</v>
      </c>
      <c r="W44" s="2"/>
      <c r="X44" s="2"/>
    </row>
    <row r="45">
      <c r="A45" s="116">
        <f>IFERROR(__xludf.DUMMYFUNCTION("""COMPUTED_VALUE"""),46051.0)</f>
        <v>46051</v>
      </c>
      <c r="B45" s="44">
        <f>IFERROR(__xludf.DUMMYFUNCTION("""COMPUTED_VALUE"""),19.0)</f>
        <v>19</v>
      </c>
      <c r="C45" s="2" t="s">
        <v>4177</v>
      </c>
      <c r="D45" s="2"/>
      <c r="E45" s="2"/>
      <c r="F45" s="2"/>
      <c r="G45" s="2"/>
      <c r="H45" s="2"/>
      <c r="I45" s="2"/>
      <c r="J45" s="2"/>
      <c r="K45" s="2"/>
      <c r="L45" s="2"/>
      <c r="M45" s="2"/>
      <c r="N45" s="2"/>
      <c r="O45" s="2"/>
      <c r="P45" s="2"/>
      <c r="Q45" s="2" t="s">
        <v>254</v>
      </c>
      <c r="R45" s="2">
        <v>1.0</v>
      </c>
      <c r="S45" s="2" t="s">
        <v>4178</v>
      </c>
      <c r="T45" s="2">
        <v>1.0</v>
      </c>
      <c r="U45" s="2">
        <v>43.0</v>
      </c>
      <c r="V45" s="2">
        <v>1.0</v>
      </c>
      <c r="W45" s="2"/>
      <c r="X45" s="2"/>
    </row>
    <row r="46">
      <c r="A46" s="116">
        <f>IFERROR(__xludf.DUMMYFUNCTION("""COMPUTED_VALUE"""),46052.0)</f>
        <v>46052</v>
      </c>
      <c r="B46" s="44">
        <f>IFERROR(__xludf.DUMMYFUNCTION("""COMPUTED_VALUE"""),11.0)</f>
        <v>11</v>
      </c>
      <c r="C46" s="2" t="s">
        <v>4179</v>
      </c>
      <c r="D46" s="2"/>
      <c r="E46" s="2"/>
      <c r="F46" s="2"/>
      <c r="G46" s="2"/>
      <c r="H46" s="2"/>
      <c r="I46" s="2"/>
      <c r="J46" s="2"/>
      <c r="K46" s="2"/>
      <c r="L46" s="2"/>
      <c r="M46" s="2"/>
      <c r="N46" s="2"/>
      <c r="O46" s="2"/>
      <c r="P46" s="2"/>
      <c r="Q46" s="2" t="s">
        <v>1087</v>
      </c>
      <c r="R46" s="2">
        <v>2.0</v>
      </c>
      <c r="S46" s="2" t="s">
        <v>4180</v>
      </c>
      <c r="T46" s="2">
        <v>2.0</v>
      </c>
      <c r="U46" s="2">
        <v>17.0</v>
      </c>
      <c r="V46" s="2">
        <v>2.0</v>
      </c>
      <c r="W46" s="2"/>
      <c r="X46" s="2"/>
    </row>
    <row r="47">
      <c r="A47" s="116">
        <f>IFERROR(__xludf.DUMMYFUNCTION("""COMPUTED_VALUE"""),46053.0)</f>
        <v>46053</v>
      </c>
      <c r="B47" s="44">
        <f>IFERROR(__xludf.DUMMYFUNCTION("""COMPUTED_VALUE"""),1.0)</f>
        <v>1</v>
      </c>
      <c r="C47" s="2" t="s">
        <v>4181</v>
      </c>
      <c r="D47" s="2"/>
      <c r="E47" s="2"/>
      <c r="F47" s="2"/>
      <c r="G47" s="2"/>
      <c r="H47" s="2"/>
      <c r="I47" s="2"/>
      <c r="J47" s="2"/>
      <c r="K47" s="2"/>
      <c r="L47" s="2"/>
      <c r="M47" s="2"/>
      <c r="N47" s="2"/>
      <c r="O47" s="2"/>
      <c r="P47" s="2"/>
      <c r="Q47" s="2" t="s">
        <v>266</v>
      </c>
      <c r="R47" s="2">
        <v>1.0</v>
      </c>
      <c r="S47" s="2" t="s">
        <v>4182</v>
      </c>
      <c r="T47" s="2">
        <v>3.0</v>
      </c>
      <c r="U47" s="2">
        <v>52.0</v>
      </c>
      <c r="V47" s="2">
        <v>2.0</v>
      </c>
      <c r="W47" s="2"/>
      <c r="X47" s="2"/>
    </row>
    <row r="48">
      <c r="A48" s="116">
        <f>IFERROR(__xludf.DUMMYFUNCTION("""COMPUTED_VALUE"""),46054.0)</f>
        <v>46054</v>
      </c>
      <c r="B48" s="44">
        <f>IFERROR(__xludf.DUMMYFUNCTION("""COMPUTED_VALUE"""),1.0)</f>
        <v>1</v>
      </c>
      <c r="C48" s="2" t="s">
        <v>4097</v>
      </c>
      <c r="D48" s="2"/>
      <c r="E48" s="2"/>
      <c r="F48" s="2"/>
      <c r="G48" s="2"/>
      <c r="H48" s="2"/>
      <c r="I48" s="2"/>
      <c r="J48" s="2"/>
      <c r="K48" s="2"/>
      <c r="L48" s="2"/>
      <c r="M48" s="2"/>
      <c r="N48" s="2"/>
      <c r="O48" s="2"/>
      <c r="P48" s="2"/>
      <c r="Q48" s="2" t="s">
        <v>274</v>
      </c>
      <c r="R48" s="2">
        <v>4.0</v>
      </c>
      <c r="S48" s="2" t="s">
        <v>4183</v>
      </c>
      <c r="T48" s="2">
        <v>2.0</v>
      </c>
      <c r="U48" s="2">
        <v>24.0</v>
      </c>
      <c r="V48" s="2">
        <v>1.0</v>
      </c>
      <c r="W48" s="2"/>
      <c r="X48" s="2"/>
    </row>
    <row r="49">
      <c r="A49" s="116">
        <f>IFERROR(__xludf.DUMMYFUNCTION("""COMPUTED_VALUE"""),46055.0)</f>
        <v>46055</v>
      </c>
      <c r="B49" s="44">
        <f>IFERROR(__xludf.DUMMYFUNCTION("""COMPUTED_VALUE"""),2.0)</f>
        <v>2</v>
      </c>
      <c r="C49" s="2" t="s">
        <v>4132</v>
      </c>
      <c r="D49" s="2"/>
      <c r="E49" s="2"/>
      <c r="F49" s="2"/>
      <c r="G49" s="2"/>
      <c r="H49" s="2"/>
      <c r="I49" s="2"/>
      <c r="J49" s="2"/>
      <c r="K49" s="2"/>
      <c r="L49" s="2"/>
      <c r="M49" s="2"/>
      <c r="N49" s="2"/>
      <c r="O49" s="2"/>
      <c r="P49" s="2"/>
      <c r="Q49" s="2" t="s">
        <v>4086</v>
      </c>
      <c r="R49" s="2"/>
      <c r="S49" s="2" t="s">
        <v>4184</v>
      </c>
      <c r="T49" s="2">
        <v>1.0</v>
      </c>
      <c r="U49" s="2">
        <v>37.0</v>
      </c>
      <c r="V49" s="2">
        <v>1.0</v>
      </c>
      <c r="W49" s="2"/>
      <c r="X49" s="2"/>
    </row>
    <row r="50">
      <c r="A50" s="116">
        <f>IFERROR(__xludf.DUMMYFUNCTION("""COMPUTED_VALUE"""),46056.0)</f>
        <v>46056</v>
      </c>
      <c r="B50" s="44">
        <f>IFERROR(__xludf.DUMMYFUNCTION("""COMPUTED_VALUE"""),4.0)</f>
        <v>4</v>
      </c>
      <c r="C50" s="2" t="s">
        <v>4132</v>
      </c>
      <c r="D50" s="2"/>
      <c r="E50" s="2"/>
      <c r="F50" s="2"/>
      <c r="G50" s="2"/>
      <c r="H50" s="2"/>
      <c r="I50" s="2"/>
      <c r="J50" s="2"/>
      <c r="K50" s="2"/>
      <c r="L50" s="2"/>
      <c r="M50" s="2"/>
      <c r="N50" s="2"/>
      <c r="O50" s="2"/>
      <c r="P50" s="2"/>
      <c r="Q50" s="2" t="s">
        <v>4185</v>
      </c>
      <c r="R50" s="2">
        <v>1.0</v>
      </c>
      <c r="S50" s="2" t="s">
        <v>4186</v>
      </c>
      <c r="T50" s="2">
        <v>1.0</v>
      </c>
      <c r="U50" s="2">
        <v>50.0</v>
      </c>
      <c r="V50" s="2">
        <v>2.0</v>
      </c>
      <c r="W50" s="2"/>
      <c r="X50" s="2"/>
    </row>
    <row r="51">
      <c r="A51" s="116">
        <f>IFERROR(__xludf.DUMMYFUNCTION("""COMPUTED_VALUE"""),46057.0)</f>
        <v>46057</v>
      </c>
      <c r="B51" s="44">
        <f>IFERROR(__xludf.DUMMYFUNCTION("""COMPUTED_VALUE"""),10.0)</f>
        <v>10</v>
      </c>
      <c r="C51" s="2" t="s">
        <v>4187</v>
      </c>
      <c r="D51" s="2"/>
      <c r="E51" s="2"/>
      <c r="F51" s="2"/>
      <c r="G51" s="2"/>
      <c r="H51" s="2"/>
      <c r="I51" s="2"/>
      <c r="J51" s="2"/>
      <c r="K51" s="2"/>
      <c r="L51" s="2"/>
      <c r="M51" s="2"/>
      <c r="N51" s="2"/>
      <c r="O51" s="2"/>
      <c r="P51" s="2"/>
      <c r="Q51" s="2" t="s">
        <v>4188</v>
      </c>
      <c r="R51" s="2">
        <v>1.0</v>
      </c>
      <c r="S51" s="2" t="s">
        <v>4189</v>
      </c>
      <c r="T51" s="2">
        <v>1.0</v>
      </c>
      <c r="U51" s="2">
        <v>56.0</v>
      </c>
      <c r="V51" s="2">
        <v>1.0</v>
      </c>
      <c r="W51" s="2"/>
      <c r="X51" s="2"/>
    </row>
    <row r="52">
      <c r="A52" s="116">
        <f>IFERROR(__xludf.DUMMYFUNCTION("""COMPUTED_VALUE"""),46058.0)</f>
        <v>46058</v>
      </c>
      <c r="B52" s="44">
        <f>IFERROR(__xludf.DUMMYFUNCTION("""COMPUTED_VALUE"""),19.0)</f>
        <v>19</v>
      </c>
      <c r="C52" s="2" t="s">
        <v>4190</v>
      </c>
      <c r="D52" s="2"/>
      <c r="E52" s="2"/>
      <c r="F52" s="2"/>
      <c r="G52" s="2"/>
      <c r="H52" s="2"/>
      <c r="I52" s="2"/>
      <c r="J52" s="2"/>
      <c r="K52" s="2"/>
      <c r="L52" s="2"/>
      <c r="M52" s="2"/>
      <c r="N52" s="2"/>
      <c r="O52" s="2"/>
      <c r="P52" s="2"/>
      <c r="Q52" s="2" t="s">
        <v>3324</v>
      </c>
      <c r="R52" s="2">
        <v>4.0</v>
      </c>
      <c r="S52" s="2" t="s">
        <v>4191</v>
      </c>
      <c r="T52" s="2">
        <v>1.0</v>
      </c>
      <c r="U52" s="2">
        <v>30.0</v>
      </c>
      <c r="V52" s="2">
        <v>1.0</v>
      </c>
      <c r="W52" s="2"/>
      <c r="X52" s="2"/>
    </row>
    <row r="53">
      <c r="A53" s="116">
        <f>IFERROR(__xludf.DUMMYFUNCTION("""COMPUTED_VALUE"""),46059.0)</f>
        <v>46059</v>
      </c>
      <c r="B53" s="44">
        <f>IFERROR(__xludf.DUMMYFUNCTION("""COMPUTED_VALUE"""),16.0)</f>
        <v>16</v>
      </c>
      <c r="C53" s="2" t="s">
        <v>4192</v>
      </c>
      <c r="D53" s="2"/>
      <c r="E53" s="2"/>
      <c r="F53" s="2"/>
      <c r="G53" s="2"/>
      <c r="H53" s="2"/>
      <c r="I53" s="2"/>
      <c r="J53" s="2"/>
      <c r="K53" s="2"/>
      <c r="L53" s="2"/>
      <c r="M53" s="2"/>
      <c r="N53" s="2"/>
      <c r="O53" s="2"/>
      <c r="P53" s="2"/>
      <c r="Q53" s="2" t="s">
        <v>1043</v>
      </c>
      <c r="R53" s="2">
        <v>2.0</v>
      </c>
      <c r="S53" s="2" t="s">
        <v>4193</v>
      </c>
      <c r="T53" s="2">
        <v>1.0</v>
      </c>
      <c r="U53" s="2">
        <v>59.0</v>
      </c>
      <c r="V53" s="2">
        <v>1.0</v>
      </c>
      <c r="W53" s="2"/>
      <c r="X53" s="2"/>
    </row>
    <row r="54">
      <c r="A54" s="116">
        <f>IFERROR(__xludf.DUMMYFUNCTION("""COMPUTED_VALUE"""),46060.0)</f>
        <v>46060</v>
      </c>
      <c r="B54" s="44">
        <f>IFERROR(__xludf.DUMMYFUNCTION("""COMPUTED_VALUE"""),3.0)</f>
        <v>3</v>
      </c>
      <c r="C54" s="2" t="s">
        <v>4194</v>
      </c>
      <c r="D54" s="2"/>
      <c r="E54" s="2"/>
      <c r="F54" s="2"/>
      <c r="G54" s="2"/>
      <c r="H54" s="2"/>
      <c r="I54" s="2"/>
      <c r="J54" s="2"/>
      <c r="K54" s="2"/>
      <c r="L54" s="2"/>
      <c r="M54" s="2"/>
      <c r="N54" s="2"/>
      <c r="O54" s="2"/>
      <c r="P54" s="2"/>
      <c r="Q54" s="2" t="s">
        <v>1112</v>
      </c>
      <c r="R54" s="2">
        <v>4.0</v>
      </c>
      <c r="S54" s="2" t="s">
        <v>4195</v>
      </c>
      <c r="T54" s="2">
        <v>1.0</v>
      </c>
      <c r="U54" s="2">
        <v>697303.0</v>
      </c>
      <c r="V54" s="2">
        <v>1.0</v>
      </c>
      <c r="W54" s="2"/>
      <c r="X54" s="2"/>
    </row>
    <row r="55">
      <c r="A55" s="116">
        <f>IFERROR(__xludf.DUMMYFUNCTION("""COMPUTED_VALUE"""),46061.0)</f>
        <v>46061</v>
      </c>
      <c r="B55" s="44">
        <f>IFERROR(__xludf.DUMMYFUNCTION("""COMPUTED_VALUE"""),3.0)</f>
        <v>3</v>
      </c>
      <c r="C55" s="2" t="s">
        <v>4097</v>
      </c>
      <c r="D55" s="2"/>
      <c r="E55" s="2"/>
      <c r="F55" s="2"/>
      <c r="G55" s="2"/>
      <c r="H55" s="2"/>
      <c r="I55" s="2"/>
      <c r="J55" s="2"/>
      <c r="K55" s="2"/>
      <c r="L55" s="2"/>
      <c r="M55" s="2"/>
      <c r="N55" s="2"/>
      <c r="O55" s="2"/>
      <c r="P55" s="2"/>
      <c r="Q55" s="2" t="s">
        <v>318</v>
      </c>
      <c r="R55" s="2">
        <v>1.0</v>
      </c>
      <c r="S55" s="2" t="s">
        <v>4196</v>
      </c>
      <c r="T55" s="2">
        <v>1.0</v>
      </c>
      <c r="U55" s="2">
        <v>68.0</v>
      </c>
      <c r="V55" s="2">
        <v>9.0</v>
      </c>
      <c r="W55" s="2"/>
      <c r="X55" s="2"/>
    </row>
    <row r="56">
      <c r="A56" s="116">
        <f>IFERROR(__xludf.DUMMYFUNCTION("""COMPUTED_VALUE"""),46062.0)</f>
        <v>46062</v>
      </c>
      <c r="B56" s="44">
        <f>IFERROR(__xludf.DUMMYFUNCTION("""COMPUTED_VALUE"""),9.0)</f>
        <v>9</v>
      </c>
      <c r="C56" s="2" t="s">
        <v>4156</v>
      </c>
      <c r="D56" s="2"/>
      <c r="E56" s="2"/>
      <c r="F56" s="2"/>
      <c r="G56" s="2"/>
      <c r="H56" s="2"/>
      <c r="I56" s="2"/>
      <c r="J56" s="2"/>
      <c r="K56" s="2"/>
      <c r="L56" s="2"/>
      <c r="M56" s="2"/>
      <c r="N56" s="2"/>
      <c r="O56" s="2"/>
      <c r="P56" s="2"/>
      <c r="Q56" s="2" t="s">
        <v>4197</v>
      </c>
      <c r="R56" s="2">
        <v>1.0</v>
      </c>
      <c r="S56" s="2" t="s">
        <v>4198</v>
      </c>
      <c r="T56" s="2">
        <v>14.0</v>
      </c>
      <c r="U56" s="2">
        <v>6927510.0</v>
      </c>
      <c r="V56" s="2">
        <v>1.0</v>
      </c>
      <c r="W56" s="2"/>
      <c r="X56" s="2"/>
    </row>
    <row r="57">
      <c r="A57" s="116">
        <f>IFERROR(__xludf.DUMMYFUNCTION("""COMPUTED_VALUE"""),46063.0)</f>
        <v>46063</v>
      </c>
      <c r="B57" s="44">
        <f>IFERROR(__xludf.DUMMYFUNCTION("""COMPUTED_VALUE"""),24.0)</f>
        <v>24</v>
      </c>
      <c r="C57" s="2" t="s">
        <v>4199</v>
      </c>
      <c r="D57" s="2"/>
      <c r="E57" s="2"/>
      <c r="F57" s="2"/>
      <c r="G57" s="2"/>
      <c r="H57" s="2"/>
      <c r="I57" s="2"/>
      <c r="J57" s="2"/>
      <c r="K57" s="2"/>
      <c r="L57" s="2"/>
      <c r="M57" s="2"/>
      <c r="N57" s="2"/>
      <c r="O57" s="2"/>
      <c r="P57" s="2"/>
      <c r="Q57" s="2" t="s">
        <v>328</v>
      </c>
      <c r="R57" s="2">
        <v>2.0</v>
      </c>
      <c r="S57" s="2" t="s">
        <v>4200</v>
      </c>
      <c r="T57" s="2">
        <v>3.0</v>
      </c>
      <c r="U57" s="2">
        <v>6.947690163141E12</v>
      </c>
      <c r="V57" s="2">
        <v>1.0</v>
      </c>
      <c r="W57" s="2"/>
      <c r="X57" s="2"/>
    </row>
    <row r="58">
      <c r="A58" s="116">
        <f>IFERROR(__xludf.DUMMYFUNCTION("""COMPUTED_VALUE"""),46064.0)</f>
        <v>46064</v>
      </c>
      <c r="B58" s="44">
        <f>IFERROR(__xludf.DUMMYFUNCTION("""COMPUTED_VALUE"""),20.0)</f>
        <v>20</v>
      </c>
      <c r="C58" s="2" t="s">
        <v>4201</v>
      </c>
      <c r="D58" s="2"/>
      <c r="E58" s="2"/>
      <c r="F58" s="2"/>
      <c r="G58" s="2"/>
      <c r="H58" s="2"/>
      <c r="I58" s="2"/>
      <c r="J58" s="2"/>
      <c r="K58" s="2"/>
      <c r="L58" s="2"/>
      <c r="M58" s="2"/>
      <c r="N58" s="2"/>
      <c r="O58" s="2"/>
      <c r="P58" s="2"/>
      <c r="Q58" s="2" t="s">
        <v>4202</v>
      </c>
      <c r="R58" s="2">
        <v>1.0</v>
      </c>
      <c r="S58" s="2" t="s">
        <v>4203</v>
      </c>
      <c r="T58" s="2">
        <v>1.0</v>
      </c>
      <c r="U58" s="2">
        <v>6789.0</v>
      </c>
      <c r="V58" s="2">
        <v>1.0</v>
      </c>
      <c r="W58" s="2"/>
      <c r="X58" s="2"/>
    </row>
    <row r="59">
      <c r="A59" s="116">
        <f>IFERROR(__xludf.DUMMYFUNCTION("""COMPUTED_VALUE"""),46065.0)</f>
        <v>46065</v>
      </c>
      <c r="B59" s="44">
        <f>IFERROR(__xludf.DUMMYFUNCTION("""COMPUTED_VALUE"""),6.0)</f>
        <v>6</v>
      </c>
      <c r="C59" s="2" t="s">
        <v>4204</v>
      </c>
      <c r="D59" s="2"/>
      <c r="E59" s="2"/>
      <c r="F59" s="2"/>
      <c r="G59" s="2"/>
      <c r="H59" s="2"/>
      <c r="I59" s="2"/>
      <c r="J59" s="2"/>
      <c r="K59" s="2"/>
      <c r="L59" s="2"/>
      <c r="M59" s="2"/>
      <c r="N59" s="2"/>
      <c r="O59" s="2"/>
      <c r="P59" s="2"/>
      <c r="Q59" s="2" t="s">
        <v>4205</v>
      </c>
      <c r="R59" s="2">
        <v>2.0</v>
      </c>
      <c r="S59" s="2" t="s">
        <v>4206</v>
      </c>
      <c r="T59" s="2">
        <v>5.0</v>
      </c>
      <c r="U59" s="2">
        <v>697.0</v>
      </c>
      <c r="V59" s="2">
        <v>16.0</v>
      </c>
      <c r="W59" s="2"/>
      <c r="X59" s="2"/>
    </row>
    <row r="60">
      <c r="A60" s="116">
        <f>IFERROR(__xludf.DUMMYFUNCTION("""COMPUTED_VALUE"""),46066.0)</f>
        <v>46066</v>
      </c>
      <c r="B60" s="44">
        <f>IFERROR(__xludf.DUMMYFUNCTION("""COMPUTED_VALUE"""),13.0)</f>
        <v>13</v>
      </c>
      <c r="C60" s="2" t="s">
        <v>4207</v>
      </c>
      <c r="D60" s="2"/>
      <c r="E60" s="2"/>
      <c r="F60" s="2"/>
      <c r="G60" s="2"/>
      <c r="H60" s="2"/>
      <c r="I60" s="2"/>
      <c r="J60" s="2"/>
      <c r="K60" s="2"/>
      <c r="L60" s="2"/>
      <c r="M60" s="2"/>
      <c r="N60" s="2"/>
      <c r="O60" s="2"/>
      <c r="P60" s="2"/>
      <c r="Q60" s="2" t="s">
        <v>2061</v>
      </c>
      <c r="R60" s="2">
        <v>1.0</v>
      </c>
      <c r="S60" s="2" t="s">
        <v>4208</v>
      </c>
      <c r="T60" s="2">
        <v>2.0</v>
      </c>
      <c r="U60" s="2">
        <v>691.0</v>
      </c>
      <c r="V60" s="2">
        <v>1.0</v>
      </c>
      <c r="W60" s="2"/>
      <c r="X60" s="2"/>
    </row>
    <row r="61">
      <c r="A61" s="116">
        <f>IFERROR(__xludf.DUMMYFUNCTION("""COMPUTED_VALUE"""),46067.0)</f>
        <v>46067</v>
      </c>
      <c r="B61" s="44">
        <f>IFERROR(__xludf.DUMMYFUNCTION("""COMPUTED_VALUE"""),13.0)</f>
        <v>13</v>
      </c>
      <c r="C61" s="2" t="s">
        <v>4097</v>
      </c>
      <c r="D61" s="2"/>
      <c r="E61" s="2"/>
      <c r="F61" s="2"/>
      <c r="G61" s="2"/>
      <c r="H61" s="2"/>
      <c r="I61" s="2"/>
      <c r="J61" s="2"/>
      <c r="K61" s="2"/>
      <c r="L61" s="2"/>
      <c r="M61" s="2"/>
      <c r="N61" s="2"/>
      <c r="O61" s="2"/>
      <c r="P61" s="2"/>
      <c r="Q61" s="2" t="s">
        <v>4209</v>
      </c>
      <c r="R61" s="2">
        <v>1.0</v>
      </c>
      <c r="S61" s="2" t="s">
        <v>4210</v>
      </c>
      <c r="T61" s="2">
        <v>1.0</v>
      </c>
      <c r="U61" s="2">
        <v>6944.0</v>
      </c>
      <c r="V61" s="2">
        <v>2.0</v>
      </c>
      <c r="W61" s="2"/>
      <c r="X61" s="2"/>
    </row>
    <row r="62">
      <c r="A62" s="116">
        <f>IFERROR(__xludf.DUMMYFUNCTION("""COMPUTED_VALUE"""),46068.0)</f>
        <v>46068</v>
      </c>
      <c r="B62" s="44">
        <f>IFERROR(__xludf.DUMMYFUNCTION("""COMPUTED_VALUE"""),14.0)</f>
        <v>14</v>
      </c>
      <c r="C62" s="2" t="s">
        <v>4211</v>
      </c>
      <c r="D62" s="2"/>
      <c r="E62" s="2"/>
      <c r="F62" s="2"/>
      <c r="G62" s="2"/>
      <c r="H62" s="2"/>
      <c r="I62" s="2"/>
      <c r="J62" s="2"/>
      <c r="K62" s="2"/>
      <c r="L62" s="2"/>
      <c r="M62" s="2"/>
      <c r="N62" s="2"/>
      <c r="O62" s="2"/>
      <c r="P62" s="2"/>
      <c r="Q62" s="2" t="s">
        <v>1615</v>
      </c>
      <c r="R62" s="2">
        <v>2.0</v>
      </c>
      <c r="S62" s="2" t="s">
        <v>4212</v>
      </c>
      <c r="T62" s="2">
        <v>2.0</v>
      </c>
      <c r="U62" s="2">
        <v>6940950.0</v>
      </c>
      <c r="V62" s="2">
        <v>2.0</v>
      </c>
      <c r="W62" s="2"/>
      <c r="X62" s="2"/>
    </row>
    <row r="63">
      <c r="A63" s="116">
        <f>IFERROR(__xludf.DUMMYFUNCTION("""COMPUTED_VALUE"""),46069.0)</f>
        <v>46069</v>
      </c>
      <c r="B63" s="44">
        <f>IFERROR(__xludf.DUMMYFUNCTION("""COMPUTED_VALUE"""),20.0)</f>
        <v>20</v>
      </c>
      <c r="C63" s="2" t="s">
        <v>4213</v>
      </c>
      <c r="D63" s="2"/>
      <c r="E63" s="2"/>
      <c r="F63" s="2"/>
      <c r="G63" s="2"/>
      <c r="H63" s="2"/>
      <c r="I63" s="2"/>
      <c r="J63" s="2"/>
      <c r="K63" s="2"/>
      <c r="L63" s="2"/>
      <c r="M63" s="2"/>
      <c r="N63" s="2"/>
      <c r="O63" s="2"/>
      <c r="P63" s="2"/>
      <c r="Q63" s="2" t="s">
        <v>364</v>
      </c>
      <c r="R63" s="2">
        <v>1.0</v>
      </c>
      <c r="S63" s="2" t="s">
        <v>4214</v>
      </c>
      <c r="T63" s="2">
        <v>1.0</v>
      </c>
      <c r="U63" s="2">
        <v>71.0</v>
      </c>
      <c r="V63" s="2">
        <v>1.0</v>
      </c>
      <c r="W63" s="2"/>
      <c r="X63" s="2"/>
    </row>
    <row r="64">
      <c r="A64" s="116">
        <f>IFERROR(__xludf.DUMMYFUNCTION("""COMPUTED_VALUE"""),46070.0)</f>
        <v>46070</v>
      </c>
      <c r="B64" s="44">
        <f>IFERROR(__xludf.DUMMYFUNCTION("""COMPUTED_VALUE"""),39.0)</f>
        <v>39</v>
      </c>
      <c r="C64" s="2" t="s">
        <v>4215</v>
      </c>
      <c r="D64" s="2"/>
      <c r="E64" s="2"/>
      <c r="F64" s="2"/>
      <c r="G64" s="2"/>
      <c r="H64" s="2"/>
      <c r="I64" s="2"/>
      <c r="J64" s="2"/>
      <c r="K64" s="2"/>
      <c r="L64" s="2"/>
      <c r="M64" s="2"/>
      <c r="N64" s="2"/>
      <c r="O64" s="2"/>
      <c r="P64" s="2"/>
      <c r="Q64" s="2" t="s">
        <v>1420</v>
      </c>
      <c r="R64" s="2">
        <v>3.0</v>
      </c>
      <c r="S64" s="2" t="s">
        <v>4216</v>
      </c>
      <c r="T64" s="2">
        <v>1.0</v>
      </c>
      <c r="U64" s="2">
        <v>60.0</v>
      </c>
      <c r="V64" s="2">
        <v>2.0</v>
      </c>
      <c r="W64" s="2"/>
      <c r="X64" s="2"/>
    </row>
    <row r="65">
      <c r="A65" s="116">
        <f>IFERROR(__xludf.DUMMYFUNCTION("""COMPUTED_VALUE"""),46072.0)</f>
        <v>46072</v>
      </c>
      <c r="B65" s="44">
        <f>IFERROR(__xludf.DUMMYFUNCTION("""COMPUTED_VALUE"""),6.0)</f>
        <v>6</v>
      </c>
      <c r="C65" s="2" t="s">
        <v>4217</v>
      </c>
      <c r="D65" s="2"/>
      <c r="E65" s="2"/>
      <c r="F65" s="2"/>
      <c r="G65" s="2"/>
      <c r="H65" s="2"/>
      <c r="I65" s="2"/>
      <c r="J65" s="2"/>
      <c r="K65" s="2"/>
      <c r="L65" s="2"/>
      <c r="M65" s="2"/>
      <c r="N65" s="2"/>
      <c r="O65" s="2"/>
      <c r="P65" s="2"/>
      <c r="Q65" s="2" t="s">
        <v>4218</v>
      </c>
      <c r="R65" s="2">
        <v>1.0</v>
      </c>
      <c r="S65" s="2" t="s">
        <v>4219</v>
      </c>
      <c r="T65" s="2">
        <v>1.0</v>
      </c>
      <c r="U65" s="2">
        <v>100000.0</v>
      </c>
      <c r="V65" s="2">
        <v>4.0</v>
      </c>
      <c r="W65" s="2"/>
      <c r="X65" s="2"/>
    </row>
    <row r="66">
      <c r="A66" s="116">
        <f>IFERROR(__xludf.DUMMYFUNCTION("""COMPUTED_VALUE"""),46074.0)</f>
        <v>46074</v>
      </c>
      <c r="B66" s="44">
        <f>IFERROR(__xludf.DUMMYFUNCTION("""COMPUTED_VALUE"""),4.0)</f>
        <v>4</v>
      </c>
      <c r="C66" s="2" t="s">
        <v>4220</v>
      </c>
      <c r="D66" s="2"/>
      <c r="E66" s="2"/>
      <c r="F66" s="2"/>
      <c r="G66" s="2"/>
      <c r="H66" s="2"/>
      <c r="I66" s="2"/>
      <c r="J66" s="2"/>
      <c r="K66" s="2"/>
      <c r="L66" s="2"/>
      <c r="M66" s="2"/>
      <c r="N66" s="2"/>
      <c r="O66" s="2"/>
      <c r="P66" s="2"/>
      <c r="Q66" s="2" t="s">
        <v>4221</v>
      </c>
      <c r="R66" s="2">
        <v>1.0</v>
      </c>
      <c r="S66" s="2" t="s">
        <v>4222</v>
      </c>
      <c r="T66" s="2">
        <v>2.0</v>
      </c>
      <c r="U66" s="2">
        <v>76.0</v>
      </c>
      <c r="V66" s="2">
        <v>2.0</v>
      </c>
      <c r="W66" s="2"/>
      <c r="X66" s="2"/>
    </row>
    <row r="67">
      <c r="A67" s="116"/>
      <c r="B67" s="44"/>
      <c r="C67" s="2"/>
      <c r="D67" s="2"/>
      <c r="E67" s="2"/>
      <c r="F67" s="2"/>
      <c r="G67" s="2"/>
      <c r="H67" s="2"/>
      <c r="I67" s="2"/>
      <c r="J67" s="2"/>
      <c r="K67" s="2"/>
      <c r="L67" s="2"/>
      <c r="M67" s="2"/>
      <c r="N67" s="2"/>
      <c r="O67" s="2"/>
      <c r="P67" s="2"/>
      <c r="Q67" s="2" t="s">
        <v>3387</v>
      </c>
      <c r="R67" s="2">
        <v>1.0</v>
      </c>
      <c r="S67" s="2" t="s">
        <v>4223</v>
      </c>
      <c r="T67" s="2">
        <v>2.0</v>
      </c>
      <c r="U67" s="2">
        <v>88.0</v>
      </c>
      <c r="V67" s="2">
        <v>2.0</v>
      </c>
      <c r="W67" s="2"/>
      <c r="X67" s="2"/>
    </row>
    <row r="68">
      <c r="A68" s="116"/>
      <c r="B68" s="44"/>
      <c r="C68" s="2"/>
      <c r="D68" s="2"/>
      <c r="E68" s="2"/>
      <c r="F68" s="2"/>
      <c r="G68" s="2"/>
      <c r="H68" s="2"/>
      <c r="I68" s="2"/>
      <c r="J68" s="2"/>
      <c r="K68" s="2"/>
      <c r="L68" s="2"/>
      <c r="M68" s="2"/>
      <c r="N68" s="2"/>
      <c r="O68" s="2"/>
      <c r="P68" s="2"/>
      <c r="Q68" s="2" t="s">
        <v>3311</v>
      </c>
      <c r="R68" s="2">
        <v>1.0</v>
      </c>
      <c r="S68" s="2" t="s">
        <v>4224</v>
      </c>
      <c r="T68" s="2">
        <v>1.0</v>
      </c>
      <c r="U68" s="2">
        <v>150.0</v>
      </c>
      <c r="V68" s="2">
        <v>6.0</v>
      </c>
      <c r="W68" s="2"/>
      <c r="X68" s="2"/>
    </row>
    <row r="69">
      <c r="A69" s="116"/>
      <c r="B69" s="44"/>
      <c r="C69" s="2"/>
      <c r="D69" s="2"/>
      <c r="E69" s="2"/>
      <c r="F69" s="2"/>
      <c r="G69" s="2"/>
      <c r="H69" s="2"/>
      <c r="I69" s="2"/>
      <c r="J69" s="2"/>
      <c r="K69" s="2"/>
      <c r="L69" s="2"/>
      <c r="M69" s="2"/>
      <c r="N69" s="2"/>
      <c r="O69" s="2"/>
      <c r="P69" s="2"/>
      <c r="Q69" s="2" t="s">
        <v>4225</v>
      </c>
      <c r="R69" s="2">
        <v>1.0</v>
      </c>
      <c r="S69" s="2" t="s">
        <v>4226</v>
      </c>
      <c r="T69" s="2">
        <v>1.0</v>
      </c>
      <c r="U69" s="2">
        <v>65.0</v>
      </c>
      <c r="V69" s="2">
        <v>1.0</v>
      </c>
      <c r="W69" s="2"/>
      <c r="X69" s="2"/>
    </row>
    <row r="70">
      <c r="A70" s="116"/>
      <c r="B70" s="44"/>
      <c r="C70" s="2"/>
      <c r="D70" s="2"/>
      <c r="E70" s="2"/>
      <c r="F70" s="2"/>
      <c r="G70" s="2"/>
      <c r="H70" s="2"/>
      <c r="I70" s="2"/>
      <c r="J70" s="2"/>
      <c r="K70" s="2"/>
      <c r="L70" s="2"/>
      <c r="M70" s="2"/>
      <c r="N70" s="2"/>
      <c r="O70" s="2"/>
      <c r="P70" s="2"/>
      <c r="Q70" s="2" t="s">
        <v>959</v>
      </c>
      <c r="R70" s="2">
        <v>3.0</v>
      </c>
      <c r="S70" s="2" t="s">
        <v>4227</v>
      </c>
      <c r="T70" s="2">
        <v>1.0</v>
      </c>
      <c r="U70" s="2">
        <v>83.0</v>
      </c>
      <c r="V70" s="2">
        <v>2.0</v>
      </c>
      <c r="W70" s="2"/>
      <c r="X70" s="2"/>
    </row>
    <row r="71">
      <c r="A71" s="116"/>
      <c r="B71" s="44"/>
      <c r="C71" s="2"/>
      <c r="D71" s="2"/>
      <c r="E71" s="2"/>
      <c r="F71" s="2"/>
      <c r="G71" s="2"/>
      <c r="H71" s="2"/>
      <c r="I71" s="2"/>
      <c r="J71" s="2"/>
      <c r="K71" s="2"/>
      <c r="L71" s="2"/>
      <c r="M71" s="2"/>
      <c r="N71" s="2"/>
      <c r="O71" s="2"/>
      <c r="P71" s="2"/>
      <c r="Q71" s="2" t="s">
        <v>4228</v>
      </c>
      <c r="R71" s="2">
        <v>1.0</v>
      </c>
      <c r="S71" s="2" t="s">
        <v>4229</v>
      </c>
      <c r="T71" s="2">
        <v>1.0</v>
      </c>
      <c r="U71" s="2">
        <v>120.0</v>
      </c>
      <c r="V71" s="2">
        <v>6.0</v>
      </c>
      <c r="W71" s="2"/>
      <c r="X71" s="2"/>
    </row>
    <row r="72">
      <c r="A72" s="116"/>
      <c r="B72" s="44"/>
      <c r="C72" s="2"/>
      <c r="D72" s="2"/>
      <c r="E72" s="2"/>
      <c r="F72" s="2"/>
      <c r="G72" s="2"/>
      <c r="H72" s="2"/>
      <c r="I72" s="2"/>
      <c r="J72" s="2"/>
      <c r="K72" s="2"/>
      <c r="L72" s="2"/>
      <c r="M72" s="2"/>
      <c r="N72" s="2"/>
      <c r="O72" s="2"/>
      <c r="P72" s="2"/>
      <c r="Q72" s="2" t="s">
        <v>433</v>
      </c>
      <c r="R72" s="2">
        <v>1.0</v>
      </c>
      <c r="S72" s="2" t="s">
        <v>4230</v>
      </c>
      <c r="T72" s="2">
        <v>1.0</v>
      </c>
      <c r="U72" s="2">
        <v>140.0</v>
      </c>
      <c r="V72" s="2">
        <v>1.0</v>
      </c>
      <c r="W72" s="2"/>
      <c r="X72" s="2"/>
    </row>
    <row r="73">
      <c r="A73" s="116"/>
      <c r="B73" s="44"/>
      <c r="C73" s="2"/>
      <c r="D73" s="2"/>
      <c r="E73" s="2"/>
      <c r="F73" s="2"/>
      <c r="G73" s="2"/>
      <c r="H73" s="2"/>
      <c r="I73" s="2"/>
      <c r="J73" s="2"/>
      <c r="K73" s="2"/>
      <c r="L73" s="2"/>
      <c r="M73" s="2"/>
      <c r="N73" s="2"/>
      <c r="O73" s="2"/>
      <c r="P73" s="2"/>
      <c r="Q73" s="2" t="s">
        <v>4231</v>
      </c>
      <c r="R73" s="2">
        <v>1.0</v>
      </c>
      <c r="S73" s="2" t="s">
        <v>4232</v>
      </c>
      <c r="T73" s="2">
        <v>1.0</v>
      </c>
      <c r="U73" s="2">
        <v>80000.0</v>
      </c>
      <c r="V73" s="2">
        <v>1.0</v>
      </c>
      <c r="W73" s="2"/>
      <c r="X73" s="2"/>
    </row>
    <row r="74">
      <c r="A74" s="116"/>
      <c r="B74" s="44"/>
      <c r="C74" s="2"/>
      <c r="D74" s="2"/>
      <c r="E74" s="2"/>
      <c r="F74" s="2"/>
      <c r="G74" s="2"/>
      <c r="H74" s="2"/>
      <c r="I74" s="2"/>
      <c r="J74" s="2"/>
      <c r="K74" s="2"/>
      <c r="L74" s="2"/>
      <c r="M74" s="2"/>
      <c r="N74" s="2"/>
      <c r="O74" s="2"/>
      <c r="P74" s="2"/>
      <c r="Q74" s="2" t="s">
        <v>4233</v>
      </c>
      <c r="R74" s="2">
        <v>1.0</v>
      </c>
      <c r="S74" s="2" t="s">
        <v>4234</v>
      </c>
      <c r="T74" s="2">
        <v>1.0</v>
      </c>
      <c r="U74" s="2">
        <v>1000000.0</v>
      </c>
      <c r="V74" s="2">
        <v>1.0</v>
      </c>
      <c r="W74" s="2"/>
      <c r="X74" s="2"/>
    </row>
    <row r="75">
      <c r="A75" s="116"/>
      <c r="B75" s="44"/>
      <c r="C75" s="2"/>
      <c r="D75" s="2"/>
      <c r="E75" s="2"/>
      <c r="F75" s="2"/>
      <c r="G75" s="2"/>
      <c r="H75" s="2"/>
      <c r="I75" s="2"/>
      <c r="J75" s="2"/>
      <c r="K75" s="2"/>
      <c r="L75" s="2"/>
      <c r="M75" s="2"/>
      <c r="N75" s="2"/>
      <c r="O75" s="2"/>
      <c r="P75" s="2"/>
      <c r="Q75" s="2" t="s">
        <v>4235</v>
      </c>
      <c r="R75" s="2">
        <v>1.0</v>
      </c>
      <c r="S75" s="2" t="s">
        <v>4236</v>
      </c>
      <c r="T75" s="2">
        <v>1.0</v>
      </c>
      <c r="U75" s="2">
        <v>169.0</v>
      </c>
      <c r="V75" s="2">
        <v>1.0</v>
      </c>
      <c r="W75" s="2"/>
      <c r="X75" s="2"/>
    </row>
    <row r="76">
      <c r="A76" s="116"/>
      <c r="B76" s="44"/>
      <c r="C76" s="2"/>
      <c r="D76" s="2"/>
      <c r="E76" s="2"/>
      <c r="F76" s="2"/>
      <c r="G76" s="2"/>
      <c r="H76" s="2"/>
      <c r="I76" s="2"/>
      <c r="J76" s="2"/>
      <c r="K76" s="2"/>
      <c r="L76" s="2"/>
      <c r="M76" s="2"/>
      <c r="N76" s="2"/>
      <c r="O76" s="2"/>
      <c r="P76" s="2"/>
      <c r="Q76" s="2" t="s">
        <v>4237</v>
      </c>
      <c r="R76" s="2">
        <v>1.0</v>
      </c>
      <c r="S76" s="2" t="s">
        <v>4238</v>
      </c>
      <c r="T76" s="2">
        <v>1.0</v>
      </c>
      <c r="U76" s="2">
        <v>110000.0</v>
      </c>
      <c r="V76" s="2">
        <v>6.0</v>
      </c>
      <c r="W76" s="2"/>
      <c r="X76" s="2"/>
    </row>
    <row r="77">
      <c r="A77" s="116"/>
      <c r="B77" s="44"/>
      <c r="C77" s="2"/>
      <c r="D77" s="2"/>
      <c r="E77" s="2"/>
      <c r="F77" s="2"/>
      <c r="G77" s="2"/>
      <c r="H77" s="2"/>
      <c r="I77" s="2"/>
      <c r="J77" s="2"/>
      <c r="K77" s="2"/>
      <c r="L77" s="2"/>
      <c r="M77" s="2"/>
      <c r="N77" s="2"/>
      <c r="O77" s="2"/>
      <c r="P77" s="2"/>
      <c r="Q77" s="2" t="s">
        <v>3424</v>
      </c>
      <c r="R77" s="2">
        <v>1.0</v>
      </c>
      <c r="S77" s="2" t="s">
        <v>4239</v>
      </c>
      <c r="T77" s="2">
        <v>3.0</v>
      </c>
      <c r="U77" s="2">
        <v>130.0</v>
      </c>
      <c r="V77" s="2">
        <v>3.0</v>
      </c>
      <c r="W77" s="2"/>
      <c r="X77" s="2"/>
    </row>
    <row r="78">
      <c r="A78" s="116"/>
      <c r="B78" s="44"/>
      <c r="C78" s="2"/>
      <c r="D78" s="2"/>
      <c r="E78" s="2"/>
      <c r="F78" s="2"/>
      <c r="G78" s="2"/>
      <c r="H78" s="2"/>
      <c r="I78" s="2"/>
      <c r="J78" s="2"/>
      <c r="K78" s="2"/>
      <c r="L78" s="2"/>
      <c r="M78" s="2"/>
      <c r="N78" s="2"/>
      <c r="O78" s="2"/>
      <c r="P78" s="2"/>
      <c r="Q78" s="2" t="s">
        <v>3189</v>
      </c>
      <c r="R78" s="2">
        <v>1.0</v>
      </c>
      <c r="S78" s="2" t="s">
        <v>4240</v>
      </c>
      <c r="T78" s="2">
        <v>1.0</v>
      </c>
      <c r="U78" s="2">
        <v>67.0</v>
      </c>
      <c r="V78" s="2">
        <v>1.0</v>
      </c>
      <c r="W78" s="2"/>
      <c r="X78" s="2"/>
    </row>
    <row r="79">
      <c r="A79" s="116"/>
      <c r="B79" s="44"/>
      <c r="C79" s="2"/>
      <c r="D79" s="2"/>
      <c r="E79" s="2"/>
      <c r="F79" s="2"/>
      <c r="G79" s="2"/>
      <c r="H79" s="2"/>
      <c r="I79" s="2"/>
      <c r="J79" s="2"/>
      <c r="K79" s="2"/>
      <c r="L79" s="2"/>
      <c r="M79" s="2"/>
      <c r="N79" s="2"/>
      <c r="O79" s="2"/>
      <c r="P79" s="2"/>
      <c r="Q79" s="2" t="s">
        <v>2787</v>
      </c>
      <c r="R79" s="2">
        <v>1.0</v>
      </c>
      <c r="S79" s="2" t="s">
        <v>4241</v>
      </c>
      <c r="T79" s="2">
        <v>1.0</v>
      </c>
      <c r="U79" s="2">
        <v>160.0</v>
      </c>
      <c r="V79" s="2">
        <v>5.0</v>
      </c>
      <c r="W79" s="2"/>
      <c r="X79" s="2"/>
    </row>
    <row r="80">
      <c r="A80" s="116"/>
      <c r="B80" s="44"/>
      <c r="C80" s="2"/>
      <c r="D80" s="2"/>
      <c r="E80" s="2"/>
      <c r="F80" s="2"/>
      <c r="G80" s="2"/>
      <c r="H80" s="2"/>
      <c r="I80" s="2"/>
      <c r="J80" s="2"/>
      <c r="K80" s="2"/>
      <c r="L80" s="2"/>
      <c r="M80" s="2"/>
      <c r="N80" s="2"/>
      <c r="O80" s="2"/>
      <c r="P80" s="2"/>
      <c r="Q80" s="2" t="s">
        <v>1995</v>
      </c>
      <c r="R80" s="2">
        <v>1.0</v>
      </c>
      <c r="S80" s="2" t="s">
        <v>4242</v>
      </c>
      <c r="T80" s="2">
        <v>3.0</v>
      </c>
      <c r="U80" s="2">
        <v>100.0</v>
      </c>
      <c r="V80" s="2">
        <v>5.0</v>
      </c>
      <c r="W80" s="2"/>
      <c r="X80" s="2"/>
    </row>
    <row r="81">
      <c r="A81" s="116"/>
      <c r="B81" s="44"/>
      <c r="C81" s="2"/>
      <c r="D81" s="2"/>
      <c r="E81" s="2"/>
      <c r="F81" s="2"/>
      <c r="G81" s="2"/>
      <c r="H81" s="2"/>
      <c r="I81" s="2"/>
      <c r="J81" s="2"/>
      <c r="K81" s="2"/>
      <c r="L81" s="2"/>
      <c r="M81" s="2"/>
      <c r="N81" s="2"/>
      <c r="O81" s="2"/>
      <c r="P81" s="2"/>
      <c r="Q81" s="2" t="s">
        <v>1144</v>
      </c>
      <c r="R81" s="2">
        <v>3.0</v>
      </c>
      <c r="S81" s="2" t="s">
        <v>4243</v>
      </c>
      <c r="T81" s="2">
        <v>1.0</v>
      </c>
      <c r="U81" s="2">
        <v>127.0</v>
      </c>
      <c r="V81" s="2">
        <v>2.0</v>
      </c>
      <c r="W81" s="2"/>
      <c r="X81" s="2"/>
    </row>
    <row r="82">
      <c r="A82" s="116"/>
      <c r="B82" s="44"/>
      <c r="C82" s="2"/>
      <c r="D82" s="2"/>
      <c r="E82" s="2"/>
      <c r="F82" s="2"/>
      <c r="G82" s="2"/>
      <c r="H82" s="2"/>
      <c r="I82" s="2"/>
      <c r="J82" s="2"/>
      <c r="K82" s="2"/>
      <c r="L82" s="2"/>
      <c r="M82" s="2"/>
      <c r="N82" s="2"/>
      <c r="O82" s="2"/>
      <c r="P82" s="2"/>
      <c r="Q82" s="2" t="s">
        <v>4244</v>
      </c>
      <c r="R82" s="2">
        <v>1.0</v>
      </c>
      <c r="S82" s="2" t="s">
        <v>4245</v>
      </c>
      <c r="T82" s="2">
        <v>1.0</v>
      </c>
      <c r="U82" s="2">
        <v>127100.0</v>
      </c>
      <c r="V82" s="2">
        <v>1.0</v>
      </c>
      <c r="W82" s="2"/>
      <c r="X82" s="2"/>
    </row>
    <row r="83">
      <c r="A83" s="116"/>
      <c r="B83" s="44"/>
      <c r="C83" s="2"/>
      <c r="D83" s="2"/>
      <c r="E83" s="2"/>
      <c r="F83" s="2"/>
      <c r="G83" s="2"/>
      <c r="H83" s="2"/>
      <c r="I83" s="2"/>
      <c r="J83" s="2"/>
      <c r="K83" s="2"/>
      <c r="L83" s="2"/>
      <c r="M83" s="2"/>
      <c r="N83" s="2"/>
      <c r="O83" s="2"/>
      <c r="P83" s="2"/>
      <c r="Q83" s="2" t="s">
        <v>4246</v>
      </c>
      <c r="R83" s="2">
        <v>1.0</v>
      </c>
      <c r="S83" s="2" t="s">
        <v>4247</v>
      </c>
      <c r="T83" s="2">
        <v>1.0</v>
      </c>
      <c r="U83" s="2">
        <v>165.0</v>
      </c>
      <c r="V83" s="2">
        <v>2.0</v>
      </c>
      <c r="W83" s="2"/>
      <c r="X83" s="2"/>
    </row>
    <row r="84">
      <c r="A84" s="116"/>
      <c r="B84" s="44"/>
      <c r="C84" s="2"/>
      <c r="D84" s="2"/>
      <c r="E84" s="2"/>
      <c r="F84" s="2"/>
      <c r="G84" s="2"/>
      <c r="H84" s="2"/>
      <c r="I84" s="2"/>
      <c r="J84" s="2"/>
      <c r="K84" s="2"/>
      <c r="L84" s="2"/>
      <c r="M84" s="2"/>
      <c r="N84" s="2"/>
      <c r="O84" s="2"/>
      <c r="P84" s="2"/>
      <c r="Q84" s="2" t="s">
        <v>4248</v>
      </c>
      <c r="R84" s="2">
        <v>1.0</v>
      </c>
      <c r="S84" s="2" t="s">
        <v>4249</v>
      </c>
      <c r="T84" s="2">
        <v>2.0</v>
      </c>
      <c r="U84" s="2">
        <v>171.0</v>
      </c>
      <c r="V84" s="2">
        <v>1.0</v>
      </c>
      <c r="W84" s="2"/>
      <c r="X84" s="2"/>
    </row>
    <row r="85">
      <c r="A85" s="116"/>
      <c r="B85" s="44"/>
      <c r="C85" s="2"/>
      <c r="D85" s="2"/>
      <c r="E85" s="2"/>
      <c r="F85" s="2"/>
      <c r="G85" s="2"/>
      <c r="H85" s="2"/>
      <c r="I85" s="2"/>
      <c r="J85" s="2"/>
      <c r="K85" s="2"/>
      <c r="L85" s="2"/>
      <c r="M85" s="2"/>
      <c r="N85" s="2"/>
      <c r="O85" s="2"/>
      <c r="P85" s="2"/>
      <c r="Q85" s="2" t="s">
        <v>1447</v>
      </c>
      <c r="R85" s="2">
        <v>1.0</v>
      </c>
      <c r="S85" s="2" t="s">
        <v>4250</v>
      </c>
      <c r="T85" s="2">
        <v>2.0</v>
      </c>
      <c r="U85" s="2">
        <v>110.0</v>
      </c>
      <c r="V85" s="2">
        <v>3.0</v>
      </c>
      <c r="W85" s="2"/>
      <c r="X85" s="2"/>
    </row>
    <row r="86">
      <c r="A86" s="116"/>
      <c r="B86" s="44"/>
      <c r="C86" s="2"/>
      <c r="D86" s="2"/>
      <c r="E86" s="2"/>
      <c r="F86" s="2"/>
      <c r="G86" s="2"/>
      <c r="H86" s="2"/>
      <c r="I86" s="2"/>
      <c r="J86" s="2"/>
      <c r="K86" s="2"/>
      <c r="L86" s="2"/>
      <c r="M86" s="2"/>
      <c r="N86" s="2"/>
      <c r="O86" s="2"/>
      <c r="P86" s="2"/>
      <c r="Q86" s="2" t="s">
        <v>4251</v>
      </c>
      <c r="R86" s="2">
        <v>1.0</v>
      </c>
      <c r="S86" s="2" t="s">
        <v>4252</v>
      </c>
      <c r="T86" s="2">
        <v>2.0</v>
      </c>
      <c r="U86" s="2">
        <v>91.0</v>
      </c>
      <c r="V86" s="2">
        <v>1.0</v>
      </c>
      <c r="W86" s="2"/>
      <c r="X86" s="2"/>
    </row>
    <row r="87">
      <c r="A87" s="116"/>
      <c r="B87" s="44"/>
      <c r="C87" s="2"/>
      <c r="D87" s="2"/>
      <c r="E87" s="2"/>
      <c r="F87" s="2"/>
      <c r="G87" s="2"/>
      <c r="H87" s="2"/>
      <c r="I87" s="2"/>
      <c r="J87" s="2"/>
      <c r="K87" s="2"/>
      <c r="L87" s="2"/>
      <c r="M87" s="2"/>
      <c r="N87" s="2"/>
      <c r="O87" s="2"/>
      <c r="P87" s="2"/>
      <c r="Q87" s="2" t="s">
        <v>4253</v>
      </c>
      <c r="R87" s="2">
        <v>1.0</v>
      </c>
      <c r="S87" s="2" t="s">
        <v>4254</v>
      </c>
      <c r="T87" s="2">
        <v>1.0</v>
      </c>
      <c r="U87" s="2">
        <v>125000.0</v>
      </c>
      <c r="V87" s="2">
        <v>1.0</v>
      </c>
      <c r="W87" s="2"/>
      <c r="X87" s="2"/>
    </row>
    <row r="88">
      <c r="A88" s="116"/>
      <c r="B88" s="44"/>
      <c r="C88" s="2"/>
      <c r="D88" s="2"/>
      <c r="E88" s="2"/>
      <c r="F88" s="2"/>
      <c r="G88" s="2"/>
      <c r="H88" s="2"/>
      <c r="I88" s="2"/>
      <c r="J88" s="2"/>
      <c r="K88" s="2"/>
      <c r="L88" s="2"/>
      <c r="M88" s="2"/>
      <c r="N88" s="2"/>
      <c r="O88" s="2"/>
      <c r="P88" s="2"/>
      <c r="Q88" s="2" t="s">
        <v>4255</v>
      </c>
      <c r="R88" s="2">
        <v>1.0</v>
      </c>
      <c r="S88" s="2" t="s">
        <v>4256</v>
      </c>
      <c r="T88" s="2">
        <v>1.0</v>
      </c>
      <c r="U88" s="2">
        <v>225000.0</v>
      </c>
      <c r="V88" s="2">
        <v>1.0</v>
      </c>
      <c r="W88" s="2"/>
      <c r="X88" s="2"/>
    </row>
    <row r="89">
      <c r="A89" s="116"/>
      <c r="B89" s="44"/>
      <c r="C89" s="2"/>
      <c r="D89" s="2"/>
      <c r="E89" s="2"/>
      <c r="F89" s="2"/>
      <c r="G89" s="2"/>
      <c r="H89" s="2"/>
      <c r="I89" s="2"/>
      <c r="J89" s="2"/>
      <c r="K89" s="2"/>
      <c r="L89" s="2"/>
      <c r="M89" s="2"/>
      <c r="N89" s="2"/>
      <c r="O89" s="2"/>
      <c r="P89" s="2"/>
      <c r="Q89" s="2" t="s">
        <v>4257</v>
      </c>
      <c r="R89" s="2">
        <v>1.0</v>
      </c>
      <c r="S89" s="2" t="s">
        <v>4258</v>
      </c>
      <c r="T89" s="2">
        <v>1.0</v>
      </c>
      <c r="U89" s="2">
        <v>170000.0</v>
      </c>
      <c r="V89" s="2">
        <v>1.0</v>
      </c>
      <c r="W89" s="2"/>
      <c r="X89" s="2"/>
    </row>
    <row r="90">
      <c r="A90" s="116"/>
      <c r="B90" s="44"/>
      <c r="C90" s="2"/>
      <c r="D90" s="2"/>
      <c r="E90" s="2"/>
      <c r="F90" s="2"/>
      <c r="G90" s="2"/>
      <c r="H90" s="2"/>
      <c r="I90" s="2"/>
      <c r="J90" s="2"/>
      <c r="K90" s="2"/>
      <c r="L90" s="2"/>
      <c r="M90" s="2"/>
      <c r="N90" s="2"/>
      <c r="O90" s="2"/>
      <c r="P90" s="2"/>
      <c r="Q90" s="2" t="s">
        <v>551</v>
      </c>
      <c r="R90" s="2">
        <v>1.0</v>
      </c>
      <c r="S90" s="2" t="s">
        <v>4259</v>
      </c>
      <c r="T90" s="2">
        <v>1.0</v>
      </c>
      <c r="U90" s="2">
        <v>85.0</v>
      </c>
      <c r="V90" s="2">
        <v>1.0</v>
      </c>
      <c r="W90" s="2"/>
      <c r="X90" s="2"/>
    </row>
    <row r="91">
      <c r="A91" s="116"/>
      <c r="B91" s="44"/>
      <c r="C91" s="2"/>
      <c r="D91" s="2"/>
      <c r="E91" s="2"/>
      <c r="F91" s="2"/>
      <c r="G91" s="2"/>
      <c r="H91" s="2"/>
      <c r="I91" s="2"/>
      <c r="J91" s="2"/>
      <c r="K91" s="2"/>
      <c r="L91" s="2"/>
      <c r="M91" s="2"/>
      <c r="N91" s="2"/>
      <c r="O91" s="2"/>
      <c r="P91" s="2"/>
      <c r="Q91" s="2" t="s">
        <v>4260</v>
      </c>
      <c r="R91" s="2">
        <v>2.0</v>
      </c>
      <c r="S91" s="2" t="s">
        <v>4261</v>
      </c>
      <c r="T91" s="2">
        <v>1.0</v>
      </c>
      <c r="U91" s="2">
        <v>70.0</v>
      </c>
      <c r="V91" s="2">
        <v>1.0</v>
      </c>
      <c r="W91" s="2"/>
      <c r="X91" s="2"/>
    </row>
    <row r="92">
      <c r="A92" s="116"/>
      <c r="B92" s="44"/>
      <c r="C92" s="2"/>
      <c r="D92" s="2"/>
      <c r="E92" s="2"/>
      <c r="F92" s="2"/>
      <c r="G92" s="2"/>
      <c r="H92" s="2"/>
      <c r="I92" s="2"/>
      <c r="J92" s="2"/>
      <c r="K92" s="2"/>
      <c r="L92" s="2"/>
      <c r="M92" s="2"/>
      <c r="N92" s="2"/>
      <c r="O92" s="2"/>
      <c r="P92" s="2"/>
      <c r="Q92" s="2" t="s">
        <v>4262</v>
      </c>
      <c r="R92" s="2">
        <v>1.0</v>
      </c>
      <c r="S92" s="2" t="s">
        <v>4263</v>
      </c>
      <c r="T92" s="2">
        <v>1.0</v>
      </c>
      <c r="U92" s="2">
        <v>107.0</v>
      </c>
      <c r="V92" s="2">
        <v>1.0</v>
      </c>
      <c r="W92" s="2"/>
      <c r="X92" s="2"/>
    </row>
    <row r="93">
      <c r="A93" s="116"/>
      <c r="B93" s="44"/>
      <c r="C93" s="2"/>
      <c r="D93" s="2"/>
      <c r="E93" s="2"/>
      <c r="F93" s="2"/>
      <c r="G93" s="2"/>
      <c r="H93" s="2"/>
      <c r="I93" s="2"/>
      <c r="J93" s="2"/>
      <c r="K93" s="2"/>
      <c r="L93" s="2"/>
      <c r="M93" s="2"/>
      <c r="N93" s="2"/>
      <c r="O93" s="2"/>
      <c r="P93" s="2"/>
      <c r="Q93" s="2" t="s">
        <v>567</v>
      </c>
      <c r="R93" s="2">
        <v>1.0</v>
      </c>
      <c r="S93" s="2" t="s">
        <v>4264</v>
      </c>
      <c r="T93" s="2">
        <v>1.0</v>
      </c>
      <c r="U93" s="2">
        <v>80.0</v>
      </c>
      <c r="V93" s="2">
        <v>1.0</v>
      </c>
      <c r="W93" s="2"/>
      <c r="X93" s="2"/>
    </row>
    <row r="94">
      <c r="A94" s="116"/>
      <c r="B94" s="44"/>
      <c r="C94" s="2"/>
      <c r="D94" s="2"/>
      <c r="E94" s="2"/>
      <c r="F94" s="2"/>
      <c r="G94" s="2"/>
      <c r="H94" s="2"/>
      <c r="I94" s="2"/>
      <c r="J94" s="2"/>
      <c r="K94" s="2"/>
      <c r="L94" s="2"/>
      <c r="M94" s="2"/>
      <c r="N94" s="2"/>
      <c r="O94" s="2"/>
      <c r="P94" s="2"/>
      <c r="Q94" s="2" t="s">
        <v>573</v>
      </c>
      <c r="R94" s="2">
        <v>1.0</v>
      </c>
      <c r="S94" s="2" t="s">
        <v>4265</v>
      </c>
      <c r="T94" s="2">
        <v>1.0</v>
      </c>
      <c r="U94" s="2">
        <v>108.0</v>
      </c>
      <c r="V94" s="2">
        <v>2.0</v>
      </c>
      <c r="W94" s="2"/>
      <c r="X94" s="2"/>
    </row>
    <row r="95">
      <c r="A95" s="116"/>
      <c r="B95" s="44"/>
      <c r="C95" s="2"/>
      <c r="D95" s="2"/>
      <c r="E95" s="2"/>
      <c r="F95" s="2"/>
      <c r="G95" s="2"/>
      <c r="H95" s="2"/>
      <c r="I95" s="2"/>
      <c r="J95" s="2"/>
      <c r="K95" s="2"/>
      <c r="L95" s="2"/>
      <c r="M95" s="2"/>
      <c r="N95" s="2"/>
      <c r="O95" s="2"/>
      <c r="P95" s="2"/>
      <c r="Q95" s="2" t="s">
        <v>4266</v>
      </c>
      <c r="R95" s="2">
        <v>1.0</v>
      </c>
      <c r="S95" s="2" t="s">
        <v>4267</v>
      </c>
      <c r="T95" s="2">
        <v>1.0</v>
      </c>
      <c r="U95" s="2">
        <v>106.0</v>
      </c>
      <c r="V95" s="2">
        <v>1.0</v>
      </c>
      <c r="W95" s="2"/>
      <c r="X95" s="2"/>
    </row>
    <row r="96">
      <c r="A96" s="116"/>
      <c r="B96" s="44"/>
      <c r="C96" s="2"/>
      <c r="D96" s="2"/>
      <c r="E96" s="2"/>
      <c r="F96" s="2"/>
      <c r="G96" s="2"/>
      <c r="H96" s="2"/>
      <c r="I96" s="2"/>
      <c r="J96" s="2"/>
      <c r="K96" s="2"/>
      <c r="L96" s="2"/>
      <c r="M96" s="2"/>
      <c r="N96" s="2"/>
      <c r="O96" s="2"/>
      <c r="P96" s="2"/>
      <c r="Q96" s="2" t="s">
        <v>4268</v>
      </c>
      <c r="R96" s="2">
        <v>2.0</v>
      </c>
      <c r="S96" s="2" t="s">
        <v>4269</v>
      </c>
      <c r="T96" s="2">
        <v>1.0</v>
      </c>
      <c r="U96" s="2">
        <v>160000.0</v>
      </c>
      <c r="V96" s="2">
        <v>1.0</v>
      </c>
      <c r="W96" s="2"/>
      <c r="X96" s="2"/>
    </row>
    <row r="97">
      <c r="A97" s="116"/>
      <c r="B97" s="44"/>
      <c r="C97" s="2"/>
      <c r="D97" s="2"/>
      <c r="E97" s="2"/>
      <c r="F97" s="2"/>
      <c r="G97" s="2"/>
      <c r="H97" s="2"/>
      <c r="I97" s="2"/>
      <c r="J97" s="2"/>
      <c r="K97" s="2"/>
      <c r="L97" s="2"/>
      <c r="M97" s="2"/>
      <c r="N97" s="2"/>
      <c r="O97" s="2"/>
      <c r="P97" s="2"/>
      <c r="Q97" s="2" t="s">
        <v>4270</v>
      </c>
      <c r="R97" s="2">
        <v>1.0</v>
      </c>
      <c r="S97" s="2" t="s">
        <v>4271</v>
      </c>
      <c r="T97" s="2">
        <v>1.0</v>
      </c>
      <c r="U97" s="2">
        <v>105.0</v>
      </c>
      <c r="V97" s="2">
        <v>2.0</v>
      </c>
      <c r="W97" s="2"/>
      <c r="X97" s="2"/>
    </row>
    <row r="98">
      <c r="A98" s="116"/>
      <c r="B98" s="44"/>
      <c r="C98" s="2"/>
      <c r="D98" s="2"/>
      <c r="E98" s="2"/>
      <c r="F98" s="2"/>
      <c r="G98" s="2"/>
      <c r="H98" s="2"/>
      <c r="I98" s="2"/>
      <c r="J98" s="2"/>
      <c r="K98" s="2"/>
      <c r="L98" s="2"/>
      <c r="M98" s="2"/>
      <c r="N98" s="2"/>
      <c r="O98" s="2"/>
      <c r="P98" s="2"/>
      <c r="Q98" s="2" t="s">
        <v>2284</v>
      </c>
      <c r="R98" s="2">
        <v>2.0</v>
      </c>
      <c r="S98" s="2" t="s">
        <v>4272</v>
      </c>
      <c r="T98" s="2">
        <v>1.0</v>
      </c>
      <c r="U98" s="2">
        <v>136.0</v>
      </c>
      <c r="V98" s="2">
        <v>1.0</v>
      </c>
      <c r="W98" s="2"/>
      <c r="X98" s="2"/>
    </row>
    <row r="99">
      <c r="A99" s="116"/>
      <c r="B99" s="44"/>
      <c r="C99" s="2"/>
      <c r="D99" s="2"/>
      <c r="E99" s="2"/>
      <c r="F99" s="2"/>
      <c r="G99" s="2"/>
      <c r="H99" s="2"/>
      <c r="I99" s="2"/>
      <c r="J99" s="2"/>
      <c r="K99" s="2"/>
      <c r="L99" s="2"/>
      <c r="M99" s="2"/>
      <c r="N99" s="2"/>
      <c r="O99" s="2"/>
      <c r="P99" s="2"/>
      <c r="Q99" s="2" t="s">
        <v>4273</v>
      </c>
      <c r="R99" s="2">
        <v>1.0</v>
      </c>
      <c r="S99" s="2" t="s">
        <v>4274</v>
      </c>
      <c r="T99" s="2">
        <v>1.0</v>
      </c>
      <c r="U99" s="2">
        <v>81100.0</v>
      </c>
      <c r="V99" s="2">
        <v>1.0</v>
      </c>
      <c r="W99" s="2"/>
      <c r="X99" s="2"/>
    </row>
    <row r="100">
      <c r="A100" s="116"/>
      <c r="B100" s="44"/>
      <c r="C100" s="2"/>
      <c r="D100" s="2"/>
      <c r="E100" s="2"/>
      <c r="F100" s="2"/>
      <c r="G100" s="2"/>
      <c r="H100" s="2"/>
      <c r="I100" s="2"/>
      <c r="J100" s="2"/>
      <c r="K100" s="2"/>
      <c r="L100" s="2"/>
      <c r="M100" s="2"/>
      <c r="N100" s="2"/>
      <c r="O100" s="2"/>
      <c r="P100" s="2"/>
      <c r="Q100" s="2" t="s">
        <v>4275</v>
      </c>
      <c r="R100" s="2">
        <v>2.0</v>
      </c>
      <c r="S100" s="2" t="s">
        <v>4276</v>
      </c>
      <c r="T100" s="2">
        <v>1.0</v>
      </c>
      <c r="U100" s="2">
        <v>115.0</v>
      </c>
      <c r="V100" s="2">
        <v>1.0</v>
      </c>
      <c r="W100" s="2"/>
      <c r="X100" s="2"/>
    </row>
    <row r="101">
      <c r="A101" s="116"/>
      <c r="B101" s="44"/>
      <c r="C101" s="2"/>
      <c r="D101" s="2"/>
      <c r="E101" s="2"/>
      <c r="F101" s="2"/>
      <c r="G101" s="2"/>
      <c r="H101" s="2"/>
      <c r="I101" s="2"/>
      <c r="J101" s="2"/>
      <c r="K101" s="2"/>
      <c r="L101" s="2"/>
      <c r="M101" s="2"/>
      <c r="N101" s="2"/>
      <c r="O101" s="2"/>
      <c r="P101" s="2"/>
      <c r="Q101" s="2" t="s">
        <v>4277</v>
      </c>
      <c r="R101" s="2">
        <v>2.0</v>
      </c>
      <c r="S101" s="2"/>
      <c r="T101" s="2"/>
      <c r="U101" s="2">
        <v>90000.0</v>
      </c>
      <c r="V101" s="2">
        <v>1.0</v>
      </c>
      <c r="W101" s="2"/>
      <c r="X101" s="2"/>
    </row>
    <row r="102">
      <c r="A102" s="116"/>
      <c r="B102" s="44"/>
      <c r="C102" s="2"/>
      <c r="D102" s="2"/>
      <c r="E102" s="2"/>
      <c r="F102" s="2"/>
      <c r="G102" s="2"/>
      <c r="H102" s="2"/>
      <c r="I102" s="2"/>
      <c r="J102" s="2"/>
      <c r="K102" s="2"/>
      <c r="L102" s="2"/>
      <c r="M102" s="2"/>
      <c r="N102" s="2"/>
      <c r="O102" s="2"/>
      <c r="P102" s="2"/>
      <c r="Q102" s="2" t="s">
        <v>4278</v>
      </c>
      <c r="R102" s="2">
        <v>1.0</v>
      </c>
      <c r="S102" s="2"/>
      <c r="T102" s="2"/>
      <c r="U102" s="2">
        <v>90.0</v>
      </c>
      <c r="V102" s="2">
        <v>1.0</v>
      </c>
      <c r="W102" s="2"/>
      <c r="X102" s="2"/>
    </row>
    <row r="103">
      <c r="A103" s="116"/>
      <c r="B103" s="44"/>
      <c r="C103" s="2"/>
      <c r="D103" s="2"/>
      <c r="E103" s="2"/>
      <c r="F103" s="2"/>
      <c r="G103" s="2"/>
      <c r="H103" s="2"/>
      <c r="I103" s="2"/>
      <c r="J103" s="2"/>
      <c r="K103" s="2"/>
      <c r="L103" s="2"/>
      <c r="M103" s="2"/>
      <c r="N103" s="2"/>
      <c r="O103" s="2"/>
      <c r="P103" s="2"/>
      <c r="Q103" s="2" t="s">
        <v>4279</v>
      </c>
      <c r="R103" s="2">
        <v>1.0</v>
      </c>
      <c r="S103" s="2"/>
      <c r="T103" s="2"/>
      <c r="U103" s="2">
        <v>124000.0</v>
      </c>
      <c r="V103" s="2">
        <v>1.0</v>
      </c>
      <c r="W103" s="2"/>
      <c r="X103" s="2"/>
    </row>
    <row r="104">
      <c r="A104" s="116"/>
      <c r="B104" s="44"/>
      <c r="C104" s="2"/>
      <c r="D104" s="2"/>
      <c r="E104" s="2"/>
      <c r="F104" s="2"/>
      <c r="G104" s="2"/>
      <c r="H104" s="2"/>
      <c r="I104" s="2"/>
      <c r="J104" s="2"/>
      <c r="K104" s="2"/>
      <c r="L104" s="2"/>
      <c r="M104" s="2"/>
      <c r="N104" s="2"/>
      <c r="O104" s="2"/>
      <c r="P104" s="2"/>
      <c r="Q104" s="2" t="s">
        <v>4280</v>
      </c>
      <c r="R104" s="2">
        <v>1.0</v>
      </c>
      <c r="S104" s="2"/>
      <c r="T104" s="2"/>
      <c r="U104" s="2">
        <v>126.0</v>
      </c>
      <c r="V104" s="2">
        <v>1.0</v>
      </c>
      <c r="W104" s="2"/>
      <c r="X104" s="2"/>
    </row>
    <row r="105">
      <c r="A105" s="116"/>
      <c r="B105" s="44"/>
      <c r="C105" s="2"/>
      <c r="D105" s="2"/>
      <c r="E105" s="2"/>
      <c r="F105" s="2"/>
      <c r="G105" s="2"/>
      <c r="H105" s="2"/>
      <c r="I105" s="2"/>
      <c r="J105" s="2"/>
      <c r="K105" s="2"/>
      <c r="L105" s="2"/>
      <c r="M105" s="2"/>
      <c r="N105" s="2"/>
      <c r="O105" s="2"/>
      <c r="P105" s="2"/>
      <c r="Q105" s="2" t="s">
        <v>4281</v>
      </c>
      <c r="R105" s="2">
        <v>1.0</v>
      </c>
      <c r="S105" s="2"/>
      <c r="T105" s="2"/>
      <c r="U105" s="2">
        <v>116.0</v>
      </c>
      <c r="V105" s="2">
        <v>1.0</v>
      </c>
      <c r="W105" s="2"/>
      <c r="X105" s="2"/>
    </row>
    <row r="106">
      <c r="A106" s="116"/>
      <c r="B106" s="44"/>
      <c r="C106" s="2"/>
      <c r="D106" s="2"/>
      <c r="E106" s="2"/>
      <c r="F106" s="2"/>
      <c r="G106" s="2"/>
      <c r="H106" s="2"/>
      <c r="I106" s="2"/>
      <c r="J106" s="2"/>
      <c r="K106" s="2"/>
      <c r="L106" s="2"/>
      <c r="M106" s="2"/>
      <c r="N106" s="2"/>
      <c r="O106" s="2"/>
      <c r="P106" s="2"/>
      <c r="Q106" s="2" t="s">
        <v>2215</v>
      </c>
      <c r="R106" s="2">
        <v>1.0</v>
      </c>
      <c r="S106" s="2"/>
      <c r="T106" s="2"/>
      <c r="U106" s="2">
        <v>120000.0</v>
      </c>
      <c r="V106" s="2">
        <v>1.0</v>
      </c>
      <c r="W106" s="2"/>
      <c r="X106" s="2"/>
    </row>
    <row r="107">
      <c r="A107" s="116"/>
      <c r="B107" s="44"/>
      <c r="C107" s="2"/>
      <c r="D107" s="2"/>
      <c r="E107" s="2"/>
      <c r="F107" s="2"/>
      <c r="G107" s="2"/>
      <c r="H107" s="2"/>
      <c r="I107" s="2"/>
      <c r="J107" s="2"/>
      <c r="K107" s="2"/>
      <c r="L107" s="2"/>
      <c r="M107" s="2"/>
      <c r="N107" s="2"/>
      <c r="O107" s="2"/>
      <c r="P107" s="2"/>
      <c r="Q107" s="2" t="s">
        <v>4282</v>
      </c>
      <c r="R107" s="2">
        <v>1.0</v>
      </c>
      <c r="S107" s="2"/>
      <c r="T107" s="2"/>
      <c r="U107" s="2">
        <v>94.0</v>
      </c>
      <c r="V107" s="2">
        <v>1.0</v>
      </c>
      <c r="W107" s="2"/>
      <c r="X107" s="2"/>
    </row>
    <row r="108">
      <c r="A108" s="116"/>
      <c r="B108" s="44"/>
      <c r="C108" s="2"/>
      <c r="D108" s="2"/>
      <c r="E108" s="2"/>
      <c r="F108" s="2"/>
      <c r="G108" s="2"/>
      <c r="H108" s="2"/>
      <c r="I108" s="2"/>
      <c r="J108" s="2"/>
      <c r="K108" s="2"/>
      <c r="L108" s="2"/>
      <c r="M108" s="2"/>
      <c r="N108" s="2"/>
      <c r="O108" s="2"/>
      <c r="P108" s="2"/>
      <c r="Q108" s="2" t="s">
        <v>4283</v>
      </c>
      <c r="R108" s="2">
        <v>1.0</v>
      </c>
      <c r="S108" s="2"/>
      <c r="T108" s="2"/>
      <c r="U108" s="2">
        <v>175.0</v>
      </c>
      <c r="V108" s="2">
        <v>1.0</v>
      </c>
      <c r="W108" s="2"/>
      <c r="X108" s="2"/>
    </row>
    <row r="109">
      <c r="A109" s="116"/>
      <c r="B109" s="44"/>
      <c r="C109" s="2"/>
      <c r="D109" s="2"/>
      <c r="E109" s="2"/>
      <c r="F109" s="2"/>
      <c r="G109" s="2"/>
      <c r="H109" s="2"/>
      <c r="I109" s="2"/>
      <c r="J109" s="2"/>
      <c r="K109" s="2"/>
      <c r="L109" s="2"/>
      <c r="M109" s="2"/>
      <c r="N109" s="2"/>
      <c r="O109" s="2"/>
      <c r="P109" s="2"/>
      <c r="Q109" s="2" t="s">
        <v>4284</v>
      </c>
      <c r="R109" s="2">
        <v>1.0</v>
      </c>
      <c r="S109" s="2"/>
      <c r="T109" s="2"/>
      <c r="U109" s="2">
        <v>94200.0</v>
      </c>
      <c r="V109" s="2">
        <v>1.0</v>
      </c>
      <c r="W109" s="2"/>
      <c r="X109" s="2"/>
    </row>
    <row r="110">
      <c r="A110" s="116"/>
      <c r="B110" s="44"/>
      <c r="C110" s="2"/>
      <c r="D110" s="2"/>
      <c r="E110" s="2"/>
      <c r="F110" s="2"/>
      <c r="G110" s="2"/>
      <c r="H110" s="2"/>
      <c r="I110" s="2"/>
      <c r="J110" s="2"/>
      <c r="K110" s="2"/>
      <c r="L110" s="2"/>
      <c r="M110" s="2"/>
      <c r="N110" s="2"/>
      <c r="O110" s="2"/>
      <c r="P110" s="2"/>
      <c r="Q110" s="2" t="s">
        <v>4285</v>
      </c>
      <c r="R110" s="2">
        <v>1.0</v>
      </c>
      <c r="S110" s="2"/>
      <c r="T110" s="2"/>
      <c r="U110" s="2">
        <v>69933.0</v>
      </c>
      <c r="V110" s="2">
        <v>1.0</v>
      </c>
      <c r="W110" s="2"/>
      <c r="X110" s="2"/>
    </row>
    <row r="111">
      <c r="A111" s="116"/>
      <c r="B111" s="44"/>
      <c r="C111" s="2"/>
      <c r="D111" s="2"/>
      <c r="E111" s="2"/>
      <c r="F111" s="2"/>
      <c r="G111" s="2"/>
      <c r="H111" s="2"/>
      <c r="I111" s="2"/>
      <c r="J111" s="2"/>
      <c r="K111" s="2"/>
      <c r="L111" s="2"/>
      <c r="M111" s="2"/>
      <c r="N111" s="2"/>
      <c r="O111" s="2"/>
      <c r="P111" s="2"/>
      <c r="Q111" s="2" t="s">
        <v>4286</v>
      </c>
      <c r="R111" s="2">
        <v>1.0</v>
      </c>
      <c r="S111" s="2"/>
      <c r="T111" s="2"/>
      <c r="U111" s="2">
        <v>69932.0</v>
      </c>
      <c r="V111" s="2">
        <v>1.0</v>
      </c>
      <c r="W111" s="2"/>
      <c r="X111" s="2"/>
    </row>
    <row r="112">
      <c r="A112" s="116"/>
      <c r="B112" s="44"/>
      <c r="C112" s="2"/>
      <c r="D112" s="2"/>
      <c r="E112" s="2"/>
      <c r="F112" s="2"/>
      <c r="G112" s="2"/>
      <c r="H112" s="2"/>
      <c r="I112" s="2"/>
      <c r="J112" s="2"/>
      <c r="K112" s="2"/>
      <c r="L112" s="2"/>
      <c r="M112" s="2"/>
      <c r="N112" s="2"/>
      <c r="O112" s="2"/>
      <c r="P112" s="2"/>
      <c r="Q112" s="2" t="s">
        <v>2129</v>
      </c>
      <c r="R112" s="2">
        <v>1.0</v>
      </c>
      <c r="S112" s="2"/>
      <c r="T112" s="2"/>
      <c r="U112" s="2">
        <v>698.0</v>
      </c>
      <c r="V112" s="2">
        <v>7.0</v>
      </c>
      <c r="W112" s="2"/>
      <c r="X112" s="2"/>
    </row>
    <row r="113">
      <c r="A113" s="116"/>
      <c r="B113" s="44"/>
      <c r="C113" s="2"/>
      <c r="D113" s="2"/>
      <c r="E113" s="2"/>
      <c r="F113" s="2"/>
      <c r="G113" s="2"/>
      <c r="H113" s="2"/>
      <c r="I113" s="2"/>
      <c r="J113" s="2"/>
      <c r="K113" s="2"/>
      <c r="L113" s="2"/>
      <c r="M113" s="2"/>
      <c r="N113" s="2"/>
      <c r="O113" s="2"/>
      <c r="P113" s="2"/>
      <c r="Q113" s="2" t="s">
        <v>4287</v>
      </c>
      <c r="R113" s="2">
        <v>1.0</v>
      </c>
      <c r="S113" s="2"/>
      <c r="T113" s="2"/>
      <c r="U113" s="2">
        <v>695.0</v>
      </c>
      <c r="V113" s="2">
        <v>6.0</v>
      </c>
      <c r="W113" s="2"/>
      <c r="X113" s="2"/>
    </row>
    <row r="114">
      <c r="A114" s="116"/>
      <c r="B114" s="44"/>
      <c r="C114" s="2"/>
      <c r="D114" s="2"/>
      <c r="E114" s="2"/>
      <c r="F114" s="2"/>
      <c r="G114" s="2"/>
      <c r="H114" s="2"/>
      <c r="I114" s="2"/>
      <c r="J114" s="2"/>
      <c r="K114" s="2"/>
      <c r="L114" s="2"/>
      <c r="M114" s="2"/>
      <c r="N114" s="2"/>
      <c r="O114" s="2"/>
      <c r="P114" s="2"/>
      <c r="Q114" s="2" t="s">
        <v>4288</v>
      </c>
      <c r="R114" s="2">
        <v>1.0</v>
      </c>
      <c r="S114" s="2"/>
      <c r="T114" s="2"/>
      <c r="U114" s="2">
        <v>69766.0</v>
      </c>
      <c r="V114" s="2">
        <v>1.0</v>
      </c>
      <c r="W114" s="2"/>
      <c r="X114" s="2"/>
    </row>
    <row r="115">
      <c r="A115" s="116"/>
      <c r="B115" s="44"/>
      <c r="C115" s="2"/>
      <c r="D115" s="2"/>
      <c r="E115" s="2"/>
      <c r="F115" s="2"/>
      <c r="G115" s="2"/>
      <c r="H115" s="2"/>
      <c r="I115" s="2"/>
      <c r="J115" s="2"/>
      <c r="K115" s="2"/>
      <c r="L115" s="2"/>
      <c r="M115" s="2"/>
      <c r="N115" s="2"/>
      <c r="O115" s="2"/>
      <c r="P115" s="2"/>
      <c r="Q115" s="2" t="s">
        <v>4289</v>
      </c>
      <c r="R115" s="2">
        <v>1.0</v>
      </c>
      <c r="S115" s="2"/>
      <c r="T115" s="2"/>
      <c r="U115" s="2">
        <v>69900.0</v>
      </c>
      <c r="V115" s="2">
        <v>1.0</v>
      </c>
      <c r="W115" s="2"/>
      <c r="X115" s="2"/>
    </row>
    <row r="116">
      <c r="A116" s="116"/>
      <c r="B116" s="44"/>
      <c r="C116" s="2"/>
      <c r="D116" s="2"/>
      <c r="E116" s="2"/>
      <c r="F116" s="2"/>
      <c r="G116" s="2"/>
      <c r="H116" s="2"/>
      <c r="I116" s="2"/>
      <c r="J116" s="2"/>
      <c r="K116" s="2"/>
      <c r="L116" s="2"/>
      <c r="M116" s="2"/>
      <c r="N116" s="2"/>
      <c r="O116" s="2"/>
      <c r="P116" s="2"/>
      <c r="Q116" s="2" t="s">
        <v>783</v>
      </c>
      <c r="R116" s="2">
        <v>44.0</v>
      </c>
      <c r="S116" s="2"/>
      <c r="T116" s="2"/>
      <c r="U116" s="2">
        <v>699007.0</v>
      </c>
      <c r="V116" s="2">
        <v>1.0</v>
      </c>
      <c r="W116" s="2"/>
      <c r="X116" s="2"/>
    </row>
    <row r="117">
      <c r="A117" s="116"/>
      <c r="B117" s="44"/>
      <c r="C117" s="2"/>
      <c r="D117" s="2"/>
      <c r="E117" s="2"/>
      <c r="F117" s="2"/>
      <c r="G117" s="2"/>
      <c r="H117" s="2"/>
      <c r="I117" s="2"/>
      <c r="J117" s="2"/>
      <c r="K117" s="2"/>
      <c r="L117" s="2"/>
      <c r="M117" s="2"/>
      <c r="N117" s="2"/>
      <c r="O117" s="2"/>
      <c r="P117" s="2"/>
      <c r="Q117" s="2" t="s">
        <v>862</v>
      </c>
      <c r="R117" s="2">
        <v>1.0</v>
      </c>
      <c r="S117" s="2"/>
      <c r="T117" s="2"/>
      <c r="U117" s="2">
        <v>6974.0</v>
      </c>
      <c r="V117" s="2">
        <v>1.0</v>
      </c>
      <c r="W117" s="2"/>
      <c r="X117" s="2"/>
    </row>
    <row r="118">
      <c r="A118" s="116"/>
      <c r="B118" s="44"/>
      <c r="C118" s="2"/>
      <c r="D118" s="2"/>
      <c r="E118" s="2"/>
      <c r="F118" s="2"/>
      <c r="G118" s="2"/>
      <c r="H118" s="2"/>
      <c r="I118" s="2"/>
      <c r="J118" s="2"/>
      <c r="K118" s="2"/>
      <c r="L118" s="2"/>
      <c r="M118" s="2"/>
      <c r="N118" s="2"/>
      <c r="O118" s="2"/>
      <c r="P118" s="2"/>
      <c r="Q118" s="2" t="e">
        <v>#N/A</v>
      </c>
      <c r="R118" s="2" t="e">
        <v>#N/A</v>
      </c>
      <c r="S118" s="2"/>
      <c r="T118" s="2"/>
      <c r="U118" s="2">
        <v>69908.0</v>
      </c>
      <c r="V118" s="2">
        <v>1.0</v>
      </c>
      <c r="W118" s="2"/>
      <c r="X118" s="2"/>
    </row>
    <row r="119">
      <c r="A119" s="116"/>
      <c r="B119" s="44"/>
      <c r="C119" s="2"/>
      <c r="D119" s="2"/>
      <c r="E119" s="2"/>
      <c r="F119" s="2"/>
      <c r="G119" s="2"/>
      <c r="H119" s="2"/>
      <c r="I119" s="2"/>
      <c r="J119" s="2"/>
      <c r="K119" s="2"/>
      <c r="L119" s="2"/>
      <c r="M119" s="2"/>
      <c r="N119" s="2"/>
      <c r="O119" s="2"/>
      <c r="P119" s="2"/>
      <c r="Q119" s="2" t="s">
        <v>885</v>
      </c>
      <c r="R119" s="2">
        <v>1.0</v>
      </c>
      <c r="S119" s="2"/>
      <c r="T119" s="2"/>
      <c r="U119" s="2">
        <v>6991.0</v>
      </c>
      <c r="V119" s="2">
        <v>1.0</v>
      </c>
      <c r="W119" s="2"/>
      <c r="X119" s="2"/>
    </row>
    <row r="120">
      <c r="A120" s="116"/>
      <c r="B120" s="44"/>
      <c r="C120" s="2"/>
      <c r="D120" s="2"/>
      <c r="E120" s="2"/>
      <c r="F120" s="2"/>
      <c r="G120" s="2"/>
      <c r="H120" s="2"/>
      <c r="I120" s="2"/>
      <c r="J120" s="2"/>
      <c r="K120" s="2"/>
      <c r="L120" s="2"/>
      <c r="M120" s="2"/>
      <c r="N120" s="2"/>
      <c r="O120" s="2"/>
      <c r="P120" s="2"/>
      <c r="Q120" s="2" t="s">
        <v>4290</v>
      </c>
      <c r="R120" s="2">
        <v>1.0</v>
      </c>
      <c r="S120" s="2"/>
      <c r="T120" s="2"/>
      <c r="U120" s="2">
        <v>694783.0</v>
      </c>
      <c r="V120" s="2">
        <v>1.0</v>
      </c>
      <c r="W120" s="2"/>
      <c r="X120" s="2"/>
    </row>
    <row r="121">
      <c r="A121" s="116"/>
      <c r="B121" s="44"/>
      <c r="C121" s="2"/>
      <c r="D121" s="2"/>
      <c r="E121" s="2"/>
      <c r="F121" s="2"/>
      <c r="G121" s="2"/>
      <c r="H121" s="2"/>
      <c r="I121" s="2"/>
      <c r="J121" s="2"/>
      <c r="K121" s="2"/>
      <c r="L121" s="2"/>
      <c r="M121" s="2"/>
      <c r="N121" s="2"/>
      <c r="O121" s="2"/>
      <c r="P121" s="2"/>
      <c r="Q121" s="2" t="s">
        <v>897</v>
      </c>
      <c r="R121" s="2">
        <v>1.0</v>
      </c>
      <c r="S121" s="2"/>
      <c r="T121" s="2"/>
      <c r="U121" s="2">
        <v>6986.0</v>
      </c>
      <c r="V121" s="2">
        <v>1.0</v>
      </c>
      <c r="W121" s="2"/>
      <c r="X121" s="2"/>
    </row>
    <row r="122">
      <c r="A122" s="116"/>
      <c r="B122" s="44"/>
      <c r="C122" s="2"/>
      <c r="D122" s="2"/>
      <c r="E122" s="2"/>
      <c r="F122" s="2"/>
      <c r="G122" s="2"/>
      <c r="H122" s="2"/>
      <c r="I122" s="2"/>
      <c r="J122" s="2"/>
      <c r="K122" s="2"/>
      <c r="L122" s="2"/>
      <c r="M122" s="2"/>
      <c r="N122" s="2"/>
      <c r="O122" s="2"/>
      <c r="P122" s="2"/>
      <c r="Q122" s="2" t="s">
        <v>901</v>
      </c>
      <c r="R122" s="2">
        <v>1.0</v>
      </c>
      <c r="S122" s="2"/>
      <c r="T122" s="2"/>
      <c r="U122" s="2">
        <v>6.9914353E8</v>
      </c>
      <c r="V122" s="2">
        <v>1.0</v>
      </c>
      <c r="W122" s="2"/>
      <c r="X122" s="2"/>
    </row>
    <row r="123">
      <c r="A123" s="116"/>
      <c r="B123" s="44"/>
      <c r="C123" s="2"/>
      <c r="D123" s="2"/>
      <c r="E123" s="2"/>
      <c r="F123" s="2"/>
      <c r="G123" s="2"/>
      <c r="H123" s="2"/>
      <c r="I123" s="2"/>
      <c r="J123" s="2"/>
      <c r="K123" s="2"/>
      <c r="L123" s="2"/>
      <c r="M123" s="2"/>
      <c r="N123" s="2"/>
      <c r="O123" s="2"/>
      <c r="P123" s="2"/>
      <c r="Q123" s="2" t="s">
        <v>4291</v>
      </c>
      <c r="R123" s="2">
        <v>1.0</v>
      </c>
      <c r="S123" s="2"/>
      <c r="T123" s="2"/>
      <c r="U123" s="2">
        <v>6.806869622E9</v>
      </c>
      <c r="V123" s="2">
        <v>1.0</v>
      </c>
      <c r="W123" s="2"/>
      <c r="X123" s="2"/>
    </row>
    <row r="124">
      <c r="A124" s="116"/>
      <c r="B124" s="44"/>
      <c r="C124" s="2"/>
      <c r="D124" s="2"/>
      <c r="E124" s="2"/>
      <c r="F124" s="2"/>
      <c r="G124" s="2"/>
      <c r="H124" s="2"/>
      <c r="I124" s="2"/>
      <c r="J124" s="2"/>
      <c r="K124" s="2"/>
      <c r="L124" s="2"/>
      <c r="M124" s="2"/>
      <c r="N124" s="2"/>
      <c r="O124" s="2"/>
      <c r="P124" s="2"/>
      <c r="Q124" s="2" t="s">
        <v>3140</v>
      </c>
      <c r="R124" s="2">
        <v>1.0</v>
      </c>
      <c r="S124" s="2"/>
      <c r="T124" s="2"/>
      <c r="U124" s="2">
        <v>6976.0</v>
      </c>
      <c r="V124" s="2">
        <v>1.0</v>
      </c>
      <c r="W124" s="2"/>
      <c r="X124" s="2"/>
    </row>
    <row r="125">
      <c r="A125" s="116"/>
      <c r="B125" s="44"/>
      <c r="C125" s="2"/>
      <c r="D125" s="2"/>
      <c r="E125" s="2"/>
      <c r="F125" s="2"/>
      <c r="G125" s="2"/>
      <c r="H125" s="2"/>
      <c r="I125" s="2"/>
      <c r="J125" s="2"/>
      <c r="K125" s="2"/>
      <c r="L125" s="2"/>
      <c r="M125" s="2"/>
      <c r="N125" s="2"/>
      <c r="O125" s="2"/>
      <c r="P125" s="2"/>
      <c r="Q125" s="2" t="s">
        <v>962</v>
      </c>
      <c r="R125" s="2">
        <v>1.0</v>
      </c>
      <c r="S125" s="2"/>
      <c r="T125" s="2"/>
      <c r="U125" s="2">
        <v>69931.0</v>
      </c>
      <c r="V125" s="2">
        <v>1.0</v>
      </c>
      <c r="W125" s="2"/>
      <c r="X125" s="2"/>
    </row>
    <row r="126">
      <c r="A126" s="116"/>
      <c r="B126" s="44"/>
      <c r="C126" s="2"/>
      <c r="D126" s="2"/>
      <c r="E126" s="2"/>
      <c r="F126" s="2"/>
      <c r="G126" s="2"/>
      <c r="H126" s="2"/>
      <c r="I126" s="2"/>
      <c r="J126" s="2"/>
      <c r="K126" s="2"/>
      <c r="L126" s="2"/>
      <c r="M126" s="2"/>
      <c r="N126" s="2"/>
      <c r="O126" s="2"/>
      <c r="P126" s="2"/>
      <c r="Q126" s="2" t="s">
        <v>4292</v>
      </c>
      <c r="R126" s="2">
        <v>1.0</v>
      </c>
      <c r="S126" s="2"/>
      <c r="T126" s="2"/>
      <c r="U126" s="2">
        <v>693.0</v>
      </c>
      <c r="V126" s="2">
        <v>2.0</v>
      </c>
      <c r="W126" s="2"/>
      <c r="X126" s="2"/>
    </row>
    <row r="127">
      <c r="A127" s="116"/>
      <c r="B127" s="44"/>
      <c r="C127" s="2"/>
      <c r="D127" s="2"/>
      <c r="E127" s="2"/>
      <c r="F127" s="2"/>
      <c r="G127" s="2"/>
      <c r="H127" s="2"/>
      <c r="I127" s="2"/>
      <c r="J127" s="2"/>
      <c r="K127" s="2"/>
      <c r="L127" s="2"/>
      <c r="M127" s="2"/>
      <c r="N127" s="2"/>
      <c r="O127" s="2"/>
      <c r="P127" s="2"/>
      <c r="Q127" s="2" t="s">
        <v>968</v>
      </c>
      <c r="R127" s="2">
        <v>1.0</v>
      </c>
      <c r="S127" s="2"/>
      <c r="T127" s="2"/>
      <c r="U127" s="2">
        <v>6.993231081476E12</v>
      </c>
      <c r="V127" s="2">
        <v>1.0</v>
      </c>
      <c r="W127" s="2"/>
      <c r="X127" s="2"/>
    </row>
    <row r="128">
      <c r="A128" s="116"/>
      <c r="B128" s="44"/>
      <c r="C128" s="2"/>
      <c r="D128" s="2"/>
      <c r="E128" s="2"/>
      <c r="F128" s="2"/>
      <c r="G128" s="2"/>
      <c r="H128" s="2"/>
      <c r="I128" s="2"/>
      <c r="J128" s="2"/>
      <c r="K128" s="2"/>
      <c r="L128" s="2"/>
      <c r="M128" s="2"/>
      <c r="N128" s="2"/>
      <c r="O128" s="2"/>
      <c r="P128" s="2"/>
      <c r="Q128" s="2" t="s">
        <v>970</v>
      </c>
      <c r="R128" s="2">
        <v>1.0</v>
      </c>
      <c r="S128" s="2"/>
      <c r="T128" s="2"/>
      <c r="U128" s="2">
        <v>6.993215981476E12</v>
      </c>
      <c r="V128" s="2">
        <v>1.0</v>
      </c>
      <c r="W128" s="2"/>
      <c r="X128" s="2"/>
    </row>
    <row r="129">
      <c r="A129" s="116"/>
      <c r="B129" s="44"/>
      <c r="C129" s="2"/>
      <c r="D129" s="2"/>
      <c r="E129" s="2"/>
      <c r="F129" s="2"/>
      <c r="G129" s="2"/>
      <c r="H129" s="2"/>
      <c r="I129" s="2"/>
      <c r="J129" s="2"/>
      <c r="K129" s="2"/>
      <c r="L129" s="2"/>
      <c r="M129" s="2"/>
      <c r="N129" s="2"/>
      <c r="O129" s="2"/>
      <c r="P129" s="2"/>
      <c r="Q129" s="2" t="s">
        <v>973</v>
      </c>
      <c r="R129" s="2">
        <v>1.0</v>
      </c>
      <c r="S129" s="2"/>
      <c r="T129" s="2"/>
      <c r="U129" s="2">
        <v>6.993175381476E12</v>
      </c>
      <c r="V129" s="2">
        <v>1.0</v>
      </c>
      <c r="W129" s="2"/>
      <c r="X129" s="2"/>
    </row>
    <row r="130">
      <c r="A130" s="116"/>
      <c r="B130" s="44"/>
      <c r="C130" s="2"/>
      <c r="D130" s="2"/>
      <c r="E130" s="2"/>
      <c r="F130" s="2"/>
      <c r="G130" s="2"/>
      <c r="H130" s="2"/>
      <c r="I130" s="2"/>
      <c r="J130" s="2"/>
      <c r="K130" s="2"/>
      <c r="L130" s="2"/>
      <c r="M130" s="2"/>
      <c r="N130" s="2"/>
      <c r="O130" s="2"/>
      <c r="P130" s="2"/>
      <c r="Q130" s="2" t="s">
        <v>976</v>
      </c>
      <c r="R130" s="2">
        <v>1.0</v>
      </c>
      <c r="S130" s="2"/>
      <c r="T130" s="2"/>
      <c r="U130" s="2">
        <v>6992.0</v>
      </c>
      <c r="V130" s="2">
        <v>3.0</v>
      </c>
      <c r="W130" s="2"/>
      <c r="X130" s="2"/>
    </row>
    <row r="131">
      <c r="A131" s="116"/>
      <c r="B131" s="44"/>
      <c r="C131" s="2"/>
      <c r="D131" s="2"/>
      <c r="E131" s="2"/>
      <c r="F131" s="2"/>
      <c r="G131" s="2"/>
      <c r="H131" s="2"/>
      <c r="I131" s="2"/>
      <c r="J131" s="2"/>
      <c r="K131" s="2"/>
      <c r="L131" s="2"/>
      <c r="M131" s="2"/>
      <c r="N131" s="2"/>
      <c r="O131" s="2"/>
      <c r="P131" s="2"/>
      <c r="Q131" s="2" t="s">
        <v>979</v>
      </c>
      <c r="R131" s="2">
        <v>1.0</v>
      </c>
      <c r="S131" s="2"/>
      <c r="T131" s="2"/>
      <c r="U131" s="2">
        <v>689542.0</v>
      </c>
      <c r="V131" s="2">
        <v>1.0</v>
      </c>
      <c r="W131" s="2"/>
      <c r="X131" s="2"/>
    </row>
    <row r="132">
      <c r="A132" s="116"/>
      <c r="B132" s="44"/>
      <c r="C132" s="2"/>
      <c r="D132" s="2"/>
      <c r="E132" s="2"/>
      <c r="F132" s="2"/>
      <c r="G132" s="2"/>
      <c r="H132" s="2"/>
      <c r="I132" s="2"/>
      <c r="J132" s="2"/>
      <c r="K132" s="2"/>
      <c r="L132" s="2"/>
      <c r="M132" s="2"/>
      <c r="N132" s="2"/>
      <c r="O132" s="2"/>
      <c r="P132" s="2"/>
      <c r="Q132" s="2" t="s">
        <v>982</v>
      </c>
      <c r="R132" s="2">
        <v>1.0</v>
      </c>
      <c r="S132" s="2"/>
      <c r="T132" s="2"/>
      <c r="U132" s="2">
        <v>6904027.0</v>
      </c>
      <c r="V132" s="2">
        <v>1.0</v>
      </c>
      <c r="W132" s="2"/>
      <c r="X132" s="2"/>
    </row>
    <row r="133">
      <c r="A133" s="116"/>
      <c r="B133" s="44"/>
      <c r="C133" s="2"/>
      <c r="D133" s="2"/>
      <c r="E133" s="2"/>
      <c r="F133" s="2"/>
      <c r="G133" s="2"/>
      <c r="H133" s="2"/>
      <c r="I133" s="2"/>
      <c r="J133" s="2"/>
      <c r="K133" s="2"/>
      <c r="L133" s="2"/>
      <c r="M133" s="2"/>
      <c r="N133" s="2"/>
      <c r="O133" s="2"/>
      <c r="P133" s="2"/>
      <c r="Q133" s="2" t="s">
        <v>985</v>
      </c>
      <c r="R133" s="2">
        <v>1.0</v>
      </c>
      <c r="S133" s="2"/>
      <c r="T133" s="2"/>
      <c r="U133" s="2">
        <v>69925.0</v>
      </c>
      <c r="V133" s="2">
        <v>1.0</v>
      </c>
      <c r="W133" s="2"/>
      <c r="X133" s="2"/>
    </row>
    <row r="134">
      <c r="A134" s="116"/>
      <c r="B134" s="44"/>
      <c r="C134" s="2"/>
      <c r="D134" s="2"/>
      <c r="E134" s="2"/>
      <c r="F134" s="2"/>
      <c r="G134" s="2"/>
      <c r="H134" s="2"/>
      <c r="I134" s="2"/>
      <c r="J134" s="2"/>
      <c r="K134" s="2"/>
      <c r="L134" s="2"/>
      <c r="M134" s="2"/>
      <c r="N134" s="2"/>
      <c r="O134" s="2"/>
      <c r="P134" s="2"/>
      <c r="Q134" s="2" t="s">
        <v>986</v>
      </c>
      <c r="R134" s="2">
        <v>1.0</v>
      </c>
      <c r="S134" s="2"/>
      <c r="T134" s="2"/>
      <c r="U134" s="2">
        <v>697404.0</v>
      </c>
      <c r="V134" s="2">
        <v>1.0</v>
      </c>
      <c r="W134" s="2"/>
      <c r="X134" s="2"/>
    </row>
    <row r="135">
      <c r="A135" s="116"/>
      <c r="B135" s="44"/>
      <c r="C135" s="2"/>
      <c r="D135" s="2"/>
      <c r="E135" s="2"/>
      <c r="F135" s="2"/>
      <c r="G135" s="2"/>
      <c r="H135" s="2"/>
      <c r="I135" s="2"/>
      <c r="J135" s="2"/>
      <c r="K135" s="2"/>
      <c r="L135" s="2"/>
      <c r="M135" s="2"/>
      <c r="N135" s="2"/>
      <c r="O135" s="2"/>
      <c r="P135" s="2"/>
      <c r="Q135" s="2" t="s">
        <v>987</v>
      </c>
      <c r="R135" s="2">
        <v>1.0</v>
      </c>
      <c r="S135" s="2"/>
      <c r="T135" s="2"/>
      <c r="U135" s="2">
        <v>6973.0</v>
      </c>
      <c r="V135" s="2">
        <v>1.0</v>
      </c>
      <c r="W135" s="2"/>
      <c r="X135" s="2"/>
    </row>
    <row r="136">
      <c r="A136" s="116"/>
      <c r="B136" s="44"/>
      <c r="C136" s="2"/>
      <c r="D136" s="2"/>
      <c r="E136" s="2"/>
      <c r="F136" s="2"/>
      <c r="G136" s="2"/>
      <c r="H136" s="2"/>
      <c r="I136" s="2"/>
      <c r="J136" s="2"/>
      <c r="K136" s="2"/>
      <c r="L136" s="2"/>
      <c r="M136" s="2"/>
      <c r="N136" s="2"/>
      <c r="O136" s="2"/>
      <c r="P136" s="2"/>
      <c r="Q136" s="2" t="s">
        <v>990</v>
      </c>
      <c r="R136" s="2">
        <v>1.0</v>
      </c>
      <c r="S136" s="2"/>
      <c r="T136" s="2"/>
      <c r="U136" s="2">
        <v>6990.0</v>
      </c>
      <c r="V136" s="2">
        <v>1.0</v>
      </c>
      <c r="W136" s="2"/>
      <c r="X136" s="2"/>
    </row>
    <row r="137">
      <c r="A137" s="116"/>
      <c r="B137" s="44"/>
      <c r="C137" s="2"/>
      <c r="D137" s="2"/>
      <c r="E137" s="2"/>
      <c r="F137" s="2"/>
      <c r="G137" s="2"/>
      <c r="H137" s="2"/>
      <c r="I137" s="2"/>
      <c r="J137" s="2"/>
      <c r="K137" s="2"/>
      <c r="L137" s="2"/>
      <c r="M137" s="2"/>
      <c r="N137" s="2"/>
      <c r="O137" s="2"/>
      <c r="P137" s="2"/>
      <c r="Q137" s="2" t="s">
        <v>991</v>
      </c>
      <c r="R137" s="2">
        <v>1.0</v>
      </c>
      <c r="S137" s="2"/>
      <c r="T137" s="2"/>
      <c r="U137" s="2">
        <v>6.9913173E8</v>
      </c>
      <c r="V137" s="2">
        <v>1.0</v>
      </c>
      <c r="W137" s="2"/>
      <c r="X137" s="2"/>
    </row>
    <row r="138">
      <c r="A138" s="116"/>
      <c r="B138" s="44"/>
      <c r="C138" s="2"/>
      <c r="D138" s="2"/>
      <c r="E138" s="2"/>
      <c r="F138" s="2"/>
      <c r="G138" s="2"/>
      <c r="H138" s="2"/>
      <c r="I138" s="2"/>
      <c r="J138" s="2"/>
      <c r="K138" s="2"/>
      <c r="L138" s="2"/>
      <c r="M138" s="2"/>
      <c r="N138" s="2"/>
      <c r="O138" s="2"/>
      <c r="P138" s="2"/>
      <c r="Q138" s="2" t="s">
        <v>994</v>
      </c>
      <c r="R138" s="2">
        <v>1.0</v>
      </c>
      <c r="S138" s="2"/>
      <c r="T138" s="2"/>
      <c r="U138" s="2">
        <v>697441.0</v>
      </c>
      <c r="V138" s="2">
        <v>1.0</v>
      </c>
      <c r="W138" s="2"/>
      <c r="X138" s="2"/>
    </row>
    <row r="139">
      <c r="A139" s="116"/>
      <c r="B139" s="44"/>
      <c r="C139" s="2"/>
      <c r="D139" s="2"/>
      <c r="E139" s="2"/>
      <c r="F139" s="2"/>
      <c r="G139" s="2"/>
      <c r="H139" s="2"/>
      <c r="I139" s="2"/>
      <c r="J139" s="2"/>
      <c r="K139" s="2"/>
      <c r="L139" s="2"/>
      <c r="M139" s="2"/>
      <c r="N139" s="2"/>
      <c r="O139" s="2"/>
      <c r="P139" s="2"/>
      <c r="Q139" s="2" t="s">
        <v>999</v>
      </c>
      <c r="R139" s="2">
        <v>1.0</v>
      </c>
      <c r="S139" s="2"/>
      <c r="T139" s="2"/>
      <c r="U139" s="2">
        <v>6.9827024348E10</v>
      </c>
      <c r="V139" s="2">
        <v>2.0</v>
      </c>
      <c r="W139" s="2"/>
      <c r="X139" s="2"/>
    </row>
    <row r="140">
      <c r="A140" s="116"/>
      <c r="B140" s="44"/>
      <c r="C140" s="2"/>
      <c r="D140" s="2"/>
      <c r="E140" s="2"/>
      <c r="F140" s="2"/>
      <c r="G140" s="2"/>
      <c r="H140" s="2"/>
      <c r="I140" s="2"/>
      <c r="J140" s="2"/>
      <c r="K140" s="2"/>
      <c r="L140" s="2"/>
      <c r="M140" s="2"/>
      <c r="N140" s="2"/>
      <c r="O140" s="2"/>
      <c r="P140" s="2"/>
      <c r="Q140" s="2" t="s">
        <v>1001</v>
      </c>
      <c r="R140" s="2">
        <v>1.0</v>
      </c>
      <c r="S140" s="2"/>
      <c r="T140" s="2"/>
      <c r="U140" s="2">
        <v>695782.0</v>
      </c>
      <c r="V140" s="2">
        <v>1.0</v>
      </c>
      <c r="W140" s="2"/>
      <c r="X140" s="2"/>
    </row>
    <row r="141">
      <c r="A141" s="116"/>
      <c r="B141" s="44"/>
      <c r="C141" s="2"/>
      <c r="D141" s="2"/>
      <c r="E141" s="2"/>
      <c r="F141" s="2"/>
      <c r="G141" s="2"/>
      <c r="H141" s="2"/>
      <c r="I141" s="2"/>
      <c r="J141" s="2"/>
      <c r="K141" s="2"/>
      <c r="L141" s="2"/>
      <c r="M141" s="2"/>
      <c r="N141" s="2"/>
      <c r="O141" s="2"/>
      <c r="P141" s="2"/>
      <c r="Q141" s="2" t="s">
        <v>1002</v>
      </c>
      <c r="R141" s="2">
        <v>1.0</v>
      </c>
      <c r="S141" s="2"/>
      <c r="T141" s="2"/>
      <c r="U141" s="2">
        <v>6993.0</v>
      </c>
      <c r="V141" s="2">
        <v>2.0</v>
      </c>
      <c r="W141" s="2"/>
      <c r="X141" s="2"/>
    </row>
    <row r="142">
      <c r="A142" s="116"/>
      <c r="B142" s="44"/>
      <c r="C142" s="2"/>
      <c r="D142" s="2"/>
      <c r="E142" s="2"/>
      <c r="F142" s="2"/>
      <c r="G142" s="2"/>
      <c r="H142" s="2"/>
      <c r="I142" s="2"/>
      <c r="J142" s="2"/>
      <c r="K142" s="2"/>
      <c r="L142" s="2"/>
      <c r="M142" s="2"/>
      <c r="N142" s="2"/>
      <c r="O142" s="2"/>
      <c r="P142" s="2"/>
      <c r="Q142" s="2" t="s">
        <v>1003</v>
      </c>
      <c r="R142" s="2">
        <v>2.0</v>
      </c>
      <c r="S142" s="2"/>
      <c r="T142" s="2"/>
      <c r="U142" s="2">
        <v>698289.0</v>
      </c>
      <c r="V142" s="2">
        <v>1.0</v>
      </c>
      <c r="W142" s="2"/>
      <c r="X142" s="2"/>
    </row>
    <row r="143">
      <c r="A143" s="116"/>
      <c r="B143" s="44"/>
      <c r="C143" s="2"/>
      <c r="D143" s="2"/>
      <c r="E143" s="2"/>
      <c r="F143" s="2"/>
      <c r="G143" s="2"/>
      <c r="H143" s="2"/>
      <c r="I143" s="2"/>
      <c r="J143" s="2"/>
      <c r="K143" s="2"/>
      <c r="L143" s="2"/>
      <c r="M143" s="2"/>
      <c r="N143" s="2"/>
      <c r="O143" s="2"/>
      <c r="P143" s="2"/>
      <c r="Q143" s="2" t="s">
        <v>4293</v>
      </c>
      <c r="R143" s="2">
        <v>1.0</v>
      </c>
      <c r="S143" s="2"/>
      <c r="T143" s="2"/>
      <c r="U143" s="2">
        <v>699466.0</v>
      </c>
      <c r="V143" s="2">
        <v>1.0</v>
      </c>
      <c r="W143" s="2"/>
      <c r="X143" s="2"/>
    </row>
    <row r="144">
      <c r="A144" s="116"/>
      <c r="B144" s="44"/>
      <c r="C144" s="2"/>
      <c r="D144" s="2"/>
      <c r="E144" s="2"/>
      <c r="F144" s="2"/>
      <c r="G144" s="2"/>
      <c r="H144" s="2"/>
      <c r="I144" s="2"/>
      <c r="J144" s="2"/>
      <c r="K144" s="2"/>
      <c r="L144" s="2"/>
      <c r="M144" s="2"/>
      <c r="N144" s="2"/>
      <c r="O144" s="2"/>
      <c r="P144" s="2"/>
      <c r="Q144" s="2" t="s">
        <v>1010</v>
      </c>
      <c r="R144" s="2">
        <v>1.0</v>
      </c>
      <c r="S144" s="2"/>
      <c r="T144" s="2"/>
      <c r="U144" s="2">
        <v>6906.0</v>
      </c>
      <c r="V144" s="2">
        <v>1.0</v>
      </c>
      <c r="W144" s="2"/>
      <c r="X144" s="2"/>
    </row>
    <row r="145">
      <c r="A145" s="116"/>
      <c r="B145" s="44"/>
      <c r="C145" s="2"/>
      <c r="D145" s="2"/>
      <c r="E145" s="2"/>
      <c r="F145" s="2"/>
      <c r="G145" s="2"/>
      <c r="H145" s="2"/>
      <c r="I145" s="2"/>
      <c r="J145" s="2"/>
      <c r="K145" s="2"/>
      <c r="L145" s="2"/>
      <c r="M145" s="2"/>
      <c r="N145" s="2"/>
      <c r="O145" s="2"/>
      <c r="P145" s="2"/>
      <c r="Q145" s="2" t="s">
        <v>1013</v>
      </c>
      <c r="R145" s="2">
        <v>1.0</v>
      </c>
      <c r="S145" s="2"/>
      <c r="T145" s="2"/>
      <c r="U145" s="2">
        <v>6940.0</v>
      </c>
      <c r="V145" s="2">
        <v>2.0</v>
      </c>
      <c r="W145" s="2"/>
      <c r="X145" s="2"/>
    </row>
    <row r="146">
      <c r="A146" s="116"/>
      <c r="B146" s="44"/>
      <c r="C146" s="2"/>
      <c r="D146" s="2"/>
      <c r="E146" s="2"/>
      <c r="F146" s="2"/>
      <c r="G146" s="2"/>
      <c r="H146" s="2"/>
      <c r="I146" s="2"/>
      <c r="J146" s="2"/>
      <c r="K146" s="2"/>
      <c r="L146" s="2"/>
      <c r="M146" s="2"/>
      <c r="N146" s="2"/>
      <c r="O146" s="2"/>
      <c r="P146" s="2"/>
      <c r="Q146" s="2" t="s">
        <v>1014</v>
      </c>
      <c r="R146" s="2">
        <v>1.0</v>
      </c>
      <c r="S146" s="2"/>
      <c r="T146" s="2"/>
      <c r="U146" s="2">
        <v>6.994507681476E12</v>
      </c>
      <c r="V146" s="2">
        <v>1.0</v>
      </c>
      <c r="W146" s="2"/>
      <c r="X146" s="2"/>
    </row>
    <row r="147">
      <c r="A147" s="116"/>
      <c r="B147" s="44"/>
      <c r="C147" s="2"/>
      <c r="D147" s="2"/>
      <c r="E147" s="2"/>
      <c r="F147" s="2"/>
      <c r="G147" s="2"/>
      <c r="H147" s="2"/>
      <c r="I147" s="2"/>
      <c r="J147" s="2"/>
      <c r="K147" s="2"/>
      <c r="L147" s="2"/>
      <c r="M147" s="2"/>
      <c r="N147" s="2"/>
      <c r="O147" s="2"/>
      <c r="P147" s="2"/>
      <c r="Q147" s="2" t="s">
        <v>1016</v>
      </c>
      <c r="R147" s="2">
        <v>1.0</v>
      </c>
      <c r="S147" s="2"/>
      <c r="T147" s="2"/>
      <c r="U147" s="2">
        <v>69944.0</v>
      </c>
      <c r="V147" s="2">
        <v>2.0</v>
      </c>
      <c r="W147" s="2"/>
      <c r="X147" s="2"/>
    </row>
    <row r="148">
      <c r="A148" s="116"/>
      <c r="B148" s="44"/>
      <c r="C148" s="2"/>
      <c r="D148" s="2"/>
      <c r="E148" s="2"/>
      <c r="F148" s="2"/>
      <c r="G148" s="2"/>
      <c r="H148" s="2"/>
      <c r="I148" s="2"/>
      <c r="J148" s="2"/>
      <c r="K148" s="2"/>
      <c r="L148" s="2"/>
      <c r="M148" s="2"/>
      <c r="N148" s="2"/>
      <c r="O148" s="2"/>
      <c r="P148" s="2"/>
      <c r="Q148" s="2" t="s">
        <v>1017</v>
      </c>
      <c r="R148" s="2">
        <v>1.0</v>
      </c>
      <c r="S148" s="2"/>
      <c r="T148" s="2"/>
      <c r="U148" s="2">
        <v>6977.0</v>
      </c>
      <c r="V148" s="2">
        <v>2.0</v>
      </c>
      <c r="W148" s="2"/>
      <c r="X148" s="2"/>
    </row>
    <row r="149">
      <c r="A149" s="116"/>
      <c r="B149" s="44"/>
      <c r="C149" s="2"/>
      <c r="D149" s="2"/>
      <c r="E149" s="2"/>
      <c r="F149" s="2"/>
      <c r="G149" s="2"/>
      <c r="H149" s="2"/>
      <c r="I149" s="2"/>
      <c r="J149" s="2"/>
      <c r="K149" s="2"/>
      <c r="L149" s="2"/>
      <c r="M149" s="2"/>
      <c r="N149" s="2"/>
      <c r="O149" s="2"/>
      <c r="P149" s="2"/>
      <c r="Q149" s="2" t="s">
        <v>1019</v>
      </c>
      <c r="R149" s="2">
        <v>1.0</v>
      </c>
      <c r="S149" s="2"/>
      <c r="T149" s="2"/>
      <c r="U149" s="2">
        <v>69532.0</v>
      </c>
      <c r="V149" s="2">
        <v>1.0</v>
      </c>
      <c r="W149" s="2"/>
      <c r="X149" s="2"/>
    </row>
    <row r="150">
      <c r="A150" s="116"/>
      <c r="B150" s="44"/>
      <c r="C150" s="2"/>
      <c r="D150" s="2"/>
      <c r="E150" s="2"/>
      <c r="F150" s="2"/>
      <c r="G150" s="2"/>
      <c r="H150" s="2"/>
      <c r="I150" s="2"/>
      <c r="J150" s="2"/>
      <c r="K150" s="2"/>
      <c r="L150" s="2"/>
      <c r="M150" s="2"/>
      <c r="N150" s="2"/>
      <c r="O150" s="2"/>
      <c r="P150" s="2"/>
      <c r="Q150" s="2" t="s">
        <v>1020</v>
      </c>
      <c r="R150" s="2">
        <v>1.0</v>
      </c>
      <c r="S150" s="2"/>
      <c r="T150" s="2"/>
      <c r="U150" s="2">
        <v>6.977957388E9</v>
      </c>
      <c r="V150" s="2">
        <v>1.0</v>
      </c>
      <c r="W150" s="2"/>
      <c r="X150" s="2"/>
    </row>
    <row r="151">
      <c r="A151" s="116"/>
      <c r="B151" s="44"/>
      <c r="C151" s="2"/>
      <c r="D151" s="2"/>
      <c r="E151" s="2"/>
      <c r="F151" s="2"/>
      <c r="G151" s="2"/>
      <c r="H151" s="2"/>
      <c r="I151" s="2"/>
      <c r="J151" s="2"/>
      <c r="K151" s="2"/>
      <c r="L151" s="2"/>
      <c r="M151" s="2"/>
      <c r="N151" s="2"/>
      <c r="O151" s="2"/>
      <c r="P151" s="2"/>
      <c r="Q151" s="2" t="s">
        <v>971</v>
      </c>
      <c r="R151" s="2">
        <v>11.0</v>
      </c>
      <c r="S151" s="2"/>
      <c r="T151" s="2"/>
      <c r="U151" s="2">
        <v>6.9252701E7</v>
      </c>
      <c r="V151" s="2">
        <v>1.0</v>
      </c>
      <c r="W151" s="2"/>
      <c r="X151" s="2"/>
    </row>
    <row r="152">
      <c r="A152" s="116"/>
      <c r="B152" s="44"/>
      <c r="C152" s="2"/>
      <c r="D152" s="2"/>
      <c r="E152" s="2"/>
      <c r="F152" s="2"/>
      <c r="G152" s="2"/>
      <c r="H152" s="2"/>
      <c r="I152" s="2"/>
      <c r="J152" s="2"/>
      <c r="K152" s="2"/>
      <c r="L152" s="2"/>
      <c r="M152" s="2"/>
      <c r="N152" s="2"/>
      <c r="O152" s="2"/>
      <c r="P152" s="2"/>
      <c r="Q152" s="2" t="s">
        <v>969</v>
      </c>
      <c r="R152" s="2">
        <v>5.0</v>
      </c>
      <c r="S152" s="2"/>
      <c r="T152" s="2"/>
      <c r="U152" s="2">
        <v>2007003.0</v>
      </c>
      <c r="V152" s="2">
        <v>1.0</v>
      </c>
      <c r="W152" s="2"/>
      <c r="X152" s="2"/>
    </row>
    <row r="153">
      <c r="A153" s="116"/>
      <c r="B153" s="44"/>
      <c r="C153" s="2"/>
      <c r="D153" s="2"/>
      <c r="E153" s="2"/>
      <c r="F153" s="2"/>
      <c r="G153" s="2"/>
      <c r="H153" s="2"/>
      <c r="I153" s="2"/>
      <c r="J153" s="2"/>
      <c r="K153" s="2"/>
      <c r="L153" s="2"/>
      <c r="M153" s="2"/>
      <c r="N153" s="2"/>
      <c r="O153" s="2"/>
      <c r="P153" s="2"/>
      <c r="Q153" s="2" t="s">
        <v>1042</v>
      </c>
      <c r="R153" s="2">
        <v>1.0</v>
      </c>
      <c r="S153" s="2"/>
      <c r="T153" s="2"/>
      <c r="U153" s="2">
        <v>6994.0</v>
      </c>
      <c r="V153" s="2">
        <v>9.0</v>
      </c>
      <c r="W153" s="2"/>
      <c r="X153" s="2"/>
    </row>
    <row r="154">
      <c r="A154" s="116"/>
      <c r="B154" s="44"/>
      <c r="C154" s="2"/>
      <c r="D154" s="2"/>
      <c r="E154" s="2"/>
      <c r="F154" s="2"/>
      <c r="G154" s="2"/>
      <c r="H154" s="2"/>
      <c r="I154" s="2"/>
      <c r="J154" s="2"/>
      <c r="K154" s="2"/>
      <c r="L154" s="2"/>
      <c r="M154" s="2"/>
      <c r="N154" s="2"/>
      <c r="O154" s="2"/>
      <c r="P154" s="2"/>
      <c r="Q154" s="2" t="s">
        <v>4294</v>
      </c>
      <c r="R154" s="2">
        <v>1.0</v>
      </c>
      <c r="S154" s="2"/>
      <c r="T154" s="2"/>
      <c r="U154" s="2">
        <v>699501.0</v>
      </c>
      <c r="V154" s="2">
        <v>1.0</v>
      </c>
      <c r="W154" s="2"/>
      <c r="X154" s="2"/>
    </row>
    <row r="155">
      <c r="A155" s="116"/>
      <c r="B155" s="44"/>
      <c r="C155" s="2"/>
      <c r="D155" s="2"/>
      <c r="E155" s="2"/>
      <c r="F155" s="2"/>
      <c r="G155" s="2"/>
      <c r="H155" s="2"/>
      <c r="I155" s="2"/>
      <c r="J155" s="2"/>
      <c r="K155" s="2"/>
      <c r="L155" s="2"/>
      <c r="M155" s="2"/>
      <c r="N155" s="2"/>
      <c r="O155" s="2"/>
      <c r="P155" s="2"/>
      <c r="Q155" s="2" t="s">
        <v>1071</v>
      </c>
      <c r="R155" s="2">
        <v>1.0</v>
      </c>
      <c r="S155" s="2"/>
      <c r="T155" s="2"/>
      <c r="U155" s="2">
        <v>699480.0</v>
      </c>
      <c r="V155" s="2">
        <v>1.0</v>
      </c>
      <c r="W155" s="2"/>
      <c r="X155" s="2"/>
    </row>
    <row r="156">
      <c r="A156" s="116"/>
      <c r="B156" s="44"/>
      <c r="C156" s="2"/>
      <c r="D156" s="2"/>
      <c r="E156" s="2"/>
      <c r="F156" s="2"/>
      <c r="G156" s="2"/>
      <c r="H156" s="2"/>
      <c r="I156" s="2"/>
      <c r="J156" s="2"/>
      <c r="K156" s="2"/>
      <c r="L156" s="2"/>
      <c r="M156" s="2"/>
      <c r="N156" s="2"/>
      <c r="O156" s="2"/>
      <c r="P156" s="2"/>
      <c r="Q156" s="2" t="s">
        <v>1075</v>
      </c>
      <c r="R156" s="2">
        <v>19.0</v>
      </c>
      <c r="S156" s="2"/>
      <c r="T156" s="2"/>
      <c r="U156" s="2">
        <v>6940937.0</v>
      </c>
      <c r="V156" s="2">
        <v>1.0</v>
      </c>
      <c r="W156" s="2"/>
      <c r="X156" s="2"/>
    </row>
    <row r="157">
      <c r="A157" s="116"/>
      <c r="B157" s="44"/>
      <c r="C157" s="2"/>
      <c r="D157" s="2"/>
      <c r="E157" s="2"/>
      <c r="F157" s="2"/>
      <c r="G157" s="2"/>
      <c r="H157" s="2"/>
      <c r="I157" s="2"/>
      <c r="J157" s="2"/>
      <c r="K157" s="2"/>
      <c r="L157" s="2"/>
      <c r="M157" s="2"/>
      <c r="N157" s="2"/>
      <c r="O157" s="2"/>
      <c r="P157" s="2"/>
      <c r="Q157" s="2" t="s">
        <v>1165</v>
      </c>
      <c r="R157" s="2">
        <v>1.0</v>
      </c>
      <c r="S157" s="2"/>
      <c r="T157" s="2"/>
      <c r="U157" s="2">
        <v>6.9781999E7</v>
      </c>
      <c r="V157" s="2">
        <v>1.0</v>
      </c>
      <c r="W157" s="2"/>
      <c r="X157" s="2"/>
    </row>
    <row r="158">
      <c r="A158" s="116"/>
      <c r="B158" s="44"/>
      <c r="C158" s="2"/>
      <c r="D158" s="2"/>
      <c r="E158" s="2"/>
      <c r="F158" s="2"/>
      <c r="G158" s="2"/>
      <c r="H158" s="2"/>
      <c r="I158" s="2"/>
      <c r="J158" s="2"/>
      <c r="K158" s="2"/>
      <c r="L158" s="2"/>
      <c r="M158" s="2"/>
      <c r="N158" s="2"/>
      <c r="O158" s="2"/>
      <c r="P158" s="2"/>
      <c r="Q158" s="2" t="s">
        <v>1170</v>
      </c>
      <c r="R158" s="2">
        <v>1.0</v>
      </c>
      <c r="S158" s="2"/>
      <c r="T158" s="2"/>
      <c r="U158" s="2">
        <v>6997.0</v>
      </c>
      <c r="V158" s="2">
        <v>4.0</v>
      </c>
      <c r="W158" s="2"/>
      <c r="X158" s="2"/>
    </row>
    <row r="159">
      <c r="A159" s="116"/>
      <c r="B159" s="44"/>
      <c r="C159" s="2"/>
      <c r="D159" s="2"/>
      <c r="E159" s="2"/>
      <c r="F159" s="2"/>
      <c r="G159" s="2"/>
      <c r="H159" s="2"/>
      <c r="I159" s="2"/>
      <c r="J159" s="2"/>
      <c r="K159" s="2"/>
      <c r="L159" s="2"/>
      <c r="M159" s="2"/>
      <c r="N159" s="2"/>
      <c r="O159" s="2"/>
      <c r="P159" s="2"/>
      <c r="Q159" s="2" t="s">
        <v>1176</v>
      </c>
      <c r="R159" s="2">
        <v>2.0</v>
      </c>
      <c r="S159" s="2"/>
      <c r="T159" s="2"/>
      <c r="U159" s="2"/>
      <c r="V159" s="2"/>
      <c r="W159" s="2"/>
      <c r="X159" s="2"/>
    </row>
    <row r="160">
      <c r="A160" s="116"/>
      <c r="B160" s="44"/>
      <c r="C160" s="2"/>
      <c r="D160" s="2"/>
      <c r="E160" s="2"/>
      <c r="F160" s="2"/>
      <c r="G160" s="2"/>
      <c r="H160" s="2"/>
      <c r="I160" s="2"/>
      <c r="J160" s="2"/>
      <c r="K160" s="2"/>
      <c r="L160" s="2"/>
      <c r="M160" s="2"/>
      <c r="N160" s="2"/>
      <c r="O160" s="2"/>
      <c r="P160" s="2"/>
      <c r="Q160" s="2" t="s">
        <v>1182</v>
      </c>
      <c r="R160" s="2">
        <v>1.0</v>
      </c>
      <c r="S160" s="2"/>
      <c r="T160" s="2"/>
      <c r="U160" s="2"/>
      <c r="V160" s="2"/>
      <c r="W160" s="2"/>
      <c r="X160" s="2"/>
    </row>
    <row r="161">
      <c r="A161" s="116"/>
      <c r="B161" s="44"/>
      <c r="C161" s="2"/>
      <c r="D161" s="2"/>
      <c r="E161" s="2"/>
      <c r="F161" s="2"/>
      <c r="G161" s="2"/>
      <c r="H161" s="2"/>
      <c r="I161" s="2"/>
      <c r="J161" s="2"/>
      <c r="K161" s="2"/>
      <c r="L161" s="2"/>
      <c r="M161" s="2"/>
      <c r="N161" s="2"/>
      <c r="O161" s="2"/>
      <c r="P161" s="2"/>
      <c r="Q161" s="2" t="s">
        <v>1187</v>
      </c>
      <c r="R161" s="2">
        <v>1.0</v>
      </c>
      <c r="S161" s="2"/>
      <c r="T161" s="2"/>
      <c r="U161" s="2"/>
      <c r="V161" s="2"/>
      <c r="W161" s="2"/>
      <c r="X161" s="2"/>
    </row>
    <row r="162">
      <c r="A162" s="116"/>
      <c r="B162" s="44"/>
      <c r="C162" s="2"/>
      <c r="D162" s="2"/>
      <c r="E162" s="2"/>
      <c r="F162" s="2"/>
      <c r="G162" s="2"/>
      <c r="H162" s="2"/>
      <c r="I162" s="2"/>
      <c r="J162" s="2"/>
      <c r="K162" s="2"/>
      <c r="L162" s="2"/>
      <c r="M162" s="2"/>
      <c r="N162" s="2"/>
      <c r="O162" s="2"/>
      <c r="P162" s="2"/>
      <c r="Q162" s="2" t="s">
        <v>1191</v>
      </c>
      <c r="R162" s="2">
        <v>1.0</v>
      </c>
      <c r="S162" s="2"/>
      <c r="T162" s="2"/>
      <c r="U162" s="2"/>
      <c r="V162" s="2"/>
      <c r="W162" s="2"/>
      <c r="X162" s="2"/>
    </row>
    <row r="163">
      <c r="A163" s="116"/>
      <c r="B163" s="44"/>
      <c r="C163" s="2"/>
      <c r="D163" s="2"/>
      <c r="E163" s="2"/>
      <c r="F163" s="2"/>
      <c r="G163" s="2"/>
      <c r="H163" s="2"/>
      <c r="I163" s="2"/>
      <c r="J163" s="2"/>
      <c r="K163" s="2"/>
      <c r="L163" s="2"/>
      <c r="M163" s="2"/>
      <c r="N163" s="2"/>
      <c r="O163" s="2"/>
      <c r="P163" s="2"/>
      <c r="Q163" s="2" t="s">
        <v>1196</v>
      </c>
      <c r="R163" s="2">
        <v>1.0</v>
      </c>
      <c r="S163" s="2"/>
      <c r="T163" s="2"/>
      <c r="U163" s="2"/>
      <c r="V163" s="2"/>
      <c r="W163" s="2"/>
      <c r="X163" s="2"/>
    </row>
    <row r="164">
      <c r="A164" s="116"/>
      <c r="B164" s="44"/>
      <c r="C164" s="2"/>
      <c r="D164" s="2"/>
      <c r="E164" s="2"/>
      <c r="F164" s="2"/>
      <c r="G164" s="2"/>
      <c r="H164" s="2"/>
      <c r="I164" s="2"/>
      <c r="J164" s="2"/>
      <c r="K164" s="2"/>
      <c r="L164" s="2"/>
      <c r="M164" s="2"/>
      <c r="N164" s="2"/>
      <c r="O164" s="2"/>
      <c r="P164" s="2"/>
      <c r="Q164" s="2" t="s">
        <v>1200</v>
      </c>
      <c r="R164" s="2">
        <v>1.0</v>
      </c>
      <c r="S164" s="2"/>
      <c r="T164" s="2"/>
      <c r="U164" s="2"/>
      <c r="V164" s="2"/>
      <c r="W164" s="2"/>
      <c r="X164" s="2"/>
    </row>
    <row r="165">
      <c r="A165" s="116"/>
      <c r="B165" s="44"/>
      <c r="C165" s="2"/>
      <c r="D165" s="2"/>
      <c r="E165" s="2"/>
      <c r="F165" s="2"/>
      <c r="G165" s="2"/>
      <c r="H165" s="2"/>
      <c r="I165" s="2"/>
      <c r="J165" s="2"/>
      <c r="K165" s="2"/>
      <c r="L165" s="2"/>
      <c r="M165" s="2"/>
      <c r="N165" s="2"/>
      <c r="O165" s="2"/>
      <c r="P165" s="2"/>
      <c r="Q165" s="2" t="s">
        <v>1205</v>
      </c>
      <c r="R165" s="2">
        <v>2.0</v>
      </c>
      <c r="S165" s="2"/>
      <c r="T165" s="2"/>
      <c r="U165" s="2"/>
      <c r="V165" s="2"/>
      <c r="W165" s="2"/>
      <c r="X165" s="2"/>
    </row>
    <row r="166">
      <c r="A166" s="116"/>
      <c r="B166" s="44"/>
      <c r="C166" s="2"/>
      <c r="D166" s="2"/>
      <c r="E166" s="2"/>
      <c r="F166" s="2"/>
      <c r="G166" s="2"/>
      <c r="H166" s="2"/>
      <c r="I166" s="2"/>
      <c r="J166" s="2"/>
      <c r="K166" s="2"/>
      <c r="L166" s="2"/>
      <c r="M166" s="2"/>
      <c r="N166" s="2"/>
      <c r="O166" s="2"/>
      <c r="P166" s="2"/>
      <c r="Q166" s="2" t="s">
        <v>1212</v>
      </c>
      <c r="R166" s="2">
        <v>1.0</v>
      </c>
      <c r="S166" s="2"/>
      <c r="T166" s="2"/>
      <c r="U166" s="2"/>
      <c r="V166" s="2"/>
      <c r="W166" s="2"/>
      <c r="X166" s="2"/>
    </row>
    <row r="167">
      <c r="A167" s="116"/>
      <c r="B167" s="44"/>
      <c r="C167" s="2"/>
      <c r="D167" s="2"/>
      <c r="E167" s="2"/>
      <c r="F167" s="2"/>
      <c r="G167" s="2"/>
      <c r="H167" s="2"/>
      <c r="I167" s="2"/>
      <c r="J167" s="2"/>
      <c r="K167" s="2"/>
      <c r="L167" s="2"/>
      <c r="M167" s="2"/>
      <c r="N167" s="2"/>
      <c r="O167" s="2"/>
      <c r="P167" s="2"/>
      <c r="Q167" s="2" t="s">
        <v>1218</v>
      </c>
      <c r="R167" s="2">
        <v>1.0</v>
      </c>
      <c r="S167" s="2"/>
      <c r="T167" s="2"/>
      <c r="U167" s="2"/>
      <c r="V167" s="2"/>
      <c r="W167" s="2"/>
      <c r="X167" s="2"/>
    </row>
    <row r="168">
      <c r="A168" s="116"/>
      <c r="B168" s="44"/>
      <c r="C168" s="2"/>
      <c r="D168" s="2"/>
      <c r="E168" s="2"/>
      <c r="F168" s="2"/>
      <c r="G168" s="2"/>
      <c r="H168" s="2"/>
      <c r="I168" s="2"/>
      <c r="J168" s="2"/>
      <c r="K168" s="2"/>
      <c r="L168" s="2"/>
      <c r="M168" s="2"/>
      <c r="N168" s="2"/>
      <c r="O168" s="2"/>
      <c r="P168" s="2"/>
      <c r="Q168" s="2" t="s">
        <v>1224</v>
      </c>
      <c r="R168" s="2">
        <v>1.0</v>
      </c>
      <c r="S168" s="2"/>
      <c r="T168" s="2"/>
      <c r="U168" s="2"/>
      <c r="V168" s="2"/>
      <c r="W168" s="2"/>
      <c r="X168" s="2"/>
    </row>
    <row r="169">
      <c r="A169" s="116"/>
      <c r="B169" s="44"/>
      <c r="C169" s="2"/>
      <c r="D169" s="2"/>
      <c r="E169" s="2"/>
      <c r="F169" s="2"/>
      <c r="G169" s="2"/>
      <c r="H169" s="2"/>
      <c r="I169" s="2"/>
      <c r="J169" s="2"/>
      <c r="K169" s="2"/>
      <c r="L169" s="2"/>
      <c r="M169" s="2"/>
      <c r="N169" s="2"/>
      <c r="O169" s="2"/>
      <c r="P169" s="2"/>
      <c r="Q169" s="2" t="s">
        <v>1230</v>
      </c>
      <c r="R169" s="2">
        <v>1.0</v>
      </c>
      <c r="S169" s="2"/>
      <c r="T169" s="2"/>
      <c r="U169" s="2"/>
      <c r="V169" s="2"/>
      <c r="W169" s="2"/>
      <c r="X169" s="2"/>
    </row>
    <row r="170">
      <c r="A170" s="116"/>
      <c r="B170" s="44"/>
      <c r="C170" s="2"/>
      <c r="D170" s="2"/>
      <c r="E170" s="2"/>
      <c r="F170" s="2"/>
      <c r="G170" s="2"/>
      <c r="H170" s="2"/>
      <c r="I170" s="2"/>
      <c r="J170" s="2"/>
      <c r="K170" s="2"/>
      <c r="L170" s="2"/>
      <c r="M170" s="2"/>
      <c r="N170" s="2"/>
      <c r="O170" s="2"/>
      <c r="P170" s="2"/>
      <c r="Q170" s="2" t="s">
        <v>1236</v>
      </c>
      <c r="R170" s="2">
        <v>1.0</v>
      </c>
      <c r="S170" s="2"/>
      <c r="T170" s="2"/>
      <c r="U170" s="2"/>
      <c r="V170" s="2"/>
      <c r="W170" s="2"/>
      <c r="X170" s="2"/>
    </row>
    <row r="171">
      <c r="A171" s="116"/>
      <c r="B171" s="44"/>
      <c r="C171" s="2"/>
      <c r="D171" s="2"/>
      <c r="E171" s="2"/>
      <c r="F171" s="2"/>
      <c r="G171" s="2"/>
      <c r="H171" s="2"/>
      <c r="I171" s="2"/>
      <c r="J171" s="2"/>
      <c r="K171" s="2"/>
      <c r="L171" s="2"/>
      <c r="M171" s="2"/>
      <c r="N171" s="2"/>
      <c r="O171" s="2"/>
      <c r="P171" s="2"/>
      <c r="Q171" s="2" t="s">
        <v>1242</v>
      </c>
      <c r="R171" s="2">
        <v>1.0</v>
      </c>
      <c r="S171" s="2"/>
      <c r="T171" s="2"/>
      <c r="U171" s="2"/>
      <c r="V171" s="2"/>
      <c r="W171" s="2"/>
      <c r="X171" s="2"/>
    </row>
    <row r="172">
      <c r="A172" s="116"/>
      <c r="B172" s="44"/>
      <c r="C172" s="2"/>
      <c r="D172" s="2"/>
      <c r="E172" s="2"/>
      <c r="F172" s="2"/>
      <c r="G172" s="2"/>
      <c r="H172" s="2"/>
      <c r="I172" s="2"/>
      <c r="J172" s="2"/>
      <c r="K172" s="2"/>
      <c r="L172" s="2"/>
      <c r="M172" s="2"/>
      <c r="N172" s="2"/>
      <c r="O172" s="2"/>
      <c r="P172" s="2"/>
      <c r="Q172" s="2" t="s">
        <v>1254</v>
      </c>
      <c r="R172" s="2">
        <v>1.0</v>
      </c>
      <c r="S172" s="2"/>
      <c r="T172" s="2"/>
      <c r="U172" s="2"/>
      <c r="V172" s="2"/>
      <c r="W172" s="2"/>
      <c r="X172" s="2"/>
    </row>
    <row r="173">
      <c r="A173" s="116"/>
      <c r="B173" s="44"/>
      <c r="C173" s="2"/>
      <c r="D173" s="2"/>
      <c r="E173" s="2"/>
      <c r="F173" s="2"/>
      <c r="G173" s="2"/>
      <c r="H173" s="2"/>
      <c r="I173" s="2"/>
      <c r="J173" s="2"/>
      <c r="K173" s="2"/>
      <c r="L173" s="2"/>
      <c r="M173" s="2"/>
      <c r="N173" s="2"/>
      <c r="O173" s="2"/>
      <c r="P173" s="2"/>
      <c r="Q173" s="2" t="s">
        <v>1260</v>
      </c>
      <c r="R173" s="2">
        <v>2.0</v>
      </c>
      <c r="S173" s="2"/>
      <c r="T173" s="2"/>
      <c r="U173" s="2"/>
      <c r="V173" s="2"/>
      <c r="W173" s="2"/>
      <c r="X173" s="2"/>
    </row>
    <row r="174">
      <c r="A174" s="116"/>
      <c r="B174" s="44"/>
      <c r="C174" s="2"/>
      <c r="D174" s="2"/>
      <c r="E174" s="2"/>
      <c r="F174" s="2"/>
      <c r="G174" s="2"/>
      <c r="H174" s="2"/>
      <c r="I174" s="2"/>
      <c r="J174" s="2"/>
      <c r="K174" s="2"/>
      <c r="L174" s="2"/>
      <c r="M174" s="2"/>
      <c r="N174" s="2"/>
      <c r="O174" s="2"/>
      <c r="P174" s="2"/>
      <c r="Q174" s="2" t="s">
        <v>1267</v>
      </c>
      <c r="R174" s="2">
        <v>2.0</v>
      </c>
      <c r="S174" s="2"/>
      <c r="T174" s="2"/>
      <c r="U174" s="2"/>
      <c r="V174" s="2"/>
      <c r="W174" s="2"/>
      <c r="X174" s="2"/>
    </row>
    <row r="175">
      <c r="A175" s="116"/>
      <c r="B175" s="44"/>
      <c r="C175" s="2"/>
      <c r="D175" s="2"/>
      <c r="E175" s="2"/>
      <c r="F175" s="2"/>
      <c r="G175" s="2"/>
      <c r="H175" s="2"/>
      <c r="I175" s="2"/>
      <c r="J175" s="2"/>
      <c r="K175" s="2"/>
      <c r="L175" s="2"/>
      <c r="M175" s="2"/>
      <c r="N175" s="2"/>
      <c r="O175" s="2"/>
      <c r="P175" s="2"/>
      <c r="Q175" s="2" t="s">
        <v>1271</v>
      </c>
      <c r="R175" s="2">
        <v>1.0</v>
      </c>
      <c r="S175" s="2"/>
      <c r="T175" s="2"/>
      <c r="U175" s="2"/>
      <c r="V175" s="2"/>
      <c r="W175" s="2"/>
      <c r="X175" s="2"/>
    </row>
    <row r="176">
      <c r="A176" s="116"/>
      <c r="B176" s="44"/>
      <c r="C176" s="2"/>
      <c r="D176" s="2"/>
      <c r="E176" s="2"/>
      <c r="F176" s="2"/>
      <c r="G176" s="2"/>
      <c r="H176" s="2"/>
      <c r="I176" s="2"/>
      <c r="J176" s="2"/>
      <c r="K176" s="2"/>
      <c r="L176" s="2"/>
      <c r="M176" s="2"/>
      <c r="N176" s="2"/>
      <c r="O176" s="2"/>
      <c r="P176" s="2"/>
      <c r="Q176" s="2" t="s">
        <v>1277</v>
      </c>
      <c r="R176" s="2">
        <v>1.0</v>
      </c>
      <c r="S176" s="2"/>
      <c r="T176" s="2"/>
      <c r="U176" s="2"/>
      <c r="V176" s="2"/>
      <c r="W176" s="2"/>
      <c r="X176" s="2"/>
    </row>
    <row r="177">
      <c r="A177" s="116"/>
      <c r="B177" s="44"/>
      <c r="C177" s="2"/>
      <c r="D177" s="2"/>
      <c r="E177" s="2"/>
      <c r="F177" s="2"/>
      <c r="G177" s="2"/>
      <c r="H177" s="2"/>
      <c r="I177" s="2"/>
      <c r="J177" s="2"/>
      <c r="K177" s="2"/>
      <c r="L177" s="2"/>
      <c r="M177" s="2"/>
      <c r="N177" s="2"/>
      <c r="O177" s="2"/>
      <c r="P177" s="2"/>
      <c r="Q177" s="2" t="s">
        <v>1283</v>
      </c>
      <c r="R177" s="2">
        <v>2.0</v>
      </c>
      <c r="S177" s="2"/>
      <c r="T177" s="2"/>
      <c r="U177" s="2"/>
      <c r="V177" s="2"/>
      <c r="W177" s="2"/>
      <c r="X177" s="2"/>
    </row>
    <row r="178">
      <c r="A178" s="116"/>
      <c r="B178" s="44"/>
      <c r="C178" s="2"/>
      <c r="D178" s="2"/>
      <c r="E178" s="2"/>
      <c r="F178" s="2"/>
      <c r="G178" s="2"/>
      <c r="H178" s="2"/>
      <c r="I178" s="2"/>
      <c r="J178" s="2"/>
      <c r="K178" s="2"/>
      <c r="L178" s="2"/>
      <c r="M178" s="2"/>
      <c r="N178" s="2"/>
      <c r="O178" s="2"/>
      <c r="P178" s="2"/>
      <c r="Q178" s="2" t="s">
        <v>1289</v>
      </c>
      <c r="R178" s="2">
        <v>2.0</v>
      </c>
      <c r="S178" s="2"/>
      <c r="T178" s="2"/>
      <c r="U178" s="2"/>
      <c r="V178" s="2"/>
      <c r="W178" s="2"/>
      <c r="X178" s="2"/>
    </row>
    <row r="179">
      <c r="A179" s="116"/>
      <c r="B179" s="44"/>
      <c r="C179" s="2"/>
      <c r="D179" s="2"/>
      <c r="E179" s="2"/>
      <c r="F179" s="2"/>
      <c r="G179" s="2"/>
      <c r="H179" s="2"/>
      <c r="I179" s="2"/>
      <c r="J179" s="2"/>
      <c r="K179" s="2"/>
      <c r="L179" s="2"/>
      <c r="M179" s="2"/>
      <c r="N179" s="2"/>
      <c r="O179" s="2"/>
      <c r="P179" s="2"/>
      <c r="Q179" s="2" t="s">
        <v>1294</v>
      </c>
      <c r="R179" s="2">
        <v>1.0</v>
      </c>
      <c r="S179" s="2"/>
      <c r="T179" s="2"/>
      <c r="U179" s="2"/>
      <c r="V179" s="2"/>
      <c r="W179" s="2"/>
      <c r="X179" s="2"/>
    </row>
    <row r="180">
      <c r="A180" s="116"/>
      <c r="B180" s="44"/>
      <c r="C180" s="2"/>
      <c r="D180" s="2"/>
      <c r="E180" s="2"/>
      <c r="F180" s="2"/>
      <c r="G180" s="2"/>
      <c r="H180" s="2"/>
      <c r="I180" s="2"/>
      <c r="J180" s="2"/>
      <c r="K180" s="2"/>
      <c r="L180" s="2"/>
      <c r="M180" s="2"/>
      <c r="N180" s="2"/>
      <c r="O180" s="2"/>
      <c r="P180" s="2"/>
      <c r="Q180" s="2" t="s">
        <v>1298</v>
      </c>
      <c r="R180" s="2">
        <v>1.0</v>
      </c>
      <c r="S180" s="2"/>
      <c r="T180" s="2"/>
      <c r="U180" s="2"/>
      <c r="V180" s="2"/>
      <c r="W180" s="2"/>
      <c r="X180" s="2"/>
    </row>
    <row r="181">
      <c r="A181" s="116"/>
      <c r="B181" s="44"/>
      <c r="C181" s="2"/>
      <c r="D181" s="2"/>
      <c r="E181" s="2"/>
      <c r="F181" s="2"/>
      <c r="G181" s="2"/>
      <c r="H181" s="2"/>
      <c r="I181" s="2"/>
      <c r="J181" s="2"/>
      <c r="K181" s="2"/>
      <c r="L181" s="2"/>
      <c r="M181" s="2"/>
      <c r="N181" s="2"/>
      <c r="O181" s="2"/>
      <c r="P181" s="2"/>
      <c r="Q181" s="2" t="s">
        <v>1304</v>
      </c>
      <c r="R181" s="2">
        <v>1.0</v>
      </c>
      <c r="S181" s="2"/>
      <c r="T181" s="2"/>
      <c r="U181" s="2"/>
      <c r="V181" s="2"/>
      <c r="W181" s="2"/>
      <c r="X181" s="2"/>
    </row>
    <row r="182">
      <c r="A182" s="116"/>
      <c r="B182" s="44"/>
      <c r="C182" s="2"/>
      <c r="D182" s="2"/>
      <c r="E182" s="2"/>
      <c r="F182" s="2"/>
      <c r="G182" s="2"/>
      <c r="H182" s="2"/>
      <c r="I182" s="2"/>
      <c r="J182" s="2"/>
      <c r="K182" s="2"/>
      <c r="L182" s="2"/>
      <c r="M182" s="2"/>
      <c r="N182" s="2"/>
      <c r="O182" s="2"/>
      <c r="P182" s="2"/>
      <c r="Q182" s="2" t="s">
        <v>1308</v>
      </c>
      <c r="R182" s="2">
        <v>1.0</v>
      </c>
      <c r="S182" s="2"/>
      <c r="T182" s="2"/>
      <c r="U182" s="2"/>
      <c r="V182" s="2"/>
      <c r="W182" s="2"/>
      <c r="X182" s="2"/>
    </row>
    <row r="183">
      <c r="A183" s="116"/>
      <c r="B183" s="44"/>
      <c r="C183" s="2"/>
      <c r="D183" s="2"/>
      <c r="E183" s="2"/>
      <c r="F183" s="2"/>
      <c r="G183" s="2"/>
      <c r="H183" s="2"/>
      <c r="I183" s="2"/>
      <c r="J183" s="2"/>
      <c r="K183" s="2"/>
      <c r="L183" s="2"/>
      <c r="M183" s="2"/>
      <c r="N183" s="2"/>
      <c r="O183" s="2"/>
      <c r="P183" s="2"/>
      <c r="Q183" s="2" t="s">
        <v>1312</v>
      </c>
      <c r="R183" s="2">
        <v>1.0</v>
      </c>
      <c r="S183" s="2"/>
      <c r="T183" s="2"/>
      <c r="U183" s="2"/>
      <c r="V183" s="2"/>
      <c r="W183" s="2"/>
      <c r="X183" s="2"/>
    </row>
    <row r="184">
      <c r="A184" s="116"/>
      <c r="B184" s="44"/>
      <c r="C184" s="2"/>
      <c r="D184" s="2"/>
      <c r="E184" s="2"/>
      <c r="F184" s="2"/>
      <c r="G184" s="2"/>
      <c r="H184" s="2"/>
      <c r="I184" s="2"/>
      <c r="J184" s="2"/>
      <c r="K184" s="2"/>
      <c r="L184" s="2"/>
      <c r="M184" s="2"/>
      <c r="N184" s="2"/>
      <c r="O184" s="2"/>
      <c r="P184" s="2"/>
      <c r="Q184" s="2" t="s">
        <v>1317</v>
      </c>
      <c r="R184" s="2">
        <v>2.0</v>
      </c>
      <c r="S184" s="2"/>
      <c r="T184" s="2"/>
      <c r="U184" s="2"/>
      <c r="V184" s="2"/>
      <c r="W184" s="2"/>
      <c r="X184" s="2"/>
    </row>
    <row r="185">
      <c r="A185" s="116"/>
      <c r="B185" s="44"/>
      <c r="C185" s="2"/>
      <c r="D185" s="2"/>
      <c r="E185" s="2"/>
      <c r="F185" s="2"/>
      <c r="G185" s="2"/>
      <c r="H185" s="2"/>
      <c r="I185" s="2"/>
      <c r="J185" s="2"/>
      <c r="K185" s="2"/>
      <c r="L185" s="2"/>
      <c r="M185" s="2"/>
      <c r="N185" s="2"/>
      <c r="O185" s="2"/>
      <c r="P185" s="2"/>
      <c r="Q185" s="2" t="s">
        <v>1326</v>
      </c>
      <c r="R185" s="2">
        <v>1.0</v>
      </c>
      <c r="S185" s="2"/>
      <c r="T185" s="2"/>
      <c r="U185" s="2"/>
      <c r="V185" s="2"/>
      <c r="W185" s="2"/>
      <c r="X185" s="2"/>
    </row>
    <row r="186">
      <c r="A186" s="116"/>
      <c r="B186" s="44"/>
      <c r="C186" s="2"/>
      <c r="D186" s="2"/>
      <c r="E186" s="2"/>
      <c r="F186" s="2"/>
      <c r="G186" s="2"/>
      <c r="H186" s="2"/>
      <c r="I186" s="2"/>
      <c r="J186" s="2"/>
      <c r="K186" s="2"/>
      <c r="L186" s="2"/>
      <c r="M186" s="2"/>
      <c r="N186" s="2"/>
      <c r="O186" s="2"/>
      <c r="P186" s="2"/>
      <c r="Q186" s="2" t="s">
        <v>1333</v>
      </c>
      <c r="R186" s="2">
        <v>1.0</v>
      </c>
      <c r="S186" s="2"/>
      <c r="T186" s="2"/>
      <c r="U186" s="2"/>
      <c r="V186" s="2"/>
      <c r="W186" s="2"/>
      <c r="X186" s="2"/>
    </row>
    <row r="187">
      <c r="A187" s="116"/>
      <c r="B187" s="44"/>
      <c r="C187" s="2"/>
      <c r="D187" s="2"/>
      <c r="E187" s="2"/>
      <c r="F187" s="2"/>
      <c r="G187" s="2"/>
      <c r="H187" s="2"/>
      <c r="I187" s="2"/>
      <c r="J187" s="2"/>
      <c r="K187" s="2"/>
      <c r="L187" s="2"/>
      <c r="M187" s="2"/>
      <c r="N187" s="2"/>
      <c r="O187" s="2"/>
      <c r="P187" s="2"/>
      <c r="Q187" s="2" t="s">
        <v>1343</v>
      </c>
      <c r="R187" s="2">
        <v>1.0</v>
      </c>
      <c r="S187" s="2"/>
      <c r="T187" s="2"/>
      <c r="U187" s="2"/>
      <c r="V187" s="2"/>
      <c r="W187" s="2"/>
      <c r="X187" s="2"/>
    </row>
    <row r="188">
      <c r="A188" s="116"/>
      <c r="B188" s="44"/>
      <c r="C188" s="2"/>
      <c r="D188" s="2"/>
      <c r="E188" s="2"/>
      <c r="F188" s="2"/>
      <c r="G188" s="2"/>
      <c r="H188" s="2"/>
      <c r="I188" s="2"/>
      <c r="J188" s="2"/>
      <c r="K188" s="2"/>
      <c r="L188" s="2"/>
      <c r="M188" s="2"/>
      <c r="N188" s="2"/>
      <c r="O188" s="2"/>
      <c r="P188" s="2"/>
      <c r="Q188" s="2" t="s">
        <v>1354</v>
      </c>
      <c r="R188" s="2">
        <v>1.0</v>
      </c>
      <c r="S188" s="2"/>
      <c r="T188" s="2"/>
      <c r="U188" s="2"/>
      <c r="V188" s="2"/>
      <c r="W188" s="2"/>
      <c r="X188" s="2"/>
    </row>
    <row r="189">
      <c r="A189" s="116"/>
      <c r="B189" s="44"/>
      <c r="C189" s="2"/>
      <c r="D189" s="2"/>
      <c r="E189" s="2"/>
      <c r="F189" s="2"/>
      <c r="G189" s="2"/>
      <c r="H189" s="2"/>
      <c r="I189" s="2"/>
      <c r="J189" s="2"/>
      <c r="K189" s="2"/>
      <c r="L189" s="2"/>
      <c r="M189" s="2"/>
      <c r="N189" s="2"/>
      <c r="O189" s="2"/>
      <c r="P189" s="2"/>
      <c r="Q189" s="2" t="s">
        <v>1359</v>
      </c>
      <c r="R189" s="2">
        <v>1.0</v>
      </c>
      <c r="S189" s="2"/>
      <c r="T189" s="2"/>
      <c r="U189" s="2"/>
      <c r="V189" s="2"/>
      <c r="W189" s="2"/>
      <c r="X189" s="2"/>
    </row>
    <row r="190">
      <c r="A190" s="116"/>
      <c r="B190" s="44"/>
      <c r="C190" s="2"/>
      <c r="D190" s="2"/>
      <c r="E190" s="2"/>
      <c r="F190" s="2"/>
      <c r="G190" s="2"/>
      <c r="H190" s="2"/>
      <c r="I190" s="2"/>
      <c r="J190" s="2"/>
      <c r="K190" s="2"/>
      <c r="L190" s="2"/>
      <c r="M190" s="2"/>
      <c r="N190" s="2"/>
      <c r="O190" s="2"/>
      <c r="P190" s="2"/>
      <c r="Q190" s="2" t="s">
        <v>1365</v>
      </c>
      <c r="R190" s="2">
        <v>1.0</v>
      </c>
      <c r="S190" s="2"/>
      <c r="T190" s="2"/>
      <c r="U190" s="2"/>
      <c r="V190" s="2"/>
      <c r="W190" s="2"/>
      <c r="X190" s="2"/>
    </row>
    <row r="191">
      <c r="A191" s="116"/>
      <c r="B191" s="44"/>
      <c r="C191" s="2"/>
      <c r="D191" s="2"/>
      <c r="E191" s="2"/>
      <c r="F191" s="2"/>
      <c r="G191" s="2"/>
      <c r="H191" s="2"/>
      <c r="I191" s="2"/>
      <c r="J191" s="2"/>
      <c r="K191" s="2"/>
      <c r="L191" s="2"/>
      <c r="M191" s="2"/>
      <c r="N191" s="2"/>
      <c r="O191" s="2"/>
      <c r="P191" s="2"/>
      <c r="Q191" s="2" t="s">
        <v>1371</v>
      </c>
      <c r="R191" s="2">
        <v>2.0</v>
      </c>
      <c r="S191" s="2"/>
      <c r="T191" s="2"/>
      <c r="U191" s="2"/>
      <c r="V191" s="2"/>
      <c r="W191" s="2"/>
      <c r="X191" s="2"/>
    </row>
    <row r="192">
      <c r="A192" s="116"/>
      <c r="B192" s="44"/>
      <c r="C192" s="2"/>
      <c r="D192" s="2"/>
      <c r="E192" s="2"/>
      <c r="F192" s="2"/>
      <c r="G192" s="2"/>
      <c r="H192" s="2"/>
      <c r="I192" s="2"/>
      <c r="J192" s="2"/>
      <c r="K192" s="2"/>
      <c r="L192" s="2"/>
      <c r="M192" s="2"/>
      <c r="N192" s="2"/>
      <c r="O192" s="2"/>
      <c r="P192" s="2"/>
      <c r="Q192" s="2" t="s">
        <v>1377</v>
      </c>
      <c r="R192" s="2">
        <v>1.0</v>
      </c>
      <c r="S192" s="2"/>
      <c r="T192" s="2"/>
      <c r="U192" s="2"/>
      <c r="V192" s="2"/>
      <c r="W192" s="2"/>
      <c r="X192" s="2"/>
    </row>
    <row r="193">
      <c r="A193" s="116"/>
      <c r="B193" s="44"/>
      <c r="C193" s="2"/>
      <c r="D193" s="2"/>
      <c r="E193" s="2"/>
      <c r="F193" s="2"/>
      <c r="G193" s="2"/>
      <c r="H193" s="2"/>
      <c r="I193" s="2"/>
      <c r="J193" s="2"/>
      <c r="K193" s="2"/>
      <c r="L193" s="2"/>
      <c r="M193" s="2"/>
      <c r="N193" s="2"/>
      <c r="O193" s="2"/>
      <c r="P193" s="2"/>
      <c r="Q193" s="2" t="s">
        <v>1383</v>
      </c>
      <c r="R193" s="2">
        <v>2.0</v>
      </c>
      <c r="S193" s="2"/>
      <c r="T193" s="2"/>
      <c r="U193" s="2"/>
      <c r="V193" s="2"/>
      <c r="W193" s="2"/>
      <c r="X193" s="2"/>
    </row>
    <row r="194">
      <c r="A194" s="116"/>
      <c r="B194" s="44"/>
      <c r="C194" s="2"/>
      <c r="D194" s="2"/>
      <c r="E194" s="2"/>
      <c r="F194" s="2"/>
      <c r="G194" s="2"/>
      <c r="H194" s="2"/>
      <c r="I194" s="2"/>
      <c r="J194" s="2"/>
      <c r="K194" s="2"/>
      <c r="L194" s="2"/>
      <c r="M194" s="2"/>
      <c r="N194" s="2"/>
      <c r="O194" s="2"/>
      <c r="P194" s="2"/>
      <c r="Q194" s="2" t="s">
        <v>1390</v>
      </c>
      <c r="R194" s="2">
        <v>1.0</v>
      </c>
      <c r="S194" s="2"/>
      <c r="T194" s="2"/>
      <c r="U194" s="2"/>
      <c r="V194" s="2"/>
      <c r="W194" s="2"/>
      <c r="X194" s="2"/>
    </row>
    <row r="195">
      <c r="A195" s="116"/>
      <c r="B195" s="44"/>
      <c r="C195" s="2"/>
      <c r="D195" s="2"/>
      <c r="E195" s="2"/>
      <c r="F195" s="2"/>
      <c r="G195" s="2"/>
      <c r="H195" s="2"/>
      <c r="I195" s="2"/>
      <c r="J195" s="2"/>
      <c r="K195" s="2"/>
      <c r="L195" s="2"/>
      <c r="M195" s="2"/>
      <c r="N195" s="2"/>
      <c r="O195" s="2"/>
      <c r="P195" s="2"/>
      <c r="Q195" s="2" t="s">
        <v>1395</v>
      </c>
      <c r="R195" s="2">
        <v>1.0</v>
      </c>
      <c r="S195" s="2"/>
      <c r="T195" s="2"/>
      <c r="U195" s="2"/>
      <c r="V195" s="2"/>
      <c r="W195" s="2"/>
      <c r="X195" s="2"/>
    </row>
    <row r="196">
      <c r="A196" s="116"/>
      <c r="B196" s="44"/>
      <c r="C196" s="2"/>
      <c r="D196" s="2"/>
      <c r="E196" s="2"/>
      <c r="F196" s="2"/>
      <c r="G196" s="2"/>
      <c r="H196" s="2"/>
      <c r="I196" s="2"/>
      <c r="J196" s="2"/>
      <c r="K196" s="2"/>
      <c r="L196" s="2"/>
      <c r="M196" s="2"/>
      <c r="N196" s="2"/>
      <c r="O196" s="2"/>
      <c r="P196" s="2"/>
      <c r="Q196" s="2" t="s">
        <v>1401</v>
      </c>
      <c r="R196" s="2">
        <v>1.0</v>
      </c>
      <c r="S196" s="2"/>
      <c r="T196" s="2"/>
      <c r="U196" s="2"/>
      <c r="V196" s="2"/>
      <c r="W196" s="2"/>
      <c r="X196" s="2"/>
    </row>
    <row r="197">
      <c r="A197" s="116"/>
      <c r="B197" s="44"/>
      <c r="C197" s="2"/>
      <c r="D197" s="2"/>
      <c r="E197" s="2"/>
      <c r="F197" s="2"/>
      <c r="G197" s="2"/>
      <c r="H197" s="2"/>
      <c r="I197" s="2"/>
      <c r="J197" s="2"/>
      <c r="K197" s="2"/>
      <c r="L197" s="2"/>
      <c r="M197" s="2"/>
      <c r="N197" s="2"/>
      <c r="O197" s="2"/>
      <c r="P197" s="2"/>
      <c r="Q197" s="2" t="s">
        <v>1407</v>
      </c>
      <c r="R197" s="2">
        <v>1.0</v>
      </c>
      <c r="S197" s="2"/>
      <c r="T197" s="2"/>
      <c r="U197" s="2"/>
      <c r="V197" s="2"/>
      <c r="W197" s="2"/>
      <c r="X197" s="2"/>
    </row>
    <row r="198">
      <c r="A198" s="116"/>
      <c r="B198" s="44"/>
      <c r="C198" s="2"/>
      <c r="D198" s="2"/>
      <c r="E198" s="2"/>
      <c r="F198" s="2"/>
      <c r="G198" s="2"/>
      <c r="H198" s="2"/>
      <c r="I198" s="2"/>
      <c r="J198" s="2"/>
      <c r="K198" s="2"/>
      <c r="L198" s="2"/>
      <c r="M198" s="2"/>
      <c r="N198" s="2"/>
      <c r="O198" s="2"/>
      <c r="P198" s="2"/>
      <c r="Q198" s="2" t="s">
        <v>1412</v>
      </c>
      <c r="R198" s="2">
        <v>1.0</v>
      </c>
      <c r="S198" s="2"/>
      <c r="T198" s="2"/>
      <c r="U198" s="2"/>
      <c r="V198" s="2"/>
      <c r="W198" s="2"/>
      <c r="X198" s="2"/>
    </row>
    <row r="199">
      <c r="A199" s="116"/>
      <c r="B199" s="44"/>
      <c r="C199" s="2"/>
      <c r="D199" s="2"/>
      <c r="E199" s="2"/>
      <c r="F199" s="2"/>
      <c r="G199" s="2"/>
      <c r="H199" s="2"/>
      <c r="I199" s="2"/>
      <c r="J199" s="2"/>
      <c r="K199" s="2"/>
      <c r="L199" s="2"/>
      <c r="M199" s="2"/>
      <c r="N199" s="2"/>
      <c r="O199" s="2"/>
      <c r="P199" s="2"/>
      <c r="Q199" s="2" t="s">
        <v>1418</v>
      </c>
      <c r="R199" s="2">
        <v>1.0</v>
      </c>
      <c r="S199" s="2"/>
      <c r="T199" s="2"/>
      <c r="U199" s="2"/>
      <c r="V199" s="2"/>
      <c r="W199" s="2"/>
      <c r="X199" s="2"/>
    </row>
    <row r="200">
      <c r="A200" s="116"/>
      <c r="B200" s="44"/>
      <c r="C200" s="2"/>
      <c r="D200" s="2"/>
      <c r="E200" s="2"/>
      <c r="F200" s="2"/>
      <c r="G200" s="2"/>
      <c r="H200" s="2"/>
      <c r="I200" s="2"/>
      <c r="J200" s="2"/>
      <c r="K200" s="2"/>
      <c r="L200" s="2"/>
      <c r="M200" s="2"/>
      <c r="N200" s="2"/>
      <c r="O200" s="2"/>
      <c r="P200" s="2"/>
      <c r="Q200" s="2" t="s">
        <v>1425</v>
      </c>
      <c r="R200" s="2">
        <v>1.0</v>
      </c>
      <c r="S200" s="2"/>
      <c r="T200" s="2"/>
      <c r="U200" s="2"/>
      <c r="V200" s="2"/>
      <c r="W200" s="2"/>
      <c r="X200" s="2"/>
    </row>
    <row r="201">
      <c r="A201" s="116"/>
      <c r="B201" s="44"/>
      <c r="C201" s="2"/>
      <c r="D201" s="2"/>
      <c r="E201" s="2"/>
      <c r="F201" s="2"/>
      <c r="G201" s="2"/>
      <c r="H201" s="2"/>
      <c r="I201" s="2"/>
      <c r="J201" s="2"/>
      <c r="K201" s="2"/>
      <c r="L201" s="2"/>
      <c r="M201" s="2"/>
      <c r="N201" s="2"/>
      <c r="O201" s="2"/>
      <c r="P201" s="2"/>
      <c r="Q201" s="2" t="s">
        <v>1432</v>
      </c>
      <c r="R201" s="2">
        <v>1.0</v>
      </c>
      <c r="S201" s="2"/>
      <c r="T201" s="2"/>
      <c r="U201" s="2"/>
      <c r="V201" s="2"/>
      <c r="W201" s="2"/>
      <c r="X201" s="2"/>
    </row>
    <row r="202">
      <c r="A202" s="116"/>
      <c r="B202" s="44"/>
      <c r="C202" s="2"/>
      <c r="D202" s="2"/>
      <c r="E202" s="2"/>
      <c r="F202" s="2"/>
      <c r="G202" s="2"/>
      <c r="H202" s="2"/>
      <c r="I202" s="2"/>
      <c r="J202" s="2"/>
      <c r="K202" s="2"/>
      <c r="L202" s="2"/>
      <c r="M202" s="2"/>
      <c r="N202" s="2"/>
      <c r="O202" s="2"/>
      <c r="P202" s="2"/>
      <c r="Q202" s="2" t="s">
        <v>1438</v>
      </c>
      <c r="R202" s="2">
        <v>1.0</v>
      </c>
      <c r="S202" s="2"/>
      <c r="T202" s="2"/>
      <c r="U202" s="2"/>
      <c r="V202" s="2"/>
      <c r="W202" s="2"/>
      <c r="X202" s="2"/>
    </row>
    <row r="203">
      <c r="A203" s="116"/>
      <c r="B203" s="44"/>
      <c r="C203" s="2"/>
      <c r="D203" s="2"/>
      <c r="E203" s="2"/>
      <c r="F203" s="2"/>
      <c r="G203" s="2"/>
      <c r="H203" s="2"/>
      <c r="I203" s="2"/>
      <c r="J203" s="2"/>
      <c r="K203" s="2"/>
      <c r="L203" s="2"/>
      <c r="M203" s="2"/>
      <c r="N203" s="2"/>
      <c r="O203" s="2"/>
      <c r="P203" s="2"/>
      <c r="Q203" s="2" t="s">
        <v>1445</v>
      </c>
      <c r="R203" s="2">
        <v>1.0</v>
      </c>
      <c r="S203" s="2"/>
      <c r="T203" s="2"/>
      <c r="U203" s="2"/>
      <c r="V203" s="2"/>
      <c r="W203" s="2"/>
      <c r="X203" s="2"/>
    </row>
    <row r="204">
      <c r="A204" s="116"/>
      <c r="B204" s="44"/>
      <c r="C204" s="2"/>
      <c r="D204" s="2"/>
      <c r="E204" s="2"/>
      <c r="F204" s="2"/>
      <c r="G204" s="2"/>
      <c r="H204" s="2"/>
      <c r="I204" s="2"/>
      <c r="J204" s="2"/>
      <c r="K204" s="2"/>
      <c r="L204" s="2"/>
      <c r="M204" s="2"/>
      <c r="N204" s="2"/>
      <c r="O204" s="2"/>
      <c r="P204" s="2"/>
      <c r="Q204" s="2" t="s">
        <v>1452</v>
      </c>
      <c r="R204" s="2">
        <v>1.0</v>
      </c>
      <c r="S204" s="2"/>
      <c r="T204" s="2"/>
      <c r="U204" s="2"/>
      <c r="V204" s="2"/>
      <c r="W204" s="2"/>
      <c r="X204" s="2"/>
    </row>
    <row r="205">
      <c r="A205" s="116"/>
      <c r="B205" s="44"/>
      <c r="C205" s="2"/>
      <c r="D205" s="2"/>
      <c r="E205" s="2"/>
      <c r="F205" s="2"/>
      <c r="G205" s="2"/>
      <c r="H205" s="2"/>
      <c r="I205" s="2"/>
      <c r="J205" s="2"/>
      <c r="K205" s="2"/>
      <c r="L205" s="2"/>
      <c r="M205" s="2"/>
      <c r="N205" s="2"/>
      <c r="O205" s="2"/>
      <c r="P205" s="2"/>
      <c r="Q205" s="2" t="s">
        <v>1459</v>
      </c>
      <c r="R205" s="2">
        <v>1.0</v>
      </c>
      <c r="S205" s="2"/>
      <c r="T205" s="2"/>
      <c r="U205" s="2"/>
      <c r="V205" s="2"/>
      <c r="W205" s="2"/>
      <c r="X205" s="2"/>
    </row>
    <row r="206">
      <c r="A206" s="116"/>
      <c r="B206" s="44"/>
      <c r="C206" s="2"/>
      <c r="D206" s="2"/>
      <c r="E206" s="2"/>
      <c r="F206" s="2"/>
      <c r="G206" s="2"/>
      <c r="H206" s="2"/>
      <c r="I206" s="2"/>
      <c r="J206" s="2"/>
      <c r="K206" s="2"/>
      <c r="L206" s="2"/>
      <c r="M206" s="2"/>
      <c r="N206" s="2"/>
      <c r="O206" s="2"/>
      <c r="P206" s="2"/>
      <c r="Q206" s="2" t="s">
        <v>1466</v>
      </c>
      <c r="R206" s="2">
        <v>1.0</v>
      </c>
      <c r="S206" s="2"/>
      <c r="T206" s="2"/>
      <c r="U206" s="2"/>
      <c r="V206" s="2"/>
      <c r="W206" s="2"/>
      <c r="X206" s="2"/>
    </row>
    <row r="207">
      <c r="A207" s="116"/>
      <c r="B207" s="44"/>
      <c r="C207" s="2"/>
      <c r="D207" s="2"/>
      <c r="E207" s="2"/>
      <c r="F207" s="2"/>
      <c r="G207" s="2"/>
      <c r="H207" s="2"/>
      <c r="I207" s="2"/>
      <c r="J207" s="2"/>
      <c r="K207" s="2"/>
      <c r="L207" s="2"/>
      <c r="M207" s="2"/>
      <c r="N207" s="2"/>
      <c r="O207" s="2"/>
      <c r="P207" s="2"/>
      <c r="Q207" s="2" t="s">
        <v>1472</v>
      </c>
      <c r="R207" s="2">
        <v>1.0</v>
      </c>
      <c r="S207" s="2"/>
      <c r="T207" s="2"/>
      <c r="U207" s="2"/>
      <c r="V207" s="2"/>
      <c r="W207" s="2"/>
      <c r="X207" s="2"/>
    </row>
    <row r="208">
      <c r="A208" s="116"/>
      <c r="B208" s="44"/>
      <c r="C208" s="2"/>
      <c r="D208" s="2"/>
      <c r="E208" s="2"/>
      <c r="F208" s="2"/>
      <c r="G208" s="2"/>
      <c r="H208" s="2"/>
      <c r="I208" s="2"/>
      <c r="J208" s="2"/>
      <c r="K208" s="2"/>
      <c r="L208" s="2"/>
      <c r="M208" s="2"/>
      <c r="N208" s="2"/>
      <c r="O208" s="2"/>
      <c r="P208" s="2"/>
      <c r="Q208" s="2" t="s">
        <v>1478</v>
      </c>
      <c r="R208" s="2">
        <v>1.0</v>
      </c>
      <c r="S208" s="2"/>
      <c r="T208" s="2"/>
      <c r="U208" s="2"/>
      <c r="V208" s="2"/>
      <c r="W208" s="2"/>
      <c r="X208" s="2"/>
    </row>
    <row r="209">
      <c r="A209" s="116"/>
      <c r="B209" s="44"/>
      <c r="C209" s="2"/>
      <c r="D209" s="2"/>
      <c r="E209" s="2"/>
      <c r="F209" s="2"/>
      <c r="G209" s="2"/>
      <c r="H209" s="2"/>
      <c r="I209" s="2"/>
      <c r="J209" s="2"/>
      <c r="K209" s="2"/>
      <c r="L209" s="2"/>
      <c r="M209" s="2"/>
      <c r="N209" s="2"/>
      <c r="O209" s="2"/>
      <c r="P209" s="2"/>
      <c r="Q209" s="2" t="s">
        <v>1483</v>
      </c>
      <c r="R209" s="2">
        <v>2.0</v>
      </c>
      <c r="S209" s="2"/>
      <c r="T209" s="2"/>
      <c r="U209" s="2"/>
      <c r="V209" s="2"/>
      <c r="W209" s="2"/>
      <c r="X209" s="2"/>
    </row>
    <row r="210">
      <c r="A210" s="116"/>
      <c r="B210" s="44"/>
      <c r="C210" s="2"/>
      <c r="D210" s="2"/>
      <c r="E210" s="2"/>
      <c r="F210" s="2"/>
      <c r="G210" s="2"/>
      <c r="H210" s="2"/>
      <c r="I210" s="2"/>
      <c r="J210" s="2"/>
      <c r="K210" s="2"/>
      <c r="L210" s="2"/>
      <c r="M210" s="2"/>
      <c r="N210" s="2"/>
      <c r="O210" s="2"/>
      <c r="P210" s="2"/>
      <c r="Q210" s="2" t="s">
        <v>1490</v>
      </c>
      <c r="R210" s="2">
        <v>1.0</v>
      </c>
      <c r="S210" s="2"/>
      <c r="T210" s="2"/>
      <c r="U210" s="2"/>
      <c r="V210" s="2"/>
      <c r="W210" s="2"/>
      <c r="X210" s="2"/>
    </row>
    <row r="211">
      <c r="A211" s="116"/>
      <c r="B211" s="44"/>
      <c r="C211" s="2"/>
      <c r="D211" s="2"/>
      <c r="E211" s="2"/>
      <c r="F211" s="2"/>
      <c r="G211" s="2"/>
      <c r="H211" s="2"/>
      <c r="I211" s="2"/>
      <c r="J211" s="2"/>
      <c r="K211" s="2"/>
      <c r="L211" s="2"/>
      <c r="M211" s="2"/>
      <c r="N211" s="2"/>
      <c r="O211" s="2"/>
      <c r="P211" s="2"/>
      <c r="Q211" s="2" t="s">
        <v>1496</v>
      </c>
      <c r="R211" s="2">
        <v>1.0</v>
      </c>
      <c r="S211" s="2"/>
      <c r="T211" s="2"/>
      <c r="U211" s="2"/>
      <c r="V211" s="2"/>
      <c r="W211" s="2"/>
      <c r="X211" s="2"/>
    </row>
    <row r="212">
      <c r="A212" s="116"/>
      <c r="B212" s="44"/>
      <c r="C212" s="2"/>
      <c r="D212" s="2"/>
      <c r="E212" s="2"/>
      <c r="F212" s="2"/>
      <c r="G212" s="2"/>
      <c r="H212" s="2"/>
      <c r="I212" s="2"/>
      <c r="J212" s="2"/>
      <c r="K212" s="2"/>
      <c r="L212" s="2"/>
      <c r="M212" s="2"/>
      <c r="N212" s="2"/>
      <c r="O212" s="2"/>
      <c r="P212" s="2"/>
      <c r="Q212" s="2" t="s">
        <v>1503</v>
      </c>
      <c r="R212" s="2">
        <v>1.0</v>
      </c>
      <c r="S212" s="2"/>
      <c r="T212" s="2"/>
      <c r="U212" s="2"/>
      <c r="V212" s="2"/>
      <c r="W212" s="2"/>
      <c r="X212" s="2"/>
    </row>
    <row r="213">
      <c r="A213" s="116"/>
      <c r="B213" s="44"/>
      <c r="C213" s="2"/>
      <c r="D213" s="2"/>
      <c r="E213" s="2"/>
      <c r="F213" s="2"/>
      <c r="G213" s="2"/>
      <c r="H213" s="2"/>
      <c r="I213" s="2"/>
      <c r="J213" s="2"/>
      <c r="K213" s="2"/>
      <c r="L213" s="2"/>
      <c r="M213" s="2"/>
      <c r="N213" s="2"/>
      <c r="O213" s="2"/>
      <c r="P213" s="2"/>
      <c r="Q213" s="2" t="s">
        <v>1508</v>
      </c>
      <c r="R213" s="2">
        <v>1.0</v>
      </c>
      <c r="S213" s="2"/>
      <c r="T213" s="2"/>
      <c r="U213" s="2"/>
      <c r="V213" s="2"/>
      <c r="W213" s="2"/>
      <c r="X213" s="2"/>
    </row>
    <row r="214">
      <c r="A214" s="116"/>
      <c r="B214" s="44"/>
      <c r="C214" s="2"/>
      <c r="D214" s="2"/>
      <c r="E214" s="2"/>
      <c r="F214" s="2"/>
      <c r="G214" s="2"/>
      <c r="H214" s="2"/>
      <c r="I214" s="2"/>
      <c r="J214" s="2"/>
      <c r="K214" s="2"/>
      <c r="L214" s="2"/>
      <c r="M214" s="2"/>
      <c r="N214" s="2"/>
      <c r="O214" s="2"/>
      <c r="P214" s="2"/>
      <c r="Q214" s="2" t="s">
        <v>1512</v>
      </c>
      <c r="R214" s="2">
        <v>1.0</v>
      </c>
      <c r="S214" s="2"/>
      <c r="T214" s="2"/>
      <c r="U214" s="2"/>
      <c r="V214" s="2"/>
      <c r="W214" s="2"/>
      <c r="X214" s="2"/>
    </row>
    <row r="215">
      <c r="A215" s="116"/>
      <c r="B215" s="44"/>
      <c r="C215" s="2"/>
      <c r="D215" s="2"/>
      <c r="E215" s="2"/>
      <c r="F215" s="2"/>
      <c r="G215" s="2"/>
      <c r="H215" s="2"/>
      <c r="I215" s="2"/>
      <c r="J215" s="2"/>
      <c r="K215" s="2"/>
      <c r="L215" s="2"/>
      <c r="M215" s="2"/>
      <c r="N215" s="2"/>
      <c r="O215" s="2"/>
      <c r="P215" s="2"/>
      <c r="Q215" s="2" t="s">
        <v>1528</v>
      </c>
      <c r="R215" s="2">
        <v>1.0</v>
      </c>
      <c r="S215" s="2"/>
      <c r="T215" s="2"/>
      <c r="U215" s="2"/>
      <c r="V215" s="2"/>
      <c r="W215" s="2"/>
      <c r="X215" s="2"/>
    </row>
    <row r="216">
      <c r="A216" s="116"/>
      <c r="B216" s="44"/>
      <c r="C216" s="2"/>
      <c r="D216" s="2"/>
      <c r="E216" s="2"/>
      <c r="F216" s="2"/>
      <c r="G216" s="2"/>
      <c r="H216" s="2"/>
      <c r="I216" s="2"/>
      <c r="J216" s="2"/>
      <c r="K216" s="2"/>
      <c r="L216" s="2"/>
      <c r="M216" s="2"/>
      <c r="N216" s="2"/>
      <c r="O216" s="2"/>
      <c r="P216" s="2"/>
      <c r="Q216" s="2" t="s">
        <v>1535</v>
      </c>
      <c r="R216" s="2">
        <v>1.0</v>
      </c>
      <c r="S216" s="2"/>
      <c r="T216" s="2"/>
      <c r="U216" s="2"/>
      <c r="V216" s="2"/>
      <c r="W216" s="2"/>
      <c r="X216" s="2"/>
    </row>
    <row r="217">
      <c r="A217" s="116"/>
      <c r="B217" s="44"/>
      <c r="C217" s="2"/>
      <c r="D217" s="2"/>
      <c r="E217" s="2"/>
      <c r="F217" s="2"/>
      <c r="G217" s="2"/>
      <c r="H217" s="2"/>
      <c r="I217" s="2"/>
      <c r="J217" s="2"/>
      <c r="K217" s="2"/>
      <c r="L217" s="2"/>
      <c r="M217" s="2"/>
      <c r="N217" s="2"/>
      <c r="O217" s="2"/>
      <c r="P217" s="2"/>
      <c r="Q217" s="2" t="s">
        <v>1542</v>
      </c>
      <c r="R217" s="2">
        <v>1.0</v>
      </c>
      <c r="S217" s="2"/>
      <c r="T217" s="2"/>
      <c r="U217" s="2"/>
      <c r="V217" s="2"/>
      <c r="W217" s="2"/>
      <c r="X217" s="2"/>
    </row>
    <row r="218">
      <c r="A218" s="116"/>
      <c r="B218" s="44"/>
      <c r="C218" s="2"/>
      <c r="D218" s="2"/>
      <c r="E218" s="2"/>
      <c r="F218" s="2"/>
      <c r="G218" s="2"/>
      <c r="H218" s="2"/>
      <c r="I218" s="2"/>
      <c r="J218" s="2"/>
      <c r="K218" s="2"/>
      <c r="L218" s="2"/>
      <c r="M218" s="2"/>
      <c r="N218" s="2"/>
      <c r="O218" s="2"/>
      <c r="P218" s="2"/>
      <c r="Q218" s="2" t="s">
        <v>1548</v>
      </c>
      <c r="R218" s="2">
        <v>1.0</v>
      </c>
      <c r="S218" s="2"/>
      <c r="T218" s="2"/>
      <c r="U218" s="2"/>
      <c r="V218" s="2"/>
      <c r="W218" s="2"/>
      <c r="X218" s="2"/>
    </row>
    <row r="219">
      <c r="A219" s="116"/>
      <c r="B219" s="44"/>
      <c r="C219" s="2"/>
      <c r="D219" s="2"/>
      <c r="E219" s="2"/>
      <c r="F219" s="2"/>
      <c r="G219" s="2"/>
      <c r="H219" s="2"/>
      <c r="I219" s="2"/>
      <c r="J219" s="2"/>
      <c r="K219" s="2"/>
      <c r="L219" s="2"/>
      <c r="M219" s="2"/>
      <c r="N219" s="2"/>
      <c r="O219" s="2"/>
      <c r="P219" s="2"/>
      <c r="Q219" s="2" t="s">
        <v>1553</v>
      </c>
      <c r="R219" s="2">
        <v>1.0</v>
      </c>
      <c r="S219" s="2"/>
      <c r="T219" s="2"/>
      <c r="U219" s="2"/>
      <c r="V219" s="2"/>
      <c r="W219" s="2"/>
      <c r="X219" s="2"/>
    </row>
    <row r="220">
      <c r="A220" s="116"/>
      <c r="B220" s="44"/>
      <c r="C220" s="2"/>
      <c r="D220" s="2"/>
      <c r="E220" s="2"/>
      <c r="F220" s="2"/>
      <c r="G220" s="2"/>
      <c r="H220" s="2"/>
      <c r="I220" s="2"/>
      <c r="J220" s="2"/>
      <c r="K220" s="2"/>
      <c r="L220" s="2"/>
      <c r="M220" s="2"/>
      <c r="N220" s="2"/>
      <c r="O220" s="2"/>
      <c r="P220" s="2"/>
      <c r="Q220" s="2" t="s">
        <v>1558</v>
      </c>
      <c r="R220" s="2">
        <v>1.0</v>
      </c>
      <c r="S220" s="2"/>
      <c r="T220" s="2"/>
      <c r="U220" s="2"/>
      <c r="V220" s="2"/>
      <c r="W220" s="2"/>
      <c r="X220" s="2"/>
    </row>
    <row r="221">
      <c r="A221" s="116"/>
      <c r="B221" s="44"/>
      <c r="C221" s="2"/>
      <c r="D221" s="2"/>
      <c r="E221" s="2"/>
      <c r="F221" s="2"/>
      <c r="G221" s="2"/>
      <c r="H221" s="2"/>
      <c r="I221" s="2"/>
      <c r="J221" s="2"/>
      <c r="K221" s="2"/>
      <c r="L221" s="2"/>
      <c r="M221" s="2"/>
      <c r="N221" s="2"/>
      <c r="O221" s="2"/>
      <c r="P221" s="2"/>
      <c r="Q221" s="2" t="s">
        <v>1563</v>
      </c>
      <c r="R221" s="2">
        <v>1.0</v>
      </c>
      <c r="S221" s="2"/>
      <c r="T221" s="2"/>
      <c r="U221" s="2"/>
      <c r="V221" s="2"/>
      <c r="W221" s="2"/>
      <c r="X221" s="2"/>
    </row>
    <row r="222">
      <c r="A222" s="116"/>
      <c r="B222" s="44"/>
      <c r="C222" s="2"/>
      <c r="D222" s="2"/>
      <c r="E222" s="2"/>
      <c r="F222" s="2"/>
      <c r="G222" s="2"/>
      <c r="H222" s="2"/>
      <c r="I222" s="2"/>
      <c r="J222" s="2"/>
      <c r="K222" s="2"/>
      <c r="L222" s="2"/>
      <c r="M222" s="2"/>
      <c r="N222" s="2"/>
      <c r="O222" s="2"/>
      <c r="P222" s="2"/>
      <c r="Q222" s="2" t="s">
        <v>1568</v>
      </c>
      <c r="R222" s="2">
        <v>1.0</v>
      </c>
      <c r="S222" s="2"/>
      <c r="T222" s="2"/>
      <c r="U222" s="2"/>
      <c r="V222" s="2"/>
      <c r="W222" s="2"/>
      <c r="X222" s="2"/>
    </row>
    <row r="223">
      <c r="A223" s="116"/>
      <c r="B223" s="44"/>
      <c r="C223" s="2"/>
      <c r="D223" s="2"/>
      <c r="E223" s="2"/>
      <c r="F223" s="2"/>
      <c r="G223" s="2"/>
      <c r="H223" s="2"/>
      <c r="I223" s="2"/>
      <c r="J223" s="2"/>
      <c r="K223" s="2"/>
      <c r="L223" s="2"/>
      <c r="M223" s="2"/>
      <c r="N223" s="2"/>
      <c r="O223" s="2"/>
      <c r="P223" s="2"/>
      <c r="Q223" s="2" t="s">
        <v>1574</v>
      </c>
      <c r="R223" s="2">
        <v>1.0</v>
      </c>
      <c r="S223" s="2"/>
      <c r="T223" s="2"/>
      <c r="U223" s="2"/>
      <c r="V223" s="2"/>
      <c r="W223" s="2"/>
      <c r="X223" s="2"/>
    </row>
    <row r="224">
      <c r="A224" s="116"/>
      <c r="B224" s="44"/>
      <c r="C224" s="2"/>
      <c r="D224" s="2"/>
      <c r="E224" s="2"/>
      <c r="F224" s="2"/>
      <c r="G224" s="2"/>
      <c r="H224" s="2"/>
      <c r="I224" s="2"/>
      <c r="J224" s="2"/>
      <c r="K224" s="2"/>
      <c r="L224" s="2"/>
      <c r="M224" s="2"/>
      <c r="N224" s="2"/>
      <c r="O224" s="2"/>
      <c r="P224" s="2"/>
      <c r="Q224" s="2" t="s">
        <v>1579</v>
      </c>
      <c r="R224" s="2">
        <v>1.0</v>
      </c>
      <c r="S224" s="2"/>
      <c r="T224" s="2"/>
      <c r="U224" s="2"/>
      <c r="V224" s="2"/>
      <c r="W224" s="2"/>
      <c r="X224" s="2"/>
    </row>
    <row r="225">
      <c r="A225" s="116"/>
      <c r="B225" s="44"/>
      <c r="C225" s="2"/>
      <c r="D225" s="2"/>
      <c r="E225" s="2"/>
      <c r="F225" s="2"/>
      <c r="G225" s="2"/>
      <c r="H225" s="2"/>
      <c r="I225" s="2"/>
      <c r="J225" s="2"/>
      <c r="K225" s="2"/>
      <c r="L225" s="2"/>
      <c r="M225" s="2"/>
      <c r="N225" s="2"/>
      <c r="O225" s="2"/>
      <c r="P225" s="2"/>
      <c r="Q225" s="2" t="s">
        <v>1584</v>
      </c>
      <c r="R225" s="2">
        <v>1.0</v>
      </c>
      <c r="S225" s="2"/>
      <c r="T225" s="2"/>
      <c r="U225" s="2"/>
      <c r="V225" s="2"/>
      <c r="W225" s="2"/>
      <c r="X225" s="2"/>
    </row>
    <row r="226">
      <c r="A226" s="116"/>
      <c r="B226" s="44"/>
      <c r="C226" s="2"/>
      <c r="D226" s="2"/>
      <c r="E226" s="2"/>
      <c r="F226" s="2"/>
      <c r="G226" s="2"/>
      <c r="H226" s="2"/>
      <c r="I226" s="2"/>
      <c r="J226" s="2"/>
      <c r="K226" s="2"/>
      <c r="L226" s="2"/>
      <c r="M226" s="2"/>
      <c r="N226" s="2"/>
      <c r="O226" s="2"/>
      <c r="P226" s="2"/>
      <c r="Q226" s="2" t="s">
        <v>1590</v>
      </c>
      <c r="R226" s="2">
        <v>1.0</v>
      </c>
      <c r="S226" s="2"/>
      <c r="T226" s="2"/>
      <c r="U226" s="2"/>
      <c r="V226" s="2"/>
      <c r="W226" s="2"/>
      <c r="X226" s="2"/>
    </row>
    <row r="227">
      <c r="A227" s="116"/>
      <c r="B227" s="44"/>
      <c r="C227" s="2"/>
      <c r="D227" s="2"/>
      <c r="E227" s="2"/>
      <c r="F227" s="2"/>
      <c r="G227" s="2"/>
      <c r="H227" s="2"/>
      <c r="I227" s="2"/>
      <c r="J227" s="2"/>
      <c r="K227" s="2"/>
      <c r="L227" s="2"/>
      <c r="M227" s="2"/>
      <c r="N227" s="2"/>
      <c r="O227" s="2"/>
      <c r="P227" s="2"/>
      <c r="Q227" s="2" t="s">
        <v>1597</v>
      </c>
      <c r="R227" s="2">
        <v>1.0</v>
      </c>
      <c r="S227" s="2"/>
      <c r="T227" s="2"/>
      <c r="U227" s="2"/>
      <c r="V227" s="2"/>
      <c r="W227" s="2"/>
      <c r="X227" s="2"/>
    </row>
    <row r="228">
      <c r="A228" s="116"/>
      <c r="B228" s="44"/>
      <c r="C228" s="2"/>
      <c r="D228" s="2"/>
      <c r="E228" s="2"/>
      <c r="F228" s="2"/>
      <c r="G228" s="2"/>
      <c r="H228" s="2"/>
      <c r="I228" s="2"/>
      <c r="J228" s="2"/>
      <c r="K228" s="2"/>
      <c r="L228" s="2"/>
      <c r="M228" s="2"/>
      <c r="N228" s="2"/>
      <c r="O228" s="2"/>
      <c r="P228" s="2"/>
      <c r="Q228" s="2" t="s">
        <v>1603</v>
      </c>
      <c r="R228" s="2">
        <v>1.0</v>
      </c>
      <c r="S228" s="2"/>
      <c r="T228" s="2"/>
      <c r="U228" s="2"/>
      <c r="V228" s="2"/>
      <c r="W228" s="2"/>
      <c r="X228" s="2"/>
    </row>
    <row r="229">
      <c r="A229" s="116"/>
      <c r="B229" s="44"/>
      <c r="C229" s="2"/>
      <c r="D229" s="2"/>
      <c r="E229" s="2"/>
      <c r="F229" s="2"/>
      <c r="G229" s="2"/>
      <c r="H229" s="2"/>
      <c r="I229" s="2"/>
      <c r="J229" s="2"/>
      <c r="K229" s="2"/>
      <c r="L229" s="2"/>
      <c r="M229" s="2"/>
      <c r="N229" s="2"/>
      <c r="O229" s="2"/>
      <c r="P229" s="2"/>
      <c r="Q229" s="2" t="s">
        <v>1608</v>
      </c>
      <c r="R229" s="2">
        <v>1.0</v>
      </c>
      <c r="S229" s="2"/>
      <c r="T229" s="2"/>
      <c r="U229" s="2"/>
      <c r="V229" s="2"/>
      <c r="W229" s="2"/>
      <c r="X229" s="2"/>
    </row>
    <row r="230">
      <c r="A230" s="116"/>
      <c r="B230" s="44"/>
      <c r="C230" s="2"/>
      <c r="D230" s="2"/>
      <c r="E230" s="2"/>
      <c r="F230" s="2"/>
      <c r="G230" s="2"/>
      <c r="H230" s="2"/>
      <c r="I230" s="2"/>
      <c r="J230" s="2"/>
      <c r="K230" s="2"/>
      <c r="L230" s="2"/>
      <c r="M230" s="2"/>
      <c r="N230" s="2"/>
      <c r="O230" s="2"/>
      <c r="P230" s="2"/>
      <c r="Q230" s="2" t="s">
        <v>1613</v>
      </c>
      <c r="R230" s="2">
        <v>1.0</v>
      </c>
      <c r="S230" s="2"/>
      <c r="T230" s="2"/>
      <c r="U230" s="2"/>
      <c r="V230" s="2"/>
      <c r="W230" s="2"/>
      <c r="X230" s="2"/>
    </row>
    <row r="231">
      <c r="A231" s="116"/>
      <c r="B231" s="44"/>
      <c r="C231" s="2"/>
      <c r="D231" s="2"/>
      <c r="E231" s="2"/>
      <c r="F231" s="2"/>
      <c r="G231" s="2"/>
      <c r="H231" s="2"/>
      <c r="I231" s="2"/>
      <c r="J231" s="2"/>
      <c r="K231" s="2"/>
      <c r="L231" s="2"/>
      <c r="M231" s="2"/>
      <c r="N231" s="2"/>
      <c r="O231" s="2"/>
      <c r="P231" s="2"/>
      <c r="Q231" s="2" t="s">
        <v>1618</v>
      </c>
      <c r="R231" s="2">
        <v>1.0</v>
      </c>
      <c r="S231" s="2"/>
      <c r="T231" s="2"/>
      <c r="U231" s="2"/>
      <c r="V231" s="2"/>
      <c r="W231" s="2"/>
      <c r="X231" s="2"/>
    </row>
    <row r="232">
      <c r="A232" s="116"/>
      <c r="B232" s="44"/>
      <c r="C232" s="2"/>
      <c r="D232" s="2"/>
      <c r="E232" s="2"/>
      <c r="F232" s="2"/>
      <c r="G232" s="2"/>
      <c r="H232" s="2"/>
      <c r="I232" s="2"/>
      <c r="J232" s="2"/>
      <c r="K232" s="2"/>
      <c r="L232" s="2"/>
      <c r="M232" s="2"/>
      <c r="N232" s="2"/>
      <c r="O232" s="2"/>
      <c r="P232" s="2"/>
      <c r="Q232" s="2" t="s">
        <v>1624</v>
      </c>
      <c r="R232" s="2">
        <v>1.0</v>
      </c>
      <c r="S232" s="2"/>
      <c r="T232" s="2"/>
      <c r="U232" s="2"/>
      <c r="V232" s="2"/>
      <c r="W232" s="2"/>
      <c r="X232" s="2"/>
    </row>
    <row r="233">
      <c r="A233" s="116"/>
      <c r="B233" s="44"/>
      <c r="C233" s="2"/>
      <c r="D233" s="2"/>
      <c r="E233" s="2"/>
      <c r="F233" s="2"/>
      <c r="G233" s="2"/>
      <c r="H233" s="2"/>
      <c r="I233" s="2"/>
      <c r="J233" s="2"/>
      <c r="K233" s="2"/>
      <c r="L233" s="2"/>
      <c r="M233" s="2"/>
      <c r="N233" s="2"/>
      <c r="O233" s="2"/>
      <c r="P233" s="2"/>
      <c r="Q233" s="2" t="s">
        <v>1629</v>
      </c>
      <c r="R233" s="2">
        <v>1.0</v>
      </c>
      <c r="S233" s="2"/>
      <c r="T233" s="2"/>
      <c r="U233" s="2"/>
      <c r="V233" s="2"/>
      <c r="W233" s="2"/>
      <c r="X233" s="2"/>
    </row>
    <row r="234">
      <c r="A234" s="116"/>
      <c r="B234" s="44"/>
      <c r="C234" s="2"/>
      <c r="D234" s="2"/>
      <c r="E234" s="2"/>
      <c r="F234" s="2"/>
      <c r="G234" s="2"/>
      <c r="H234" s="2"/>
      <c r="I234" s="2"/>
      <c r="J234" s="2"/>
      <c r="K234" s="2"/>
      <c r="L234" s="2"/>
      <c r="M234" s="2"/>
      <c r="N234" s="2"/>
      <c r="O234" s="2"/>
      <c r="P234" s="2"/>
      <c r="Q234" s="2" t="s">
        <v>1634</v>
      </c>
      <c r="R234" s="2">
        <v>1.0</v>
      </c>
      <c r="S234" s="2"/>
      <c r="T234" s="2"/>
      <c r="U234" s="2"/>
      <c r="V234" s="2"/>
      <c r="W234" s="2"/>
      <c r="X234" s="2"/>
    </row>
    <row r="235">
      <c r="A235" s="116"/>
      <c r="B235" s="44"/>
      <c r="C235" s="2"/>
      <c r="D235" s="2"/>
      <c r="E235" s="2"/>
      <c r="F235" s="2"/>
      <c r="G235" s="2"/>
      <c r="H235" s="2"/>
      <c r="I235" s="2"/>
      <c r="J235" s="2"/>
      <c r="K235" s="2"/>
      <c r="L235" s="2"/>
      <c r="M235" s="2"/>
      <c r="N235" s="2"/>
      <c r="O235" s="2"/>
      <c r="P235" s="2"/>
      <c r="Q235" s="2" t="s">
        <v>1643</v>
      </c>
      <c r="R235" s="2">
        <v>1.0</v>
      </c>
      <c r="S235" s="2"/>
      <c r="T235" s="2"/>
      <c r="U235" s="2"/>
      <c r="V235" s="2"/>
      <c r="W235" s="2"/>
      <c r="X235" s="2"/>
    </row>
    <row r="236">
      <c r="A236" s="116"/>
      <c r="B236" s="44"/>
      <c r="C236" s="2"/>
      <c r="D236" s="2"/>
      <c r="E236" s="2"/>
      <c r="F236" s="2"/>
      <c r="G236" s="2"/>
      <c r="H236" s="2"/>
      <c r="I236" s="2"/>
      <c r="J236" s="2"/>
      <c r="K236" s="2"/>
      <c r="L236" s="2"/>
      <c r="M236" s="2"/>
      <c r="N236" s="2"/>
      <c r="O236" s="2"/>
      <c r="P236" s="2"/>
      <c r="Q236" s="2" t="s">
        <v>1647</v>
      </c>
      <c r="R236" s="2">
        <v>1.0</v>
      </c>
      <c r="S236" s="2"/>
      <c r="T236" s="2"/>
      <c r="U236" s="2"/>
      <c r="V236" s="2"/>
      <c r="W236" s="2"/>
      <c r="X236" s="2"/>
    </row>
    <row r="237">
      <c r="A237" s="116"/>
      <c r="B237" s="44"/>
      <c r="C237" s="2"/>
      <c r="D237" s="2"/>
      <c r="E237" s="2"/>
      <c r="F237" s="2"/>
      <c r="G237" s="2"/>
      <c r="H237" s="2"/>
      <c r="I237" s="2"/>
      <c r="J237" s="2"/>
      <c r="K237" s="2"/>
      <c r="L237" s="2"/>
      <c r="M237" s="2"/>
      <c r="N237" s="2"/>
      <c r="O237" s="2"/>
      <c r="P237" s="2"/>
      <c r="Q237" s="2" t="s">
        <v>1497</v>
      </c>
      <c r="R237" s="2">
        <v>1.0</v>
      </c>
      <c r="S237" s="2"/>
      <c r="T237" s="2"/>
      <c r="U237" s="2"/>
      <c r="V237" s="2"/>
      <c r="W237" s="2"/>
      <c r="X237" s="2"/>
    </row>
    <row r="238">
      <c r="A238" s="116"/>
      <c r="B238" s="44"/>
      <c r="C238" s="2"/>
      <c r="D238" s="2"/>
      <c r="E238" s="2"/>
      <c r="F238" s="2"/>
      <c r="G238" s="2"/>
      <c r="H238" s="2"/>
      <c r="I238" s="2"/>
      <c r="J238" s="2"/>
      <c r="K238" s="2"/>
      <c r="L238" s="2"/>
      <c r="M238" s="2"/>
      <c r="N238" s="2"/>
      <c r="O238" s="2"/>
      <c r="P238" s="2"/>
      <c r="Q238" s="2" t="s">
        <v>1652</v>
      </c>
      <c r="R238" s="2">
        <v>1.0</v>
      </c>
      <c r="S238" s="2"/>
      <c r="T238" s="2"/>
      <c r="U238" s="2"/>
      <c r="V238" s="2"/>
      <c r="W238" s="2"/>
      <c r="X238" s="2"/>
    </row>
    <row r="239">
      <c r="A239" s="116"/>
      <c r="B239" s="44"/>
      <c r="C239" s="2"/>
      <c r="D239" s="2"/>
      <c r="E239" s="2"/>
      <c r="F239" s="2"/>
      <c r="G239" s="2"/>
      <c r="H239" s="2"/>
      <c r="I239" s="2"/>
      <c r="J239" s="2"/>
      <c r="K239" s="2"/>
      <c r="L239" s="2"/>
      <c r="M239" s="2"/>
      <c r="N239" s="2"/>
      <c r="O239" s="2"/>
      <c r="P239" s="2"/>
      <c r="Q239" s="2" t="s">
        <v>1658</v>
      </c>
      <c r="R239" s="2">
        <v>1.0</v>
      </c>
      <c r="S239" s="2"/>
      <c r="T239" s="2"/>
      <c r="U239" s="2"/>
      <c r="V239" s="2"/>
      <c r="W239" s="2"/>
      <c r="X239" s="2"/>
    </row>
    <row r="240">
      <c r="A240" s="116"/>
      <c r="B240" s="44"/>
      <c r="C240" s="2"/>
      <c r="D240" s="2"/>
      <c r="E240" s="2"/>
      <c r="F240" s="2"/>
      <c r="G240" s="2"/>
      <c r="H240" s="2"/>
      <c r="I240" s="2"/>
      <c r="J240" s="2"/>
      <c r="K240" s="2"/>
      <c r="L240" s="2"/>
      <c r="M240" s="2"/>
      <c r="N240" s="2"/>
      <c r="O240" s="2"/>
      <c r="P240" s="2"/>
      <c r="Q240" s="2" t="s">
        <v>1663</v>
      </c>
      <c r="R240" s="2">
        <v>1.0</v>
      </c>
      <c r="S240" s="2"/>
      <c r="T240" s="2"/>
      <c r="U240" s="2"/>
      <c r="V240" s="2"/>
      <c r="W240" s="2"/>
      <c r="X240" s="2"/>
    </row>
    <row r="241">
      <c r="A241" s="116"/>
      <c r="B241" s="44"/>
      <c r="C241" s="2"/>
      <c r="D241" s="2"/>
      <c r="E241" s="2"/>
      <c r="F241" s="2"/>
      <c r="G241" s="2"/>
      <c r="H241" s="2"/>
      <c r="I241" s="2"/>
      <c r="J241" s="2"/>
      <c r="K241" s="2"/>
      <c r="L241" s="2"/>
      <c r="M241" s="2"/>
      <c r="N241" s="2"/>
      <c r="O241" s="2"/>
      <c r="P241" s="2"/>
      <c r="Q241" s="2" t="s">
        <v>1668</v>
      </c>
      <c r="R241" s="2">
        <v>1.0</v>
      </c>
      <c r="S241" s="2"/>
      <c r="T241" s="2"/>
      <c r="U241" s="2"/>
      <c r="V241" s="2"/>
      <c r="W241" s="2"/>
      <c r="X241" s="2"/>
    </row>
    <row r="242">
      <c r="A242" s="116"/>
      <c r="B242" s="44"/>
      <c r="C242" s="2"/>
      <c r="D242" s="2"/>
      <c r="E242" s="2"/>
      <c r="F242" s="2"/>
      <c r="G242" s="2"/>
      <c r="H242" s="2"/>
      <c r="I242" s="2"/>
      <c r="J242" s="2"/>
      <c r="K242" s="2"/>
      <c r="L242" s="2"/>
      <c r="M242" s="2"/>
      <c r="N242" s="2"/>
      <c r="O242" s="2"/>
      <c r="P242" s="2"/>
      <c r="Q242" s="2" t="s">
        <v>1670</v>
      </c>
      <c r="R242" s="2">
        <v>1.0</v>
      </c>
      <c r="S242" s="2"/>
      <c r="T242" s="2"/>
      <c r="U242" s="2"/>
      <c r="V242" s="2"/>
      <c r="W242" s="2"/>
      <c r="X242" s="2"/>
    </row>
    <row r="243">
      <c r="A243" s="116"/>
      <c r="B243" s="44"/>
      <c r="C243" s="2"/>
      <c r="D243" s="2"/>
      <c r="E243" s="2"/>
      <c r="F243" s="2"/>
      <c r="G243" s="2"/>
      <c r="H243" s="2"/>
      <c r="I243" s="2"/>
      <c r="J243" s="2"/>
      <c r="K243" s="2"/>
      <c r="L243" s="2"/>
      <c r="M243" s="2"/>
      <c r="N243" s="2"/>
      <c r="O243" s="2"/>
      <c r="P243" s="2"/>
      <c r="Q243" s="2" t="s">
        <v>1676</v>
      </c>
      <c r="R243" s="2">
        <v>1.0</v>
      </c>
      <c r="S243" s="2"/>
      <c r="T243" s="2"/>
      <c r="U243" s="2"/>
      <c r="V243" s="2"/>
      <c r="W243" s="2"/>
      <c r="X243" s="2"/>
    </row>
    <row r="244">
      <c r="A244" s="116"/>
      <c r="B244" s="44"/>
      <c r="C244" s="2"/>
      <c r="D244" s="2"/>
      <c r="E244" s="2"/>
      <c r="F244" s="2"/>
      <c r="G244" s="2"/>
      <c r="H244" s="2"/>
      <c r="I244" s="2"/>
      <c r="J244" s="2"/>
      <c r="K244" s="2"/>
      <c r="L244" s="2"/>
      <c r="M244" s="2"/>
      <c r="N244" s="2"/>
      <c r="O244" s="2"/>
      <c r="P244" s="2"/>
      <c r="Q244" s="2" t="s">
        <v>1681</v>
      </c>
      <c r="R244" s="2">
        <v>1.0</v>
      </c>
      <c r="S244" s="2"/>
      <c r="T244" s="2"/>
      <c r="U244" s="2"/>
      <c r="V244" s="2"/>
      <c r="W244" s="2"/>
      <c r="X244" s="2"/>
    </row>
    <row r="245">
      <c r="A245" s="116"/>
      <c r="B245" s="44"/>
      <c r="C245" s="2"/>
      <c r="D245" s="2"/>
      <c r="E245" s="2"/>
      <c r="F245" s="2"/>
      <c r="G245" s="2"/>
      <c r="H245" s="2"/>
      <c r="I245" s="2"/>
      <c r="J245" s="2"/>
      <c r="K245" s="2"/>
      <c r="L245" s="2"/>
      <c r="M245" s="2"/>
      <c r="N245" s="2"/>
      <c r="O245" s="2"/>
      <c r="P245" s="2"/>
      <c r="Q245" s="2" t="s">
        <v>1689</v>
      </c>
      <c r="R245" s="2">
        <v>1.0</v>
      </c>
      <c r="S245" s="2"/>
      <c r="T245" s="2"/>
      <c r="U245" s="2"/>
      <c r="V245" s="2"/>
      <c r="W245" s="2"/>
      <c r="X245" s="2"/>
    </row>
    <row r="246">
      <c r="A246" s="116"/>
      <c r="B246" s="44"/>
      <c r="C246" s="2"/>
      <c r="D246" s="2"/>
      <c r="E246" s="2"/>
      <c r="F246" s="2"/>
      <c r="G246" s="2"/>
      <c r="H246" s="2"/>
      <c r="I246" s="2"/>
      <c r="J246" s="2"/>
      <c r="K246" s="2"/>
      <c r="L246" s="2"/>
      <c r="M246" s="2"/>
      <c r="N246" s="2"/>
      <c r="O246" s="2"/>
      <c r="P246" s="2"/>
      <c r="Q246" s="2" t="s">
        <v>1693</v>
      </c>
      <c r="R246" s="2">
        <v>1.0</v>
      </c>
      <c r="S246" s="2"/>
      <c r="T246" s="2"/>
      <c r="U246" s="2"/>
      <c r="V246" s="2"/>
      <c r="W246" s="2"/>
      <c r="X246" s="2"/>
    </row>
    <row r="247">
      <c r="A247" s="116"/>
      <c r="B247" s="44"/>
      <c r="C247" s="2"/>
      <c r="D247" s="2"/>
      <c r="E247" s="2"/>
      <c r="F247" s="2"/>
      <c r="G247" s="2"/>
      <c r="H247" s="2"/>
      <c r="I247" s="2"/>
      <c r="J247" s="2"/>
      <c r="K247" s="2"/>
      <c r="L247" s="2"/>
      <c r="M247" s="2"/>
      <c r="N247" s="2"/>
      <c r="O247" s="2"/>
      <c r="P247" s="2"/>
      <c r="Q247" s="2" t="s">
        <v>1698</v>
      </c>
      <c r="R247" s="2">
        <v>1.0</v>
      </c>
      <c r="S247" s="2"/>
      <c r="T247" s="2"/>
      <c r="U247" s="2"/>
      <c r="V247" s="2"/>
      <c r="W247" s="2"/>
      <c r="X247" s="2"/>
    </row>
    <row r="248">
      <c r="A248" s="116"/>
      <c r="B248" s="44"/>
      <c r="C248" s="2"/>
      <c r="D248" s="2"/>
      <c r="E248" s="2"/>
      <c r="F248" s="2"/>
      <c r="G248" s="2"/>
      <c r="H248" s="2"/>
      <c r="I248" s="2"/>
      <c r="J248" s="2"/>
      <c r="K248" s="2"/>
      <c r="L248" s="2"/>
      <c r="M248" s="2"/>
      <c r="N248" s="2"/>
      <c r="O248" s="2"/>
      <c r="P248" s="2"/>
      <c r="Q248" s="2" t="s">
        <v>1704</v>
      </c>
      <c r="R248" s="2">
        <v>1.0</v>
      </c>
      <c r="S248" s="2"/>
      <c r="T248" s="2"/>
      <c r="U248" s="2"/>
      <c r="V248" s="2"/>
      <c r="W248" s="2"/>
      <c r="X248" s="2"/>
    </row>
    <row r="249">
      <c r="A249" s="116"/>
      <c r="B249" s="44"/>
      <c r="C249" s="2"/>
      <c r="D249" s="2"/>
      <c r="E249" s="2"/>
      <c r="F249" s="2"/>
      <c r="G249" s="2"/>
      <c r="H249" s="2"/>
      <c r="I249" s="2"/>
      <c r="J249" s="2"/>
      <c r="K249" s="2"/>
      <c r="L249" s="2"/>
      <c r="M249" s="2"/>
      <c r="N249" s="2"/>
      <c r="O249" s="2"/>
      <c r="P249" s="2"/>
      <c r="Q249" s="2" t="s">
        <v>1710</v>
      </c>
      <c r="R249" s="2">
        <v>1.0</v>
      </c>
      <c r="S249" s="2"/>
      <c r="T249" s="2"/>
      <c r="U249" s="2"/>
      <c r="V249" s="2"/>
      <c r="W249" s="2"/>
      <c r="X249" s="2"/>
    </row>
    <row r="250">
      <c r="A250" s="116"/>
      <c r="B250" s="44"/>
      <c r="C250" s="2"/>
      <c r="D250" s="2"/>
      <c r="E250" s="2"/>
      <c r="F250" s="2"/>
      <c r="G250" s="2"/>
      <c r="H250" s="2"/>
      <c r="I250" s="2"/>
      <c r="J250" s="2"/>
      <c r="K250" s="2"/>
      <c r="L250" s="2"/>
      <c r="M250" s="2"/>
      <c r="N250" s="2"/>
      <c r="O250" s="2"/>
      <c r="P250" s="2"/>
      <c r="Q250" s="2" t="s">
        <v>1625</v>
      </c>
      <c r="R250" s="2">
        <v>1.0</v>
      </c>
      <c r="S250" s="2"/>
      <c r="T250" s="2"/>
      <c r="U250" s="2"/>
      <c r="V250" s="2"/>
      <c r="W250" s="2"/>
      <c r="X250" s="2"/>
    </row>
    <row r="251">
      <c r="A251" s="116"/>
      <c r="B251" s="44"/>
      <c r="C251" s="2"/>
      <c r="D251" s="2"/>
      <c r="E251" s="2"/>
      <c r="F251" s="2"/>
      <c r="G251" s="2"/>
      <c r="H251" s="2"/>
      <c r="I251" s="2"/>
      <c r="J251" s="2"/>
      <c r="K251" s="2"/>
      <c r="L251" s="2"/>
      <c r="M251" s="2"/>
      <c r="N251" s="2"/>
      <c r="O251" s="2"/>
      <c r="P251" s="2"/>
      <c r="Q251" s="2" t="s">
        <v>1717</v>
      </c>
      <c r="R251" s="2">
        <v>1.0</v>
      </c>
      <c r="S251" s="2"/>
      <c r="T251" s="2"/>
      <c r="U251" s="2"/>
      <c r="V251" s="2"/>
      <c r="W251" s="2"/>
      <c r="X251" s="2"/>
    </row>
    <row r="252">
      <c r="A252" s="116"/>
      <c r="B252" s="44"/>
      <c r="C252" s="2"/>
      <c r="D252" s="2"/>
      <c r="E252" s="2"/>
      <c r="F252" s="2"/>
      <c r="G252" s="2"/>
      <c r="H252" s="2"/>
      <c r="I252" s="2"/>
      <c r="J252" s="2"/>
      <c r="K252" s="2"/>
      <c r="L252" s="2"/>
      <c r="M252" s="2"/>
      <c r="N252" s="2"/>
      <c r="O252" s="2"/>
      <c r="P252" s="2"/>
      <c r="Q252" s="2" t="s">
        <v>1723</v>
      </c>
      <c r="R252" s="2">
        <v>1.0</v>
      </c>
      <c r="S252" s="2"/>
      <c r="T252" s="2"/>
      <c r="U252" s="2"/>
      <c r="V252" s="2"/>
      <c r="W252" s="2"/>
      <c r="X252" s="2"/>
    </row>
    <row r="253">
      <c r="A253" s="116"/>
      <c r="B253" s="44"/>
      <c r="C253" s="2"/>
      <c r="D253" s="2"/>
      <c r="E253" s="2"/>
      <c r="F253" s="2"/>
      <c r="G253" s="2"/>
      <c r="H253" s="2"/>
      <c r="I253" s="2"/>
      <c r="J253" s="2"/>
      <c r="K253" s="2"/>
      <c r="L253" s="2"/>
      <c r="M253" s="2"/>
      <c r="N253" s="2"/>
      <c r="O253" s="2"/>
      <c r="P253" s="2"/>
      <c r="Q253" s="2" t="s">
        <v>1729</v>
      </c>
      <c r="R253" s="2">
        <v>1.0</v>
      </c>
      <c r="S253" s="2"/>
      <c r="T253" s="2"/>
      <c r="U253" s="2"/>
      <c r="V253" s="2"/>
      <c r="W253" s="2"/>
      <c r="X253" s="2"/>
    </row>
    <row r="254">
      <c r="A254" s="116"/>
      <c r="B254" s="44"/>
      <c r="C254" s="2"/>
      <c r="D254" s="2"/>
      <c r="E254" s="2"/>
      <c r="F254" s="2"/>
      <c r="G254" s="2"/>
      <c r="H254" s="2"/>
      <c r="I254" s="2"/>
      <c r="J254" s="2"/>
      <c r="K254" s="2"/>
      <c r="L254" s="2"/>
      <c r="M254" s="2"/>
      <c r="N254" s="2"/>
      <c r="O254" s="2"/>
      <c r="P254" s="2"/>
      <c r="Q254" s="2" t="s">
        <v>1733</v>
      </c>
      <c r="R254" s="2">
        <v>1.0</v>
      </c>
      <c r="S254" s="2"/>
      <c r="T254" s="2"/>
      <c r="U254" s="2"/>
      <c r="V254" s="2"/>
      <c r="W254" s="2"/>
      <c r="X254" s="2"/>
    </row>
    <row r="255">
      <c r="A255" s="116"/>
      <c r="B255" s="44"/>
      <c r="C255" s="2"/>
      <c r="D255" s="2"/>
      <c r="E255" s="2"/>
      <c r="F255" s="2"/>
      <c r="G255" s="2"/>
      <c r="H255" s="2"/>
      <c r="I255" s="2"/>
      <c r="J255" s="2"/>
      <c r="K255" s="2"/>
      <c r="L255" s="2"/>
      <c r="M255" s="2"/>
      <c r="N255" s="2"/>
      <c r="O255" s="2"/>
      <c r="P255" s="2"/>
      <c r="Q255" s="2" t="s">
        <v>1739</v>
      </c>
      <c r="R255" s="2">
        <v>1.0</v>
      </c>
      <c r="S255" s="2"/>
      <c r="T255" s="2"/>
      <c r="U255" s="2"/>
      <c r="V255" s="2"/>
      <c r="W255" s="2"/>
      <c r="X255" s="2"/>
    </row>
    <row r="256">
      <c r="A256" s="116"/>
      <c r="B256" s="44"/>
      <c r="C256" s="2"/>
      <c r="D256" s="2"/>
      <c r="E256" s="2"/>
      <c r="F256" s="2"/>
      <c r="G256" s="2"/>
      <c r="H256" s="2"/>
      <c r="I256" s="2"/>
      <c r="J256" s="2"/>
      <c r="K256" s="2"/>
      <c r="L256" s="2"/>
      <c r="M256" s="2"/>
      <c r="N256" s="2"/>
      <c r="O256" s="2"/>
      <c r="P256" s="2"/>
      <c r="Q256" s="2" t="s">
        <v>1744</v>
      </c>
      <c r="R256" s="2">
        <v>1.0</v>
      </c>
      <c r="S256" s="2"/>
      <c r="T256" s="2"/>
      <c r="U256" s="2"/>
      <c r="V256" s="2"/>
      <c r="W256" s="2"/>
      <c r="X256" s="2"/>
    </row>
    <row r="257">
      <c r="A257" s="116"/>
      <c r="B257" s="44"/>
      <c r="C257" s="2"/>
      <c r="D257" s="2"/>
      <c r="E257" s="2"/>
      <c r="F257" s="2"/>
      <c r="G257" s="2"/>
      <c r="H257" s="2"/>
      <c r="I257" s="2"/>
      <c r="J257" s="2"/>
      <c r="K257" s="2"/>
      <c r="L257" s="2"/>
      <c r="M257" s="2"/>
      <c r="N257" s="2"/>
      <c r="O257" s="2"/>
      <c r="P257" s="2"/>
      <c r="Q257" s="2" t="s">
        <v>1750</v>
      </c>
      <c r="R257" s="2">
        <v>1.0</v>
      </c>
      <c r="S257" s="2"/>
      <c r="T257" s="2"/>
      <c r="U257" s="2"/>
      <c r="V257" s="2"/>
      <c r="W257" s="2"/>
      <c r="X257" s="2"/>
    </row>
    <row r="258">
      <c r="A258" s="116"/>
      <c r="B258" s="44"/>
      <c r="C258" s="2"/>
      <c r="D258" s="2"/>
      <c r="E258" s="2"/>
      <c r="F258" s="2"/>
      <c r="G258" s="2"/>
      <c r="H258" s="2"/>
      <c r="I258" s="2"/>
      <c r="J258" s="2"/>
      <c r="K258" s="2"/>
      <c r="L258" s="2"/>
      <c r="M258" s="2"/>
      <c r="N258" s="2"/>
      <c r="O258" s="2"/>
      <c r="P258" s="2"/>
      <c r="Q258" s="2" t="s">
        <v>1756</v>
      </c>
      <c r="R258" s="2">
        <v>1.0</v>
      </c>
      <c r="S258" s="2"/>
      <c r="T258" s="2"/>
      <c r="U258" s="2"/>
      <c r="V258" s="2"/>
      <c r="W258" s="2"/>
      <c r="X258" s="2"/>
    </row>
    <row r="259">
      <c r="A259" s="116"/>
      <c r="B259" s="44"/>
      <c r="C259" s="2"/>
      <c r="D259" s="2"/>
      <c r="E259" s="2"/>
      <c r="F259" s="2"/>
      <c r="G259" s="2"/>
      <c r="H259" s="2"/>
      <c r="I259" s="2"/>
      <c r="J259" s="2"/>
      <c r="K259" s="2"/>
      <c r="L259" s="2"/>
      <c r="M259" s="2"/>
      <c r="N259" s="2"/>
      <c r="O259" s="2"/>
      <c r="P259" s="2"/>
      <c r="Q259" s="2" t="s">
        <v>1762</v>
      </c>
      <c r="R259" s="2">
        <v>1.0</v>
      </c>
      <c r="S259" s="2"/>
      <c r="T259" s="2"/>
      <c r="U259" s="2"/>
      <c r="V259" s="2"/>
      <c r="W259" s="2"/>
      <c r="X259" s="2"/>
    </row>
    <row r="260">
      <c r="A260" s="116"/>
      <c r="B260" s="44"/>
      <c r="C260" s="2"/>
      <c r="D260" s="2"/>
      <c r="E260" s="2"/>
      <c r="F260" s="2"/>
      <c r="G260" s="2"/>
      <c r="H260" s="2"/>
      <c r="I260" s="2"/>
      <c r="J260" s="2"/>
      <c r="K260" s="2"/>
      <c r="L260" s="2"/>
      <c r="M260" s="2"/>
      <c r="N260" s="2"/>
      <c r="O260" s="2"/>
      <c r="P260" s="2"/>
      <c r="Q260" s="2" t="s">
        <v>1767</v>
      </c>
      <c r="R260" s="2">
        <v>1.0</v>
      </c>
      <c r="S260" s="2"/>
      <c r="T260" s="2"/>
      <c r="U260" s="2"/>
      <c r="V260" s="2"/>
      <c r="W260" s="2"/>
      <c r="X260" s="2"/>
    </row>
    <row r="261">
      <c r="A261" s="116"/>
      <c r="B261" s="44"/>
      <c r="C261" s="2"/>
      <c r="D261" s="2"/>
      <c r="E261" s="2"/>
      <c r="F261" s="2"/>
      <c r="G261" s="2"/>
      <c r="H261" s="2"/>
      <c r="I261" s="2"/>
      <c r="J261" s="2"/>
      <c r="K261" s="2"/>
      <c r="L261" s="2"/>
      <c r="M261" s="2"/>
      <c r="N261" s="2"/>
      <c r="O261" s="2"/>
      <c r="P261" s="2"/>
      <c r="Q261" s="2" t="s">
        <v>1770</v>
      </c>
      <c r="R261" s="2">
        <v>1.0</v>
      </c>
      <c r="S261" s="2"/>
      <c r="T261" s="2"/>
      <c r="U261" s="2"/>
      <c r="V261" s="2"/>
      <c r="W261" s="2"/>
      <c r="X261" s="2"/>
    </row>
    <row r="262">
      <c r="A262" s="116"/>
      <c r="B262" s="44"/>
      <c r="C262" s="2"/>
      <c r="D262" s="2"/>
      <c r="E262" s="2"/>
      <c r="F262" s="2"/>
      <c r="G262" s="2"/>
      <c r="H262" s="2"/>
      <c r="I262" s="2"/>
      <c r="J262" s="2"/>
      <c r="K262" s="2"/>
      <c r="L262" s="2"/>
      <c r="M262" s="2"/>
      <c r="N262" s="2"/>
      <c r="O262" s="2"/>
      <c r="P262" s="2"/>
      <c r="Q262" s="2" t="s">
        <v>1775</v>
      </c>
      <c r="R262" s="2">
        <v>1.0</v>
      </c>
      <c r="S262" s="2"/>
      <c r="T262" s="2"/>
      <c r="U262" s="2"/>
      <c r="V262" s="2"/>
      <c r="W262" s="2"/>
      <c r="X262" s="2"/>
    </row>
    <row r="263">
      <c r="A263" s="116"/>
      <c r="B263" s="44"/>
      <c r="C263" s="2"/>
      <c r="D263" s="2"/>
      <c r="E263" s="2"/>
      <c r="F263" s="2"/>
      <c r="G263" s="2"/>
      <c r="H263" s="2"/>
      <c r="I263" s="2"/>
      <c r="J263" s="2"/>
      <c r="K263" s="2"/>
      <c r="L263" s="2"/>
      <c r="M263" s="2"/>
      <c r="N263" s="2"/>
      <c r="O263" s="2"/>
      <c r="P263" s="2"/>
      <c r="Q263" s="2" t="s">
        <v>1780</v>
      </c>
      <c r="R263" s="2">
        <v>1.0</v>
      </c>
      <c r="S263" s="2"/>
      <c r="T263" s="2"/>
      <c r="U263" s="2"/>
      <c r="V263" s="2"/>
      <c r="W263" s="2"/>
      <c r="X263" s="2"/>
    </row>
    <row r="264">
      <c r="A264" s="116"/>
      <c r="B264" s="44"/>
      <c r="C264" s="2"/>
      <c r="D264" s="2"/>
      <c r="E264" s="2"/>
      <c r="F264" s="2"/>
      <c r="G264" s="2"/>
      <c r="H264" s="2"/>
      <c r="I264" s="2"/>
      <c r="J264" s="2"/>
      <c r="K264" s="2"/>
      <c r="L264" s="2"/>
      <c r="M264" s="2"/>
      <c r="N264" s="2"/>
      <c r="O264" s="2"/>
      <c r="P264" s="2"/>
      <c r="Q264" s="2" t="s">
        <v>1802</v>
      </c>
      <c r="R264" s="2">
        <v>1.0</v>
      </c>
      <c r="S264" s="2"/>
      <c r="T264" s="2"/>
      <c r="U264" s="2"/>
      <c r="V264" s="2"/>
      <c r="W264" s="2"/>
      <c r="X264" s="2"/>
    </row>
    <row r="265">
      <c r="A265" s="116"/>
      <c r="B265" s="44"/>
      <c r="C265" s="2"/>
      <c r="D265" s="2"/>
      <c r="E265" s="2"/>
      <c r="F265" s="2"/>
      <c r="G265" s="2"/>
      <c r="H265" s="2"/>
      <c r="I265" s="2"/>
      <c r="J265" s="2"/>
      <c r="K265" s="2"/>
      <c r="L265" s="2"/>
      <c r="M265" s="2"/>
      <c r="N265" s="2"/>
      <c r="O265" s="2"/>
      <c r="P265" s="2"/>
      <c r="Q265" s="2" t="s">
        <v>1806</v>
      </c>
      <c r="R265" s="2">
        <v>1.0</v>
      </c>
      <c r="S265" s="2"/>
      <c r="T265" s="2"/>
      <c r="U265" s="2"/>
      <c r="V265" s="2"/>
      <c r="W265" s="2"/>
      <c r="X265" s="2"/>
    </row>
    <row r="266">
      <c r="A266" s="116"/>
      <c r="B266" s="44"/>
      <c r="C266" s="2"/>
      <c r="D266" s="2"/>
      <c r="E266" s="2"/>
      <c r="F266" s="2"/>
      <c r="G266" s="2"/>
      <c r="H266" s="2"/>
      <c r="I266" s="2"/>
      <c r="J266" s="2"/>
      <c r="K266" s="2"/>
      <c r="L266" s="2"/>
      <c r="M266" s="2"/>
      <c r="N266" s="2"/>
      <c r="O266" s="2"/>
      <c r="P266" s="2"/>
      <c r="Q266" s="2" t="s">
        <v>1813</v>
      </c>
      <c r="R266" s="2">
        <v>1.0</v>
      </c>
      <c r="S266" s="2"/>
      <c r="T266" s="2"/>
      <c r="U266" s="2"/>
      <c r="V266" s="2"/>
      <c r="W266" s="2"/>
      <c r="X266" s="2"/>
    </row>
    <row r="267">
      <c r="A267" s="116"/>
      <c r="B267" s="44"/>
      <c r="C267" s="2"/>
      <c r="D267" s="2"/>
      <c r="E267" s="2"/>
      <c r="F267" s="2"/>
      <c r="G267" s="2"/>
      <c r="H267" s="2"/>
      <c r="I267" s="2"/>
      <c r="J267" s="2"/>
      <c r="K267" s="2"/>
      <c r="L267" s="2"/>
      <c r="M267" s="2"/>
      <c r="N267" s="2"/>
      <c r="O267" s="2"/>
      <c r="P267" s="2"/>
      <c r="Q267" s="2" t="s">
        <v>1820</v>
      </c>
      <c r="R267" s="2">
        <v>1.0</v>
      </c>
      <c r="S267" s="2"/>
      <c r="T267" s="2"/>
      <c r="U267" s="2"/>
      <c r="V267" s="2"/>
      <c r="W267" s="2"/>
      <c r="X267" s="2"/>
    </row>
    <row r="268">
      <c r="A268" s="116"/>
      <c r="B268" s="44"/>
      <c r="C268" s="2"/>
      <c r="D268" s="2"/>
      <c r="E268" s="2"/>
      <c r="F268" s="2"/>
      <c r="G268" s="2"/>
      <c r="H268" s="2"/>
      <c r="I268" s="2"/>
      <c r="J268" s="2"/>
      <c r="K268" s="2"/>
      <c r="L268" s="2"/>
      <c r="M268" s="2"/>
      <c r="N268" s="2"/>
      <c r="O268" s="2"/>
      <c r="P268" s="2"/>
      <c r="Q268" s="2" t="s">
        <v>1823</v>
      </c>
      <c r="R268" s="2">
        <v>1.0</v>
      </c>
      <c r="S268" s="2"/>
      <c r="T268" s="2"/>
      <c r="U268" s="2"/>
      <c r="V268" s="2"/>
      <c r="W268" s="2"/>
      <c r="X268" s="2"/>
    </row>
    <row r="269">
      <c r="A269" s="116"/>
      <c r="B269" s="44"/>
      <c r="C269" s="2"/>
      <c r="D269" s="2"/>
      <c r="E269" s="2"/>
      <c r="F269" s="2"/>
      <c r="G269" s="2"/>
      <c r="H269" s="2"/>
      <c r="I269" s="2"/>
      <c r="J269" s="2"/>
      <c r="K269" s="2"/>
      <c r="L269" s="2"/>
      <c r="M269" s="2"/>
      <c r="N269" s="2"/>
      <c r="O269" s="2"/>
      <c r="P269" s="2"/>
      <c r="Q269" s="2" t="s">
        <v>1829</v>
      </c>
      <c r="R269" s="2">
        <v>1.0</v>
      </c>
      <c r="S269" s="2"/>
      <c r="T269" s="2"/>
      <c r="U269" s="2"/>
      <c r="V269" s="2"/>
      <c r="W269" s="2"/>
      <c r="X269" s="2"/>
    </row>
    <row r="270">
      <c r="A270" s="116"/>
      <c r="B270" s="44"/>
      <c r="C270" s="2"/>
      <c r="D270" s="2"/>
      <c r="E270" s="2"/>
      <c r="F270" s="2"/>
      <c r="G270" s="2"/>
      <c r="H270" s="2"/>
      <c r="I270" s="2"/>
      <c r="J270" s="2"/>
      <c r="K270" s="2"/>
      <c r="L270" s="2"/>
      <c r="M270" s="2"/>
      <c r="N270" s="2"/>
      <c r="O270" s="2"/>
      <c r="P270" s="2"/>
      <c r="Q270" s="2" t="s">
        <v>1836</v>
      </c>
      <c r="R270" s="2">
        <v>1.0</v>
      </c>
      <c r="S270" s="2"/>
      <c r="T270" s="2"/>
      <c r="U270" s="2"/>
      <c r="V270" s="2"/>
      <c r="W270" s="2"/>
      <c r="X270" s="2"/>
    </row>
    <row r="271">
      <c r="A271" s="116"/>
      <c r="B271" s="44"/>
      <c r="C271" s="2"/>
      <c r="D271" s="2"/>
      <c r="E271" s="2"/>
      <c r="F271" s="2"/>
      <c r="G271" s="2"/>
      <c r="H271" s="2"/>
      <c r="I271" s="2"/>
      <c r="J271" s="2"/>
      <c r="K271" s="2"/>
      <c r="L271" s="2"/>
      <c r="M271" s="2"/>
      <c r="N271" s="2"/>
      <c r="O271" s="2"/>
      <c r="P271" s="2"/>
      <c r="Q271" s="2" t="s">
        <v>1841</v>
      </c>
      <c r="R271" s="2">
        <v>1.0</v>
      </c>
      <c r="S271" s="2"/>
      <c r="T271" s="2"/>
      <c r="U271" s="2"/>
      <c r="V271" s="2"/>
      <c r="W271" s="2"/>
      <c r="X271" s="2"/>
    </row>
    <row r="272">
      <c r="A272" s="116"/>
      <c r="B272" s="44"/>
      <c r="C272" s="2"/>
      <c r="D272" s="2"/>
      <c r="E272" s="2"/>
      <c r="F272" s="2"/>
      <c r="G272" s="2"/>
      <c r="H272" s="2"/>
      <c r="I272" s="2"/>
      <c r="J272" s="2"/>
      <c r="K272" s="2"/>
      <c r="L272" s="2"/>
      <c r="M272" s="2"/>
      <c r="N272" s="2"/>
      <c r="O272" s="2"/>
      <c r="P272" s="2"/>
      <c r="Q272" s="2" t="s">
        <v>1848</v>
      </c>
      <c r="R272" s="2">
        <v>1.0</v>
      </c>
      <c r="S272" s="2"/>
      <c r="T272" s="2"/>
      <c r="U272" s="2"/>
      <c r="V272" s="2"/>
      <c r="W272" s="2"/>
      <c r="X272" s="2"/>
    </row>
    <row r="273">
      <c r="A273" s="116"/>
      <c r="B273" s="44"/>
      <c r="C273" s="2"/>
      <c r="D273" s="2"/>
      <c r="E273" s="2"/>
      <c r="F273" s="2"/>
      <c r="G273" s="2"/>
      <c r="H273" s="2"/>
      <c r="I273" s="2"/>
      <c r="J273" s="2"/>
      <c r="K273" s="2"/>
      <c r="L273" s="2"/>
      <c r="M273" s="2"/>
      <c r="N273" s="2"/>
      <c r="O273" s="2"/>
      <c r="P273" s="2"/>
      <c r="Q273" s="2" t="s">
        <v>1854</v>
      </c>
      <c r="R273" s="2">
        <v>1.0</v>
      </c>
      <c r="S273" s="2"/>
      <c r="T273" s="2"/>
      <c r="U273" s="2"/>
      <c r="V273" s="2"/>
      <c r="W273" s="2"/>
      <c r="X273" s="2"/>
    </row>
    <row r="274">
      <c r="A274" s="116"/>
      <c r="B274" s="44"/>
      <c r="C274" s="2"/>
      <c r="D274" s="2"/>
      <c r="E274" s="2"/>
      <c r="F274" s="2"/>
      <c r="G274" s="2"/>
      <c r="H274" s="2"/>
      <c r="I274" s="2"/>
      <c r="J274" s="2"/>
      <c r="K274" s="2"/>
      <c r="L274" s="2"/>
      <c r="M274" s="2"/>
      <c r="N274" s="2"/>
      <c r="O274" s="2"/>
      <c r="P274" s="2"/>
      <c r="Q274" s="2" t="s">
        <v>1860</v>
      </c>
      <c r="R274" s="2">
        <v>1.0</v>
      </c>
      <c r="S274" s="2"/>
      <c r="T274" s="2"/>
      <c r="U274" s="2"/>
      <c r="V274" s="2"/>
      <c r="W274" s="2"/>
      <c r="X274" s="2"/>
    </row>
    <row r="275">
      <c r="A275" s="116"/>
      <c r="B275" s="44"/>
      <c r="C275" s="2"/>
      <c r="D275" s="2"/>
      <c r="E275" s="2"/>
      <c r="F275" s="2"/>
      <c r="G275" s="2"/>
      <c r="H275" s="2"/>
      <c r="I275" s="2"/>
      <c r="J275" s="2"/>
      <c r="K275" s="2"/>
      <c r="L275" s="2"/>
      <c r="M275" s="2"/>
      <c r="N275" s="2"/>
      <c r="O275" s="2"/>
      <c r="P275" s="2"/>
      <c r="Q275" s="2" t="s">
        <v>1865</v>
      </c>
      <c r="R275" s="2">
        <v>1.0</v>
      </c>
      <c r="S275" s="2"/>
      <c r="T275" s="2"/>
      <c r="U275" s="2"/>
      <c r="V275" s="2"/>
      <c r="W275" s="2"/>
      <c r="X275" s="2"/>
    </row>
    <row r="276">
      <c r="A276" s="116"/>
      <c r="B276" s="44"/>
      <c r="C276" s="2"/>
      <c r="D276" s="2"/>
      <c r="E276" s="2"/>
      <c r="F276" s="2"/>
      <c r="G276" s="2"/>
      <c r="H276" s="2"/>
      <c r="I276" s="2"/>
      <c r="J276" s="2"/>
      <c r="K276" s="2"/>
      <c r="L276" s="2"/>
      <c r="M276" s="2"/>
      <c r="N276" s="2"/>
      <c r="O276" s="2"/>
      <c r="P276" s="2"/>
      <c r="Q276" s="2" t="s">
        <v>1870</v>
      </c>
      <c r="R276" s="2">
        <v>1.0</v>
      </c>
      <c r="S276" s="2"/>
      <c r="T276" s="2"/>
      <c r="U276" s="2"/>
      <c r="V276" s="2"/>
      <c r="W276" s="2"/>
      <c r="X276" s="2"/>
    </row>
    <row r="277">
      <c r="A277" s="116"/>
      <c r="B277" s="44"/>
      <c r="C277" s="2"/>
      <c r="D277" s="2"/>
      <c r="E277" s="2"/>
      <c r="F277" s="2"/>
      <c r="G277" s="2"/>
      <c r="H277" s="2"/>
      <c r="I277" s="2"/>
      <c r="J277" s="2"/>
      <c r="K277" s="2"/>
      <c r="L277" s="2"/>
      <c r="M277" s="2"/>
      <c r="N277" s="2"/>
      <c r="O277" s="2"/>
      <c r="P277" s="2"/>
      <c r="Q277" s="2" t="s">
        <v>1876</v>
      </c>
      <c r="R277" s="2">
        <v>1.0</v>
      </c>
      <c r="S277" s="2"/>
      <c r="T277" s="2"/>
      <c r="U277" s="2"/>
      <c r="V277" s="2"/>
      <c r="W277" s="2"/>
      <c r="X277" s="2"/>
    </row>
    <row r="278">
      <c r="A278" s="116"/>
      <c r="B278" s="44"/>
      <c r="C278" s="2"/>
      <c r="D278" s="2"/>
      <c r="E278" s="2"/>
      <c r="F278" s="2"/>
      <c r="G278" s="2"/>
      <c r="H278" s="2"/>
      <c r="I278" s="2"/>
      <c r="J278" s="2"/>
      <c r="K278" s="2"/>
      <c r="L278" s="2"/>
      <c r="M278" s="2"/>
      <c r="N278" s="2"/>
      <c r="O278" s="2"/>
      <c r="P278" s="2"/>
      <c r="Q278" s="2" t="s">
        <v>1881</v>
      </c>
      <c r="R278" s="2">
        <v>2.0</v>
      </c>
      <c r="S278" s="2"/>
      <c r="T278" s="2"/>
      <c r="U278" s="2"/>
      <c r="V278" s="2"/>
      <c r="W278" s="2"/>
      <c r="X278" s="2"/>
    </row>
    <row r="279">
      <c r="A279" s="116"/>
      <c r="B279" s="44"/>
      <c r="C279" s="2"/>
      <c r="D279" s="2"/>
      <c r="E279" s="2"/>
      <c r="F279" s="2"/>
      <c r="G279" s="2"/>
      <c r="H279" s="2"/>
      <c r="I279" s="2"/>
      <c r="J279" s="2"/>
      <c r="K279" s="2"/>
      <c r="L279" s="2"/>
      <c r="M279" s="2"/>
      <c r="N279" s="2"/>
      <c r="O279" s="2"/>
      <c r="P279" s="2"/>
      <c r="Q279" s="2" t="s">
        <v>1887</v>
      </c>
      <c r="R279" s="2">
        <v>1.0</v>
      </c>
      <c r="S279" s="2"/>
      <c r="T279" s="2"/>
      <c r="U279" s="2"/>
      <c r="V279" s="2"/>
      <c r="W279" s="2"/>
      <c r="X279" s="2"/>
    </row>
    <row r="280">
      <c r="A280" s="116"/>
      <c r="B280" s="44"/>
      <c r="C280" s="2"/>
      <c r="D280" s="2"/>
      <c r="E280" s="2"/>
      <c r="F280" s="2"/>
      <c r="G280" s="2"/>
      <c r="H280" s="2"/>
      <c r="I280" s="2"/>
      <c r="J280" s="2"/>
      <c r="K280" s="2"/>
      <c r="L280" s="2"/>
      <c r="M280" s="2"/>
      <c r="N280" s="2"/>
      <c r="O280" s="2"/>
      <c r="P280" s="2"/>
      <c r="Q280" s="2" t="s">
        <v>1892</v>
      </c>
      <c r="R280" s="2">
        <v>1.0</v>
      </c>
      <c r="S280" s="2"/>
      <c r="T280" s="2"/>
      <c r="U280" s="2"/>
      <c r="V280" s="2"/>
      <c r="W280" s="2"/>
      <c r="X280" s="2"/>
    </row>
    <row r="281">
      <c r="A281" s="116"/>
      <c r="B281" s="44"/>
      <c r="C281" s="2"/>
      <c r="D281" s="2"/>
      <c r="E281" s="2"/>
      <c r="F281" s="2"/>
      <c r="G281" s="2"/>
      <c r="H281" s="2"/>
      <c r="I281" s="2"/>
      <c r="J281" s="2"/>
      <c r="K281" s="2"/>
      <c r="L281" s="2"/>
      <c r="M281" s="2"/>
      <c r="N281" s="2"/>
      <c r="O281" s="2"/>
      <c r="P281" s="2"/>
      <c r="Q281" s="2" t="s">
        <v>1898</v>
      </c>
      <c r="R281" s="2">
        <v>1.0</v>
      </c>
      <c r="S281" s="2"/>
      <c r="T281" s="2"/>
      <c r="U281" s="2"/>
      <c r="V281" s="2"/>
      <c r="W281" s="2"/>
      <c r="X281" s="2"/>
    </row>
    <row r="282">
      <c r="A282" s="116"/>
      <c r="B282" s="44"/>
      <c r="C282" s="2"/>
      <c r="D282" s="2"/>
      <c r="E282" s="2"/>
      <c r="F282" s="2"/>
      <c r="G282" s="2"/>
      <c r="H282" s="2"/>
      <c r="I282" s="2"/>
      <c r="J282" s="2"/>
      <c r="K282" s="2"/>
      <c r="L282" s="2"/>
      <c r="M282" s="2"/>
      <c r="N282" s="2"/>
      <c r="O282" s="2"/>
      <c r="P282" s="2"/>
      <c r="Q282" s="2" t="s">
        <v>1905</v>
      </c>
      <c r="R282" s="2">
        <v>1.0</v>
      </c>
      <c r="S282" s="2"/>
      <c r="T282" s="2"/>
      <c r="U282" s="2"/>
      <c r="V282" s="2"/>
      <c r="W282" s="2"/>
      <c r="X282" s="2"/>
    </row>
    <row r="283">
      <c r="A283" s="116"/>
      <c r="B283" s="44"/>
      <c r="C283" s="2"/>
      <c r="D283" s="2"/>
      <c r="E283" s="2"/>
      <c r="F283" s="2"/>
      <c r="G283" s="2"/>
      <c r="H283" s="2"/>
      <c r="I283" s="2"/>
      <c r="J283" s="2"/>
      <c r="K283" s="2"/>
      <c r="L283" s="2"/>
      <c r="M283" s="2"/>
      <c r="N283" s="2"/>
      <c r="O283" s="2"/>
      <c r="P283" s="2"/>
      <c r="Q283" s="2" t="s">
        <v>1911</v>
      </c>
      <c r="R283" s="2">
        <v>1.0</v>
      </c>
      <c r="S283" s="2"/>
      <c r="T283" s="2"/>
      <c r="U283" s="2"/>
      <c r="V283" s="2"/>
      <c r="W283" s="2"/>
      <c r="X283" s="2"/>
    </row>
    <row r="284">
      <c r="A284" s="116"/>
      <c r="B284" s="44"/>
      <c r="C284" s="2"/>
      <c r="D284" s="2"/>
      <c r="E284" s="2"/>
      <c r="F284" s="2"/>
      <c r="G284" s="2"/>
      <c r="H284" s="2"/>
      <c r="I284" s="2"/>
      <c r="J284" s="2"/>
      <c r="K284" s="2"/>
      <c r="L284" s="2"/>
      <c r="M284" s="2"/>
      <c r="N284" s="2"/>
      <c r="O284" s="2"/>
      <c r="P284" s="2"/>
      <c r="Q284" s="2" t="s">
        <v>1915</v>
      </c>
      <c r="R284" s="2">
        <v>1.0</v>
      </c>
      <c r="S284" s="2"/>
      <c r="T284" s="2"/>
      <c r="U284" s="2"/>
      <c r="V284" s="2"/>
      <c r="W284" s="2"/>
      <c r="X284" s="2"/>
    </row>
    <row r="285">
      <c r="A285" s="116"/>
      <c r="B285" s="44"/>
      <c r="C285" s="2"/>
      <c r="D285" s="2"/>
      <c r="E285" s="2"/>
      <c r="F285" s="2"/>
      <c r="G285" s="2"/>
      <c r="H285" s="2"/>
      <c r="I285" s="2"/>
      <c r="J285" s="2"/>
      <c r="K285" s="2"/>
      <c r="L285" s="2"/>
      <c r="M285" s="2"/>
      <c r="N285" s="2"/>
      <c r="O285" s="2"/>
      <c r="P285" s="2"/>
      <c r="Q285" s="2" t="s">
        <v>1919</v>
      </c>
      <c r="R285" s="2">
        <v>1.0</v>
      </c>
      <c r="S285" s="2"/>
      <c r="T285" s="2"/>
      <c r="U285" s="2"/>
      <c r="V285" s="2"/>
      <c r="W285" s="2"/>
      <c r="X285" s="2"/>
    </row>
    <row r="286">
      <c r="A286" s="116"/>
      <c r="B286" s="44"/>
      <c r="C286" s="2"/>
      <c r="D286" s="2"/>
      <c r="E286" s="2"/>
      <c r="F286" s="2"/>
      <c r="G286" s="2"/>
      <c r="H286" s="2"/>
      <c r="I286" s="2"/>
      <c r="J286" s="2"/>
      <c r="K286" s="2"/>
      <c r="L286" s="2"/>
      <c r="M286" s="2"/>
      <c r="N286" s="2"/>
      <c r="O286" s="2"/>
      <c r="P286" s="2"/>
      <c r="Q286" s="2" t="s">
        <v>1925</v>
      </c>
      <c r="R286" s="2">
        <v>1.0</v>
      </c>
      <c r="S286" s="2"/>
      <c r="T286" s="2"/>
      <c r="U286" s="2"/>
      <c r="V286" s="2"/>
      <c r="W286" s="2"/>
      <c r="X286" s="2"/>
    </row>
    <row r="287">
      <c r="A287" s="116"/>
      <c r="B287" s="44"/>
      <c r="C287" s="2"/>
      <c r="D287" s="2"/>
      <c r="E287" s="2"/>
      <c r="F287" s="2"/>
      <c r="G287" s="2"/>
      <c r="H287" s="2"/>
      <c r="I287" s="2"/>
      <c r="J287" s="2"/>
      <c r="K287" s="2"/>
      <c r="L287" s="2"/>
      <c r="M287" s="2"/>
      <c r="N287" s="2"/>
      <c r="O287" s="2"/>
      <c r="P287" s="2"/>
      <c r="Q287" s="2" t="s">
        <v>1929</v>
      </c>
      <c r="R287" s="2">
        <v>1.0</v>
      </c>
      <c r="S287" s="2"/>
      <c r="T287" s="2"/>
      <c r="U287" s="2"/>
      <c r="V287" s="2"/>
      <c r="W287" s="2"/>
      <c r="X287" s="2"/>
    </row>
    <row r="288">
      <c r="A288" s="116"/>
      <c r="B288" s="44"/>
      <c r="C288" s="2"/>
      <c r="D288" s="2"/>
      <c r="E288" s="2"/>
      <c r="F288" s="2"/>
      <c r="G288" s="2"/>
      <c r="H288" s="2"/>
      <c r="I288" s="2"/>
      <c r="J288" s="2"/>
      <c r="K288" s="2"/>
      <c r="L288" s="2"/>
      <c r="M288" s="2"/>
      <c r="N288" s="2"/>
      <c r="O288" s="2"/>
      <c r="P288" s="2"/>
      <c r="Q288" s="2" t="s">
        <v>1932</v>
      </c>
      <c r="R288" s="2">
        <v>1.0</v>
      </c>
      <c r="S288" s="2"/>
      <c r="T288" s="2"/>
      <c r="U288" s="2"/>
      <c r="V288" s="2"/>
      <c r="W288" s="2"/>
      <c r="X288" s="2"/>
    </row>
    <row r="289">
      <c r="A289" s="116"/>
      <c r="B289" s="44"/>
      <c r="C289" s="2"/>
      <c r="D289" s="2"/>
      <c r="E289" s="2"/>
      <c r="F289" s="2"/>
      <c r="G289" s="2"/>
      <c r="H289" s="2"/>
      <c r="I289" s="2"/>
      <c r="J289" s="2"/>
      <c r="K289" s="2"/>
      <c r="L289" s="2"/>
      <c r="M289" s="2"/>
      <c r="N289" s="2"/>
      <c r="O289" s="2"/>
      <c r="P289" s="2"/>
      <c r="Q289" s="2" t="s">
        <v>1933</v>
      </c>
      <c r="R289" s="2">
        <v>1.0</v>
      </c>
      <c r="S289" s="2"/>
      <c r="T289" s="2"/>
      <c r="U289" s="2"/>
      <c r="V289" s="2"/>
      <c r="W289" s="2"/>
      <c r="X289" s="2"/>
    </row>
    <row r="290">
      <c r="A290" s="116"/>
      <c r="B290" s="44"/>
      <c r="C290" s="2"/>
      <c r="D290" s="2"/>
      <c r="E290" s="2"/>
      <c r="F290" s="2"/>
      <c r="G290" s="2"/>
      <c r="H290" s="2"/>
      <c r="I290" s="2"/>
      <c r="J290" s="2"/>
      <c r="K290" s="2"/>
      <c r="L290" s="2"/>
      <c r="M290" s="2"/>
      <c r="N290" s="2"/>
      <c r="O290" s="2"/>
      <c r="P290" s="2"/>
      <c r="Q290" s="2" t="s">
        <v>1936</v>
      </c>
      <c r="R290" s="2">
        <v>1.0</v>
      </c>
      <c r="S290" s="2"/>
      <c r="T290" s="2"/>
      <c r="U290" s="2"/>
      <c r="V290" s="2"/>
      <c r="W290" s="2"/>
      <c r="X290" s="2"/>
    </row>
    <row r="291">
      <c r="A291" s="116"/>
      <c r="B291" s="44"/>
      <c r="C291" s="2"/>
      <c r="D291" s="2"/>
      <c r="E291" s="2"/>
      <c r="F291" s="2"/>
      <c r="G291" s="2"/>
      <c r="H291" s="2"/>
      <c r="I291" s="2"/>
      <c r="J291" s="2"/>
      <c r="K291" s="2"/>
      <c r="L291" s="2"/>
      <c r="M291" s="2"/>
      <c r="N291" s="2"/>
      <c r="O291" s="2"/>
      <c r="P291" s="2"/>
      <c r="Q291" s="2" t="s">
        <v>1943</v>
      </c>
      <c r="R291" s="2">
        <v>1.0</v>
      </c>
      <c r="S291" s="2"/>
      <c r="T291" s="2"/>
      <c r="U291" s="2"/>
      <c r="V291" s="2"/>
      <c r="W291" s="2"/>
      <c r="X291" s="2"/>
    </row>
    <row r="292">
      <c r="A292" s="116"/>
      <c r="B292" s="44"/>
      <c r="C292" s="2"/>
      <c r="D292" s="2"/>
      <c r="E292" s="2"/>
      <c r="F292" s="2"/>
      <c r="G292" s="2"/>
      <c r="H292" s="2"/>
      <c r="I292" s="2"/>
      <c r="J292" s="2"/>
      <c r="K292" s="2"/>
      <c r="L292" s="2"/>
      <c r="M292" s="2"/>
      <c r="N292" s="2"/>
      <c r="O292" s="2"/>
      <c r="P292" s="2"/>
      <c r="Q292" s="2" t="s">
        <v>867</v>
      </c>
      <c r="R292" s="2">
        <v>1.0</v>
      </c>
      <c r="S292" s="2"/>
      <c r="T292" s="2"/>
      <c r="U292" s="2"/>
      <c r="V292" s="2"/>
      <c r="W292" s="2"/>
      <c r="X292" s="2"/>
    </row>
    <row r="293">
      <c r="A293" s="116"/>
      <c r="B293" s="44"/>
      <c r="C293" s="2"/>
      <c r="D293" s="2"/>
      <c r="E293" s="2"/>
      <c r="F293" s="2"/>
      <c r="G293" s="2"/>
      <c r="H293" s="2"/>
      <c r="I293" s="2"/>
      <c r="J293" s="2"/>
      <c r="K293" s="2"/>
      <c r="L293" s="2"/>
      <c r="M293" s="2"/>
      <c r="N293" s="2"/>
      <c r="O293" s="2"/>
      <c r="P293" s="2"/>
      <c r="Q293" s="2" t="s">
        <v>1951</v>
      </c>
      <c r="R293" s="2">
        <v>1.0</v>
      </c>
      <c r="S293" s="2"/>
      <c r="T293" s="2"/>
      <c r="U293" s="2"/>
      <c r="V293" s="2"/>
      <c r="W293" s="2"/>
      <c r="X293" s="2"/>
    </row>
    <row r="294">
      <c r="A294" s="116"/>
      <c r="B294" s="44"/>
      <c r="C294" s="2"/>
      <c r="D294" s="2"/>
      <c r="E294" s="2"/>
      <c r="F294" s="2"/>
      <c r="G294" s="2"/>
      <c r="H294" s="2"/>
      <c r="I294" s="2"/>
      <c r="J294" s="2"/>
      <c r="K294" s="2"/>
      <c r="L294" s="2"/>
      <c r="M294" s="2"/>
      <c r="N294" s="2"/>
      <c r="O294" s="2"/>
      <c r="P294" s="2"/>
      <c r="Q294" s="2" t="s">
        <v>1957</v>
      </c>
      <c r="R294" s="2">
        <v>1.0</v>
      </c>
      <c r="S294" s="2"/>
      <c r="T294" s="2"/>
      <c r="U294" s="2"/>
      <c r="V294" s="2"/>
      <c r="W294" s="2"/>
      <c r="X294" s="2"/>
    </row>
    <row r="295">
      <c r="A295" s="116"/>
      <c r="B295" s="44"/>
      <c r="C295" s="2"/>
      <c r="D295" s="2"/>
      <c r="E295" s="2"/>
      <c r="F295" s="2"/>
      <c r="G295" s="2"/>
      <c r="H295" s="2"/>
      <c r="I295" s="2"/>
      <c r="J295" s="2"/>
      <c r="K295" s="2"/>
      <c r="L295" s="2"/>
      <c r="M295" s="2"/>
      <c r="N295" s="2"/>
      <c r="O295" s="2"/>
      <c r="P295" s="2"/>
      <c r="Q295" s="2" t="s">
        <v>1961</v>
      </c>
      <c r="R295" s="2">
        <v>1.0</v>
      </c>
      <c r="S295" s="2"/>
      <c r="T295" s="2"/>
      <c r="U295" s="2"/>
      <c r="V295" s="2"/>
      <c r="W295" s="2"/>
      <c r="X295" s="2"/>
    </row>
    <row r="296">
      <c r="A296" s="116"/>
      <c r="B296" s="44"/>
      <c r="C296" s="2"/>
      <c r="D296" s="2"/>
      <c r="E296" s="2"/>
      <c r="F296" s="2"/>
      <c r="G296" s="2"/>
      <c r="H296" s="2"/>
      <c r="I296" s="2"/>
      <c r="J296" s="2"/>
      <c r="K296" s="2"/>
      <c r="L296" s="2"/>
      <c r="M296" s="2"/>
      <c r="N296" s="2"/>
      <c r="O296" s="2"/>
      <c r="P296" s="2"/>
      <c r="Q296" s="2" t="s">
        <v>1965</v>
      </c>
      <c r="R296" s="2">
        <v>1.0</v>
      </c>
      <c r="S296" s="2"/>
      <c r="T296" s="2"/>
      <c r="U296" s="2"/>
      <c r="V296" s="2"/>
      <c r="W296" s="2"/>
      <c r="X296" s="2"/>
    </row>
    <row r="297">
      <c r="A297" s="116"/>
      <c r="B297" s="44"/>
      <c r="C297" s="2"/>
      <c r="D297" s="2"/>
      <c r="E297" s="2"/>
      <c r="F297" s="2"/>
      <c r="G297" s="2"/>
      <c r="H297" s="2"/>
      <c r="I297" s="2"/>
      <c r="J297" s="2"/>
      <c r="K297" s="2"/>
      <c r="L297" s="2"/>
      <c r="M297" s="2"/>
      <c r="N297" s="2"/>
      <c r="O297" s="2"/>
      <c r="P297" s="2"/>
      <c r="Q297" s="2" t="s">
        <v>1969</v>
      </c>
      <c r="R297" s="2">
        <v>1.0</v>
      </c>
      <c r="S297" s="2"/>
      <c r="T297" s="2"/>
      <c r="U297" s="2"/>
      <c r="V297" s="2"/>
      <c r="W297" s="2"/>
      <c r="X297" s="2"/>
    </row>
    <row r="298">
      <c r="A298" s="116"/>
      <c r="B298" s="44"/>
      <c r="C298" s="2"/>
      <c r="D298" s="2"/>
      <c r="E298" s="2"/>
      <c r="F298" s="2"/>
      <c r="G298" s="2"/>
      <c r="H298" s="2"/>
      <c r="I298" s="2"/>
      <c r="J298" s="2"/>
      <c r="K298" s="2"/>
      <c r="L298" s="2"/>
      <c r="M298" s="2"/>
      <c r="N298" s="2"/>
      <c r="O298" s="2"/>
      <c r="P298" s="2"/>
      <c r="Q298" s="2" t="s">
        <v>1974</v>
      </c>
      <c r="R298" s="2">
        <v>1.0</v>
      </c>
      <c r="S298" s="2"/>
      <c r="T298" s="2"/>
      <c r="U298" s="2"/>
      <c r="V298" s="2"/>
      <c r="W298" s="2"/>
      <c r="X298" s="2"/>
    </row>
    <row r="299">
      <c r="A299" s="116"/>
      <c r="B299" s="44"/>
      <c r="C299" s="2"/>
      <c r="D299" s="2"/>
      <c r="E299" s="2"/>
      <c r="F299" s="2"/>
      <c r="G299" s="2"/>
      <c r="H299" s="2"/>
      <c r="I299" s="2"/>
      <c r="J299" s="2"/>
      <c r="K299" s="2"/>
      <c r="L299" s="2"/>
      <c r="M299" s="2"/>
      <c r="N299" s="2"/>
      <c r="O299" s="2"/>
      <c r="P299" s="2"/>
      <c r="Q299" s="2" t="s">
        <v>1977</v>
      </c>
      <c r="R299" s="2">
        <v>1.0</v>
      </c>
      <c r="S299" s="2"/>
      <c r="T299" s="2"/>
      <c r="U299" s="2"/>
      <c r="V299" s="2"/>
      <c r="W299" s="2"/>
      <c r="X299" s="2"/>
    </row>
    <row r="300">
      <c r="A300" s="116"/>
      <c r="B300" s="44"/>
      <c r="C300" s="2"/>
      <c r="D300" s="2"/>
      <c r="E300" s="2"/>
      <c r="F300" s="2"/>
      <c r="G300" s="2"/>
      <c r="H300" s="2"/>
      <c r="I300" s="2"/>
      <c r="J300" s="2"/>
      <c r="K300" s="2"/>
      <c r="L300" s="2"/>
      <c r="M300" s="2"/>
      <c r="N300" s="2"/>
      <c r="O300" s="2"/>
      <c r="P300" s="2"/>
      <c r="Q300" s="2" t="s">
        <v>1983</v>
      </c>
      <c r="R300" s="2">
        <v>1.0</v>
      </c>
      <c r="S300" s="2"/>
      <c r="T300" s="2"/>
      <c r="U300" s="2"/>
      <c r="V300" s="2"/>
      <c r="W300" s="2"/>
      <c r="X300" s="2"/>
    </row>
    <row r="301">
      <c r="A301" s="116"/>
      <c r="B301" s="44"/>
      <c r="C301" s="2"/>
      <c r="D301" s="2"/>
      <c r="E301" s="2"/>
      <c r="F301" s="2"/>
      <c r="G301" s="2"/>
      <c r="H301" s="2"/>
      <c r="I301" s="2"/>
      <c r="J301" s="2"/>
      <c r="K301" s="2"/>
      <c r="L301" s="2"/>
      <c r="M301" s="2"/>
      <c r="N301" s="2"/>
      <c r="O301" s="2"/>
      <c r="P301" s="2"/>
      <c r="Q301" s="79" t="s">
        <v>1989</v>
      </c>
      <c r="R301" s="2">
        <v>1.0</v>
      </c>
      <c r="S301" s="2"/>
      <c r="T301" s="2"/>
      <c r="U301" s="2"/>
      <c r="V301" s="2"/>
      <c r="W301" s="2"/>
      <c r="X301" s="2"/>
    </row>
    <row r="302">
      <c r="A302" s="116"/>
      <c r="B302" s="44"/>
      <c r="C302" s="2"/>
      <c r="D302" s="2"/>
      <c r="E302" s="2"/>
      <c r="F302" s="2"/>
      <c r="G302" s="2"/>
      <c r="H302" s="2"/>
      <c r="I302" s="2"/>
      <c r="J302" s="2"/>
      <c r="K302" s="2"/>
      <c r="L302" s="2"/>
      <c r="M302" s="2"/>
      <c r="N302" s="2"/>
      <c r="O302" s="2"/>
      <c r="P302" s="2"/>
      <c r="Q302" s="79" t="s">
        <v>1992</v>
      </c>
      <c r="R302" s="2">
        <v>1.0</v>
      </c>
      <c r="S302" s="2"/>
      <c r="T302" s="2"/>
      <c r="U302" s="2"/>
      <c r="V302" s="2"/>
      <c r="W302" s="2"/>
      <c r="X302" s="2"/>
    </row>
    <row r="303">
      <c r="A303" s="116"/>
      <c r="B303" s="44"/>
      <c r="C303" s="2"/>
      <c r="D303" s="2"/>
      <c r="E303" s="2"/>
      <c r="F303" s="2"/>
      <c r="G303" s="2"/>
      <c r="H303" s="2"/>
      <c r="I303" s="2"/>
      <c r="J303" s="2"/>
      <c r="K303" s="2"/>
      <c r="L303" s="2"/>
      <c r="M303" s="2"/>
      <c r="N303" s="2"/>
      <c r="O303" s="2"/>
      <c r="P303" s="2"/>
      <c r="Q303" s="2" t="s">
        <v>1994</v>
      </c>
      <c r="R303" s="2">
        <v>1.0</v>
      </c>
      <c r="S303" s="2"/>
      <c r="T303" s="2"/>
      <c r="U303" s="2"/>
      <c r="V303" s="2"/>
      <c r="W303" s="2"/>
      <c r="X303" s="2"/>
    </row>
    <row r="304">
      <c r="A304" s="116"/>
      <c r="B304" s="44"/>
      <c r="C304" s="2"/>
      <c r="D304" s="2"/>
      <c r="E304" s="2"/>
      <c r="F304" s="2"/>
      <c r="G304" s="2"/>
      <c r="H304" s="2"/>
      <c r="I304" s="2"/>
      <c r="J304" s="2"/>
      <c r="K304" s="2"/>
      <c r="L304" s="2"/>
      <c r="M304" s="2"/>
      <c r="N304" s="2"/>
      <c r="O304" s="2"/>
      <c r="P304" s="2"/>
      <c r="Q304" s="2" t="s">
        <v>2001</v>
      </c>
      <c r="R304" s="2">
        <v>1.0</v>
      </c>
      <c r="S304" s="2"/>
      <c r="T304" s="2"/>
      <c r="U304" s="2"/>
      <c r="V304" s="2"/>
      <c r="W304" s="2"/>
      <c r="X304" s="2"/>
    </row>
    <row r="305">
      <c r="A305" s="116"/>
      <c r="B305" s="44"/>
      <c r="C305" s="2"/>
      <c r="D305" s="2"/>
      <c r="E305" s="2"/>
      <c r="F305" s="2"/>
      <c r="G305" s="2"/>
      <c r="H305" s="2"/>
      <c r="I305" s="2"/>
      <c r="J305" s="2"/>
      <c r="K305" s="2"/>
      <c r="L305" s="2"/>
      <c r="M305" s="2"/>
      <c r="N305" s="2"/>
      <c r="O305" s="2"/>
      <c r="P305" s="2"/>
      <c r="Q305" s="2" t="s">
        <v>2008</v>
      </c>
      <c r="R305" s="2">
        <v>1.0</v>
      </c>
      <c r="S305" s="2"/>
      <c r="T305" s="2"/>
      <c r="U305" s="2"/>
      <c r="V305" s="2"/>
      <c r="W305" s="2"/>
      <c r="X305" s="2"/>
    </row>
    <row r="306">
      <c r="A306" s="116"/>
      <c r="B306" s="44"/>
      <c r="C306" s="2"/>
      <c r="D306" s="2"/>
      <c r="E306" s="2"/>
      <c r="F306" s="2"/>
      <c r="G306" s="2"/>
      <c r="H306" s="2"/>
      <c r="I306" s="2"/>
      <c r="J306" s="2"/>
      <c r="K306" s="2"/>
      <c r="L306" s="2"/>
      <c r="M306" s="2"/>
      <c r="N306" s="2"/>
      <c r="O306" s="2"/>
      <c r="P306" s="2"/>
      <c r="Q306" s="2" t="s">
        <v>2013</v>
      </c>
      <c r="R306" s="2">
        <v>1.0</v>
      </c>
      <c r="S306" s="2"/>
      <c r="T306" s="2"/>
      <c r="U306" s="2"/>
      <c r="V306" s="2"/>
      <c r="W306" s="2"/>
      <c r="X306" s="2"/>
    </row>
    <row r="307">
      <c r="A307" s="116"/>
      <c r="B307" s="44"/>
      <c r="C307" s="2"/>
      <c r="D307" s="2"/>
      <c r="E307" s="2"/>
      <c r="F307" s="2"/>
      <c r="G307" s="2"/>
      <c r="H307" s="2"/>
      <c r="I307" s="2"/>
      <c r="J307" s="2"/>
      <c r="K307" s="2"/>
      <c r="L307" s="2"/>
      <c r="M307" s="2"/>
      <c r="N307" s="2"/>
      <c r="O307" s="2"/>
      <c r="P307" s="2"/>
      <c r="Q307" s="2" t="s">
        <v>2019</v>
      </c>
      <c r="R307" s="2">
        <v>1.0</v>
      </c>
      <c r="S307" s="2"/>
      <c r="T307" s="2"/>
      <c r="U307" s="2"/>
      <c r="V307" s="2"/>
      <c r="W307" s="2"/>
      <c r="X307" s="2"/>
    </row>
    <row r="308">
      <c r="A308" s="116"/>
      <c r="B308" s="44"/>
      <c r="C308" s="2"/>
      <c r="D308" s="2"/>
      <c r="E308" s="2"/>
      <c r="F308" s="2"/>
      <c r="G308" s="2"/>
      <c r="H308" s="2"/>
      <c r="I308" s="2"/>
      <c r="J308" s="2"/>
      <c r="K308" s="2"/>
      <c r="L308" s="2"/>
      <c r="M308" s="2"/>
      <c r="N308" s="2"/>
      <c r="O308" s="2"/>
      <c r="P308" s="2"/>
      <c r="Q308" s="2" t="s">
        <v>2026</v>
      </c>
      <c r="R308" s="2">
        <v>1.0</v>
      </c>
      <c r="S308" s="2"/>
      <c r="T308" s="2"/>
      <c r="U308" s="2"/>
      <c r="V308" s="2"/>
      <c r="W308" s="2"/>
      <c r="X308" s="2"/>
    </row>
    <row r="309">
      <c r="A309" s="116"/>
      <c r="B309" s="44"/>
      <c r="C309" s="2"/>
      <c r="D309" s="2"/>
      <c r="E309" s="2"/>
      <c r="F309" s="2"/>
      <c r="G309" s="2"/>
      <c r="H309" s="2"/>
      <c r="I309" s="2"/>
      <c r="J309" s="2"/>
      <c r="K309" s="2"/>
      <c r="L309" s="2"/>
      <c r="M309" s="2"/>
      <c r="N309" s="2"/>
      <c r="O309" s="2"/>
      <c r="P309" s="2"/>
      <c r="Q309" s="2" t="s">
        <v>2031</v>
      </c>
      <c r="R309" s="2">
        <v>1.0</v>
      </c>
      <c r="S309" s="2"/>
      <c r="T309" s="2"/>
      <c r="U309" s="2"/>
      <c r="V309" s="2"/>
      <c r="W309" s="2"/>
      <c r="X309" s="2"/>
    </row>
    <row r="310">
      <c r="A310" s="116"/>
      <c r="B310" s="44"/>
      <c r="C310" s="2"/>
      <c r="D310" s="2"/>
      <c r="E310" s="2"/>
      <c r="F310" s="2"/>
      <c r="G310" s="2"/>
      <c r="H310" s="2"/>
      <c r="I310" s="2"/>
      <c r="J310" s="2"/>
      <c r="K310" s="2"/>
      <c r="L310" s="2"/>
      <c r="M310" s="2"/>
      <c r="N310" s="2"/>
      <c r="O310" s="2"/>
      <c r="P310" s="2"/>
      <c r="Q310" s="2" t="s">
        <v>2037</v>
      </c>
      <c r="R310" s="2">
        <v>1.0</v>
      </c>
      <c r="S310" s="2"/>
      <c r="T310" s="2"/>
      <c r="U310" s="2"/>
      <c r="V310" s="2"/>
      <c r="W310" s="2"/>
      <c r="X310" s="2"/>
    </row>
    <row r="311">
      <c r="A311" s="116"/>
      <c r="B311" s="44"/>
      <c r="C311" s="2"/>
      <c r="D311" s="2"/>
      <c r="E311" s="2"/>
      <c r="F311" s="2"/>
      <c r="G311" s="2"/>
      <c r="H311" s="2"/>
      <c r="I311" s="2"/>
      <c r="J311" s="2"/>
      <c r="K311" s="2"/>
      <c r="L311" s="2"/>
      <c r="M311" s="2"/>
      <c r="N311" s="2"/>
      <c r="O311" s="2"/>
      <c r="P311" s="2"/>
      <c r="Q311" s="2" t="s">
        <v>2042</v>
      </c>
      <c r="R311" s="2">
        <v>1.0</v>
      </c>
      <c r="S311" s="2"/>
      <c r="T311" s="2"/>
      <c r="U311" s="2"/>
      <c r="V311" s="2"/>
      <c r="W311" s="2"/>
      <c r="X311" s="2"/>
    </row>
    <row r="312">
      <c r="A312" s="116"/>
      <c r="B312" s="44"/>
      <c r="C312" s="2"/>
      <c r="D312" s="2"/>
      <c r="E312" s="2"/>
      <c r="F312" s="2"/>
      <c r="G312" s="2"/>
      <c r="H312" s="2"/>
      <c r="I312" s="2"/>
      <c r="J312" s="2"/>
      <c r="K312" s="2"/>
      <c r="L312" s="2"/>
      <c r="M312" s="2"/>
      <c r="N312" s="2"/>
      <c r="O312" s="2"/>
      <c r="P312" s="2"/>
      <c r="Q312" s="2" t="s">
        <v>2048</v>
      </c>
      <c r="R312" s="2">
        <v>1.0</v>
      </c>
      <c r="S312" s="2"/>
      <c r="T312" s="2"/>
      <c r="U312" s="2"/>
      <c r="V312" s="2"/>
      <c r="W312" s="2"/>
      <c r="X312" s="2"/>
    </row>
    <row r="313">
      <c r="A313" s="116"/>
      <c r="B313" s="44"/>
      <c r="C313" s="2"/>
      <c r="D313" s="2"/>
      <c r="E313" s="2"/>
      <c r="F313" s="2"/>
      <c r="G313" s="2"/>
      <c r="H313" s="2"/>
      <c r="I313" s="2"/>
      <c r="J313" s="2"/>
      <c r="K313" s="2"/>
      <c r="L313" s="2"/>
      <c r="M313" s="2"/>
      <c r="N313" s="2"/>
      <c r="O313" s="2"/>
      <c r="P313" s="2"/>
      <c r="Q313" s="2" t="s">
        <v>2055</v>
      </c>
      <c r="R313" s="2">
        <v>1.0</v>
      </c>
      <c r="S313" s="2"/>
      <c r="T313" s="2"/>
      <c r="U313" s="2"/>
      <c r="V313" s="2"/>
      <c r="W313" s="2"/>
      <c r="X313" s="2"/>
    </row>
    <row r="314">
      <c r="A314" s="116"/>
      <c r="B314" s="44"/>
      <c r="C314" s="2"/>
      <c r="D314" s="2"/>
      <c r="E314" s="2"/>
      <c r="F314" s="2"/>
      <c r="G314" s="2"/>
      <c r="H314" s="2"/>
      <c r="I314" s="2"/>
      <c r="J314" s="2"/>
      <c r="K314" s="2"/>
      <c r="L314" s="2"/>
      <c r="M314" s="2"/>
      <c r="N314" s="2"/>
      <c r="O314" s="2"/>
      <c r="P314" s="2"/>
      <c r="Q314" s="2" t="s">
        <v>2060</v>
      </c>
      <c r="R314" s="2">
        <v>1.0</v>
      </c>
      <c r="S314" s="2"/>
      <c r="T314" s="2"/>
      <c r="U314" s="2"/>
      <c r="V314" s="2"/>
      <c r="W314" s="2"/>
      <c r="X314" s="2"/>
    </row>
    <row r="315">
      <c r="A315" s="116"/>
      <c r="B315" s="44"/>
      <c r="C315" s="2"/>
      <c r="D315" s="2"/>
      <c r="E315" s="2"/>
      <c r="F315" s="2"/>
      <c r="G315" s="2"/>
      <c r="H315" s="2"/>
      <c r="I315" s="2"/>
      <c r="J315" s="2"/>
      <c r="K315" s="2"/>
      <c r="L315" s="2"/>
      <c r="M315" s="2"/>
      <c r="N315" s="2"/>
      <c r="O315" s="2"/>
      <c r="P315" s="2"/>
      <c r="Q315" s="2" t="s">
        <v>2067</v>
      </c>
      <c r="R315" s="2">
        <v>1.0</v>
      </c>
      <c r="S315" s="2"/>
      <c r="T315" s="2"/>
      <c r="U315" s="2"/>
      <c r="V315" s="2"/>
      <c r="W315" s="2"/>
      <c r="X315" s="2"/>
    </row>
    <row r="316">
      <c r="A316" s="116"/>
      <c r="B316" s="44"/>
      <c r="C316" s="2"/>
      <c r="D316" s="2"/>
      <c r="E316" s="2"/>
      <c r="F316" s="2"/>
      <c r="G316" s="2"/>
      <c r="H316" s="2"/>
      <c r="I316" s="2"/>
      <c r="J316" s="2"/>
      <c r="K316" s="2"/>
      <c r="L316" s="2"/>
      <c r="M316" s="2"/>
      <c r="N316" s="2"/>
      <c r="O316" s="2"/>
      <c r="P316" s="2"/>
      <c r="Q316" s="2" t="s">
        <v>2074</v>
      </c>
      <c r="R316" s="2">
        <v>1.0</v>
      </c>
      <c r="S316" s="2"/>
      <c r="T316" s="2"/>
      <c r="U316" s="2"/>
      <c r="V316" s="2"/>
      <c r="W316" s="2"/>
      <c r="X316" s="2"/>
    </row>
    <row r="317">
      <c r="A317" s="116"/>
      <c r="B317" s="44"/>
      <c r="C317" s="2"/>
      <c r="D317" s="2"/>
      <c r="E317" s="2"/>
      <c r="F317" s="2"/>
      <c r="G317" s="2"/>
      <c r="H317" s="2"/>
      <c r="I317" s="2"/>
      <c r="J317" s="2"/>
      <c r="K317" s="2"/>
      <c r="L317" s="2"/>
      <c r="M317" s="2"/>
      <c r="N317" s="2"/>
      <c r="O317" s="2"/>
      <c r="P317" s="2"/>
      <c r="Q317" s="2" t="s">
        <v>2078</v>
      </c>
      <c r="R317" s="2">
        <v>1.0</v>
      </c>
      <c r="S317" s="2"/>
      <c r="T317" s="2"/>
      <c r="U317" s="2"/>
      <c r="V317" s="2"/>
      <c r="W317" s="2"/>
      <c r="X317" s="2"/>
    </row>
    <row r="318">
      <c r="A318" s="116"/>
      <c r="B318" s="44"/>
      <c r="C318" s="2"/>
      <c r="D318" s="2"/>
      <c r="E318" s="2"/>
      <c r="F318" s="2"/>
      <c r="G318" s="2"/>
      <c r="H318" s="2"/>
      <c r="I318" s="2"/>
      <c r="J318" s="2"/>
      <c r="K318" s="2"/>
      <c r="L318" s="2"/>
      <c r="M318" s="2"/>
      <c r="N318" s="2"/>
      <c r="O318" s="2"/>
      <c r="P318" s="2"/>
      <c r="Q318" s="2" t="s">
        <v>2128</v>
      </c>
      <c r="R318" s="2">
        <v>1.0</v>
      </c>
      <c r="S318" s="2"/>
      <c r="T318" s="2"/>
      <c r="U318" s="2"/>
      <c r="V318" s="2"/>
      <c r="W318" s="2"/>
      <c r="X318" s="2"/>
    </row>
    <row r="319">
      <c r="A319" s="116"/>
      <c r="B319" s="44"/>
      <c r="C319" s="2"/>
      <c r="D319" s="2"/>
      <c r="E319" s="2"/>
      <c r="F319" s="2"/>
      <c r="G319" s="2"/>
      <c r="H319" s="2"/>
      <c r="I319" s="2"/>
      <c r="J319" s="2"/>
      <c r="K319" s="2"/>
      <c r="L319" s="2"/>
      <c r="M319" s="2"/>
      <c r="N319" s="2"/>
      <c r="O319" s="2"/>
      <c r="P319" s="2"/>
      <c r="Q319" s="2" t="s">
        <v>2132</v>
      </c>
      <c r="R319" s="2">
        <v>1.0</v>
      </c>
      <c r="S319" s="2"/>
      <c r="T319" s="2"/>
      <c r="U319" s="2"/>
      <c r="V319" s="2"/>
      <c r="W319" s="2"/>
      <c r="X319" s="2"/>
    </row>
    <row r="320">
      <c r="A320" s="116"/>
      <c r="B320" s="44"/>
      <c r="C320" s="2"/>
      <c r="D320" s="2"/>
      <c r="E320" s="2"/>
      <c r="F320" s="2"/>
      <c r="G320" s="2"/>
      <c r="H320" s="2"/>
      <c r="I320" s="2"/>
      <c r="J320" s="2"/>
      <c r="K320" s="2"/>
      <c r="L320" s="2"/>
      <c r="M320" s="2"/>
      <c r="N320" s="2"/>
      <c r="O320" s="2"/>
      <c r="P320" s="2"/>
      <c r="Q320" s="2" t="s">
        <v>2135</v>
      </c>
      <c r="R320" s="2">
        <v>1.0</v>
      </c>
      <c r="S320" s="2"/>
      <c r="T320" s="2"/>
      <c r="U320" s="2"/>
      <c r="V320" s="2"/>
      <c r="W320" s="2"/>
      <c r="X320" s="2"/>
    </row>
    <row r="321">
      <c r="A321" s="116"/>
      <c r="B321" s="44"/>
      <c r="C321" s="2"/>
      <c r="D321" s="2"/>
      <c r="E321" s="2"/>
      <c r="F321" s="2"/>
      <c r="G321" s="2"/>
      <c r="H321" s="2"/>
      <c r="I321" s="2"/>
      <c r="J321" s="2"/>
      <c r="K321" s="2"/>
      <c r="L321" s="2"/>
      <c r="M321" s="2"/>
      <c r="N321" s="2"/>
      <c r="O321" s="2"/>
      <c r="P321" s="2"/>
      <c r="Q321" s="2" t="s">
        <v>2139</v>
      </c>
      <c r="R321" s="2">
        <v>1.0</v>
      </c>
      <c r="S321" s="2"/>
      <c r="T321" s="2"/>
      <c r="U321" s="2"/>
      <c r="V321" s="2"/>
      <c r="W321" s="2"/>
      <c r="X321" s="2"/>
    </row>
    <row r="322">
      <c r="A322" s="116"/>
      <c r="B322" s="44"/>
      <c r="C322" s="2"/>
      <c r="D322" s="2"/>
      <c r="E322" s="2"/>
      <c r="F322" s="2"/>
      <c r="G322" s="2"/>
      <c r="H322" s="2"/>
      <c r="I322" s="2"/>
      <c r="J322" s="2"/>
      <c r="K322" s="2"/>
      <c r="L322" s="2"/>
      <c r="M322" s="2"/>
      <c r="N322" s="2"/>
      <c r="O322" s="2"/>
      <c r="P322" s="2"/>
      <c r="Q322" s="2" t="s">
        <v>2144</v>
      </c>
      <c r="R322" s="2">
        <v>1.0</v>
      </c>
      <c r="S322" s="2"/>
      <c r="T322" s="2"/>
      <c r="U322" s="2"/>
      <c r="V322" s="2"/>
      <c r="W322" s="2"/>
      <c r="X322" s="2"/>
    </row>
    <row r="323">
      <c r="A323" s="116"/>
      <c r="B323" s="44"/>
      <c r="C323" s="2"/>
      <c r="D323" s="2"/>
      <c r="E323" s="2"/>
      <c r="F323" s="2"/>
      <c r="G323" s="2"/>
      <c r="H323" s="2"/>
      <c r="I323" s="2"/>
      <c r="J323" s="2"/>
      <c r="K323" s="2"/>
      <c r="L323" s="2"/>
      <c r="M323" s="2"/>
      <c r="N323" s="2"/>
      <c r="O323" s="2"/>
      <c r="P323" s="2"/>
      <c r="Q323" s="2" t="s">
        <v>2148</v>
      </c>
      <c r="R323" s="2">
        <v>1.0</v>
      </c>
      <c r="S323" s="2"/>
      <c r="T323" s="2"/>
      <c r="U323" s="2"/>
      <c r="V323" s="2"/>
      <c r="W323" s="2"/>
      <c r="X323" s="2"/>
    </row>
    <row r="324">
      <c r="A324" s="116"/>
      <c r="B324" s="44"/>
      <c r="C324" s="2"/>
      <c r="D324" s="2"/>
      <c r="E324" s="2"/>
      <c r="F324" s="2"/>
      <c r="G324" s="2"/>
      <c r="H324" s="2"/>
      <c r="I324" s="2"/>
      <c r="J324" s="2"/>
      <c r="K324" s="2"/>
      <c r="L324" s="2"/>
      <c r="M324" s="2"/>
      <c r="N324" s="2"/>
      <c r="O324" s="2"/>
      <c r="P324" s="2"/>
      <c r="Q324" s="2" t="s">
        <v>1073</v>
      </c>
      <c r="R324" s="2">
        <v>1.0</v>
      </c>
      <c r="S324" s="2"/>
      <c r="T324" s="2"/>
      <c r="U324" s="2"/>
      <c r="V324" s="2"/>
      <c r="W324" s="2"/>
      <c r="X324" s="2"/>
    </row>
    <row r="325">
      <c r="A325" s="116"/>
      <c r="B325" s="44"/>
      <c r="C325" s="2"/>
      <c r="D325" s="2"/>
      <c r="E325" s="2"/>
      <c r="F325" s="2"/>
      <c r="G325" s="2"/>
      <c r="H325" s="2"/>
      <c r="I325" s="2"/>
      <c r="J325" s="2"/>
      <c r="K325" s="2"/>
      <c r="L325" s="2"/>
      <c r="M325" s="2"/>
      <c r="N325" s="2"/>
      <c r="O325" s="2"/>
      <c r="P325" s="2"/>
      <c r="Q325" s="2" t="s">
        <v>1217</v>
      </c>
      <c r="R325" s="2">
        <v>1.0</v>
      </c>
      <c r="S325" s="2"/>
      <c r="T325" s="2"/>
      <c r="U325" s="2"/>
      <c r="V325" s="2"/>
      <c r="W325" s="2"/>
      <c r="X325" s="2"/>
    </row>
    <row r="326">
      <c r="A326" s="116"/>
      <c r="B326" s="44"/>
      <c r="C326" s="2"/>
      <c r="D326" s="2"/>
      <c r="E326" s="2"/>
      <c r="F326" s="2"/>
      <c r="G326" s="2"/>
      <c r="H326" s="2"/>
      <c r="I326" s="2"/>
      <c r="J326" s="2"/>
      <c r="K326" s="2"/>
      <c r="L326" s="2"/>
      <c r="M326" s="2"/>
      <c r="N326" s="2"/>
      <c r="O326" s="2"/>
      <c r="P326" s="2"/>
      <c r="Q326" s="2" t="s">
        <v>2159</v>
      </c>
      <c r="R326" s="2">
        <v>1.0</v>
      </c>
      <c r="S326" s="2"/>
      <c r="T326" s="2"/>
      <c r="U326" s="2"/>
      <c r="V326" s="2"/>
      <c r="W326" s="2"/>
      <c r="X326" s="2"/>
    </row>
    <row r="327">
      <c r="A327" s="116"/>
      <c r="B327" s="44"/>
      <c r="C327" s="2"/>
      <c r="D327" s="2"/>
      <c r="E327" s="2"/>
      <c r="F327" s="2"/>
      <c r="G327" s="2"/>
      <c r="H327" s="2"/>
      <c r="I327" s="2"/>
      <c r="J327" s="2"/>
      <c r="K327" s="2"/>
      <c r="L327" s="2"/>
      <c r="M327" s="2"/>
      <c r="N327" s="2"/>
      <c r="O327" s="2"/>
      <c r="P327" s="2"/>
      <c r="Q327" s="2" t="s">
        <v>1697</v>
      </c>
      <c r="R327" s="2">
        <v>1.0</v>
      </c>
      <c r="S327" s="2"/>
      <c r="T327" s="2"/>
      <c r="U327" s="2"/>
      <c r="V327" s="2"/>
      <c r="W327" s="2"/>
      <c r="X327" s="2"/>
    </row>
    <row r="328">
      <c r="A328" s="116"/>
      <c r="B328" s="44"/>
      <c r="C328" s="2"/>
      <c r="D328" s="2"/>
      <c r="E328" s="2"/>
      <c r="F328" s="2"/>
      <c r="G328" s="2"/>
      <c r="H328" s="2"/>
      <c r="I328" s="2"/>
      <c r="J328" s="2"/>
      <c r="K328" s="2"/>
      <c r="L328" s="2"/>
      <c r="M328" s="2"/>
      <c r="N328" s="2"/>
      <c r="O328" s="2"/>
      <c r="P328" s="2"/>
      <c r="Q328" s="2"/>
      <c r="R328" s="2"/>
      <c r="S328" s="2"/>
      <c r="T328" s="2"/>
      <c r="U328" s="2"/>
      <c r="V328" s="2"/>
      <c r="W328" s="2"/>
      <c r="X328" s="2"/>
    </row>
    <row r="329">
      <c r="A329" s="116"/>
      <c r="B329" s="44"/>
      <c r="C329" s="2"/>
      <c r="D329" s="2"/>
      <c r="E329" s="2"/>
      <c r="F329" s="2"/>
      <c r="G329" s="2"/>
      <c r="H329" s="2"/>
      <c r="I329" s="2"/>
      <c r="J329" s="2"/>
      <c r="K329" s="2"/>
      <c r="L329" s="2"/>
      <c r="M329" s="2"/>
      <c r="N329" s="2"/>
      <c r="O329" s="2"/>
      <c r="P329" s="2"/>
      <c r="Q329" s="2"/>
      <c r="R329" s="2"/>
      <c r="S329" s="2"/>
      <c r="T329" s="2"/>
      <c r="U329" s="2"/>
      <c r="V329" s="2"/>
      <c r="W329" s="2"/>
      <c r="X329" s="2"/>
    </row>
    <row r="330">
      <c r="A330" s="116"/>
      <c r="B330" s="44"/>
      <c r="C330" s="2"/>
      <c r="D330" s="2"/>
      <c r="E330" s="2"/>
      <c r="F330" s="2"/>
      <c r="G330" s="2"/>
      <c r="H330" s="2"/>
      <c r="I330" s="2"/>
      <c r="J330" s="2"/>
      <c r="K330" s="2"/>
      <c r="L330" s="2"/>
      <c r="M330" s="2"/>
      <c r="N330" s="2"/>
      <c r="O330" s="2"/>
      <c r="P330" s="2"/>
      <c r="Q330" s="2"/>
      <c r="R330" s="2"/>
      <c r="S330" s="2"/>
      <c r="T330" s="2"/>
      <c r="U330" s="2"/>
      <c r="V330" s="2"/>
      <c r="W330" s="2"/>
      <c r="X330" s="2"/>
    </row>
    <row r="331">
      <c r="A331" s="116"/>
      <c r="B331" s="44"/>
      <c r="C331" s="2"/>
      <c r="D331" s="2"/>
      <c r="E331" s="2"/>
      <c r="F331" s="2"/>
      <c r="G331" s="2"/>
      <c r="H331" s="2"/>
      <c r="I331" s="2"/>
      <c r="J331" s="2"/>
      <c r="K331" s="2"/>
      <c r="L331" s="2"/>
      <c r="M331" s="2"/>
      <c r="N331" s="2"/>
      <c r="O331" s="2"/>
      <c r="P331" s="2"/>
      <c r="Q331" s="2"/>
      <c r="R331" s="2"/>
      <c r="S331" s="2"/>
      <c r="T331" s="2"/>
      <c r="U331" s="2"/>
      <c r="V331" s="2"/>
      <c r="W331" s="2"/>
      <c r="X331" s="2"/>
    </row>
    <row r="332">
      <c r="A332" s="116"/>
      <c r="B332" s="44"/>
      <c r="C332" s="2"/>
      <c r="D332" s="2"/>
      <c r="E332" s="2"/>
      <c r="F332" s="2"/>
      <c r="G332" s="2"/>
      <c r="H332" s="2"/>
      <c r="I332" s="2"/>
      <c r="J332" s="2"/>
      <c r="K332" s="2"/>
      <c r="L332" s="2"/>
      <c r="M332" s="2"/>
      <c r="N332" s="2"/>
      <c r="O332" s="2"/>
      <c r="P332" s="2"/>
      <c r="Q332" s="2"/>
      <c r="R332" s="2"/>
      <c r="S332" s="2"/>
      <c r="T332" s="2"/>
      <c r="U332" s="2"/>
      <c r="V332" s="2"/>
      <c r="W332" s="2"/>
      <c r="X332" s="2"/>
    </row>
    <row r="333">
      <c r="A333" s="116"/>
      <c r="B333" s="44"/>
      <c r="C333" s="2"/>
      <c r="D333" s="2"/>
      <c r="E333" s="2"/>
      <c r="F333" s="2"/>
      <c r="G333" s="2"/>
      <c r="H333" s="2"/>
      <c r="I333" s="2"/>
      <c r="J333" s="2"/>
      <c r="K333" s="2"/>
      <c r="L333" s="2"/>
      <c r="M333" s="2"/>
      <c r="N333" s="2"/>
      <c r="O333" s="2"/>
      <c r="P333" s="2"/>
      <c r="Q333" s="2"/>
      <c r="R333" s="2"/>
      <c r="S333" s="2"/>
      <c r="T333" s="2"/>
      <c r="U333" s="2"/>
      <c r="V333" s="2"/>
      <c r="W333" s="2"/>
      <c r="X333" s="2"/>
    </row>
    <row r="334">
      <c r="A334" s="116"/>
      <c r="B334" s="44"/>
      <c r="C334" s="2"/>
      <c r="D334" s="2"/>
      <c r="E334" s="2"/>
      <c r="F334" s="2"/>
      <c r="G334" s="2"/>
      <c r="H334" s="2"/>
      <c r="I334" s="2"/>
      <c r="J334" s="2"/>
      <c r="K334" s="2"/>
      <c r="L334" s="2"/>
      <c r="M334" s="2"/>
      <c r="N334" s="2"/>
      <c r="O334" s="2"/>
      <c r="P334" s="2"/>
      <c r="Q334" s="2"/>
      <c r="R334" s="2"/>
      <c r="S334" s="2"/>
      <c r="T334" s="2"/>
      <c r="U334" s="2"/>
      <c r="V334" s="2"/>
      <c r="W334" s="2"/>
      <c r="X334" s="2"/>
    </row>
    <row r="335">
      <c r="A335" s="116"/>
      <c r="B335" s="44"/>
      <c r="C335" s="2"/>
      <c r="D335" s="2"/>
      <c r="E335" s="2"/>
      <c r="F335" s="2"/>
      <c r="G335" s="2"/>
      <c r="H335" s="2"/>
      <c r="I335" s="2"/>
      <c r="J335" s="2"/>
      <c r="K335" s="2"/>
      <c r="L335" s="2"/>
      <c r="M335" s="2"/>
      <c r="N335" s="2"/>
      <c r="O335" s="2"/>
      <c r="P335" s="2"/>
      <c r="Q335" s="2"/>
      <c r="R335" s="2"/>
      <c r="S335" s="2"/>
      <c r="T335" s="2"/>
      <c r="U335" s="2"/>
      <c r="V335" s="2"/>
      <c r="W335" s="2"/>
      <c r="X335" s="2"/>
    </row>
    <row r="336">
      <c r="A336" s="116"/>
      <c r="B336" s="44"/>
      <c r="C336" s="2"/>
      <c r="D336" s="2"/>
      <c r="E336" s="2"/>
      <c r="F336" s="2"/>
      <c r="G336" s="2"/>
      <c r="H336" s="2"/>
      <c r="I336" s="2"/>
      <c r="J336" s="2"/>
      <c r="K336" s="2"/>
      <c r="L336" s="2"/>
      <c r="M336" s="2"/>
      <c r="N336" s="2"/>
      <c r="O336" s="2"/>
      <c r="P336" s="2"/>
      <c r="Q336" s="2"/>
      <c r="R336" s="2"/>
      <c r="S336" s="2"/>
      <c r="T336" s="2"/>
      <c r="U336" s="2"/>
      <c r="V336" s="2"/>
      <c r="W336" s="2"/>
      <c r="X336" s="2"/>
    </row>
    <row r="337">
      <c r="A337" s="116"/>
      <c r="B337" s="44"/>
      <c r="C337" s="2"/>
      <c r="D337" s="2"/>
      <c r="E337" s="2"/>
      <c r="F337" s="2"/>
      <c r="G337" s="2"/>
      <c r="H337" s="2"/>
      <c r="I337" s="2"/>
      <c r="J337" s="2"/>
      <c r="K337" s="2"/>
      <c r="L337" s="2"/>
      <c r="M337" s="2"/>
      <c r="N337" s="2"/>
      <c r="O337" s="2"/>
      <c r="P337" s="2"/>
      <c r="Q337" s="2"/>
      <c r="R337" s="2"/>
      <c r="S337" s="2"/>
      <c r="T337" s="2"/>
      <c r="U337" s="2"/>
      <c r="V337" s="2"/>
      <c r="W337" s="2"/>
      <c r="X337" s="2"/>
    </row>
    <row r="338">
      <c r="A338" s="116"/>
      <c r="B338" s="44"/>
      <c r="C338" s="2"/>
      <c r="D338" s="2"/>
      <c r="E338" s="2"/>
      <c r="F338" s="2"/>
      <c r="G338" s="2"/>
      <c r="H338" s="2"/>
      <c r="I338" s="2"/>
      <c r="J338" s="2"/>
      <c r="K338" s="2"/>
      <c r="L338" s="2"/>
      <c r="M338" s="2"/>
      <c r="N338" s="2"/>
      <c r="O338" s="2"/>
      <c r="P338" s="2"/>
      <c r="Q338" s="2"/>
      <c r="R338" s="2"/>
      <c r="S338" s="2"/>
      <c r="T338" s="2"/>
      <c r="U338" s="2"/>
      <c r="V338" s="2"/>
      <c r="W338" s="2"/>
      <c r="X338" s="2"/>
    </row>
    <row r="339">
      <c r="A339" s="116"/>
      <c r="B339" s="44"/>
      <c r="C339" s="2"/>
      <c r="D339" s="2"/>
      <c r="E339" s="2"/>
      <c r="F339" s="2"/>
      <c r="G339" s="2"/>
      <c r="H339" s="2"/>
      <c r="I339" s="2"/>
      <c r="J339" s="2"/>
      <c r="K339" s="2"/>
      <c r="L339" s="2"/>
      <c r="M339" s="2"/>
      <c r="N339" s="2"/>
      <c r="O339" s="2"/>
      <c r="P339" s="2"/>
      <c r="Q339" s="2"/>
      <c r="R339" s="2"/>
      <c r="S339" s="2"/>
      <c r="T339" s="2"/>
      <c r="U339" s="2"/>
      <c r="V339" s="2"/>
      <c r="W339" s="2"/>
      <c r="X339" s="2"/>
    </row>
    <row r="340">
      <c r="A340" s="116"/>
      <c r="B340" s="44"/>
      <c r="C340" s="2"/>
      <c r="D340" s="2"/>
      <c r="E340" s="2"/>
      <c r="F340" s="2"/>
      <c r="G340" s="2"/>
      <c r="H340" s="2"/>
      <c r="I340" s="2"/>
      <c r="J340" s="2"/>
      <c r="K340" s="2"/>
      <c r="L340" s="2"/>
      <c r="M340" s="2"/>
      <c r="N340" s="2"/>
      <c r="O340" s="2"/>
      <c r="P340" s="2"/>
      <c r="Q340" s="2"/>
      <c r="R340" s="2"/>
      <c r="S340" s="2"/>
      <c r="T340" s="2"/>
      <c r="U340" s="2"/>
      <c r="V340" s="2"/>
      <c r="W340" s="2"/>
      <c r="X340" s="2"/>
    </row>
    <row r="341">
      <c r="A341" s="116"/>
      <c r="B341" s="44"/>
      <c r="C341" s="2"/>
      <c r="D341" s="2"/>
      <c r="E341" s="2"/>
      <c r="F341" s="2"/>
      <c r="G341" s="2"/>
      <c r="H341" s="2"/>
      <c r="I341" s="2"/>
      <c r="J341" s="2"/>
      <c r="K341" s="2"/>
      <c r="L341" s="2"/>
      <c r="M341" s="2"/>
      <c r="N341" s="2"/>
      <c r="O341" s="2"/>
      <c r="P341" s="2"/>
      <c r="Q341" s="2"/>
      <c r="R341" s="2"/>
      <c r="S341" s="2"/>
      <c r="T341" s="2"/>
      <c r="U341" s="2"/>
      <c r="V341" s="2"/>
      <c r="W341" s="2"/>
      <c r="X341" s="2"/>
    </row>
    <row r="342">
      <c r="A342" s="116"/>
      <c r="B342" s="44"/>
      <c r="C342" s="2"/>
      <c r="D342" s="2"/>
      <c r="E342" s="2"/>
      <c r="F342" s="2"/>
      <c r="G342" s="2"/>
      <c r="H342" s="2"/>
      <c r="I342" s="2"/>
      <c r="J342" s="2"/>
      <c r="K342" s="2"/>
      <c r="L342" s="2"/>
      <c r="M342" s="2"/>
      <c r="N342" s="2"/>
      <c r="O342" s="2"/>
      <c r="P342" s="2"/>
      <c r="Q342" s="2"/>
      <c r="R342" s="2"/>
      <c r="S342" s="2"/>
      <c r="T342" s="2"/>
      <c r="U342" s="2"/>
      <c r="V342" s="2"/>
      <c r="W342" s="2"/>
      <c r="X342" s="2"/>
    </row>
    <row r="343">
      <c r="A343" s="116"/>
      <c r="B343" s="44"/>
      <c r="C343" s="2"/>
      <c r="D343" s="2"/>
      <c r="E343" s="2"/>
      <c r="F343" s="2"/>
      <c r="G343" s="2"/>
      <c r="H343" s="2"/>
      <c r="I343" s="2"/>
      <c r="J343" s="2"/>
      <c r="K343" s="2"/>
      <c r="L343" s="2"/>
      <c r="M343" s="2"/>
      <c r="N343" s="2"/>
      <c r="O343" s="2"/>
      <c r="P343" s="2"/>
      <c r="Q343" s="2"/>
      <c r="R343" s="2"/>
      <c r="S343" s="2"/>
      <c r="T343" s="2"/>
      <c r="U343" s="2"/>
      <c r="V343" s="2"/>
      <c r="W343" s="2"/>
      <c r="X343" s="2"/>
    </row>
    <row r="344">
      <c r="A344" s="116"/>
      <c r="B344" s="44"/>
      <c r="C344" s="2"/>
      <c r="D344" s="2"/>
      <c r="E344" s="2"/>
      <c r="F344" s="2"/>
      <c r="G344" s="2"/>
      <c r="H344" s="2"/>
      <c r="I344" s="2"/>
      <c r="J344" s="2"/>
      <c r="K344" s="2"/>
      <c r="L344" s="2"/>
      <c r="M344" s="2"/>
      <c r="N344" s="2"/>
      <c r="O344" s="2"/>
      <c r="P344" s="2"/>
      <c r="Q344" s="2"/>
      <c r="R344" s="2"/>
      <c r="S344" s="2"/>
      <c r="T344" s="2"/>
      <c r="U344" s="2"/>
      <c r="V344" s="2"/>
      <c r="W344" s="2"/>
      <c r="X344" s="2"/>
    </row>
    <row r="345">
      <c r="A345" s="116"/>
      <c r="B345" s="44"/>
      <c r="C345" s="2"/>
      <c r="D345" s="2"/>
      <c r="E345" s="2"/>
      <c r="F345" s="2"/>
      <c r="G345" s="2"/>
      <c r="H345" s="2"/>
      <c r="I345" s="2"/>
      <c r="J345" s="2"/>
      <c r="K345" s="2"/>
      <c r="L345" s="2"/>
      <c r="M345" s="2"/>
      <c r="N345" s="2"/>
      <c r="O345" s="2"/>
      <c r="P345" s="2"/>
      <c r="Q345" s="2"/>
      <c r="R345" s="2"/>
      <c r="S345" s="2"/>
      <c r="T345" s="2"/>
      <c r="U345" s="2"/>
      <c r="V345" s="2"/>
      <c r="W345" s="2"/>
      <c r="X345" s="2"/>
    </row>
    <row r="346">
      <c r="A346" s="116"/>
      <c r="B346" s="44"/>
      <c r="C346" s="2"/>
      <c r="D346" s="2"/>
      <c r="E346" s="2"/>
      <c r="F346" s="2"/>
      <c r="G346" s="2"/>
      <c r="H346" s="2"/>
      <c r="I346" s="2"/>
      <c r="J346" s="2"/>
      <c r="K346" s="2"/>
      <c r="L346" s="2"/>
      <c r="M346" s="2"/>
      <c r="N346" s="2"/>
      <c r="O346" s="2"/>
      <c r="P346" s="2"/>
      <c r="Q346" s="2"/>
      <c r="R346" s="2"/>
      <c r="S346" s="2"/>
      <c r="T346" s="2"/>
      <c r="U346" s="2"/>
      <c r="V346" s="2"/>
      <c r="W346" s="2"/>
      <c r="X346" s="2"/>
    </row>
    <row r="347">
      <c r="A347" s="116"/>
      <c r="B347" s="44"/>
      <c r="C347" s="2"/>
      <c r="D347" s="2"/>
      <c r="E347" s="2"/>
      <c r="F347" s="2"/>
      <c r="G347" s="2"/>
      <c r="H347" s="2"/>
      <c r="I347" s="2"/>
      <c r="J347" s="2"/>
      <c r="K347" s="2"/>
      <c r="L347" s="2"/>
      <c r="M347" s="2"/>
      <c r="N347" s="2"/>
      <c r="O347" s="2"/>
      <c r="P347" s="2"/>
      <c r="Q347" s="2"/>
      <c r="R347" s="2"/>
      <c r="S347" s="2"/>
      <c r="T347" s="2"/>
      <c r="U347" s="2"/>
      <c r="V347" s="2"/>
      <c r="W347" s="2"/>
      <c r="X347" s="2"/>
    </row>
    <row r="348">
      <c r="A348" s="116"/>
      <c r="B348" s="44"/>
      <c r="C348" s="2"/>
      <c r="D348" s="2"/>
      <c r="E348" s="2"/>
      <c r="F348" s="2"/>
      <c r="G348" s="2"/>
      <c r="H348" s="2"/>
      <c r="I348" s="2"/>
      <c r="J348" s="2"/>
      <c r="K348" s="2"/>
      <c r="L348" s="2"/>
      <c r="M348" s="2"/>
      <c r="N348" s="2"/>
      <c r="O348" s="2"/>
      <c r="P348" s="2"/>
      <c r="Q348" s="2"/>
      <c r="R348" s="2"/>
      <c r="S348" s="2"/>
      <c r="T348" s="2"/>
      <c r="U348" s="2"/>
      <c r="V348" s="2"/>
      <c r="W348" s="2"/>
      <c r="X348" s="2"/>
    </row>
    <row r="349">
      <c r="A349" s="116"/>
      <c r="B349" s="44"/>
      <c r="C349" s="2"/>
      <c r="D349" s="2"/>
      <c r="E349" s="2"/>
      <c r="F349" s="2"/>
      <c r="G349" s="2"/>
      <c r="H349" s="2"/>
      <c r="I349" s="2"/>
      <c r="J349" s="2"/>
      <c r="K349" s="2"/>
      <c r="L349" s="2"/>
      <c r="M349" s="2"/>
      <c r="N349" s="2"/>
      <c r="O349" s="2"/>
      <c r="P349" s="2"/>
      <c r="Q349" s="2"/>
      <c r="R349" s="2"/>
      <c r="S349" s="2"/>
      <c r="T349" s="2"/>
      <c r="U349" s="2"/>
      <c r="V349" s="2"/>
      <c r="W349" s="2"/>
      <c r="X349" s="2"/>
    </row>
    <row r="350">
      <c r="A350" s="116"/>
      <c r="B350" s="44"/>
      <c r="C350" s="2"/>
      <c r="D350" s="2"/>
      <c r="E350" s="2"/>
      <c r="F350" s="2"/>
      <c r="G350" s="2"/>
      <c r="H350" s="2"/>
      <c r="I350" s="2"/>
      <c r="J350" s="2"/>
      <c r="K350" s="2"/>
      <c r="L350" s="2"/>
      <c r="M350" s="2"/>
      <c r="N350" s="2"/>
      <c r="O350" s="2"/>
      <c r="P350" s="2"/>
      <c r="Q350" s="2"/>
      <c r="R350" s="2"/>
      <c r="S350" s="2"/>
      <c r="T350" s="2"/>
      <c r="U350" s="2"/>
      <c r="V350" s="2"/>
      <c r="W350" s="2"/>
      <c r="X350" s="2"/>
    </row>
    <row r="351">
      <c r="A351" s="116"/>
      <c r="B351" s="44"/>
      <c r="C351" s="2"/>
      <c r="D351" s="2"/>
      <c r="E351" s="2"/>
      <c r="F351" s="2"/>
      <c r="G351" s="2"/>
      <c r="H351" s="2"/>
      <c r="I351" s="2"/>
      <c r="J351" s="2"/>
      <c r="K351" s="2"/>
      <c r="L351" s="2"/>
      <c r="M351" s="2"/>
      <c r="N351" s="2"/>
      <c r="O351" s="2"/>
      <c r="P351" s="2"/>
      <c r="Q351" s="2"/>
      <c r="R351" s="2"/>
      <c r="S351" s="2"/>
      <c r="T351" s="2"/>
      <c r="U351" s="2"/>
      <c r="V351" s="2"/>
      <c r="W351" s="2"/>
      <c r="X351" s="2"/>
    </row>
    <row r="352">
      <c r="A352" s="116"/>
      <c r="B352" s="44"/>
      <c r="C352" s="2"/>
      <c r="D352" s="2"/>
      <c r="E352" s="2"/>
      <c r="F352" s="2"/>
      <c r="G352" s="2"/>
      <c r="H352" s="2"/>
      <c r="I352" s="2"/>
      <c r="J352" s="2"/>
      <c r="K352" s="2"/>
      <c r="L352" s="2"/>
      <c r="M352" s="2"/>
      <c r="N352" s="2"/>
      <c r="O352" s="2"/>
      <c r="P352" s="2"/>
      <c r="Q352" s="2"/>
      <c r="R352" s="2"/>
      <c r="S352" s="2"/>
      <c r="T352" s="2"/>
      <c r="U352" s="2"/>
      <c r="V352" s="2"/>
      <c r="W352" s="2"/>
      <c r="X352" s="2"/>
    </row>
    <row r="353">
      <c r="A353" s="116"/>
      <c r="B353" s="44"/>
      <c r="C353" s="2"/>
      <c r="D353" s="2"/>
      <c r="E353" s="2"/>
      <c r="F353" s="2"/>
      <c r="G353" s="2"/>
      <c r="H353" s="2"/>
      <c r="I353" s="2"/>
      <c r="J353" s="2"/>
      <c r="K353" s="2"/>
      <c r="L353" s="2"/>
      <c r="M353" s="2"/>
      <c r="N353" s="2"/>
      <c r="O353" s="2"/>
      <c r="P353" s="2"/>
      <c r="Q353" s="2"/>
      <c r="R353" s="2"/>
      <c r="S353" s="2"/>
      <c r="T353" s="2"/>
      <c r="U353" s="2"/>
      <c r="V353" s="2"/>
      <c r="W353" s="2"/>
      <c r="X353" s="2"/>
    </row>
    <row r="354">
      <c r="A354" s="116"/>
      <c r="B354" s="44"/>
      <c r="C354" s="2"/>
      <c r="D354" s="2"/>
      <c r="E354" s="2"/>
      <c r="F354" s="2"/>
      <c r="G354" s="2"/>
      <c r="H354" s="2"/>
      <c r="I354" s="2"/>
      <c r="J354" s="2"/>
      <c r="K354" s="2"/>
      <c r="L354" s="2"/>
      <c r="M354" s="2"/>
      <c r="N354" s="2"/>
      <c r="O354" s="2"/>
      <c r="P354" s="2"/>
      <c r="Q354" s="2"/>
      <c r="R354" s="2"/>
      <c r="S354" s="2"/>
      <c r="T354" s="2"/>
      <c r="U354" s="2"/>
      <c r="V354" s="2"/>
      <c r="W354" s="2"/>
      <c r="X354" s="2"/>
    </row>
    <row r="355">
      <c r="A355" s="116"/>
      <c r="B355" s="44"/>
      <c r="C355" s="2"/>
      <c r="D355" s="2"/>
      <c r="E355" s="2"/>
      <c r="F355" s="2"/>
      <c r="G355" s="2"/>
      <c r="H355" s="2"/>
      <c r="I355" s="2"/>
      <c r="J355" s="2"/>
      <c r="K355" s="2"/>
      <c r="L355" s="2"/>
      <c r="M355" s="2"/>
      <c r="N355" s="2"/>
      <c r="O355" s="2"/>
      <c r="P355" s="2"/>
      <c r="Q355" s="2"/>
      <c r="R355" s="2"/>
      <c r="S355" s="2"/>
      <c r="T355" s="2"/>
      <c r="U355" s="2"/>
      <c r="V355" s="2"/>
      <c r="W355" s="2"/>
      <c r="X355" s="2"/>
    </row>
    <row r="356">
      <c r="A356" s="116"/>
      <c r="B356" s="44"/>
      <c r="C356" s="2"/>
      <c r="D356" s="2"/>
      <c r="E356" s="2"/>
      <c r="F356" s="2"/>
      <c r="G356" s="2"/>
      <c r="H356" s="2"/>
      <c r="I356" s="2"/>
      <c r="J356" s="2"/>
      <c r="K356" s="2"/>
      <c r="L356" s="2"/>
      <c r="M356" s="2"/>
      <c r="N356" s="2"/>
      <c r="O356" s="2"/>
      <c r="P356" s="2"/>
      <c r="Q356" s="2"/>
      <c r="R356" s="2"/>
      <c r="S356" s="2"/>
      <c r="T356" s="2"/>
      <c r="U356" s="2"/>
      <c r="V356" s="2"/>
      <c r="W356" s="2"/>
      <c r="X356" s="2"/>
    </row>
    <row r="357">
      <c r="A357" s="116"/>
      <c r="B357" s="44"/>
      <c r="C357" s="2"/>
      <c r="D357" s="2"/>
      <c r="E357" s="2"/>
      <c r="F357" s="2"/>
      <c r="G357" s="2"/>
      <c r="H357" s="2"/>
      <c r="I357" s="2"/>
      <c r="J357" s="2"/>
      <c r="K357" s="2"/>
      <c r="L357" s="2"/>
      <c r="M357" s="2"/>
      <c r="N357" s="2"/>
      <c r="O357" s="2"/>
      <c r="P357" s="2"/>
      <c r="Q357" s="2"/>
      <c r="R357" s="2"/>
      <c r="S357" s="2"/>
      <c r="T357" s="2"/>
      <c r="U357" s="2"/>
      <c r="V357" s="2"/>
      <c r="W357" s="2"/>
      <c r="X357" s="2"/>
    </row>
    <row r="358">
      <c r="A358" s="116"/>
      <c r="B358" s="44"/>
      <c r="C358" s="2"/>
      <c r="D358" s="2"/>
      <c r="E358" s="2"/>
      <c r="F358" s="2"/>
      <c r="G358" s="2"/>
      <c r="H358" s="2"/>
      <c r="I358" s="2"/>
      <c r="J358" s="2"/>
      <c r="K358" s="2"/>
      <c r="L358" s="2"/>
      <c r="M358" s="2"/>
      <c r="N358" s="2"/>
      <c r="O358" s="2"/>
      <c r="P358" s="2"/>
      <c r="Q358" s="2"/>
      <c r="R358" s="2"/>
      <c r="S358" s="2"/>
      <c r="T358" s="2"/>
      <c r="U358" s="2"/>
      <c r="V358" s="2"/>
      <c r="W358" s="2"/>
      <c r="X358" s="2"/>
    </row>
    <row r="359">
      <c r="A359" s="116"/>
      <c r="B359" s="44"/>
      <c r="C359" s="2"/>
      <c r="D359" s="2"/>
      <c r="E359" s="2"/>
      <c r="F359" s="2"/>
      <c r="G359" s="2"/>
      <c r="H359" s="2"/>
      <c r="I359" s="2"/>
      <c r="J359" s="2"/>
      <c r="K359" s="2"/>
      <c r="L359" s="2"/>
      <c r="M359" s="2"/>
      <c r="N359" s="2"/>
      <c r="O359" s="2"/>
      <c r="P359" s="2"/>
      <c r="Q359" s="2"/>
      <c r="R359" s="2"/>
      <c r="S359" s="2"/>
      <c r="T359" s="2"/>
      <c r="U359" s="2"/>
      <c r="V359" s="2"/>
      <c r="W359" s="2"/>
      <c r="X359" s="2"/>
    </row>
    <row r="360">
      <c r="A360" s="116"/>
      <c r="B360" s="44"/>
      <c r="C360" s="2"/>
      <c r="D360" s="2"/>
      <c r="E360" s="2"/>
      <c r="F360" s="2"/>
      <c r="G360" s="2"/>
      <c r="H360" s="2"/>
      <c r="I360" s="2"/>
      <c r="J360" s="2"/>
      <c r="K360" s="2"/>
      <c r="L360" s="2"/>
      <c r="M360" s="2"/>
      <c r="N360" s="2"/>
      <c r="O360" s="2"/>
      <c r="P360" s="2"/>
      <c r="Q360" s="2"/>
      <c r="R360" s="2"/>
      <c r="S360" s="2"/>
      <c r="T360" s="2"/>
      <c r="U360" s="2"/>
      <c r="V360" s="2"/>
      <c r="W360" s="2"/>
      <c r="X360" s="2"/>
    </row>
    <row r="361">
      <c r="A361" s="116"/>
      <c r="B361" s="44"/>
      <c r="C361" s="2"/>
      <c r="D361" s="2"/>
      <c r="E361" s="2"/>
      <c r="F361" s="2"/>
      <c r="G361" s="2"/>
      <c r="H361" s="2"/>
      <c r="I361" s="2"/>
      <c r="J361" s="2"/>
      <c r="K361" s="2"/>
      <c r="L361" s="2"/>
      <c r="M361" s="2"/>
      <c r="N361" s="2"/>
      <c r="O361" s="2"/>
      <c r="P361" s="2"/>
      <c r="Q361" s="2"/>
      <c r="R361" s="2"/>
      <c r="S361" s="2"/>
      <c r="T361" s="2"/>
      <c r="U361" s="2"/>
      <c r="V361" s="2"/>
      <c r="W361" s="2"/>
      <c r="X361" s="2"/>
    </row>
    <row r="362">
      <c r="A362" s="116"/>
      <c r="B362" s="44"/>
      <c r="C362" s="2"/>
      <c r="D362" s="2"/>
      <c r="E362" s="2"/>
      <c r="F362" s="2"/>
      <c r="G362" s="2"/>
      <c r="H362" s="2"/>
      <c r="I362" s="2"/>
      <c r="J362" s="2"/>
      <c r="K362" s="2"/>
      <c r="L362" s="2"/>
      <c r="M362" s="2"/>
      <c r="N362" s="2"/>
      <c r="O362" s="2"/>
      <c r="P362" s="2"/>
      <c r="Q362" s="2"/>
      <c r="R362" s="2"/>
      <c r="S362" s="2"/>
      <c r="T362" s="2"/>
      <c r="U362" s="2"/>
      <c r="V362" s="2"/>
      <c r="W362" s="2"/>
      <c r="X362" s="2"/>
    </row>
    <row r="363">
      <c r="A363" s="116"/>
      <c r="B363" s="44"/>
      <c r="C363" s="2"/>
      <c r="D363" s="2"/>
      <c r="E363" s="2"/>
      <c r="F363" s="2"/>
      <c r="G363" s="2"/>
      <c r="H363" s="2"/>
      <c r="I363" s="2"/>
      <c r="J363" s="2"/>
      <c r="K363" s="2"/>
      <c r="L363" s="2"/>
      <c r="M363" s="2"/>
      <c r="N363" s="2"/>
      <c r="O363" s="2"/>
      <c r="P363" s="2"/>
      <c r="Q363" s="2"/>
      <c r="R363" s="2"/>
      <c r="S363" s="2"/>
      <c r="T363" s="2"/>
      <c r="U363" s="2"/>
      <c r="V363" s="2"/>
      <c r="W363" s="2"/>
      <c r="X363" s="2"/>
    </row>
    <row r="364">
      <c r="A364" s="116"/>
      <c r="B364" s="44"/>
      <c r="C364" s="2"/>
      <c r="D364" s="2"/>
      <c r="E364" s="2"/>
      <c r="F364" s="2"/>
      <c r="G364" s="2"/>
      <c r="H364" s="2"/>
      <c r="I364" s="2"/>
      <c r="J364" s="2"/>
      <c r="K364" s="2"/>
      <c r="L364" s="2"/>
      <c r="M364" s="2"/>
      <c r="N364" s="2"/>
      <c r="O364" s="2"/>
      <c r="P364" s="2"/>
      <c r="Q364" s="2"/>
      <c r="R364" s="2"/>
      <c r="S364" s="2"/>
      <c r="T364" s="2"/>
      <c r="U364" s="2"/>
      <c r="V364" s="2"/>
      <c r="W364" s="2"/>
      <c r="X364" s="2"/>
    </row>
    <row r="365">
      <c r="A365" s="116"/>
      <c r="B365" s="44"/>
      <c r="C365" s="2"/>
      <c r="D365" s="2"/>
      <c r="E365" s="2"/>
      <c r="F365" s="2"/>
      <c r="G365" s="2"/>
      <c r="H365" s="2"/>
      <c r="I365" s="2"/>
      <c r="J365" s="2"/>
      <c r="K365" s="2"/>
      <c r="L365" s="2"/>
      <c r="M365" s="2"/>
      <c r="N365" s="2"/>
      <c r="O365" s="2"/>
      <c r="P365" s="2"/>
      <c r="Q365" s="2"/>
      <c r="R365" s="2"/>
      <c r="S365" s="2"/>
      <c r="T365" s="2"/>
      <c r="U365" s="2"/>
      <c r="V365" s="2"/>
      <c r="W365" s="2"/>
      <c r="X365" s="2"/>
    </row>
    <row r="366">
      <c r="A366" s="116"/>
      <c r="B366" s="44"/>
      <c r="C366" s="2"/>
      <c r="D366" s="2"/>
      <c r="E366" s="2"/>
      <c r="F366" s="2"/>
      <c r="G366" s="2"/>
      <c r="H366" s="2"/>
      <c r="I366" s="2"/>
      <c r="J366" s="2"/>
      <c r="K366" s="2"/>
      <c r="L366" s="2"/>
      <c r="M366" s="2"/>
      <c r="N366" s="2"/>
      <c r="O366" s="2"/>
      <c r="P366" s="2"/>
      <c r="Q366" s="2"/>
      <c r="R366" s="2"/>
      <c r="S366" s="2"/>
      <c r="T366" s="2"/>
      <c r="U366" s="2"/>
      <c r="V366" s="2"/>
      <c r="W366" s="2"/>
      <c r="X366" s="2"/>
    </row>
    <row r="367">
      <c r="A367" s="116"/>
      <c r="B367" s="44"/>
      <c r="C367" s="2"/>
      <c r="D367" s="2"/>
      <c r="E367" s="2"/>
      <c r="F367" s="2"/>
      <c r="G367" s="2"/>
      <c r="H367" s="2"/>
      <c r="I367" s="2"/>
      <c r="J367" s="2"/>
      <c r="K367" s="2"/>
      <c r="L367" s="2"/>
      <c r="M367" s="2"/>
      <c r="N367" s="2"/>
      <c r="O367" s="2"/>
      <c r="P367" s="2"/>
      <c r="Q367" s="2"/>
      <c r="R367" s="2"/>
      <c r="S367" s="2"/>
      <c r="T367" s="2"/>
      <c r="U367" s="2"/>
      <c r="V367" s="2"/>
      <c r="W367" s="2"/>
      <c r="X367" s="2"/>
    </row>
    <row r="368">
      <c r="A368" s="116"/>
      <c r="B368" s="44"/>
      <c r="C368" s="2"/>
      <c r="D368" s="2"/>
      <c r="E368" s="2"/>
      <c r="F368" s="2"/>
      <c r="G368" s="2"/>
      <c r="H368" s="2"/>
      <c r="I368" s="2"/>
      <c r="J368" s="2"/>
      <c r="K368" s="2"/>
      <c r="L368" s="2"/>
      <c r="M368" s="2"/>
      <c r="N368" s="2"/>
      <c r="O368" s="2"/>
      <c r="P368" s="2"/>
      <c r="Q368" s="2"/>
      <c r="R368" s="2"/>
      <c r="S368" s="2"/>
      <c r="T368" s="2"/>
      <c r="U368" s="2"/>
      <c r="V368" s="2"/>
      <c r="W368" s="2"/>
      <c r="X368" s="2"/>
    </row>
    <row r="369">
      <c r="A369" s="116"/>
      <c r="B369" s="44"/>
      <c r="C369" s="2"/>
      <c r="D369" s="2"/>
      <c r="E369" s="2"/>
      <c r="F369" s="2"/>
      <c r="G369" s="2"/>
      <c r="H369" s="2"/>
      <c r="I369" s="2"/>
      <c r="J369" s="2"/>
      <c r="K369" s="2"/>
      <c r="L369" s="2"/>
      <c r="M369" s="2"/>
      <c r="N369" s="2"/>
      <c r="O369" s="2"/>
      <c r="P369" s="2"/>
      <c r="Q369" s="2"/>
      <c r="R369" s="2"/>
      <c r="S369" s="2"/>
      <c r="T369" s="2"/>
      <c r="U369" s="2"/>
      <c r="V369" s="2"/>
      <c r="W369" s="2"/>
      <c r="X369" s="2"/>
    </row>
    <row r="370">
      <c r="A370" s="116"/>
      <c r="B370" s="44"/>
      <c r="C370" s="2"/>
      <c r="D370" s="2"/>
      <c r="E370" s="2"/>
      <c r="F370" s="2"/>
      <c r="G370" s="2"/>
      <c r="H370" s="2"/>
      <c r="I370" s="2"/>
      <c r="J370" s="2"/>
      <c r="K370" s="2"/>
      <c r="L370" s="2"/>
      <c r="M370" s="2"/>
      <c r="N370" s="2"/>
      <c r="O370" s="2"/>
      <c r="P370" s="2"/>
      <c r="Q370" s="2"/>
      <c r="R370" s="2"/>
      <c r="S370" s="2"/>
      <c r="T370" s="2"/>
      <c r="U370" s="2"/>
      <c r="V370" s="2"/>
      <c r="W370" s="2"/>
      <c r="X370" s="2"/>
    </row>
    <row r="371">
      <c r="A371" s="116"/>
      <c r="B371" s="44"/>
      <c r="C371" s="2"/>
      <c r="D371" s="2"/>
      <c r="E371" s="2"/>
      <c r="F371" s="2"/>
      <c r="G371" s="2"/>
      <c r="H371" s="2"/>
      <c r="I371" s="2"/>
      <c r="J371" s="2"/>
      <c r="K371" s="2"/>
      <c r="L371" s="2"/>
      <c r="M371" s="2"/>
      <c r="N371" s="2"/>
      <c r="O371" s="2"/>
      <c r="P371" s="2"/>
      <c r="Q371" s="2"/>
      <c r="R371" s="2"/>
      <c r="S371" s="2"/>
      <c r="T371" s="2"/>
      <c r="U371" s="2"/>
      <c r="V371" s="2"/>
      <c r="W371" s="2"/>
      <c r="X371" s="2"/>
    </row>
    <row r="372">
      <c r="A372" s="116"/>
      <c r="B372" s="44"/>
      <c r="C372" s="2"/>
      <c r="D372" s="2"/>
      <c r="E372" s="2"/>
      <c r="F372" s="2"/>
      <c r="G372" s="2"/>
      <c r="H372" s="2"/>
      <c r="I372" s="2"/>
      <c r="J372" s="2"/>
      <c r="K372" s="2"/>
      <c r="L372" s="2"/>
      <c r="M372" s="2"/>
      <c r="N372" s="2"/>
      <c r="O372" s="2"/>
      <c r="P372" s="2"/>
      <c r="Q372" s="2"/>
      <c r="R372" s="2"/>
      <c r="S372" s="2"/>
      <c r="T372" s="2"/>
      <c r="U372" s="2"/>
      <c r="V372" s="2"/>
      <c r="W372" s="2"/>
      <c r="X372" s="2"/>
    </row>
    <row r="373">
      <c r="A373" s="116"/>
      <c r="B373" s="44"/>
      <c r="C373" s="2"/>
      <c r="D373" s="2"/>
      <c r="E373" s="2"/>
      <c r="F373" s="2"/>
      <c r="G373" s="2"/>
      <c r="H373" s="2"/>
      <c r="I373" s="2"/>
      <c r="J373" s="2"/>
      <c r="K373" s="2"/>
      <c r="L373" s="2"/>
      <c r="M373" s="2"/>
      <c r="N373" s="2"/>
      <c r="O373" s="2"/>
      <c r="P373" s="2"/>
      <c r="Q373" s="2"/>
      <c r="R373" s="2"/>
      <c r="S373" s="2"/>
      <c r="T373" s="2"/>
      <c r="U373" s="2"/>
      <c r="V373" s="2"/>
      <c r="W373" s="2"/>
      <c r="X373" s="2"/>
    </row>
    <row r="374">
      <c r="A374" s="116"/>
      <c r="B374" s="44"/>
      <c r="C374" s="2"/>
      <c r="D374" s="2"/>
      <c r="E374" s="2"/>
      <c r="F374" s="2"/>
      <c r="G374" s="2"/>
      <c r="H374" s="2"/>
      <c r="I374" s="2"/>
      <c r="J374" s="2"/>
      <c r="K374" s="2"/>
      <c r="L374" s="2"/>
      <c r="M374" s="2"/>
      <c r="N374" s="2"/>
      <c r="O374" s="2"/>
      <c r="P374" s="2"/>
      <c r="Q374" s="2"/>
      <c r="R374" s="2"/>
      <c r="S374" s="2"/>
      <c r="T374" s="2"/>
      <c r="U374" s="2"/>
      <c r="V374" s="2"/>
      <c r="W374" s="2"/>
      <c r="X374" s="2"/>
    </row>
    <row r="375">
      <c r="A375" s="116"/>
      <c r="B375" s="44"/>
      <c r="C375" s="2"/>
      <c r="D375" s="2"/>
      <c r="E375" s="2"/>
      <c r="F375" s="2"/>
      <c r="G375" s="2"/>
      <c r="H375" s="2"/>
      <c r="I375" s="2"/>
      <c r="J375" s="2"/>
      <c r="K375" s="2"/>
      <c r="L375" s="2"/>
      <c r="M375" s="2"/>
      <c r="N375" s="2"/>
      <c r="O375" s="2"/>
      <c r="P375" s="2"/>
      <c r="Q375" s="2"/>
      <c r="R375" s="2"/>
      <c r="S375" s="2"/>
      <c r="T375" s="2"/>
      <c r="U375" s="2"/>
      <c r="V375" s="2"/>
      <c r="W375" s="2"/>
      <c r="X375" s="2"/>
    </row>
    <row r="376">
      <c r="A376" s="116"/>
      <c r="B376" s="44"/>
      <c r="C376" s="2"/>
      <c r="D376" s="2"/>
      <c r="E376" s="2"/>
      <c r="F376" s="2"/>
      <c r="G376" s="2"/>
      <c r="H376" s="2"/>
      <c r="I376" s="2"/>
      <c r="J376" s="2"/>
      <c r="K376" s="2"/>
      <c r="L376" s="2"/>
      <c r="M376" s="2"/>
      <c r="N376" s="2"/>
      <c r="O376" s="2"/>
      <c r="P376" s="2"/>
      <c r="Q376" s="2"/>
      <c r="R376" s="2"/>
      <c r="S376" s="2"/>
      <c r="T376" s="2"/>
      <c r="U376" s="2"/>
      <c r="V376" s="2"/>
      <c r="W376" s="2"/>
      <c r="X376" s="2"/>
    </row>
    <row r="377">
      <c r="A377" s="116"/>
      <c r="B377" s="44"/>
      <c r="C377" s="2"/>
      <c r="D377" s="2"/>
      <c r="E377" s="2"/>
      <c r="F377" s="2"/>
      <c r="G377" s="2"/>
      <c r="H377" s="2"/>
      <c r="I377" s="2"/>
      <c r="J377" s="2"/>
      <c r="K377" s="2"/>
      <c r="L377" s="2"/>
      <c r="M377" s="2"/>
      <c r="N377" s="2"/>
      <c r="O377" s="2"/>
      <c r="P377" s="2"/>
      <c r="Q377" s="2"/>
      <c r="R377" s="2"/>
      <c r="S377" s="2"/>
      <c r="T377" s="2"/>
      <c r="U377" s="2"/>
      <c r="V377" s="2"/>
      <c r="W377" s="2"/>
      <c r="X377" s="2"/>
    </row>
    <row r="378">
      <c r="A378" s="116"/>
      <c r="B378" s="44"/>
      <c r="C378" s="2"/>
      <c r="D378" s="2"/>
      <c r="E378" s="2"/>
      <c r="F378" s="2"/>
      <c r="G378" s="2"/>
      <c r="H378" s="2"/>
      <c r="I378" s="2"/>
      <c r="J378" s="2"/>
      <c r="K378" s="2"/>
      <c r="L378" s="2"/>
      <c r="M378" s="2"/>
      <c r="N378" s="2"/>
      <c r="O378" s="2"/>
      <c r="P378" s="2"/>
      <c r="Q378" s="2"/>
      <c r="R378" s="2"/>
      <c r="S378" s="2"/>
      <c r="T378" s="2"/>
      <c r="U378" s="2"/>
      <c r="V378" s="2"/>
      <c r="W378" s="2"/>
      <c r="X378" s="2"/>
    </row>
    <row r="379">
      <c r="A379" s="116"/>
      <c r="B379" s="44"/>
      <c r="C379" s="2"/>
      <c r="D379" s="2"/>
      <c r="E379" s="2"/>
      <c r="F379" s="2"/>
      <c r="G379" s="2"/>
      <c r="H379" s="2"/>
      <c r="I379" s="2"/>
      <c r="J379" s="2"/>
      <c r="K379" s="2"/>
      <c r="L379" s="2"/>
      <c r="M379" s="2"/>
      <c r="N379" s="2"/>
      <c r="O379" s="2"/>
      <c r="P379" s="2"/>
      <c r="Q379" s="2"/>
      <c r="R379" s="2"/>
      <c r="S379" s="2"/>
      <c r="T379" s="2"/>
      <c r="U379" s="2"/>
      <c r="V379" s="2"/>
      <c r="W379" s="2"/>
      <c r="X379" s="2"/>
    </row>
    <row r="380">
      <c r="A380" s="116"/>
      <c r="B380" s="44"/>
      <c r="C380" s="2"/>
      <c r="D380" s="2"/>
      <c r="E380" s="2"/>
      <c r="F380" s="2"/>
      <c r="G380" s="2"/>
      <c r="H380" s="2"/>
      <c r="I380" s="2"/>
      <c r="J380" s="2"/>
      <c r="K380" s="2"/>
      <c r="L380" s="2"/>
      <c r="M380" s="2"/>
      <c r="N380" s="2"/>
      <c r="O380" s="2"/>
      <c r="P380" s="2"/>
      <c r="Q380" s="2"/>
      <c r="R380" s="2"/>
      <c r="S380" s="2"/>
      <c r="T380" s="2"/>
      <c r="U380" s="2"/>
      <c r="V380" s="2"/>
      <c r="W380" s="2"/>
      <c r="X380" s="2"/>
    </row>
    <row r="381">
      <c r="A381" s="116"/>
      <c r="B381" s="44"/>
      <c r="C381" s="2"/>
      <c r="D381" s="2"/>
      <c r="E381" s="2"/>
      <c r="F381" s="2"/>
      <c r="G381" s="2"/>
      <c r="H381" s="2"/>
      <c r="I381" s="2"/>
      <c r="J381" s="2"/>
      <c r="K381" s="2"/>
      <c r="L381" s="2"/>
      <c r="M381" s="2"/>
      <c r="N381" s="2"/>
      <c r="O381" s="2"/>
      <c r="P381" s="2"/>
      <c r="Q381" s="2"/>
      <c r="R381" s="2"/>
      <c r="S381" s="2"/>
      <c r="T381" s="2"/>
      <c r="U381" s="2"/>
      <c r="V381" s="2"/>
      <c r="W381" s="2"/>
      <c r="X381" s="2"/>
    </row>
    <row r="382">
      <c r="A382" s="116"/>
      <c r="B382" s="44"/>
      <c r="C382" s="2"/>
      <c r="D382" s="2"/>
      <c r="E382" s="2"/>
      <c r="F382" s="2"/>
      <c r="G382" s="2"/>
      <c r="H382" s="2"/>
      <c r="I382" s="2"/>
      <c r="J382" s="2"/>
      <c r="K382" s="2"/>
      <c r="L382" s="2"/>
      <c r="M382" s="2"/>
      <c r="N382" s="2"/>
      <c r="O382" s="2"/>
      <c r="P382" s="2"/>
      <c r="Q382" s="2"/>
      <c r="R382" s="2"/>
      <c r="S382" s="2"/>
      <c r="T382" s="2"/>
      <c r="U382" s="2"/>
      <c r="V382" s="2"/>
      <c r="W382" s="2"/>
      <c r="X382" s="2"/>
    </row>
    <row r="383">
      <c r="A383" s="116"/>
      <c r="B383" s="44"/>
      <c r="C383" s="2"/>
      <c r="D383" s="2"/>
      <c r="E383" s="2"/>
      <c r="F383" s="2"/>
      <c r="G383" s="2"/>
      <c r="H383" s="2"/>
      <c r="I383" s="2"/>
      <c r="J383" s="2"/>
      <c r="K383" s="2"/>
      <c r="L383" s="2"/>
      <c r="M383" s="2"/>
      <c r="N383" s="2"/>
      <c r="O383" s="2"/>
      <c r="P383" s="2"/>
      <c r="Q383" s="2"/>
      <c r="R383" s="2"/>
      <c r="S383" s="2"/>
      <c r="T383" s="2"/>
      <c r="U383" s="2"/>
      <c r="V383" s="2"/>
      <c r="W383" s="2"/>
      <c r="X383" s="2"/>
    </row>
    <row r="384">
      <c r="A384" s="116"/>
      <c r="B384" s="44"/>
      <c r="C384" s="2"/>
      <c r="D384" s="2"/>
      <c r="E384" s="2"/>
      <c r="F384" s="2"/>
      <c r="G384" s="2"/>
      <c r="H384" s="2"/>
      <c r="I384" s="2"/>
      <c r="J384" s="2"/>
      <c r="K384" s="2"/>
      <c r="L384" s="2"/>
      <c r="M384" s="2"/>
      <c r="N384" s="2"/>
      <c r="O384" s="2"/>
      <c r="P384" s="2"/>
      <c r="Q384" s="2"/>
      <c r="R384" s="2"/>
      <c r="S384" s="2"/>
      <c r="T384" s="2"/>
      <c r="U384" s="2"/>
      <c r="V384" s="2"/>
      <c r="W384" s="2"/>
      <c r="X384" s="2"/>
    </row>
    <row r="385">
      <c r="A385" s="116"/>
      <c r="B385" s="44"/>
      <c r="C385" s="2"/>
      <c r="D385" s="2"/>
      <c r="E385" s="2"/>
      <c r="F385" s="2"/>
      <c r="G385" s="2"/>
      <c r="H385" s="2"/>
      <c r="I385" s="2"/>
      <c r="J385" s="2"/>
      <c r="K385" s="2"/>
      <c r="L385" s="2"/>
      <c r="M385" s="2"/>
      <c r="N385" s="2"/>
      <c r="O385" s="2"/>
      <c r="P385" s="2"/>
      <c r="Q385" s="2"/>
      <c r="R385" s="2"/>
      <c r="S385" s="2"/>
      <c r="T385" s="2"/>
      <c r="U385" s="2"/>
      <c r="V385" s="2"/>
      <c r="W385" s="2"/>
      <c r="X385" s="2"/>
    </row>
    <row r="386">
      <c r="A386" s="116"/>
      <c r="B386" s="44"/>
      <c r="C386" s="2"/>
      <c r="D386" s="2"/>
      <c r="E386" s="2"/>
      <c r="F386" s="2"/>
      <c r="G386" s="2"/>
      <c r="H386" s="2"/>
      <c r="I386" s="2"/>
      <c r="J386" s="2"/>
      <c r="K386" s="2"/>
      <c r="L386" s="2"/>
      <c r="M386" s="2"/>
      <c r="N386" s="2"/>
      <c r="O386" s="2"/>
      <c r="P386" s="2"/>
      <c r="Q386" s="2"/>
      <c r="R386" s="2"/>
      <c r="S386" s="2"/>
      <c r="T386" s="2"/>
      <c r="U386" s="2"/>
      <c r="V386" s="2"/>
      <c r="W386" s="2"/>
      <c r="X386" s="2"/>
    </row>
    <row r="387">
      <c r="A387" s="116"/>
      <c r="B387" s="44"/>
      <c r="C387" s="2"/>
      <c r="D387" s="2"/>
      <c r="E387" s="2"/>
      <c r="F387" s="2"/>
      <c r="G387" s="2"/>
      <c r="H387" s="2"/>
      <c r="I387" s="2"/>
      <c r="J387" s="2"/>
      <c r="K387" s="2"/>
      <c r="L387" s="2"/>
      <c r="M387" s="2"/>
      <c r="N387" s="2"/>
      <c r="O387" s="2"/>
      <c r="P387" s="2"/>
      <c r="Q387" s="2"/>
      <c r="R387" s="2"/>
      <c r="S387" s="2"/>
      <c r="T387" s="2"/>
      <c r="U387" s="2"/>
      <c r="V387" s="2"/>
      <c r="W387" s="2"/>
      <c r="X387" s="2"/>
    </row>
    <row r="388">
      <c r="A388" s="116"/>
      <c r="B388" s="44"/>
      <c r="C388" s="2"/>
      <c r="D388" s="2"/>
      <c r="E388" s="2"/>
      <c r="F388" s="2"/>
      <c r="G388" s="2"/>
      <c r="H388" s="2"/>
      <c r="I388" s="2"/>
      <c r="J388" s="2"/>
      <c r="K388" s="2"/>
      <c r="L388" s="2"/>
      <c r="M388" s="2"/>
      <c r="N388" s="2"/>
      <c r="O388" s="2"/>
      <c r="P388" s="2"/>
      <c r="Q388" s="2"/>
      <c r="R388" s="2"/>
      <c r="S388" s="2"/>
      <c r="T388" s="2"/>
      <c r="U388" s="2"/>
      <c r="V388" s="2"/>
      <c r="W388" s="2"/>
      <c r="X388" s="2"/>
    </row>
    <row r="389">
      <c r="A389" s="116"/>
      <c r="B389" s="44"/>
      <c r="C389" s="2"/>
      <c r="D389" s="2"/>
      <c r="E389" s="2"/>
      <c r="F389" s="2"/>
      <c r="G389" s="2"/>
      <c r="H389" s="2"/>
      <c r="I389" s="2"/>
      <c r="J389" s="2"/>
      <c r="K389" s="2"/>
      <c r="L389" s="2"/>
      <c r="M389" s="2"/>
      <c r="N389" s="2"/>
      <c r="O389" s="2"/>
      <c r="P389" s="2"/>
      <c r="Q389" s="2"/>
      <c r="R389" s="2"/>
      <c r="S389" s="2"/>
      <c r="T389" s="2"/>
      <c r="U389" s="2"/>
      <c r="V389" s="2"/>
      <c r="W389" s="2"/>
      <c r="X389" s="2"/>
    </row>
    <row r="390">
      <c r="A390" s="116"/>
      <c r="B390" s="44"/>
      <c r="C390" s="2"/>
      <c r="D390" s="2"/>
      <c r="E390" s="2"/>
      <c r="F390" s="2"/>
      <c r="G390" s="2"/>
      <c r="H390" s="2"/>
      <c r="I390" s="2"/>
      <c r="J390" s="2"/>
      <c r="K390" s="2"/>
      <c r="L390" s="2"/>
      <c r="M390" s="2"/>
      <c r="N390" s="2"/>
      <c r="O390" s="2"/>
      <c r="P390" s="2"/>
      <c r="Q390" s="2"/>
      <c r="R390" s="2"/>
      <c r="S390" s="2"/>
      <c r="T390" s="2"/>
      <c r="U390" s="2"/>
      <c r="V390" s="2"/>
      <c r="W390" s="2"/>
      <c r="X390" s="2"/>
    </row>
    <row r="391">
      <c r="A391" s="116"/>
      <c r="B391" s="44"/>
      <c r="C391" s="2"/>
      <c r="D391" s="2"/>
      <c r="E391" s="2"/>
      <c r="F391" s="2"/>
      <c r="G391" s="2"/>
      <c r="H391" s="2"/>
      <c r="I391" s="2"/>
      <c r="J391" s="2"/>
      <c r="K391" s="2"/>
      <c r="L391" s="2"/>
      <c r="M391" s="2"/>
      <c r="N391" s="2"/>
      <c r="O391" s="2"/>
      <c r="P391" s="2"/>
      <c r="Q391" s="2"/>
      <c r="R391" s="2"/>
      <c r="S391" s="2"/>
      <c r="T391" s="2"/>
      <c r="U391" s="2"/>
      <c r="V391" s="2"/>
      <c r="W391" s="2"/>
      <c r="X391" s="2"/>
    </row>
    <row r="392">
      <c r="A392" s="116"/>
      <c r="B392" s="44"/>
      <c r="C392" s="2"/>
      <c r="D392" s="2"/>
      <c r="E392" s="2"/>
      <c r="F392" s="2"/>
      <c r="G392" s="2"/>
      <c r="H392" s="2"/>
      <c r="I392" s="2"/>
      <c r="J392" s="2"/>
      <c r="K392" s="2"/>
      <c r="L392" s="2"/>
      <c r="M392" s="2"/>
      <c r="N392" s="2"/>
      <c r="O392" s="2"/>
      <c r="P392" s="2"/>
      <c r="Q392" s="2"/>
      <c r="R392" s="2"/>
      <c r="S392" s="2"/>
      <c r="T392" s="2"/>
      <c r="U392" s="2"/>
      <c r="V392" s="2"/>
      <c r="W392" s="2"/>
      <c r="X392" s="2"/>
    </row>
    <row r="393">
      <c r="A393" s="116"/>
      <c r="B393" s="44"/>
      <c r="C393" s="2"/>
      <c r="D393" s="2"/>
      <c r="E393" s="2"/>
      <c r="F393" s="2"/>
      <c r="G393" s="2"/>
      <c r="H393" s="2"/>
      <c r="I393" s="2"/>
      <c r="J393" s="2"/>
      <c r="K393" s="2"/>
      <c r="L393" s="2"/>
      <c r="M393" s="2"/>
      <c r="N393" s="2"/>
      <c r="O393" s="2"/>
      <c r="P393" s="2"/>
      <c r="Q393" s="2"/>
      <c r="R393" s="2"/>
      <c r="S393" s="2"/>
      <c r="T393" s="2"/>
      <c r="U393" s="2"/>
      <c r="V393" s="2"/>
      <c r="W393" s="2"/>
      <c r="X393" s="2"/>
    </row>
    <row r="394">
      <c r="A394" s="116"/>
      <c r="B394" s="44"/>
      <c r="C394" s="2"/>
      <c r="D394" s="2"/>
      <c r="E394" s="2"/>
      <c r="F394" s="2"/>
      <c r="G394" s="2"/>
      <c r="H394" s="2"/>
      <c r="I394" s="2"/>
      <c r="J394" s="2"/>
      <c r="K394" s="2"/>
      <c r="L394" s="2"/>
      <c r="M394" s="2"/>
      <c r="N394" s="2"/>
      <c r="O394" s="2"/>
      <c r="P394" s="2"/>
      <c r="Q394" s="2"/>
      <c r="R394" s="2"/>
      <c r="S394" s="2"/>
      <c r="T394" s="2"/>
      <c r="U394" s="2"/>
      <c r="V394" s="2"/>
      <c r="W394" s="2"/>
      <c r="X394" s="2"/>
    </row>
    <row r="395">
      <c r="A395" s="116"/>
      <c r="B395" s="44"/>
      <c r="C395" s="2"/>
      <c r="D395" s="2"/>
      <c r="E395" s="2"/>
      <c r="F395" s="2"/>
      <c r="G395" s="2"/>
      <c r="H395" s="2"/>
      <c r="I395" s="2"/>
      <c r="J395" s="2"/>
      <c r="K395" s="2"/>
      <c r="L395" s="2"/>
      <c r="M395" s="2"/>
      <c r="N395" s="2"/>
      <c r="O395" s="2"/>
      <c r="P395" s="2"/>
      <c r="Q395" s="2"/>
      <c r="R395" s="2"/>
      <c r="S395" s="2"/>
      <c r="T395" s="2"/>
      <c r="U395" s="2"/>
      <c r="V395" s="2"/>
      <c r="W395" s="2"/>
      <c r="X395" s="2"/>
    </row>
    <row r="396">
      <c r="A396" s="116"/>
      <c r="B396" s="44"/>
      <c r="C396" s="2"/>
      <c r="D396" s="2"/>
      <c r="E396" s="2"/>
      <c r="F396" s="2"/>
      <c r="G396" s="2"/>
      <c r="H396" s="2"/>
      <c r="I396" s="2"/>
      <c r="J396" s="2"/>
      <c r="K396" s="2"/>
      <c r="L396" s="2"/>
      <c r="M396" s="2"/>
      <c r="N396" s="2"/>
      <c r="O396" s="2"/>
      <c r="P396" s="2"/>
      <c r="Q396" s="2"/>
      <c r="R396" s="2"/>
      <c r="S396" s="2"/>
      <c r="T396" s="2"/>
      <c r="U396" s="2"/>
      <c r="V396" s="2"/>
      <c r="W396" s="2"/>
      <c r="X396" s="2"/>
    </row>
    <row r="397">
      <c r="A397" s="116"/>
      <c r="B397" s="44"/>
      <c r="C397" s="2"/>
      <c r="D397" s="2"/>
      <c r="E397" s="2"/>
      <c r="F397" s="2"/>
      <c r="G397" s="2"/>
      <c r="H397" s="2"/>
      <c r="I397" s="2"/>
      <c r="J397" s="2"/>
      <c r="K397" s="2"/>
      <c r="L397" s="2"/>
      <c r="M397" s="2"/>
      <c r="N397" s="2"/>
      <c r="O397" s="2"/>
      <c r="P397" s="2"/>
      <c r="Q397" s="2"/>
      <c r="R397" s="2"/>
      <c r="S397" s="2"/>
      <c r="T397" s="2"/>
      <c r="U397" s="2"/>
      <c r="V397" s="2"/>
      <c r="W397" s="2"/>
      <c r="X397" s="2"/>
    </row>
    <row r="398">
      <c r="A398" s="116"/>
      <c r="B398" s="44"/>
      <c r="C398" s="2"/>
      <c r="D398" s="2"/>
      <c r="E398" s="2"/>
      <c r="F398" s="2"/>
      <c r="G398" s="2"/>
      <c r="H398" s="2"/>
      <c r="I398" s="2"/>
      <c r="J398" s="2"/>
      <c r="K398" s="2"/>
      <c r="L398" s="2"/>
      <c r="M398" s="2"/>
      <c r="N398" s="2"/>
      <c r="O398" s="2"/>
      <c r="P398" s="2"/>
      <c r="Q398" s="2"/>
      <c r="R398" s="2"/>
      <c r="S398" s="2"/>
      <c r="T398" s="2"/>
      <c r="U398" s="2"/>
      <c r="V398" s="2"/>
      <c r="W398" s="2"/>
      <c r="X398" s="2"/>
    </row>
    <row r="399">
      <c r="A399" s="116"/>
      <c r="B399" s="44"/>
      <c r="C399" s="2"/>
      <c r="D399" s="2"/>
      <c r="E399" s="2"/>
      <c r="F399" s="2"/>
      <c r="G399" s="2"/>
      <c r="H399" s="2"/>
      <c r="I399" s="2"/>
      <c r="J399" s="2"/>
      <c r="K399" s="2"/>
      <c r="L399" s="2"/>
      <c r="M399" s="2"/>
      <c r="N399" s="2"/>
      <c r="O399" s="2"/>
      <c r="P399" s="2"/>
      <c r="Q399" s="2"/>
      <c r="R399" s="2"/>
      <c r="S399" s="2"/>
      <c r="T399" s="2"/>
      <c r="U399" s="2"/>
      <c r="V399" s="2"/>
      <c r="W399" s="2"/>
      <c r="X399" s="2"/>
    </row>
    <row r="400">
      <c r="A400" s="116"/>
      <c r="B400" s="44"/>
      <c r="C400" s="2"/>
      <c r="D400" s="2"/>
      <c r="E400" s="2"/>
      <c r="F400" s="2"/>
      <c r="G400" s="2"/>
      <c r="H400" s="2"/>
      <c r="I400" s="2"/>
      <c r="J400" s="2"/>
      <c r="K400" s="2"/>
      <c r="L400" s="2"/>
      <c r="M400" s="2"/>
      <c r="N400" s="2"/>
      <c r="O400" s="2"/>
      <c r="P400" s="2"/>
      <c r="Q400" s="2"/>
      <c r="R400" s="2"/>
      <c r="S400" s="2"/>
      <c r="T400" s="2"/>
      <c r="U400" s="2"/>
      <c r="V400" s="2"/>
      <c r="W400" s="2"/>
      <c r="X400" s="2"/>
    </row>
    <row r="401">
      <c r="A401" s="116"/>
      <c r="B401" s="44"/>
      <c r="C401" s="2"/>
      <c r="D401" s="2"/>
      <c r="E401" s="2"/>
      <c r="F401" s="2"/>
      <c r="G401" s="2"/>
      <c r="H401" s="2"/>
      <c r="I401" s="2"/>
      <c r="J401" s="2"/>
      <c r="K401" s="2"/>
      <c r="L401" s="2"/>
      <c r="M401" s="2"/>
      <c r="N401" s="2"/>
      <c r="O401" s="2"/>
      <c r="P401" s="2"/>
      <c r="Q401" s="2"/>
      <c r="R401" s="2"/>
      <c r="S401" s="2"/>
      <c r="T401" s="2"/>
      <c r="U401" s="2"/>
      <c r="V401" s="2"/>
      <c r="W401" s="2"/>
      <c r="X401" s="2"/>
    </row>
    <row r="402">
      <c r="A402" s="116"/>
      <c r="B402" s="44"/>
      <c r="C402" s="2"/>
      <c r="D402" s="2"/>
      <c r="E402" s="2"/>
      <c r="F402" s="2"/>
      <c r="G402" s="2"/>
      <c r="H402" s="2"/>
      <c r="I402" s="2"/>
      <c r="J402" s="2"/>
      <c r="K402" s="2"/>
      <c r="L402" s="2"/>
      <c r="M402" s="2"/>
      <c r="N402" s="2"/>
      <c r="O402" s="2"/>
      <c r="P402" s="2"/>
      <c r="Q402" s="2"/>
      <c r="R402" s="2"/>
      <c r="S402" s="2"/>
      <c r="T402" s="2"/>
      <c r="U402" s="2"/>
      <c r="V402" s="2"/>
      <c r="W402" s="2"/>
      <c r="X402" s="2"/>
    </row>
    <row r="403">
      <c r="A403" s="116"/>
      <c r="B403" s="44"/>
      <c r="C403" s="2"/>
      <c r="D403" s="2"/>
      <c r="E403" s="2"/>
      <c r="F403" s="2"/>
      <c r="G403" s="2"/>
      <c r="H403" s="2"/>
      <c r="I403" s="2"/>
      <c r="J403" s="2"/>
      <c r="K403" s="2"/>
      <c r="L403" s="2"/>
      <c r="M403" s="2"/>
      <c r="N403" s="2"/>
      <c r="O403" s="2"/>
      <c r="P403" s="2"/>
      <c r="Q403" s="2"/>
      <c r="R403" s="2"/>
      <c r="S403" s="2"/>
      <c r="T403" s="2"/>
      <c r="U403" s="2"/>
      <c r="V403" s="2"/>
      <c r="W403" s="2"/>
      <c r="X403" s="2"/>
    </row>
    <row r="404">
      <c r="A404" s="116"/>
      <c r="B404" s="44"/>
      <c r="C404" s="2"/>
      <c r="D404" s="2"/>
      <c r="E404" s="2"/>
      <c r="F404" s="2"/>
      <c r="G404" s="2"/>
      <c r="H404" s="2"/>
      <c r="I404" s="2"/>
      <c r="J404" s="2"/>
      <c r="K404" s="2"/>
      <c r="L404" s="2"/>
      <c r="M404" s="2"/>
      <c r="N404" s="2"/>
      <c r="O404" s="2"/>
      <c r="P404" s="2"/>
      <c r="Q404" s="2"/>
      <c r="R404" s="2"/>
      <c r="S404" s="2"/>
      <c r="T404" s="2"/>
      <c r="U404" s="2"/>
      <c r="V404" s="2"/>
      <c r="W404" s="2"/>
      <c r="X404" s="2"/>
    </row>
    <row r="405">
      <c r="A405" s="116"/>
      <c r="B405" s="44"/>
      <c r="C405" s="2"/>
      <c r="D405" s="2"/>
      <c r="E405" s="2"/>
      <c r="F405" s="2"/>
      <c r="G405" s="2"/>
      <c r="H405" s="2"/>
      <c r="I405" s="2"/>
      <c r="J405" s="2"/>
      <c r="K405" s="2"/>
      <c r="L405" s="2"/>
      <c r="M405" s="2"/>
      <c r="N405" s="2"/>
      <c r="O405" s="2"/>
      <c r="P405" s="2"/>
      <c r="Q405" s="2"/>
      <c r="R405" s="2"/>
      <c r="S405" s="2"/>
      <c r="T405" s="2"/>
      <c r="U405" s="2"/>
      <c r="V405" s="2"/>
      <c r="W405" s="2"/>
      <c r="X405" s="2"/>
    </row>
    <row r="406">
      <c r="A406" s="116"/>
      <c r="B406" s="44"/>
      <c r="C406" s="2"/>
      <c r="D406" s="2"/>
      <c r="E406" s="2"/>
      <c r="F406" s="2"/>
      <c r="G406" s="2"/>
      <c r="H406" s="2"/>
      <c r="I406" s="2"/>
      <c r="J406" s="2"/>
      <c r="K406" s="2"/>
      <c r="L406" s="2"/>
      <c r="M406" s="2"/>
      <c r="N406" s="2"/>
      <c r="O406" s="2"/>
      <c r="P406" s="2"/>
      <c r="Q406" s="2"/>
      <c r="R406" s="2"/>
      <c r="S406" s="2"/>
      <c r="T406" s="2"/>
      <c r="U406" s="2"/>
      <c r="V406" s="2"/>
      <c r="W406" s="2"/>
      <c r="X406" s="2"/>
    </row>
    <row r="407">
      <c r="A407" s="116"/>
      <c r="B407" s="44"/>
      <c r="C407" s="2"/>
      <c r="D407" s="2"/>
      <c r="E407" s="2"/>
      <c r="F407" s="2"/>
      <c r="G407" s="2"/>
      <c r="H407" s="2"/>
      <c r="I407" s="2"/>
      <c r="J407" s="2"/>
      <c r="K407" s="2"/>
      <c r="L407" s="2"/>
      <c r="M407" s="2"/>
      <c r="N407" s="2"/>
      <c r="O407" s="2"/>
      <c r="P407" s="2"/>
      <c r="Q407" s="2"/>
      <c r="R407" s="2"/>
      <c r="S407" s="2"/>
      <c r="T407" s="2"/>
      <c r="U407" s="2"/>
      <c r="V407" s="2"/>
      <c r="W407" s="2"/>
      <c r="X407" s="2"/>
    </row>
    <row r="408">
      <c r="A408" s="116"/>
      <c r="B408" s="44"/>
      <c r="C408" s="2"/>
      <c r="D408" s="2"/>
      <c r="E408" s="2"/>
      <c r="F408" s="2"/>
      <c r="G408" s="2"/>
      <c r="H408" s="2"/>
      <c r="I408" s="2"/>
      <c r="J408" s="2"/>
      <c r="K408" s="2"/>
      <c r="L408" s="2"/>
      <c r="M408" s="2"/>
      <c r="N408" s="2"/>
      <c r="O408" s="2"/>
      <c r="P408" s="2"/>
      <c r="Q408" s="2"/>
      <c r="R408" s="2"/>
      <c r="S408" s="2"/>
      <c r="T408" s="2"/>
      <c r="U408" s="2"/>
      <c r="V408" s="2"/>
      <c r="W408" s="2"/>
      <c r="X408" s="2"/>
    </row>
    <row r="409">
      <c r="A409" s="116"/>
      <c r="B409" s="44"/>
      <c r="C409" s="2"/>
      <c r="D409" s="2"/>
      <c r="E409" s="2"/>
      <c r="F409" s="2"/>
      <c r="G409" s="2"/>
      <c r="H409" s="2"/>
      <c r="I409" s="2"/>
      <c r="J409" s="2"/>
      <c r="K409" s="2"/>
      <c r="L409" s="2"/>
      <c r="M409" s="2"/>
      <c r="N409" s="2"/>
      <c r="O409" s="2"/>
      <c r="P409" s="2"/>
      <c r="Q409" s="2"/>
      <c r="R409" s="2"/>
      <c r="S409" s="2"/>
      <c r="T409" s="2"/>
      <c r="U409" s="2"/>
      <c r="V409" s="2"/>
      <c r="W409" s="2"/>
      <c r="X409" s="2"/>
    </row>
    <row r="410">
      <c r="A410" s="116"/>
      <c r="B410" s="44"/>
      <c r="C410" s="2"/>
      <c r="D410" s="2"/>
      <c r="E410" s="2"/>
      <c r="F410" s="2"/>
      <c r="G410" s="2"/>
      <c r="H410" s="2"/>
      <c r="I410" s="2"/>
      <c r="J410" s="2"/>
      <c r="K410" s="2"/>
      <c r="L410" s="2"/>
      <c r="M410" s="2"/>
      <c r="N410" s="2"/>
      <c r="O410" s="2"/>
      <c r="P410" s="2"/>
      <c r="Q410" s="2"/>
      <c r="R410" s="2"/>
      <c r="S410" s="2"/>
      <c r="T410" s="2"/>
      <c r="U410" s="2"/>
      <c r="V410" s="2"/>
      <c r="W410" s="2"/>
      <c r="X410" s="2"/>
    </row>
    <row r="411">
      <c r="A411" s="116"/>
      <c r="B411" s="44"/>
      <c r="C411" s="2"/>
      <c r="D411" s="2"/>
      <c r="E411" s="2"/>
      <c r="F411" s="2"/>
      <c r="G411" s="2"/>
      <c r="H411" s="2"/>
      <c r="I411" s="2"/>
      <c r="J411" s="2"/>
      <c r="K411" s="2"/>
      <c r="L411" s="2"/>
      <c r="M411" s="2"/>
      <c r="N411" s="2"/>
      <c r="O411" s="2"/>
      <c r="P411" s="2"/>
      <c r="Q411" s="2"/>
      <c r="R411" s="2"/>
      <c r="S411" s="2"/>
      <c r="T411" s="2"/>
      <c r="U411" s="2"/>
      <c r="V411" s="2"/>
      <c r="W411" s="2"/>
      <c r="X411" s="2"/>
    </row>
    <row r="412">
      <c r="A412" s="116"/>
      <c r="B412" s="44"/>
      <c r="C412" s="2"/>
      <c r="D412" s="2"/>
      <c r="E412" s="2"/>
      <c r="F412" s="2"/>
      <c r="G412" s="2"/>
      <c r="H412" s="2"/>
      <c r="I412" s="2"/>
      <c r="J412" s="2"/>
      <c r="K412" s="2"/>
      <c r="L412" s="2"/>
      <c r="M412" s="2"/>
      <c r="N412" s="2"/>
      <c r="O412" s="2"/>
      <c r="P412" s="2"/>
      <c r="Q412" s="2"/>
      <c r="R412" s="2"/>
      <c r="S412" s="2"/>
      <c r="T412" s="2"/>
      <c r="U412" s="2"/>
      <c r="V412" s="2"/>
      <c r="W412" s="2"/>
      <c r="X412" s="2"/>
    </row>
    <row r="413">
      <c r="A413" s="116"/>
      <c r="B413" s="44"/>
      <c r="C413" s="2"/>
      <c r="D413" s="2"/>
      <c r="E413" s="2"/>
      <c r="F413" s="2"/>
      <c r="G413" s="2"/>
      <c r="H413" s="2"/>
      <c r="I413" s="2"/>
      <c r="J413" s="2"/>
      <c r="K413" s="2"/>
      <c r="L413" s="2"/>
      <c r="M413" s="2"/>
      <c r="N413" s="2"/>
      <c r="O413" s="2"/>
      <c r="P413" s="2"/>
      <c r="Q413" s="2"/>
      <c r="R413" s="2"/>
      <c r="S413" s="2"/>
      <c r="T413" s="2"/>
      <c r="U413" s="2"/>
      <c r="V413" s="2"/>
      <c r="W413" s="2"/>
      <c r="X413" s="2"/>
    </row>
    <row r="414">
      <c r="A414" s="116"/>
      <c r="B414" s="44"/>
      <c r="C414" s="2"/>
      <c r="D414" s="2"/>
      <c r="E414" s="2"/>
      <c r="F414" s="2"/>
      <c r="G414" s="2"/>
      <c r="H414" s="2"/>
      <c r="I414" s="2"/>
      <c r="J414" s="2"/>
      <c r="K414" s="2"/>
      <c r="L414" s="2"/>
      <c r="M414" s="2"/>
      <c r="N414" s="2"/>
      <c r="O414" s="2"/>
      <c r="P414" s="2"/>
      <c r="Q414" s="2"/>
      <c r="R414" s="2"/>
      <c r="S414" s="2"/>
      <c r="T414" s="2"/>
      <c r="U414" s="2"/>
      <c r="V414" s="2"/>
      <c r="W414" s="2"/>
      <c r="X414" s="2"/>
    </row>
    <row r="415">
      <c r="A415" s="116"/>
      <c r="B415" s="44"/>
      <c r="C415" s="2"/>
      <c r="D415" s="2"/>
      <c r="E415" s="2"/>
      <c r="F415" s="2"/>
      <c r="G415" s="2"/>
      <c r="H415" s="2"/>
      <c r="I415" s="2"/>
      <c r="J415" s="2"/>
      <c r="K415" s="2"/>
      <c r="L415" s="2"/>
      <c r="M415" s="2"/>
      <c r="N415" s="2"/>
      <c r="O415" s="2"/>
      <c r="P415" s="2"/>
      <c r="Q415" s="2"/>
      <c r="R415" s="2"/>
      <c r="S415" s="2"/>
      <c r="T415" s="2"/>
      <c r="U415" s="2"/>
      <c r="V415" s="2"/>
      <c r="W415" s="2"/>
      <c r="X415" s="2"/>
    </row>
    <row r="416">
      <c r="A416" s="116"/>
      <c r="B416" s="44"/>
      <c r="C416" s="2"/>
      <c r="D416" s="2"/>
      <c r="E416" s="2"/>
      <c r="F416" s="2"/>
      <c r="G416" s="2"/>
      <c r="H416" s="2"/>
      <c r="I416" s="2"/>
      <c r="J416" s="2"/>
      <c r="K416" s="2"/>
      <c r="L416" s="2"/>
      <c r="M416" s="2"/>
      <c r="N416" s="2"/>
      <c r="O416" s="2"/>
      <c r="P416" s="2"/>
      <c r="Q416" s="2"/>
      <c r="R416" s="2"/>
      <c r="S416" s="2"/>
      <c r="T416" s="2"/>
      <c r="U416" s="2"/>
      <c r="V416" s="2"/>
      <c r="W416" s="2"/>
      <c r="X416" s="2"/>
    </row>
    <row r="417">
      <c r="A417" s="116"/>
      <c r="B417" s="44"/>
      <c r="C417" s="2"/>
      <c r="D417" s="2"/>
      <c r="E417" s="2"/>
      <c r="F417" s="2"/>
      <c r="G417" s="2"/>
      <c r="H417" s="2"/>
      <c r="I417" s="2"/>
      <c r="J417" s="2"/>
      <c r="K417" s="2"/>
      <c r="L417" s="2"/>
      <c r="M417" s="2"/>
      <c r="N417" s="2"/>
      <c r="O417" s="2"/>
      <c r="P417" s="2"/>
      <c r="Q417" s="2"/>
      <c r="R417" s="2"/>
      <c r="S417" s="2"/>
      <c r="T417" s="2"/>
      <c r="U417" s="2"/>
      <c r="V417" s="2"/>
      <c r="W417" s="2"/>
      <c r="X417" s="2"/>
    </row>
    <row r="418">
      <c r="A418" s="116"/>
      <c r="B418" s="44"/>
      <c r="C418" s="2"/>
      <c r="D418" s="2"/>
      <c r="E418" s="2"/>
      <c r="F418" s="2"/>
      <c r="G418" s="2"/>
      <c r="H418" s="2"/>
      <c r="I418" s="2"/>
      <c r="J418" s="2"/>
      <c r="K418" s="2"/>
      <c r="L418" s="2"/>
      <c r="M418" s="2"/>
      <c r="N418" s="2"/>
      <c r="O418" s="2"/>
      <c r="P418" s="2"/>
      <c r="Q418" s="2"/>
      <c r="R418" s="2"/>
      <c r="S418" s="2"/>
      <c r="T418" s="2"/>
      <c r="U418" s="2"/>
      <c r="V418" s="2"/>
      <c r="W418" s="2"/>
      <c r="X418" s="2"/>
    </row>
    <row r="419">
      <c r="A419" s="116"/>
      <c r="B419" s="44"/>
      <c r="C419" s="2"/>
      <c r="D419" s="2"/>
      <c r="E419" s="2"/>
      <c r="F419" s="2"/>
      <c r="G419" s="2"/>
      <c r="H419" s="2"/>
      <c r="I419" s="2"/>
      <c r="J419" s="2"/>
      <c r="K419" s="2"/>
      <c r="L419" s="2"/>
      <c r="M419" s="2"/>
      <c r="N419" s="2"/>
      <c r="O419" s="2"/>
      <c r="P419" s="2"/>
      <c r="Q419" s="2"/>
      <c r="R419" s="2"/>
      <c r="S419" s="2"/>
      <c r="T419" s="2"/>
      <c r="U419" s="2"/>
      <c r="V419" s="2"/>
      <c r="W419" s="2"/>
      <c r="X419" s="2"/>
    </row>
    <row r="420">
      <c r="A420" s="116"/>
      <c r="B420" s="44"/>
      <c r="C420" s="2"/>
      <c r="D420" s="2"/>
      <c r="E420" s="2"/>
      <c r="F420" s="2"/>
      <c r="G420" s="2"/>
      <c r="H420" s="2"/>
      <c r="I420" s="2"/>
      <c r="J420" s="2"/>
      <c r="K420" s="2"/>
      <c r="L420" s="2"/>
      <c r="M420" s="2"/>
      <c r="N420" s="2"/>
      <c r="O420" s="2"/>
      <c r="P420" s="2"/>
      <c r="Q420" s="2"/>
      <c r="R420" s="2"/>
      <c r="S420" s="2"/>
      <c r="T420" s="2"/>
      <c r="U420" s="2"/>
      <c r="V420" s="2"/>
      <c r="W420" s="2"/>
      <c r="X420" s="2"/>
    </row>
    <row r="421">
      <c r="A421" s="116"/>
      <c r="B421" s="44"/>
      <c r="C421" s="2"/>
      <c r="D421" s="2"/>
      <c r="E421" s="2"/>
      <c r="F421" s="2"/>
      <c r="G421" s="2"/>
      <c r="H421" s="2"/>
      <c r="I421" s="2"/>
      <c r="J421" s="2"/>
      <c r="K421" s="2"/>
      <c r="L421" s="2"/>
      <c r="M421" s="2"/>
      <c r="N421" s="2"/>
      <c r="O421" s="2"/>
      <c r="P421" s="2"/>
      <c r="Q421" s="2"/>
      <c r="R421" s="2"/>
      <c r="S421" s="2"/>
      <c r="T421" s="2"/>
      <c r="U421" s="2"/>
      <c r="V421" s="2"/>
      <c r="W421" s="2"/>
      <c r="X421" s="2"/>
    </row>
    <row r="422">
      <c r="A422" s="116"/>
      <c r="B422" s="44"/>
      <c r="C422" s="2"/>
      <c r="D422" s="2"/>
      <c r="E422" s="2"/>
      <c r="F422" s="2"/>
      <c r="G422" s="2"/>
      <c r="H422" s="2"/>
      <c r="I422" s="2"/>
      <c r="J422" s="2"/>
      <c r="K422" s="2"/>
      <c r="L422" s="2"/>
      <c r="M422" s="2"/>
      <c r="N422" s="2"/>
      <c r="O422" s="2"/>
      <c r="P422" s="2"/>
      <c r="Q422" s="2"/>
      <c r="R422" s="2"/>
      <c r="S422" s="2"/>
      <c r="T422" s="2"/>
      <c r="U422" s="2"/>
      <c r="V422" s="2"/>
      <c r="W422" s="2"/>
      <c r="X422" s="2"/>
    </row>
    <row r="423">
      <c r="A423" s="116"/>
      <c r="B423" s="44"/>
      <c r="C423" s="2"/>
      <c r="D423" s="2"/>
      <c r="E423" s="2"/>
      <c r="F423" s="2"/>
      <c r="G423" s="2"/>
      <c r="H423" s="2"/>
      <c r="I423" s="2"/>
      <c r="J423" s="2"/>
      <c r="K423" s="2"/>
      <c r="L423" s="2"/>
      <c r="M423" s="2"/>
      <c r="N423" s="2"/>
      <c r="O423" s="2"/>
      <c r="P423" s="2"/>
      <c r="Q423" s="2"/>
      <c r="R423" s="2"/>
      <c r="S423" s="2"/>
      <c r="T423" s="2"/>
      <c r="U423" s="2"/>
      <c r="V423" s="2"/>
      <c r="W423" s="2"/>
      <c r="X423" s="2"/>
    </row>
    <row r="424">
      <c r="A424" s="116"/>
      <c r="B424" s="44"/>
      <c r="C424" s="2"/>
      <c r="D424" s="2"/>
      <c r="E424" s="2"/>
      <c r="F424" s="2"/>
      <c r="G424" s="2"/>
      <c r="H424" s="2"/>
      <c r="I424" s="2"/>
      <c r="J424" s="2"/>
      <c r="K424" s="2"/>
      <c r="L424" s="2"/>
      <c r="M424" s="2"/>
      <c r="N424" s="2"/>
      <c r="O424" s="2"/>
      <c r="P424" s="2"/>
      <c r="Q424" s="2"/>
      <c r="R424" s="2"/>
      <c r="S424" s="2"/>
      <c r="T424" s="2"/>
      <c r="U424" s="2"/>
      <c r="V424" s="2"/>
      <c r="W424" s="2"/>
      <c r="X424" s="2"/>
    </row>
    <row r="425">
      <c r="A425" s="116"/>
      <c r="B425" s="44"/>
      <c r="C425" s="2"/>
      <c r="D425" s="2"/>
      <c r="E425" s="2"/>
      <c r="F425" s="2"/>
      <c r="G425" s="2"/>
      <c r="H425" s="2"/>
      <c r="I425" s="2"/>
      <c r="J425" s="2"/>
      <c r="K425" s="2"/>
      <c r="L425" s="2"/>
      <c r="M425" s="2"/>
      <c r="N425" s="2"/>
      <c r="O425" s="2"/>
      <c r="P425" s="2"/>
      <c r="Q425" s="2"/>
      <c r="R425" s="2"/>
      <c r="S425" s="2"/>
      <c r="T425" s="2"/>
      <c r="U425" s="2"/>
      <c r="V425" s="2"/>
      <c r="W425" s="2"/>
      <c r="X425" s="2"/>
    </row>
    <row r="426">
      <c r="A426" s="116"/>
      <c r="B426" s="44"/>
      <c r="C426" s="2"/>
      <c r="D426" s="2"/>
      <c r="E426" s="2"/>
      <c r="F426" s="2"/>
      <c r="G426" s="2"/>
      <c r="H426" s="2"/>
      <c r="I426" s="2"/>
      <c r="J426" s="2"/>
      <c r="K426" s="2"/>
      <c r="L426" s="2"/>
      <c r="M426" s="2"/>
      <c r="N426" s="2"/>
      <c r="O426" s="2"/>
      <c r="P426" s="2"/>
      <c r="Q426" s="2"/>
      <c r="R426" s="2"/>
      <c r="S426" s="2"/>
      <c r="T426" s="2"/>
      <c r="U426" s="2"/>
      <c r="V426" s="2"/>
      <c r="W426" s="2"/>
      <c r="X426" s="2"/>
    </row>
    <row r="427">
      <c r="A427" s="116"/>
      <c r="B427" s="44"/>
      <c r="C427" s="2"/>
      <c r="D427" s="2"/>
      <c r="E427" s="2"/>
      <c r="F427" s="2"/>
      <c r="G427" s="2"/>
      <c r="H427" s="2"/>
      <c r="I427" s="2"/>
      <c r="J427" s="2"/>
      <c r="K427" s="2"/>
      <c r="L427" s="2"/>
      <c r="M427" s="2"/>
      <c r="N427" s="2"/>
      <c r="O427" s="2"/>
      <c r="P427" s="2"/>
      <c r="Q427" s="2"/>
      <c r="R427" s="2"/>
      <c r="S427" s="2"/>
      <c r="T427" s="2"/>
      <c r="U427" s="2"/>
      <c r="V427" s="2"/>
      <c r="W427" s="2"/>
      <c r="X427" s="2"/>
    </row>
    <row r="428">
      <c r="A428" s="116"/>
      <c r="B428" s="44"/>
      <c r="C428" s="2"/>
      <c r="D428" s="2"/>
      <c r="E428" s="2"/>
      <c r="F428" s="2"/>
      <c r="G428" s="2"/>
      <c r="H428" s="2"/>
      <c r="I428" s="2"/>
      <c r="J428" s="2"/>
      <c r="K428" s="2"/>
      <c r="L428" s="2"/>
      <c r="M428" s="2"/>
      <c r="N428" s="2"/>
      <c r="O428" s="2"/>
      <c r="P428" s="2"/>
      <c r="Q428" s="2"/>
      <c r="R428" s="2"/>
      <c r="S428" s="2"/>
      <c r="T428" s="2"/>
      <c r="U428" s="2"/>
      <c r="V428" s="2"/>
      <c r="W428" s="2"/>
      <c r="X428" s="2"/>
    </row>
    <row r="429">
      <c r="A429" s="116"/>
      <c r="B429" s="44"/>
      <c r="C429" s="2"/>
      <c r="D429" s="2"/>
      <c r="E429" s="2"/>
      <c r="F429" s="2"/>
      <c r="G429" s="2"/>
      <c r="H429" s="2"/>
      <c r="I429" s="2"/>
      <c r="J429" s="2"/>
      <c r="K429" s="2"/>
      <c r="L429" s="2"/>
      <c r="M429" s="2"/>
      <c r="N429" s="2"/>
      <c r="O429" s="2"/>
      <c r="P429" s="2"/>
      <c r="Q429" s="2"/>
      <c r="R429" s="2"/>
      <c r="S429" s="2"/>
      <c r="T429" s="2"/>
      <c r="U429" s="2"/>
      <c r="V429" s="2"/>
      <c r="W429" s="2"/>
      <c r="X429" s="2"/>
    </row>
    <row r="430">
      <c r="A430" s="116"/>
      <c r="B430" s="44"/>
      <c r="C430" s="2"/>
      <c r="D430" s="2"/>
      <c r="E430" s="2"/>
      <c r="F430" s="2"/>
      <c r="G430" s="2"/>
      <c r="H430" s="2"/>
      <c r="I430" s="2"/>
      <c r="J430" s="2"/>
      <c r="K430" s="2"/>
      <c r="L430" s="2"/>
      <c r="M430" s="2"/>
      <c r="N430" s="2"/>
      <c r="O430" s="2"/>
      <c r="P430" s="2"/>
      <c r="Q430" s="2"/>
      <c r="R430" s="2"/>
      <c r="S430" s="2"/>
      <c r="T430" s="2"/>
      <c r="U430" s="2"/>
      <c r="V430" s="2"/>
      <c r="W430" s="2"/>
      <c r="X430" s="2"/>
    </row>
    <row r="431">
      <c r="A431" s="116"/>
      <c r="B431" s="44"/>
      <c r="C431" s="2"/>
      <c r="D431" s="2"/>
      <c r="E431" s="2"/>
      <c r="F431" s="2"/>
      <c r="G431" s="2"/>
      <c r="H431" s="2"/>
      <c r="I431" s="2"/>
      <c r="J431" s="2"/>
      <c r="K431" s="2"/>
      <c r="L431" s="2"/>
      <c r="M431" s="2"/>
      <c r="N431" s="2"/>
      <c r="O431" s="2"/>
      <c r="P431" s="2"/>
      <c r="Q431" s="2"/>
      <c r="R431" s="2"/>
      <c r="S431" s="2"/>
      <c r="T431" s="2"/>
      <c r="U431" s="2"/>
      <c r="V431" s="2"/>
      <c r="W431" s="2"/>
      <c r="X431" s="2"/>
    </row>
    <row r="432">
      <c r="A432" s="116"/>
      <c r="B432" s="44"/>
      <c r="C432" s="2"/>
      <c r="D432" s="2"/>
      <c r="E432" s="2"/>
      <c r="F432" s="2"/>
      <c r="G432" s="2"/>
      <c r="H432" s="2"/>
      <c r="I432" s="2"/>
      <c r="J432" s="2"/>
      <c r="K432" s="2"/>
      <c r="L432" s="2"/>
      <c r="M432" s="2"/>
      <c r="N432" s="2"/>
      <c r="O432" s="2"/>
      <c r="P432" s="2"/>
      <c r="Q432" s="2"/>
      <c r="R432" s="2"/>
      <c r="S432" s="2"/>
      <c r="T432" s="2"/>
      <c r="U432" s="2"/>
      <c r="V432" s="2"/>
      <c r="W432" s="2"/>
      <c r="X432" s="2"/>
    </row>
    <row r="433">
      <c r="A433" s="116"/>
      <c r="B433" s="44"/>
      <c r="C433" s="2"/>
      <c r="D433" s="2"/>
      <c r="E433" s="2"/>
      <c r="F433" s="2"/>
      <c r="G433" s="2"/>
      <c r="H433" s="2"/>
      <c r="I433" s="2"/>
      <c r="J433" s="2"/>
      <c r="K433" s="2"/>
      <c r="L433" s="2"/>
      <c r="M433" s="2"/>
      <c r="N433" s="2"/>
      <c r="O433" s="2"/>
      <c r="P433" s="2"/>
      <c r="Q433" s="2"/>
      <c r="R433" s="2"/>
      <c r="S433" s="2"/>
      <c r="T433" s="2"/>
      <c r="U433" s="2"/>
      <c r="V433" s="2"/>
      <c r="W433" s="2"/>
      <c r="X433" s="2"/>
    </row>
    <row r="434">
      <c r="A434" s="116"/>
      <c r="B434" s="44"/>
      <c r="C434" s="2"/>
      <c r="D434" s="2"/>
      <c r="E434" s="2"/>
      <c r="F434" s="2"/>
      <c r="G434" s="2"/>
      <c r="H434" s="2"/>
      <c r="I434" s="2"/>
      <c r="J434" s="2"/>
      <c r="K434" s="2"/>
      <c r="L434" s="2"/>
      <c r="M434" s="2"/>
      <c r="N434" s="2"/>
      <c r="O434" s="2"/>
      <c r="P434" s="2"/>
      <c r="Q434" s="2"/>
      <c r="R434" s="2"/>
      <c r="S434" s="2"/>
      <c r="T434" s="2"/>
      <c r="U434" s="2"/>
      <c r="V434" s="2"/>
      <c r="W434" s="2"/>
      <c r="X434" s="2"/>
    </row>
    <row r="435">
      <c r="A435" s="116"/>
      <c r="B435" s="44"/>
      <c r="C435" s="2"/>
      <c r="D435" s="2"/>
      <c r="E435" s="2"/>
      <c r="F435" s="2"/>
      <c r="G435" s="2"/>
      <c r="H435" s="2"/>
      <c r="I435" s="2"/>
      <c r="J435" s="2"/>
      <c r="K435" s="2"/>
      <c r="L435" s="2"/>
      <c r="M435" s="2"/>
      <c r="N435" s="2"/>
      <c r="O435" s="2"/>
      <c r="P435" s="2"/>
      <c r="Q435" s="2"/>
      <c r="R435" s="2"/>
      <c r="S435" s="2"/>
      <c r="T435" s="2"/>
      <c r="U435" s="2"/>
      <c r="V435" s="2"/>
      <c r="W435" s="2"/>
      <c r="X435" s="2"/>
    </row>
    <row r="436">
      <c r="A436" s="116"/>
      <c r="B436" s="44"/>
      <c r="C436" s="2"/>
      <c r="D436" s="2"/>
      <c r="E436" s="2"/>
      <c r="F436" s="2"/>
      <c r="G436" s="2"/>
      <c r="H436" s="2"/>
      <c r="I436" s="2"/>
      <c r="J436" s="2"/>
      <c r="K436" s="2"/>
      <c r="L436" s="2"/>
      <c r="M436" s="2"/>
      <c r="N436" s="2"/>
      <c r="O436" s="2"/>
      <c r="P436" s="2"/>
      <c r="Q436" s="2"/>
      <c r="R436" s="2"/>
      <c r="S436" s="2"/>
      <c r="T436" s="2"/>
      <c r="U436" s="2"/>
      <c r="V436" s="2"/>
      <c r="W436" s="2"/>
      <c r="X436" s="2"/>
    </row>
    <row r="437">
      <c r="A437" s="116"/>
      <c r="B437" s="44"/>
      <c r="C437" s="2"/>
      <c r="D437" s="2"/>
      <c r="E437" s="2"/>
      <c r="F437" s="2"/>
      <c r="G437" s="2"/>
      <c r="H437" s="2"/>
      <c r="I437" s="2"/>
      <c r="J437" s="2"/>
      <c r="K437" s="2"/>
      <c r="L437" s="2"/>
      <c r="M437" s="2"/>
      <c r="N437" s="2"/>
      <c r="O437" s="2"/>
      <c r="P437" s="2"/>
      <c r="Q437" s="2"/>
      <c r="R437" s="2"/>
      <c r="S437" s="2"/>
      <c r="T437" s="2"/>
      <c r="U437" s="2"/>
      <c r="V437" s="2"/>
      <c r="W437" s="2"/>
      <c r="X437" s="2"/>
    </row>
    <row r="438">
      <c r="A438" s="116"/>
      <c r="B438" s="44"/>
      <c r="C438" s="2"/>
      <c r="D438" s="2"/>
      <c r="E438" s="2"/>
      <c r="F438" s="2"/>
      <c r="G438" s="2"/>
      <c r="H438" s="2"/>
      <c r="I438" s="2"/>
      <c r="J438" s="2"/>
      <c r="K438" s="2"/>
      <c r="L438" s="2"/>
      <c r="M438" s="2"/>
      <c r="N438" s="2"/>
      <c r="O438" s="2"/>
      <c r="P438" s="2"/>
      <c r="Q438" s="2"/>
      <c r="R438" s="2"/>
      <c r="S438" s="2"/>
      <c r="T438" s="2"/>
      <c r="U438" s="2"/>
      <c r="V438" s="2"/>
      <c r="W438" s="2"/>
      <c r="X438" s="2"/>
    </row>
    <row r="439">
      <c r="A439" s="116"/>
      <c r="B439" s="44"/>
      <c r="C439" s="2"/>
      <c r="D439" s="2"/>
      <c r="E439" s="2"/>
      <c r="F439" s="2"/>
      <c r="G439" s="2"/>
      <c r="H439" s="2"/>
      <c r="I439" s="2"/>
      <c r="J439" s="2"/>
      <c r="K439" s="2"/>
      <c r="L439" s="2"/>
      <c r="M439" s="2"/>
      <c r="N439" s="2"/>
      <c r="O439" s="2"/>
      <c r="P439" s="2"/>
      <c r="Q439" s="2"/>
      <c r="R439" s="2"/>
      <c r="S439" s="2"/>
      <c r="T439" s="2"/>
      <c r="U439" s="2"/>
      <c r="V439" s="2"/>
      <c r="W439" s="2"/>
      <c r="X439" s="2"/>
    </row>
    <row r="440">
      <c r="A440" s="116"/>
      <c r="B440" s="44"/>
      <c r="C440" s="2"/>
      <c r="D440" s="2"/>
      <c r="E440" s="2"/>
      <c r="F440" s="2"/>
      <c r="G440" s="2"/>
      <c r="H440" s="2"/>
      <c r="I440" s="2"/>
      <c r="J440" s="2"/>
      <c r="K440" s="2"/>
      <c r="L440" s="2"/>
      <c r="M440" s="2"/>
      <c r="N440" s="2"/>
      <c r="O440" s="2"/>
      <c r="P440" s="2"/>
      <c r="Q440" s="2"/>
      <c r="R440" s="2"/>
      <c r="S440" s="2"/>
      <c r="T440" s="2"/>
      <c r="U440" s="2"/>
      <c r="V440" s="2"/>
      <c r="W440" s="2"/>
      <c r="X440" s="2"/>
    </row>
    <row r="441">
      <c r="A441" s="116"/>
      <c r="B441" s="44"/>
      <c r="C441" s="2"/>
      <c r="D441" s="2"/>
      <c r="E441" s="2"/>
      <c r="F441" s="2"/>
      <c r="G441" s="2"/>
      <c r="H441" s="2"/>
      <c r="I441" s="2"/>
      <c r="J441" s="2"/>
      <c r="K441" s="2"/>
      <c r="L441" s="2"/>
      <c r="M441" s="2"/>
      <c r="N441" s="2"/>
      <c r="O441" s="2"/>
      <c r="P441" s="2"/>
      <c r="Q441" s="2"/>
      <c r="R441" s="2"/>
      <c r="S441" s="2"/>
      <c r="T441" s="2"/>
      <c r="U441" s="2"/>
      <c r="V441" s="2"/>
      <c r="W441" s="2"/>
      <c r="X441" s="2"/>
    </row>
    <row r="442">
      <c r="A442" s="116"/>
      <c r="B442" s="44"/>
      <c r="C442" s="2"/>
      <c r="D442" s="2"/>
      <c r="E442" s="2"/>
      <c r="F442" s="2"/>
      <c r="G442" s="2"/>
      <c r="H442" s="2"/>
      <c r="I442" s="2"/>
      <c r="J442" s="2"/>
      <c r="K442" s="2"/>
      <c r="L442" s="2"/>
      <c r="M442" s="2"/>
      <c r="N442" s="2"/>
      <c r="O442" s="2"/>
      <c r="P442" s="2"/>
      <c r="Q442" s="2"/>
      <c r="R442" s="2"/>
      <c r="S442" s="2"/>
      <c r="T442" s="2"/>
      <c r="U442" s="2"/>
      <c r="V442" s="2"/>
      <c r="W442" s="2"/>
      <c r="X442" s="2"/>
    </row>
    <row r="443">
      <c r="A443" s="116"/>
      <c r="B443" s="44"/>
      <c r="C443" s="2"/>
      <c r="D443" s="2"/>
      <c r="E443" s="2"/>
      <c r="F443" s="2"/>
      <c r="G443" s="2"/>
      <c r="H443" s="2"/>
      <c r="I443" s="2"/>
      <c r="J443" s="2"/>
      <c r="K443" s="2"/>
      <c r="L443" s="2"/>
      <c r="M443" s="2"/>
      <c r="N443" s="2"/>
      <c r="O443" s="2"/>
      <c r="P443" s="2"/>
      <c r="Q443" s="2"/>
      <c r="R443" s="2"/>
      <c r="S443" s="2"/>
      <c r="T443" s="2"/>
      <c r="U443" s="2"/>
      <c r="V443" s="2"/>
      <c r="W443" s="2"/>
      <c r="X443" s="2"/>
    </row>
    <row r="444">
      <c r="A444" s="116"/>
      <c r="B444" s="44"/>
      <c r="C444" s="2"/>
      <c r="D444" s="2"/>
      <c r="E444" s="2"/>
      <c r="F444" s="2"/>
      <c r="G444" s="2"/>
      <c r="H444" s="2"/>
      <c r="I444" s="2"/>
      <c r="J444" s="2"/>
      <c r="K444" s="2"/>
      <c r="L444" s="2"/>
      <c r="M444" s="2"/>
      <c r="N444" s="2"/>
      <c r="O444" s="2"/>
      <c r="P444" s="2"/>
      <c r="Q444" s="2"/>
      <c r="R444" s="2"/>
      <c r="S444" s="2"/>
      <c r="T444" s="2"/>
      <c r="U444" s="2"/>
      <c r="V444" s="2"/>
      <c r="W444" s="2"/>
      <c r="X444" s="2"/>
    </row>
    <row r="445">
      <c r="A445" s="116"/>
      <c r="B445" s="44"/>
      <c r="C445" s="2"/>
      <c r="D445" s="2"/>
      <c r="E445" s="2"/>
      <c r="F445" s="2"/>
      <c r="G445" s="2"/>
      <c r="H445" s="2"/>
      <c r="I445" s="2"/>
      <c r="J445" s="2"/>
      <c r="K445" s="2"/>
      <c r="L445" s="2"/>
      <c r="M445" s="2"/>
      <c r="N445" s="2"/>
      <c r="O445" s="2"/>
      <c r="P445" s="2"/>
      <c r="Q445" s="2"/>
      <c r="R445" s="2"/>
      <c r="S445" s="2"/>
      <c r="T445" s="2"/>
      <c r="U445" s="2"/>
      <c r="V445" s="2"/>
      <c r="W445" s="2"/>
      <c r="X445" s="2"/>
    </row>
    <row r="446">
      <c r="A446" s="116"/>
      <c r="B446" s="44"/>
      <c r="C446" s="2"/>
      <c r="D446" s="2"/>
      <c r="E446" s="2"/>
      <c r="F446" s="2"/>
      <c r="G446" s="2"/>
      <c r="H446" s="2"/>
      <c r="I446" s="2"/>
      <c r="J446" s="2"/>
      <c r="K446" s="2"/>
      <c r="L446" s="2"/>
      <c r="M446" s="2"/>
      <c r="N446" s="2"/>
      <c r="O446" s="2"/>
      <c r="P446" s="2"/>
      <c r="Q446" s="2"/>
      <c r="R446" s="2"/>
      <c r="S446" s="2"/>
      <c r="T446" s="2"/>
      <c r="U446" s="2"/>
      <c r="V446" s="2"/>
      <c r="W446" s="2"/>
      <c r="X446" s="2"/>
    </row>
    <row r="447">
      <c r="A447" s="116"/>
      <c r="B447" s="44"/>
      <c r="C447" s="2"/>
      <c r="D447" s="2"/>
      <c r="E447" s="2"/>
      <c r="F447" s="2"/>
      <c r="G447" s="2"/>
      <c r="H447" s="2"/>
      <c r="I447" s="2"/>
      <c r="J447" s="2"/>
      <c r="K447" s="2"/>
      <c r="L447" s="2"/>
      <c r="M447" s="2"/>
      <c r="N447" s="2"/>
      <c r="O447" s="2"/>
      <c r="P447" s="2"/>
      <c r="Q447" s="2"/>
      <c r="R447" s="2"/>
      <c r="S447" s="2"/>
      <c r="T447" s="2"/>
      <c r="U447" s="2"/>
      <c r="V447" s="2"/>
      <c r="W447" s="2"/>
      <c r="X447" s="2"/>
    </row>
    <row r="448">
      <c r="A448" s="116"/>
      <c r="B448" s="44"/>
      <c r="C448" s="2"/>
      <c r="D448" s="2"/>
      <c r="E448" s="2"/>
      <c r="F448" s="2"/>
      <c r="G448" s="2"/>
      <c r="H448" s="2"/>
      <c r="I448" s="2"/>
      <c r="J448" s="2"/>
      <c r="K448" s="2"/>
      <c r="L448" s="2"/>
      <c r="M448" s="2"/>
      <c r="N448" s="2"/>
      <c r="O448" s="2"/>
      <c r="P448" s="2"/>
      <c r="Q448" s="2"/>
      <c r="R448" s="2"/>
      <c r="S448" s="2"/>
      <c r="T448" s="2"/>
      <c r="U448" s="2"/>
      <c r="V448" s="2"/>
      <c r="W448" s="2"/>
      <c r="X448" s="2"/>
    </row>
    <row r="449">
      <c r="A449" s="116"/>
      <c r="B449" s="44"/>
      <c r="C449" s="2"/>
      <c r="D449" s="2"/>
      <c r="E449" s="2"/>
      <c r="F449" s="2"/>
      <c r="G449" s="2"/>
      <c r="H449" s="2"/>
      <c r="I449" s="2"/>
      <c r="J449" s="2"/>
      <c r="K449" s="2"/>
      <c r="L449" s="2"/>
      <c r="M449" s="2"/>
      <c r="N449" s="2"/>
      <c r="O449" s="2"/>
      <c r="P449" s="2"/>
      <c r="Q449" s="2"/>
      <c r="R449" s="2"/>
      <c r="S449" s="2"/>
      <c r="T449" s="2"/>
      <c r="U449" s="2"/>
      <c r="V449" s="2"/>
      <c r="W449" s="2"/>
      <c r="X449" s="2"/>
    </row>
    <row r="450">
      <c r="A450" s="116"/>
      <c r="B450" s="44"/>
      <c r="C450" s="2"/>
      <c r="D450" s="2"/>
      <c r="E450" s="2"/>
      <c r="F450" s="2"/>
      <c r="G450" s="2"/>
      <c r="H450" s="2"/>
      <c r="I450" s="2"/>
      <c r="J450" s="2"/>
      <c r="K450" s="2"/>
      <c r="L450" s="2"/>
      <c r="M450" s="2"/>
      <c r="N450" s="2"/>
      <c r="O450" s="2"/>
      <c r="P450" s="2"/>
      <c r="Q450" s="2"/>
      <c r="R450" s="2"/>
      <c r="S450" s="2"/>
      <c r="T450" s="2"/>
      <c r="U450" s="2"/>
      <c r="V450" s="2"/>
      <c r="W450" s="2"/>
      <c r="X450" s="2"/>
    </row>
    <row r="451">
      <c r="A451" s="116"/>
      <c r="B451" s="44"/>
      <c r="C451" s="2"/>
      <c r="D451" s="2"/>
      <c r="E451" s="2"/>
      <c r="F451" s="2"/>
      <c r="G451" s="2"/>
      <c r="H451" s="2"/>
      <c r="I451" s="2"/>
      <c r="J451" s="2"/>
      <c r="K451" s="2"/>
      <c r="L451" s="2"/>
      <c r="M451" s="2"/>
      <c r="N451" s="2"/>
      <c r="O451" s="2"/>
      <c r="P451" s="2"/>
      <c r="Q451" s="2"/>
      <c r="R451" s="2"/>
      <c r="S451" s="2"/>
      <c r="T451" s="2"/>
      <c r="U451" s="2"/>
      <c r="V451" s="2"/>
      <c r="W451" s="2"/>
      <c r="X451" s="2"/>
    </row>
    <row r="452">
      <c r="A452" s="116"/>
      <c r="B452" s="44"/>
      <c r="C452" s="2"/>
      <c r="D452" s="2"/>
      <c r="E452" s="2"/>
      <c r="F452" s="2"/>
      <c r="G452" s="2"/>
      <c r="H452" s="2"/>
      <c r="I452" s="2"/>
      <c r="J452" s="2"/>
      <c r="K452" s="2"/>
      <c r="L452" s="2"/>
      <c r="M452" s="2"/>
      <c r="N452" s="2"/>
      <c r="O452" s="2"/>
      <c r="P452" s="2"/>
      <c r="Q452" s="2"/>
      <c r="R452" s="2"/>
      <c r="S452" s="2"/>
      <c r="T452" s="2"/>
      <c r="U452" s="2"/>
      <c r="V452" s="2"/>
      <c r="W452" s="2"/>
      <c r="X452" s="2"/>
    </row>
    <row r="453">
      <c r="A453" s="116"/>
      <c r="B453" s="44"/>
      <c r="C453" s="2"/>
      <c r="D453" s="2"/>
      <c r="E453" s="2"/>
      <c r="F453" s="2"/>
      <c r="G453" s="2"/>
      <c r="H453" s="2"/>
      <c r="I453" s="2"/>
      <c r="J453" s="2"/>
      <c r="K453" s="2"/>
      <c r="L453" s="2"/>
      <c r="M453" s="2"/>
      <c r="N453" s="2"/>
      <c r="O453" s="2"/>
      <c r="P453" s="2"/>
      <c r="Q453" s="2"/>
      <c r="R453" s="2"/>
      <c r="S453" s="2"/>
      <c r="T453" s="2"/>
      <c r="U453" s="2"/>
      <c r="V453" s="2"/>
      <c r="W453" s="2"/>
      <c r="X453" s="2"/>
    </row>
    <row r="454">
      <c r="A454" s="116"/>
      <c r="B454" s="44"/>
      <c r="C454" s="2"/>
      <c r="D454" s="2"/>
      <c r="E454" s="2"/>
      <c r="F454" s="2"/>
      <c r="G454" s="2"/>
      <c r="H454" s="2"/>
      <c r="I454" s="2"/>
      <c r="J454" s="2"/>
      <c r="K454" s="2"/>
      <c r="L454" s="2"/>
      <c r="M454" s="2"/>
      <c r="N454" s="2"/>
      <c r="O454" s="2"/>
      <c r="P454" s="2"/>
      <c r="Q454" s="2"/>
      <c r="R454" s="2"/>
      <c r="S454" s="2"/>
      <c r="T454" s="2"/>
      <c r="U454" s="2"/>
      <c r="V454" s="2"/>
      <c r="W454" s="2"/>
      <c r="X454" s="2"/>
    </row>
    <row r="455">
      <c r="A455" s="116"/>
      <c r="B455" s="44"/>
      <c r="C455" s="2"/>
      <c r="D455" s="2"/>
      <c r="E455" s="2"/>
      <c r="F455" s="2"/>
      <c r="G455" s="2"/>
      <c r="H455" s="2"/>
      <c r="I455" s="2"/>
      <c r="J455" s="2"/>
      <c r="K455" s="2"/>
      <c r="L455" s="2"/>
      <c r="M455" s="2"/>
      <c r="N455" s="2"/>
      <c r="O455" s="2"/>
      <c r="P455" s="2"/>
      <c r="Q455" s="2"/>
      <c r="R455" s="2"/>
      <c r="S455" s="2"/>
      <c r="T455" s="2"/>
      <c r="U455" s="2"/>
      <c r="V455" s="2"/>
      <c r="W455" s="2"/>
      <c r="X455" s="2"/>
    </row>
    <row r="456">
      <c r="A456" s="116"/>
      <c r="B456" s="44"/>
      <c r="C456" s="2"/>
      <c r="D456" s="2"/>
      <c r="E456" s="2"/>
      <c r="F456" s="2"/>
      <c r="G456" s="2"/>
      <c r="H456" s="2"/>
      <c r="I456" s="2"/>
      <c r="J456" s="2"/>
      <c r="K456" s="2"/>
      <c r="L456" s="2"/>
      <c r="M456" s="2"/>
      <c r="N456" s="2"/>
      <c r="O456" s="2"/>
      <c r="P456" s="2"/>
      <c r="Q456" s="2"/>
      <c r="R456" s="2"/>
      <c r="S456" s="2"/>
      <c r="T456" s="2"/>
      <c r="U456" s="2"/>
      <c r="V456" s="2"/>
      <c r="W456" s="2"/>
      <c r="X456" s="2"/>
    </row>
    <row r="457">
      <c r="A457" s="116"/>
      <c r="B457" s="44"/>
      <c r="C457" s="2"/>
      <c r="D457" s="2"/>
      <c r="E457" s="2"/>
      <c r="F457" s="2"/>
      <c r="G457" s="2"/>
      <c r="H457" s="2"/>
      <c r="I457" s="2"/>
      <c r="J457" s="2"/>
      <c r="K457" s="2"/>
      <c r="L457" s="2"/>
      <c r="M457" s="2"/>
      <c r="N457" s="2"/>
      <c r="O457" s="2"/>
      <c r="P457" s="2"/>
      <c r="Q457" s="2"/>
      <c r="R457" s="2"/>
      <c r="S457" s="2"/>
      <c r="T457" s="2"/>
      <c r="U457" s="2"/>
      <c r="V457" s="2"/>
      <c r="W457" s="2"/>
      <c r="X457" s="2"/>
    </row>
    <row r="458">
      <c r="A458" s="116"/>
      <c r="B458" s="44"/>
      <c r="C458" s="2"/>
      <c r="D458" s="2"/>
      <c r="E458" s="2"/>
      <c r="F458" s="2"/>
      <c r="G458" s="2"/>
      <c r="H458" s="2"/>
      <c r="I458" s="2"/>
      <c r="J458" s="2"/>
      <c r="K458" s="2"/>
      <c r="L458" s="2"/>
      <c r="M458" s="2"/>
      <c r="N458" s="2"/>
      <c r="O458" s="2"/>
      <c r="P458" s="2"/>
      <c r="Q458" s="2"/>
      <c r="R458" s="2"/>
      <c r="S458" s="2"/>
      <c r="T458" s="2"/>
      <c r="U458" s="2"/>
      <c r="V458" s="2"/>
      <c r="W458" s="2"/>
      <c r="X458" s="2"/>
    </row>
    <row r="459">
      <c r="A459" s="116"/>
      <c r="B459" s="44"/>
      <c r="C459" s="2"/>
      <c r="D459" s="2"/>
      <c r="E459" s="2"/>
      <c r="F459" s="2"/>
      <c r="G459" s="2"/>
      <c r="H459" s="2"/>
      <c r="I459" s="2"/>
      <c r="J459" s="2"/>
      <c r="K459" s="2"/>
      <c r="L459" s="2"/>
      <c r="M459" s="2"/>
      <c r="N459" s="2"/>
      <c r="O459" s="2"/>
      <c r="P459" s="2"/>
      <c r="Q459" s="2"/>
      <c r="R459" s="2"/>
      <c r="S459" s="2"/>
      <c r="T459" s="2"/>
      <c r="U459" s="2"/>
      <c r="V459" s="2"/>
      <c r="W459" s="2"/>
      <c r="X459" s="2"/>
    </row>
    <row r="460">
      <c r="A460" s="116"/>
      <c r="B460" s="44"/>
      <c r="C460" s="2"/>
      <c r="D460" s="2"/>
      <c r="E460" s="2"/>
      <c r="F460" s="2"/>
      <c r="G460" s="2"/>
      <c r="H460" s="2"/>
      <c r="I460" s="2"/>
      <c r="J460" s="2"/>
      <c r="K460" s="2"/>
      <c r="L460" s="2"/>
      <c r="M460" s="2"/>
      <c r="N460" s="2"/>
      <c r="O460" s="2"/>
      <c r="P460" s="2"/>
      <c r="Q460" s="2"/>
      <c r="R460" s="2"/>
      <c r="S460" s="2"/>
      <c r="T460" s="2"/>
      <c r="U460" s="2"/>
      <c r="V460" s="2"/>
      <c r="W460" s="2"/>
      <c r="X460" s="2"/>
    </row>
    <row r="461">
      <c r="A461" s="116"/>
      <c r="B461" s="44"/>
      <c r="C461" s="2"/>
      <c r="D461" s="2"/>
      <c r="E461" s="2"/>
      <c r="F461" s="2"/>
      <c r="G461" s="2"/>
      <c r="H461" s="2"/>
      <c r="I461" s="2"/>
      <c r="J461" s="2"/>
      <c r="K461" s="2"/>
      <c r="L461" s="2"/>
      <c r="M461" s="2"/>
      <c r="N461" s="2"/>
      <c r="O461" s="2"/>
      <c r="P461" s="2"/>
      <c r="Q461" s="2"/>
      <c r="R461" s="2"/>
      <c r="S461" s="2"/>
      <c r="T461" s="2"/>
      <c r="U461" s="2"/>
      <c r="V461" s="2"/>
      <c r="W461" s="2"/>
      <c r="X461" s="2"/>
    </row>
    <row r="462">
      <c r="A462" s="116"/>
      <c r="B462" s="44"/>
      <c r="C462" s="2"/>
      <c r="D462" s="2"/>
      <c r="E462" s="2"/>
      <c r="F462" s="2"/>
      <c r="G462" s="2"/>
      <c r="H462" s="2"/>
      <c r="I462" s="2"/>
      <c r="J462" s="2"/>
      <c r="K462" s="2"/>
      <c r="L462" s="2"/>
      <c r="M462" s="2"/>
      <c r="N462" s="2"/>
      <c r="O462" s="2"/>
      <c r="P462" s="2"/>
      <c r="Q462" s="2"/>
      <c r="R462" s="2"/>
      <c r="S462" s="2"/>
      <c r="T462" s="2"/>
      <c r="U462" s="2"/>
      <c r="V462" s="2"/>
      <c r="W462" s="2"/>
      <c r="X462" s="2"/>
    </row>
    <row r="463">
      <c r="A463" s="116"/>
      <c r="B463" s="44"/>
      <c r="C463" s="2"/>
      <c r="D463" s="2"/>
      <c r="E463" s="2"/>
      <c r="F463" s="2"/>
      <c r="G463" s="2"/>
      <c r="H463" s="2"/>
      <c r="I463" s="2"/>
      <c r="J463" s="2"/>
      <c r="K463" s="2"/>
      <c r="L463" s="2"/>
      <c r="M463" s="2"/>
      <c r="N463" s="2"/>
      <c r="O463" s="2"/>
      <c r="P463" s="2"/>
      <c r="Q463" s="2"/>
      <c r="R463" s="2"/>
      <c r="S463" s="2"/>
      <c r="T463" s="2"/>
      <c r="U463" s="2"/>
      <c r="V463" s="2"/>
      <c r="W463" s="2"/>
      <c r="X463" s="2"/>
    </row>
    <row r="464">
      <c r="A464" s="116"/>
      <c r="B464" s="44"/>
      <c r="C464" s="2"/>
      <c r="D464" s="2"/>
      <c r="E464" s="2"/>
      <c r="F464" s="2"/>
      <c r="G464" s="2"/>
      <c r="H464" s="2"/>
      <c r="I464" s="2"/>
      <c r="J464" s="2"/>
      <c r="K464" s="2"/>
      <c r="L464" s="2"/>
      <c r="M464" s="2"/>
      <c r="N464" s="2"/>
      <c r="O464" s="2"/>
      <c r="P464" s="2"/>
      <c r="Q464" s="2"/>
      <c r="R464" s="2"/>
      <c r="S464" s="2"/>
      <c r="T464" s="2"/>
      <c r="U464" s="2"/>
      <c r="V464" s="2"/>
      <c r="W464" s="2"/>
      <c r="X464" s="2"/>
    </row>
    <row r="465">
      <c r="A465" s="116"/>
      <c r="B465" s="44"/>
      <c r="C465" s="2"/>
      <c r="D465" s="2"/>
      <c r="E465" s="2"/>
      <c r="F465" s="2"/>
      <c r="G465" s="2"/>
      <c r="H465" s="2"/>
      <c r="I465" s="2"/>
      <c r="J465" s="2"/>
      <c r="K465" s="2"/>
      <c r="L465" s="2"/>
      <c r="M465" s="2"/>
      <c r="N465" s="2"/>
      <c r="O465" s="2"/>
      <c r="P465" s="2"/>
      <c r="Q465" s="2"/>
      <c r="R465" s="2"/>
      <c r="S465" s="2"/>
      <c r="T465" s="2"/>
      <c r="U465" s="2"/>
      <c r="V465" s="2"/>
      <c r="W465" s="2"/>
      <c r="X465" s="2"/>
    </row>
    <row r="466">
      <c r="A466" s="116"/>
      <c r="B466" s="44"/>
      <c r="C466" s="2"/>
      <c r="D466" s="2"/>
      <c r="E466" s="2"/>
      <c r="F466" s="2"/>
      <c r="G466" s="2"/>
      <c r="H466" s="2"/>
      <c r="I466" s="2"/>
      <c r="J466" s="2"/>
      <c r="K466" s="2"/>
      <c r="L466" s="2"/>
      <c r="M466" s="2"/>
      <c r="N466" s="2"/>
      <c r="O466" s="2"/>
      <c r="P466" s="2"/>
      <c r="Q466" s="2"/>
      <c r="R466" s="2"/>
      <c r="S466" s="2"/>
      <c r="T466" s="2"/>
      <c r="U466" s="2"/>
      <c r="V466" s="2"/>
      <c r="W466" s="2"/>
      <c r="X466" s="2"/>
    </row>
    <row r="467">
      <c r="A467" s="116"/>
      <c r="B467" s="44"/>
      <c r="C467" s="2"/>
      <c r="D467" s="2"/>
      <c r="E467" s="2"/>
      <c r="F467" s="2"/>
      <c r="G467" s="2"/>
      <c r="H467" s="2"/>
      <c r="I467" s="2"/>
      <c r="J467" s="2"/>
      <c r="K467" s="2"/>
      <c r="L467" s="2"/>
      <c r="M467" s="2"/>
      <c r="N467" s="2"/>
      <c r="O467" s="2"/>
      <c r="P467" s="2"/>
      <c r="Q467" s="2"/>
      <c r="R467" s="2"/>
      <c r="S467" s="2"/>
      <c r="T467" s="2"/>
      <c r="U467" s="2"/>
      <c r="V467" s="2"/>
      <c r="W467" s="2"/>
      <c r="X467" s="2"/>
    </row>
    <row r="468">
      <c r="A468" s="116"/>
      <c r="B468" s="44"/>
      <c r="C468" s="2"/>
      <c r="D468" s="2"/>
      <c r="E468" s="2"/>
      <c r="F468" s="2"/>
      <c r="G468" s="2"/>
      <c r="H468" s="2"/>
      <c r="I468" s="2"/>
      <c r="J468" s="2"/>
      <c r="K468" s="2"/>
      <c r="L468" s="2"/>
      <c r="M468" s="2"/>
      <c r="N468" s="2"/>
      <c r="O468" s="2"/>
      <c r="P468" s="2"/>
      <c r="Q468" s="2"/>
      <c r="R468" s="2"/>
      <c r="S468" s="2"/>
      <c r="T468" s="2"/>
      <c r="U468" s="2"/>
      <c r="V468" s="2"/>
      <c r="W468" s="2"/>
      <c r="X468" s="2"/>
    </row>
    <row r="469">
      <c r="A469" s="116"/>
      <c r="B469" s="44"/>
      <c r="C469" s="2"/>
      <c r="D469" s="2"/>
      <c r="E469" s="2"/>
      <c r="F469" s="2"/>
      <c r="G469" s="2"/>
      <c r="H469" s="2"/>
      <c r="I469" s="2"/>
      <c r="J469" s="2"/>
      <c r="K469" s="2"/>
      <c r="L469" s="2"/>
      <c r="M469" s="2"/>
      <c r="N469" s="2"/>
      <c r="O469" s="2"/>
      <c r="P469" s="2"/>
      <c r="Q469" s="2"/>
      <c r="R469" s="2"/>
      <c r="S469" s="2"/>
      <c r="T469" s="2"/>
      <c r="U469" s="2"/>
      <c r="V469" s="2"/>
      <c r="W469" s="2"/>
      <c r="X469" s="2"/>
    </row>
    <row r="470">
      <c r="A470" s="116"/>
      <c r="B470" s="44"/>
      <c r="C470" s="2"/>
      <c r="D470" s="2"/>
      <c r="E470" s="2"/>
      <c r="F470" s="2"/>
      <c r="G470" s="2"/>
      <c r="H470" s="2"/>
      <c r="I470" s="2"/>
      <c r="J470" s="2"/>
      <c r="K470" s="2"/>
      <c r="L470" s="2"/>
      <c r="M470" s="2"/>
      <c r="N470" s="2"/>
      <c r="O470" s="2"/>
      <c r="P470" s="2"/>
      <c r="Q470" s="2"/>
      <c r="R470" s="2"/>
      <c r="S470" s="2"/>
      <c r="T470" s="2"/>
      <c r="U470" s="2"/>
      <c r="V470" s="2"/>
      <c r="W470" s="2"/>
      <c r="X470" s="2"/>
    </row>
    <row r="471">
      <c r="A471" s="116"/>
      <c r="B471" s="44"/>
      <c r="C471" s="2"/>
      <c r="D471" s="2"/>
      <c r="E471" s="2"/>
      <c r="F471" s="2"/>
      <c r="G471" s="2"/>
      <c r="H471" s="2"/>
      <c r="I471" s="2"/>
      <c r="J471" s="2"/>
      <c r="K471" s="2"/>
      <c r="L471" s="2"/>
      <c r="M471" s="2"/>
      <c r="N471" s="2"/>
      <c r="O471" s="2"/>
      <c r="P471" s="2"/>
      <c r="Q471" s="2"/>
      <c r="R471" s="2"/>
      <c r="S471" s="2"/>
      <c r="T471" s="2"/>
      <c r="U471" s="2"/>
      <c r="V471" s="2"/>
      <c r="W471" s="2"/>
      <c r="X471" s="2"/>
    </row>
    <row r="472">
      <c r="A472" s="116"/>
      <c r="B472" s="44"/>
      <c r="C472" s="2"/>
      <c r="D472" s="2"/>
      <c r="E472" s="2"/>
      <c r="F472" s="2"/>
      <c r="G472" s="2"/>
      <c r="H472" s="2"/>
      <c r="I472" s="2"/>
      <c r="J472" s="2"/>
      <c r="K472" s="2"/>
      <c r="L472" s="2"/>
      <c r="M472" s="2"/>
      <c r="N472" s="2"/>
      <c r="O472" s="2"/>
      <c r="P472" s="2"/>
      <c r="Q472" s="2"/>
      <c r="R472" s="2"/>
      <c r="S472" s="2"/>
      <c r="T472" s="2"/>
      <c r="U472" s="2"/>
      <c r="V472" s="2"/>
      <c r="W472" s="2"/>
      <c r="X472" s="2"/>
    </row>
    <row r="473">
      <c r="A473" s="116"/>
      <c r="B473" s="44"/>
      <c r="C473" s="2"/>
      <c r="D473" s="2"/>
      <c r="E473" s="2"/>
      <c r="F473" s="2"/>
      <c r="G473" s="2"/>
      <c r="H473" s="2"/>
      <c r="I473" s="2"/>
      <c r="J473" s="2"/>
      <c r="K473" s="2"/>
      <c r="L473" s="2"/>
      <c r="M473" s="2"/>
      <c r="N473" s="2"/>
      <c r="O473" s="2"/>
      <c r="P473" s="2"/>
      <c r="Q473" s="2"/>
      <c r="R473" s="2"/>
      <c r="S473" s="2"/>
      <c r="T473" s="2"/>
      <c r="U473" s="2"/>
      <c r="V473" s="2"/>
      <c r="W473" s="2"/>
      <c r="X473" s="2"/>
    </row>
    <row r="474">
      <c r="A474" s="116"/>
      <c r="B474" s="44"/>
      <c r="C474" s="2"/>
      <c r="D474" s="2"/>
      <c r="E474" s="2"/>
      <c r="F474" s="2"/>
      <c r="G474" s="2"/>
      <c r="H474" s="2"/>
      <c r="I474" s="2"/>
      <c r="J474" s="2"/>
      <c r="K474" s="2"/>
      <c r="L474" s="2"/>
      <c r="M474" s="2"/>
      <c r="N474" s="2"/>
      <c r="O474" s="2"/>
      <c r="P474" s="2"/>
      <c r="Q474" s="2"/>
      <c r="R474" s="2"/>
      <c r="S474" s="2"/>
      <c r="T474" s="2"/>
      <c r="U474" s="2"/>
      <c r="V474" s="2"/>
      <c r="W474" s="2"/>
      <c r="X474" s="2"/>
    </row>
    <row r="475">
      <c r="A475" s="116"/>
      <c r="B475" s="44"/>
      <c r="C475" s="2"/>
      <c r="D475" s="2"/>
      <c r="E475" s="2"/>
      <c r="F475" s="2"/>
      <c r="G475" s="2"/>
      <c r="H475" s="2"/>
      <c r="I475" s="2"/>
      <c r="J475" s="2"/>
      <c r="K475" s="2"/>
      <c r="L475" s="2"/>
      <c r="M475" s="2"/>
      <c r="N475" s="2"/>
      <c r="O475" s="2"/>
      <c r="P475" s="2"/>
      <c r="Q475" s="2"/>
      <c r="R475" s="2"/>
      <c r="S475" s="2"/>
      <c r="T475" s="2"/>
      <c r="U475" s="2"/>
      <c r="V475" s="2"/>
      <c r="W475" s="2"/>
      <c r="X475" s="2"/>
    </row>
    <row r="476">
      <c r="A476" s="116"/>
      <c r="B476" s="44"/>
      <c r="C476" s="2"/>
      <c r="D476" s="2"/>
      <c r="E476" s="2"/>
      <c r="F476" s="2"/>
      <c r="G476" s="2"/>
      <c r="H476" s="2"/>
      <c r="I476" s="2"/>
      <c r="J476" s="2"/>
      <c r="K476" s="2"/>
      <c r="L476" s="2"/>
      <c r="M476" s="2"/>
      <c r="N476" s="2"/>
      <c r="O476" s="2"/>
      <c r="P476" s="2"/>
      <c r="Q476" s="2"/>
      <c r="R476" s="2"/>
      <c r="S476" s="2"/>
      <c r="T476" s="2"/>
      <c r="U476" s="2"/>
      <c r="V476" s="2"/>
      <c r="W476" s="2"/>
      <c r="X476" s="2"/>
    </row>
    <row r="477">
      <c r="A477" s="116"/>
      <c r="B477" s="44"/>
      <c r="C477" s="2"/>
      <c r="D477" s="2"/>
      <c r="E477" s="2"/>
      <c r="F477" s="2"/>
      <c r="G477" s="2"/>
      <c r="H477" s="2"/>
      <c r="I477" s="2"/>
      <c r="J477" s="2"/>
      <c r="K477" s="2"/>
      <c r="L477" s="2"/>
      <c r="M477" s="2"/>
      <c r="N477" s="2"/>
      <c r="O477" s="2"/>
      <c r="P477" s="2"/>
      <c r="Q477" s="2"/>
      <c r="R477" s="2"/>
      <c r="S477" s="2"/>
      <c r="T477" s="2"/>
      <c r="U477" s="2"/>
      <c r="V477" s="2"/>
      <c r="W477" s="2"/>
      <c r="X477" s="2"/>
    </row>
    <row r="478">
      <c r="A478" s="116"/>
      <c r="B478" s="44"/>
      <c r="C478" s="2"/>
      <c r="D478" s="2"/>
      <c r="E478" s="2"/>
      <c r="F478" s="2"/>
      <c r="G478" s="2"/>
      <c r="H478" s="2"/>
      <c r="I478" s="2"/>
      <c r="J478" s="2"/>
      <c r="K478" s="2"/>
      <c r="L478" s="2"/>
      <c r="M478" s="2"/>
      <c r="N478" s="2"/>
      <c r="O478" s="2"/>
      <c r="P478" s="2"/>
      <c r="Q478" s="2"/>
      <c r="R478" s="2"/>
      <c r="S478" s="2"/>
      <c r="T478" s="2"/>
      <c r="U478" s="2"/>
      <c r="V478" s="2"/>
      <c r="W478" s="2"/>
      <c r="X478" s="2"/>
    </row>
    <row r="479">
      <c r="A479" s="116"/>
      <c r="B479" s="44"/>
      <c r="C479" s="2"/>
      <c r="D479" s="2"/>
      <c r="E479" s="2"/>
      <c r="F479" s="2"/>
      <c r="G479" s="2"/>
      <c r="H479" s="2"/>
      <c r="I479" s="2"/>
      <c r="J479" s="2"/>
      <c r="K479" s="2"/>
      <c r="L479" s="2"/>
      <c r="M479" s="2"/>
      <c r="N479" s="2"/>
      <c r="O479" s="2"/>
      <c r="P479" s="2"/>
      <c r="Q479" s="2"/>
      <c r="R479" s="2"/>
      <c r="S479" s="2"/>
      <c r="T479" s="2"/>
      <c r="U479" s="2"/>
      <c r="V479" s="2"/>
      <c r="W479" s="2"/>
      <c r="X479" s="2"/>
    </row>
    <row r="480">
      <c r="A480" s="116"/>
      <c r="B480" s="44"/>
      <c r="C480" s="2"/>
      <c r="D480" s="2"/>
      <c r="E480" s="2"/>
      <c r="F480" s="2"/>
      <c r="G480" s="2"/>
      <c r="H480" s="2"/>
      <c r="I480" s="2"/>
      <c r="J480" s="2"/>
      <c r="K480" s="2"/>
      <c r="L480" s="2"/>
      <c r="M480" s="2"/>
      <c r="N480" s="2"/>
      <c r="O480" s="2"/>
      <c r="P480" s="2"/>
      <c r="Q480" s="2"/>
      <c r="R480" s="2"/>
      <c r="S480" s="2"/>
      <c r="T480" s="2"/>
      <c r="U480" s="2"/>
      <c r="V480" s="2"/>
      <c r="W480" s="2"/>
      <c r="X480" s="2"/>
    </row>
    <row r="481">
      <c r="A481" s="116"/>
      <c r="B481" s="44"/>
      <c r="C481" s="2"/>
      <c r="D481" s="2"/>
      <c r="E481" s="2"/>
      <c r="F481" s="2"/>
      <c r="G481" s="2"/>
      <c r="H481" s="2"/>
      <c r="I481" s="2"/>
      <c r="J481" s="2"/>
      <c r="K481" s="2"/>
      <c r="L481" s="2"/>
      <c r="M481" s="2"/>
      <c r="N481" s="2"/>
      <c r="O481" s="2"/>
      <c r="P481" s="2"/>
      <c r="Q481" s="2"/>
      <c r="R481" s="2"/>
      <c r="S481" s="2"/>
      <c r="T481" s="2"/>
      <c r="U481" s="2"/>
      <c r="V481" s="2"/>
      <c r="W481" s="2"/>
      <c r="X481" s="2"/>
    </row>
    <row r="482">
      <c r="A482" s="116"/>
      <c r="B482" s="44"/>
      <c r="C482" s="2"/>
      <c r="D482" s="2"/>
      <c r="E482" s="2"/>
      <c r="F482" s="2"/>
      <c r="G482" s="2"/>
      <c r="H482" s="2"/>
      <c r="I482" s="2"/>
      <c r="J482" s="2"/>
      <c r="K482" s="2"/>
      <c r="L482" s="2"/>
      <c r="M482" s="2"/>
      <c r="N482" s="2"/>
      <c r="O482" s="2"/>
      <c r="P482" s="2"/>
      <c r="Q482" s="2"/>
      <c r="R482" s="2"/>
      <c r="S482" s="2"/>
      <c r="T482" s="2"/>
      <c r="U482" s="2"/>
      <c r="V482" s="2"/>
      <c r="W482" s="2"/>
      <c r="X482" s="2"/>
    </row>
    <row r="483">
      <c r="A483" s="116"/>
      <c r="B483" s="44"/>
      <c r="C483" s="2"/>
      <c r="D483" s="2"/>
      <c r="E483" s="2"/>
      <c r="F483" s="2"/>
      <c r="G483" s="2"/>
      <c r="H483" s="2"/>
      <c r="I483" s="2"/>
      <c r="J483" s="2"/>
      <c r="K483" s="2"/>
      <c r="L483" s="2"/>
      <c r="M483" s="2"/>
      <c r="N483" s="2"/>
      <c r="O483" s="2"/>
      <c r="P483" s="2"/>
      <c r="Q483" s="2"/>
      <c r="R483" s="2"/>
      <c r="S483" s="2"/>
      <c r="T483" s="2"/>
      <c r="U483" s="2"/>
      <c r="V483" s="2"/>
      <c r="W483" s="2"/>
      <c r="X483" s="2"/>
    </row>
    <row r="484">
      <c r="A484" s="116"/>
      <c r="B484" s="44"/>
      <c r="C484" s="2"/>
      <c r="D484" s="2"/>
      <c r="E484" s="2"/>
      <c r="F484" s="2"/>
      <c r="G484" s="2"/>
      <c r="H484" s="2"/>
      <c r="I484" s="2"/>
      <c r="J484" s="2"/>
      <c r="K484" s="2"/>
      <c r="L484" s="2"/>
      <c r="M484" s="2"/>
      <c r="N484" s="2"/>
      <c r="O484" s="2"/>
      <c r="P484" s="2"/>
      <c r="Q484" s="2"/>
      <c r="R484" s="2"/>
      <c r="S484" s="2"/>
      <c r="T484" s="2"/>
      <c r="U484" s="2"/>
      <c r="V484" s="2"/>
      <c r="W484" s="2"/>
      <c r="X484" s="2"/>
    </row>
    <row r="485">
      <c r="A485" s="116"/>
      <c r="B485" s="44"/>
      <c r="C485" s="2"/>
      <c r="D485" s="2"/>
      <c r="E485" s="2"/>
      <c r="F485" s="2"/>
      <c r="G485" s="2"/>
      <c r="H485" s="2"/>
      <c r="I485" s="2"/>
      <c r="J485" s="2"/>
      <c r="K485" s="2"/>
      <c r="L485" s="2"/>
      <c r="M485" s="2"/>
      <c r="N485" s="2"/>
      <c r="O485" s="2"/>
      <c r="P485" s="2"/>
      <c r="Q485" s="2"/>
      <c r="R485" s="2"/>
      <c r="S485" s="2"/>
      <c r="T485" s="2"/>
      <c r="U485" s="2"/>
      <c r="V485" s="2"/>
      <c r="W485" s="2"/>
      <c r="X485" s="2"/>
    </row>
    <row r="486">
      <c r="A486" s="116"/>
      <c r="B486" s="44"/>
      <c r="C486" s="2"/>
      <c r="D486" s="2"/>
      <c r="E486" s="2"/>
      <c r="F486" s="2"/>
      <c r="G486" s="2"/>
      <c r="H486" s="2"/>
      <c r="I486" s="2"/>
      <c r="J486" s="2"/>
      <c r="K486" s="2"/>
      <c r="L486" s="2"/>
      <c r="M486" s="2"/>
      <c r="N486" s="2"/>
      <c r="O486" s="2"/>
      <c r="P486" s="2"/>
      <c r="Q486" s="2"/>
      <c r="R486" s="2"/>
      <c r="S486" s="2"/>
      <c r="T486" s="2"/>
      <c r="U486" s="2"/>
      <c r="V486" s="2"/>
      <c r="W486" s="2"/>
      <c r="X486" s="2"/>
    </row>
    <row r="487">
      <c r="A487" s="116"/>
      <c r="B487" s="44"/>
      <c r="C487" s="2"/>
      <c r="D487" s="2"/>
      <c r="E487" s="2"/>
      <c r="F487" s="2"/>
      <c r="G487" s="2"/>
      <c r="H487" s="2"/>
      <c r="I487" s="2"/>
      <c r="J487" s="2"/>
      <c r="K487" s="2"/>
      <c r="L487" s="2"/>
      <c r="M487" s="2"/>
      <c r="N487" s="2"/>
      <c r="O487" s="2"/>
      <c r="P487" s="2"/>
      <c r="Q487" s="2"/>
      <c r="R487" s="2"/>
      <c r="S487" s="2"/>
      <c r="T487" s="2"/>
      <c r="U487" s="2"/>
      <c r="V487" s="2"/>
      <c r="W487" s="2"/>
      <c r="X487" s="2"/>
    </row>
    <row r="488">
      <c r="A488" s="116"/>
      <c r="B488" s="44"/>
      <c r="C488" s="2"/>
      <c r="D488" s="2"/>
      <c r="E488" s="2"/>
      <c r="F488" s="2"/>
      <c r="G488" s="2"/>
      <c r="H488" s="2"/>
      <c r="I488" s="2"/>
      <c r="J488" s="2"/>
      <c r="K488" s="2"/>
      <c r="L488" s="2"/>
      <c r="M488" s="2"/>
      <c r="N488" s="2"/>
      <c r="O488" s="2"/>
      <c r="P488" s="2"/>
      <c r="Q488" s="2"/>
      <c r="R488" s="2"/>
      <c r="S488" s="2"/>
      <c r="T488" s="2"/>
      <c r="U488" s="2"/>
      <c r="V488" s="2"/>
      <c r="W488" s="2"/>
      <c r="X488" s="2"/>
    </row>
    <row r="489">
      <c r="A489" s="116"/>
      <c r="B489" s="44"/>
      <c r="C489" s="2"/>
      <c r="D489" s="2"/>
      <c r="E489" s="2"/>
      <c r="F489" s="2"/>
      <c r="G489" s="2"/>
      <c r="H489" s="2"/>
      <c r="I489" s="2"/>
      <c r="J489" s="2"/>
      <c r="K489" s="2"/>
      <c r="L489" s="2"/>
      <c r="M489" s="2"/>
      <c r="N489" s="2"/>
      <c r="O489" s="2"/>
      <c r="P489" s="2"/>
      <c r="Q489" s="2"/>
      <c r="R489" s="2"/>
      <c r="S489" s="2"/>
      <c r="T489" s="2"/>
      <c r="U489" s="2"/>
      <c r="V489" s="2"/>
      <c r="W489" s="2"/>
      <c r="X489" s="2"/>
    </row>
    <row r="490">
      <c r="A490" s="116"/>
      <c r="B490" s="44"/>
      <c r="C490" s="2"/>
      <c r="D490" s="2"/>
      <c r="E490" s="2"/>
      <c r="F490" s="2"/>
      <c r="G490" s="2"/>
      <c r="H490" s="2"/>
      <c r="I490" s="2"/>
      <c r="J490" s="2"/>
      <c r="K490" s="2"/>
      <c r="L490" s="2"/>
      <c r="M490" s="2"/>
      <c r="N490" s="2"/>
      <c r="O490" s="2"/>
      <c r="P490" s="2"/>
      <c r="Q490" s="2"/>
      <c r="R490" s="2"/>
      <c r="S490" s="2"/>
      <c r="T490" s="2"/>
      <c r="U490" s="2"/>
      <c r="V490" s="2"/>
      <c r="W490" s="2"/>
      <c r="X490" s="2"/>
    </row>
    <row r="491">
      <c r="A491" s="116"/>
      <c r="B491" s="44"/>
      <c r="C491" s="2"/>
      <c r="D491" s="2"/>
      <c r="E491" s="2"/>
      <c r="F491" s="2"/>
      <c r="G491" s="2"/>
      <c r="H491" s="2"/>
      <c r="I491" s="2"/>
      <c r="J491" s="2"/>
      <c r="K491" s="2"/>
      <c r="L491" s="2"/>
      <c r="M491" s="2"/>
      <c r="N491" s="2"/>
      <c r="O491" s="2"/>
      <c r="P491" s="2"/>
      <c r="Q491" s="2"/>
      <c r="R491" s="2"/>
      <c r="S491" s="2"/>
      <c r="T491" s="2"/>
      <c r="U491" s="2"/>
      <c r="V491" s="2"/>
      <c r="W491" s="2"/>
      <c r="X491" s="2"/>
    </row>
    <row r="492">
      <c r="A492" s="116"/>
      <c r="B492" s="44"/>
      <c r="C492" s="2"/>
      <c r="D492" s="2"/>
      <c r="E492" s="2"/>
      <c r="F492" s="2"/>
      <c r="G492" s="2"/>
      <c r="H492" s="2"/>
      <c r="I492" s="2"/>
      <c r="J492" s="2"/>
      <c r="K492" s="2"/>
      <c r="L492" s="2"/>
      <c r="M492" s="2"/>
      <c r="N492" s="2"/>
      <c r="O492" s="2"/>
      <c r="P492" s="2"/>
      <c r="Q492" s="2"/>
      <c r="R492" s="2"/>
      <c r="S492" s="2"/>
      <c r="T492" s="2"/>
      <c r="U492" s="2"/>
      <c r="V492" s="2"/>
      <c r="W492" s="2"/>
      <c r="X492" s="2"/>
    </row>
    <row r="493">
      <c r="A493" s="116"/>
      <c r="B493" s="44"/>
      <c r="C493" s="2"/>
      <c r="D493" s="2"/>
      <c r="E493" s="2"/>
      <c r="F493" s="2"/>
      <c r="G493" s="2"/>
      <c r="H493" s="2"/>
      <c r="I493" s="2"/>
      <c r="J493" s="2"/>
      <c r="K493" s="2"/>
      <c r="L493" s="2"/>
      <c r="M493" s="2"/>
      <c r="N493" s="2"/>
      <c r="O493" s="2"/>
      <c r="P493" s="2"/>
      <c r="Q493" s="2"/>
      <c r="R493" s="2"/>
      <c r="S493" s="2"/>
      <c r="T493" s="2"/>
      <c r="U493" s="2"/>
      <c r="V493" s="2"/>
      <c r="W493" s="2"/>
      <c r="X493" s="2"/>
    </row>
    <row r="494">
      <c r="A494" s="116"/>
      <c r="B494" s="44"/>
      <c r="C494" s="2"/>
      <c r="D494" s="2"/>
      <c r="E494" s="2"/>
      <c r="F494" s="2"/>
      <c r="G494" s="2"/>
      <c r="H494" s="2"/>
      <c r="I494" s="2"/>
      <c r="J494" s="2"/>
      <c r="K494" s="2"/>
      <c r="L494" s="2"/>
      <c r="M494" s="2"/>
      <c r="N494" s="2"/>
      <c r="O494" s="2"/>
      <c r="P494" s="2"/>
      <c r="Q494" s="2"/>
      <c r="R494" s="2"/>
      <c r="S494" s="2"/>
      <c r="T494" s="2"/>
      <c r="U494" s="2"/>
      <c r="V494" s="2"/>
      <c r="W494" s="2"/>
      <c r="X494" s="2"/>
    </row>
    <row r="495">
      <c r="A495" s="116"/>
      <c r="B495" s="44"/>
      <c r="C495" s="2"/>
      <c r="D495" s="2"/>
      <c r="E495" s="2"/>
      <c r="F495" s="2"/>
      <c r="G495" s="2"/>
      <c r="H495" s="2"/>
      <c r="I495" s="2"/>
      <c r="J495" s="2"/>
      <c r="K495" s="2"/>
      <c r="L495" s="2"/>
      <c r="M495" s="2"/>
      <c r="N495" s="2"/>
      <c r="O495" s="2"/>
      <c r="P495" s="2"/>
      <c r="Q495" s="2"/>
      <c r="R495" s="2"/>
      <c r="S495" s="2"/>
      <c r="T495" s="2"/>
      <c r="U495" s="2"/>
      <c r="V495" s="2"/>
      <c r="W495" s="2"/>
      <c r="X495" s="2"/>
    </row>
    <row r="496">
      <c r="A496" s="116"/>
      <c r="B496" s="44"/>
      <c r="C496" s="2"/>
      <c r="D496" s="2"/>
      <c r="E496" s="2"/>
      <c r="F496" s="2"/>
      <c r="G496" s="2"/>
      <c r="H496" s="2"/>
      <c r="I496" s="2"/>
      <c r="J496" s="2"/>
      <c r="K496" s="2"/>
      <c r="L496" s="2"/>
      <c r="M496" s="2"/>
      <c r="N496" s="2"/>
      <c r="O496" s="2"/>
      <c r="P496" s="2"/>
      <c r="Q496" s="2"/>
      <c r="R496" s="2"/>
      <c r="S496" s="2"/>
      <c r="T496" s="2"/>
      <c r="U496" s="2"/>
      <c r="V496" s="2"/>
      <c r="W496" s="2"/>
      <c r="X496" s="2"/>
    </row>
    <row r="497">
      <c r="A497" s="116"/>
      <c r="B497" s="44"/>
      <c r="C497" s="2"/>
      <c r="D497" s="2"/>
      <c r="E497" s="2"/>
      <c r="F497" s="2"/>
      <c r="G497" s="2"/>
      <c r="H497" s="2"/>
      <c r="I497" s="2"/>
      <c r="J497" s="2"/>
      <c r="K497" s="2"/>
      <c r="L497" s="2"/>
      <c r="M497" s="2"/>
      <c r="N497" s="2"/>
      <c r="O497" s="2"/>
      <c r="P497" s="2"/>
      <c r="Q497" s="2"/>
      <c r="R497" s="2"/>
      <c r="S497" s="2"/>
      <c r="T497" s="2"/>
      <c r="U497" s="2"/>
      <c r="V497" s="2"/>
      <c r="W497" s="2"/>
      <c r="X497" s="2"/>
    </row>
    <row r="498">
      <c r="A498" s="116"/>
      <c r="B498" s="44"/>
      <c r="C498" s="2"/>
      <c r="D498" s="2"/>
      <c r="E498" s="2"/>
      <c r="F498" s="2"/>
      <c r="G498" s="2"/>
      <c r="H498" s="2"/>
      <c r="I498" s="2"/>
      <c r="J498" s="2"/>
      <c r="K498" s="2"/>
      <c r="L498" s="2"/>
      <c r="M498" s="2"/>
      <c r="N498" s="2"/>
      <c r="O498" s="2"/>
      <c r="P498" s="2"/>
      <c r="Q498" s="2"/>
      <c r="R498" s="2"/>
      <c r="S498" s="2"/>
      <c r="T498" s="2"/>
      <c r="U498" s="2"/>
      <c r="V498" s="2"/>
      <c r="W498" s="2"/>
      <c r="X498" s="2"/>
    </row>
    <row r="499">
      <c r="A499" s="116"/>
      <c r="B499" s="44"/>
      <c r="C499" s="2"/>
      <c r="D499" s="2"/>
      <c r="E499" s="2"/>
      <c r="F499" s="2"/>
      <c r="G499" s="2"/>
      <c r="H499" s="2"/>
      <c r="I499" s="2"/>
      <c r="J499" s="2"/>
      <c r="K499" s="2"/>
      <c r="L499" s="2"/>
      <c r="M499" s="2"/>
      <c r="N499" s="2"/>
      <c r="O499" s="2"/>
      <c r="P499" s="2"/>
      <c r="Q499" s="2"/>
      <c r="R499" s="2"/>
      <c r="S499" s="2"/>
      <c r="T499" s="2"/>
      <c r="U499" s="2"/>
      <c r="V499" s="2"/>
      <c r="W499" s="2"/>
      <c r="X499" s="2"/>
    </row>
    <row r="500">
      <c r="A500" s="116"/>
      <c r="B500" s="44"/>
      <c r="C500" s="2"/>
      <c r="D500" s="2"/>
      <c r="E500" s="2"/>
      <c r="F500" s="2"/>
      <c r="G500" s="2"/>
      <c r="H500" s="2"/>
      <c r="I500" s="2"/>
      <c r="J500" s="2"/>
      <c r="K500" s="2"/>
      <c r="L500" s="2"/>
      <c r="M500" s="2"/>
      <c r="N500" s="2"/>
      <c r="O500" s="2"/>
      <c r="P500" s="2"/>
      <c r="Q500" s="2"/>
      <c r="R500" s="2"/>
      <c r="S500" s="2"/>
      <c r="T500" s="2"/>
      <c r="U500" s="2"/>
      <c r="V500" s="2"/>
      <c r="W500" s="2"/>
      <c r="X500" s="2"/>
    </row>
    <row r="501">
      <c r="A501" s="116"/>
      <c r="B501" s="44"/>
      <c r="C501" s="2"/>
      <c r="D501" s="2"/>
      <c r="E501" s="2"/>
      <c r="F501" s="2"/>
      <c r="G501" s="2"/>
      <c r="H501" s="2"/>
      <c r="I501" s="2"/>
      <c r="J501" s="2"/>
      <c r="K501" s="2"/>
      <c r="L501" s="2"/>
      <c r="M501" s="2"/>
      <c r="N501" s="2"/>
      <c r="O501" s="2"/>
      <c r="P501" s="2"/>
      <c r="Q501" s="2"/>
      <c r="R501" s="2"/>
      <c r="S501" s="2"/>
      <c r="T501" s="2"/>
      <c r="U501" s="2"/>
      <c r="V501" s="2"/>
      <c r="W501" s="2"/>
      <c r="X501" s="2"/>
    </row>
    <row r="502">
      <c r="A502" s="116"/>
      <c r="B502" s="44"/>
      <c r="C502" s="2"/>
      <c r="D502" s="2"/>
      <c r="E502" s="2"/>
      <c r="F502" s="2"/>
      <c r="G502" s="2"/>
      <c r="H502" s="2"/>
      <c r="I502" s="2"/>
      <c r="J502" s="2"/>
      <c r="K502" s="2"/>
      <c r="L502" s="2"/>
      <c r="M502" s="2"/>
      <c r="N502" s="2"/>
      <c r="O502" s="2"/>
      <c r="P502" s="2"/>
      <c r="Q502" s="2"/>
      <c r="R502" s="2"/>
      <c r="S502" s="2"/>
      <c r="T502" s="2"/>
      <c r="U502" s="2"/>
      <c r="V502" s="2"/>
      <c r="W502" s="2"/>
      <c r="X502" s="2"/>
    </row>
    <row r="503">
      <c r="A503" s="116"/>
      <c r="B503" s="44"/>
      <c r="C503" s="2"/>
      <c r="D503" s="2"/>
      <c r="E503" s="2"/>
      <c r="F503" s="2"/>
      <c r="G503" s="2"/>
      <c r="H503" s="2"/>
      <c r="I503" s="2"/>
      <c r="J503" s="2"/>
      <c r="K503" s="2"/>
      <c r="L503" s="2"/>
      <c r="M503" s="2"/>
      <c r="N503" s="2"/>
      <c r="O503" s="2"/>
      <c r="P503" s="2"/>
      <c r="Q503" s="2"/>
      <c r="R503" s="2"/>
      <c r="S503" s="2"/>
      <c r="T503" s="2"/>
      <c r="U503" s="2"/>
      <c r="V503" s="2"/>
      <c r="W503" s="2"/>
      <c r="X503" s="2"/>
    </row>
    <row r="504">
      <c r="A504" s="116"/>
      <c r="B504" s="44"/>
      <c r="C504" s="2"/>
      <c r="D504" s="2"/>
      <c r="E504" s="2"/>
      <c r="F504" s="2"/>
      <c r="G504" s="2"/>
      <c r="H504" s="2"/>
      <c r="I504" s="2"/>
      <c r="J504" s="2"/>
      <c r="K504" s="2"/>
      <c r="L504" s="2"/>
      <c r="M504" s="2"/>
      <c r="N504" s="2"/>
      <c r="O504" s="2"/>
      <c r="P504" s="2"/>
      <c r="Q504" s="2"/>
      <c r="R504" s="2"/>
      <c r="S504" s="2"/>
      <c r="T504" s="2"/>
      <c r="U504" s="2"/>
      <c r="V504" s="2"/>
      <c r="W504" s="2"/>
      <c r="X504" s="2"/>
    </row>
    <row r="505">
      <c r="A505" s="116"/>
      <c r="B505" s="44"/>
      <c r="C505" s="2"/>
      <c r="D505" s="2"/>
      <c r="E505" s="2"/>
      <c r="F505" s="2"/>
      <c r="G505" s="2"/>
      <c r="H505" s="2"/>
      <c r="I505" s="2"/>
      <c r="J505" s="2"/>
      <c r="K505" s="2"/>
      <c r="L505" s="2"/>
      <c r="M505" s="2"/>
      <c r="N505" s="2"/>
      <c r="O505" s="2"/>
      <c r="P505" s="2"/>
      <c r="Q505" s="2"/>
      <c r="R505" s="2"/>
      <c r="S505" s="2"/>
      <c r="T505" s="2"/>
      <c r="U505" s="2"/>
      <c r="V505" s="2"/>
      <c r="W505" s="2"/>
      <c r="X505" s="2"/>
    </row>
    <row r="506">
      <c r="A506" s="116"/>
      <c r="B506" s="44"/>
      <c r="C506" s="2"/>
      <c r="D506" s="2"/>
      <c r="E506" s="2"/>
      <c r="F506" s="2"/>
      <c r="G506" s="2"/>
      <c r="H506" s="2"/>
      <c r="I506" s="2"/>
      <c r="J506" s="2"/>
      <c r="K506" s="2"/>
      <c r="L506" s="2"/>
      <c r="M506" s="2"/>
      <c r="N506" s="2"/>
      <c r="O506" s="2"/>
      <c r="P506" s="2"/>
      <c r="Q506" s="2"/>
      <c r="R506" s="2"/>
      <c r="S506" s="2"/>
      <c r="T506" s="2"/>
      <c r="U506" s="2"/>
      <c r="V506" s="2"/>
      <c r="W506" s="2"/>
      <c r="X506" s="2"/>
    </row>
    <row r="507">
      <c r="A507" s="116"/>
      <c r="B507" s="44"/>
      <c r="C507" s="2"/>
      <c r="D507" s="2"/>
      <c r="E507" s="2"/>
      <c r="F507" s="2"/>
      <c r="G507" s="2"/>
      <c r="H507" s="2"/>
      <c r="I507" s="2"/>
      <c r="J507" s="2"/>
      <c r="K507" s="2"/>
      <c r="L507" s="2"/>
      <c r="M507" s="2"/>
      <c r="N507" s="2"/>
      <c r="O507" s="2"/>
      <c r="P507" s="2"/>
      <c r="Q507" s="2"/>
      <c r="R507" s="2"/>
      <c r="S507" s="2"/>
      <c r="T507" s="2"/>
      <c r="U507" s="2"/>
      <c r="V507" s="2"/>
      <c r="W507" s="2"/>
      <c r="X507" s="2"/>
    </row>
    <row r="508">
      <c r="A508" s="116"/>
      <c r="B508" s="44"/>
      <c r="C508" s="2"/>
      <c r="D508" s="2"/>
      <c r="E508" s="2"/>
      <c r="F508" s="2"/>
      <c r="G508" s="2"/>
      <c r="H508" s="2"/>
      <c r="I508" s="2"/>
      <c r="J508" s="2"/>
      <c r="K508" s="2"/>
      <c r="L508" s="2"/>
      <c r="M508" s="2"/>
      <c r="N508" s="2"/>
      <c r="O508" s="2"/>
      <c r="P508" s="2"/>
      <c r="Q508" s="2"/>
      <c r="R508" s="2"/>
      <c r="S508" s="2"/>
      <c r="T508" s="2"/>
      <c r="U508" s="2"/>
      <c r="V508" s="2"/>
      <c r="W508" s="2"/>
      <c r="X508" s="2"/>
    </row>
    <row r="509">
      <c r="A509" s="116"/>
      <c r="B509" s="44"/>
      <c r="C509" s="2"/>
      <c r="D509" s="2"/>
      <c r="E509" s="2"/>
      <c r="F509" s="2"/>
      <c r="G509" s="2"/>
      <c r="H509" s="2"/>
      <c r="I509" s="2"/>
      <c r="J509" s="2"/>
      <c r="K509" s="2"/>
      <c r="L509" s="2"/>
      <c r="M509" s="2"/>
      <c r="N509" s="2"/>
      <c r="O509" s="2"/>
      <c r="P509" s="2"/>
      <c r="Q509" s="2"/>
      <c r="R509" s="2"/>
      <c r="S509" s="2"/>
      <c r="T509" s="2"/>
      <c r="U509" s="2"/>
      <c r="V509" s="2"/>
      <c r="W509" s="2"/>
      <c r="X509" s="2"/>
    </row>
    <row r="510">
      <c r="A510" s="116"/>
      <c r="B510" s="44"/>
      <c r="C510" s="2"/>
      <c r="D510" s="2"/>
      <c r="E510" s="2"/>
      <c r="F510" s="2"/>
      <c r="G510" s="2"/>
      <c r="H510" s="2"/>
      <c r="I510" s="2"/>
      <c r="J510" s="2"/>
      <c r="K510" s="2"/>
      <c r="L510" s="2"/>
      <c r="M510" s="2"/>
      <c r="N510" s="2"/>
      <c r="O510" s="2"/>
      <c r="P510" s="2"/>
      <c r="Q510" s="2"/>
      <c r="R510" s="2"/>
      <c r="S510" s="2"/>
      <c r="T510" s="2"/>
      <c r="U510" s="2"/>
      <c r="V510" s="2"/>
      <c r="W510" s="2"/>
      <c r="X510" s="2"/>
    </row>
    <row r="511">
      <c r="A511" s="116"/>
      <c r="B511" s="44"/>
      <c r="C511" s="2"/>
      <c r="D511" s="2"/>
      <c r="E511" s="2"/>
      <c r="F511" s="2"/>
      <c r="G511" s="2"/>
      <c r="H511" s="2"/>
      <c r="I511" s="2"/>
      <c r="J511" s="2"/>
      <c r="K511" s="2"/>
      <c r="L511" s="2"/>
      <c r="M511" s="2"/>
      <c r="N511" s="2"/>
      <c r="O511" s="2"/>
      <c r="P511" s="2"/>
      <c r="Q511" s="2"/>
      <c r="R511" s="2"/>
      <c r="S511" s="2"/>
      <c r="T511" s="2"/>
      <c r="U511" s="2"/>
      <c r="V511" s="2"/>
      <c r="W511" s="2"/>
      <c r="X511" s="2"/>
    </row>
    <row r="512">
      <c r="A512" s="116"/>
      <c r="B512" s="44"/>
      <c r="C512" s="2"/>
      <c r="D512" s="2"/>
      <c r="E512" s="2"/>
      <c r="F512" s="2"/>
      <c r="G512" s="2"/>
      <c r="H512" s="2"/>
      <c r="I512" s="2"/>
      <c r="J512" s="2"/>
      <c r="K512" s="2"/>
      <c r="L512" s="2"/>
      <c r="M512" s="2"/>
      <c r="N512" s="2"/>
      <c r="O512" s="2"/>
      <c r="P512" s="2"/>
      <c r="Q512" s="2"/>
      <c r="R512" s="2"/>
      <c r="S512" s="2"/>
      <c r="T512" s="2"/>
      <c r="U512" s="2"/>
      <c r="V512" s="2"/>
      <c r="W512" s="2"/>
      <c r="X512" s="2"/>
    </row>
    <row r="513">
      <c r="A513" s="116"/>
      <c r="B513" s="44"/>
      <c r="C513" s="2"/>
      <c r="D513" s="2"/>
      <c r="E513" s="2"/>
      <c r="F513" s="2"/>
      <c r="G513" s="2"/>
      <c r="H513" s="2"/>
      <c r="I513" s="2"/>
      <c r="J513" s="2"/>
      <c r="K513" s="2"/>
      <c r="L513" s="2"/>
      <c r="M513" s="2"/>
      <c r="N513" s="2"/>
      <c r="O513" s="2"/>
      <c r="P513" s="2"/>
      <c r="Q513" s="2"/>
      <c r="R513" s="2"/>
      <c r="S513" s="2"/>
      <c r="T513" s="2"/>
      <c r="U513" s="2"/>
      <c r="V513" s="2"/>
      <c r="W513" s="2"/>
      <c r="X513" s="2"/>
    </row>
    <row r="514">
      <c r="A514" s="116"/>
      <c r="B514" s="44"/>
      <c r="C514" s="2"/>
      <c r="D514" s="2"/>
      <c r="E514" s="2"/>
      <c r="F514" s="2"/>
      <c r="G514" s="2"/>
      <c r="H514" s="2"/>
      <c r="I514" s="2"/>
      <c r="J514" s="2"/>
      <c r="K514" s="2"/>
      <c r="L514" s="2"/>
      <c r="M514" s="2"/>
      <c r="N514" s="2"/>
      <c r="O514" s="2"/>
      <c r="P514" s="2"/>
      <c r="Q514" s="2"/>
      <c r="R514" s="2"/>
      <c r="S514" s="2"/>
      <c r="T514" s="2"/>
      <c r="U514" s="2"/>
      <c r="V514" s="2"/>
      <c r="W514" s="2"/>
      <c r="X514" s="2"/>
    </row>
    <row r="515">
      <c r="A515" s="116"/>
      <c r="B515" s="44"/>
      <c r="C515" s="2"/>
      <c r="D515" s="2"/>
      <c r="E515" s="2"/>
      <c r="F515" s="2"/>
      <c r="G515" s="2"/>
      <c r="H515" s="2"/>
      <c r="I515" s="2"/>
      <c r="J515" s="2"/>
      <c r="K515" s="2"/>
      <c r="L515" s="2"/>
      <c r="M515" s="2"/>
      <c r="N515" s="2"/>
      <c r="O515" s="2"/>
      <c r="P515" s="2"/>
      <c r="Q515" s="2"/>
      <c r="R515" s="2"/>
      <c r="S515" s="2"/>
      <c r="T515" s="2"/>
      <c r="U515" s="2"/>
      <c r="V515" s="2"/>
      <c r="W515" s="2"/>
      <c r="X515" s="2"/>
    </row>
    <row r="516">
      <c r="A516" s="116"/>
      <c r="B516" s="44"/>
      <c r="C516" s="2"/>
      <c r="D516" s="2"/>
      <c r="E516" s="2"/>
      <c r="F516" s="2"/>
      <c r="G516" s="2"/>
      <c r="H516" s="2"/>
      <c r="I516" s="2"/>
      <c r="J516" s="2"/>
      <c r="K516" s="2"/>
      <c r="L516" s="2"/>
      <c r="M516" s="2"/>
      <c r="N516" s="2"/>
      <c r="O516" s="2"/>
      <c r="P516" s="2"/>
      <c r="Q516" s="2"/>
      <c r="R516" s="2"/>
      <c r="S516" s="2"/>
      <c r="T516" s="2"/>
      <c r="U516" s="2"/>
      <c r="V516" s="2"/>
      <c r="W516" s="2"/>
      <c r="X516" s="2"/>
    </row>
    <row r="517">
      <c r="A517" s="116"/>
      <c r="B517" s="44"/>
      <c r="C517" s="2"/>
      <c r="D517" s="2"/>
      <c r="E517" s="2"/>
      <c r="F517" s="2"/>
      <c r="G517" s="2"/>
      <c r="H517" s="2"/>
      <c r="I517" s="2"/>
      <c r="J517" s="2"/>
      <c r="K517" s="2"/>
      <c r="L517" s="2"/>
      <c r="M517" s="2"/>
      <c r="N517" s="2"/>
      <c r="O517" s="2"/>
      <c r="P517" s="2"/>
      <c r="Q517" s="2"/>
      <c r="R517" s="2"/>
      <c r="S517" s="2"/>
      <c r="T517" s="2"/>
      <c r="U517" s="2"/>
      <c r="V517" s="2"/>
      <c r="W517" s="2"/>
      <c r="X517" s="2"/>
    </row>
    <row r="518">
      <c r="A518" s="116"/>
      <c r="B518" s="44"/>
      <c r="C518" s="2"/>
      <c r="D518" s="2"/>
      <c r="E518" s="2"/>
      <c r="F518" s="2"/>
      <c r="G518" s="2"/>
      <c r="H518" s="2"/>
      <c r="I518" s="2"/>
      <c r="J518" s="2"/>
      <c r="K518" s="2"/>
      <c r="L518" s="2"/>
      <c r="M518" s="2"/>
      <c r="N518" s="2"/>
      <c r="O518" s="2"/>
      <c r="P518" s="2"/>
      <c r="Q518" s="2"/>
      <c r="R518" s="2"/>
      <c r="S518" s="2"/>
      <c r="T518" s="2"/>
      <c r="U518" s="2"/>
      <c r="V518" s="2"/>
      <c r="W518" s="2"/>
      <c r="X518" s="2"/>
    </row>
    <row r="519">
      <c r="A519" s="116"/>
      <c r="B519" s="44"/>
      <c r="C519" s="2"/>
      <c r="D519" s="2"/>
      <c r="E519" s="2"/>
      <c r="F519" s="2"/>
      <c r="G519" s="2"/>
      <c r="H519" s="2"/>
      <c r="I519" s="2"/>
      <c r="J519" s="2"/>
      <c r="K519" s="2"/>
      <c r="L519" s="2"/>
      <c r="M519" s="2"/>
      <c r="N519" s="2"/>
      <c r="O519" s="2"/>
      <c r="P519" s="2"/>
      <c r="Q519" s="2"/>
      <c r="R519" s="2"/>
      <c r="S519" s="2"/>
      <c r="T519" s="2"/>
      <c r="U519" s="2"/>
      <c r="V519" s="2"/>
      <c r="W519" s="2"/>
      <c r="X519" s="2"/>
    </row>
    <row r="520">
      <c r="A520" s="116"/>
      <c r="B520" s="44"/>
      <c r="C520" s="2"/>
      <c r="D520" s="2"/>
      <c r="E520" s="2"/>
      <c r="F520" s="2"/>
      <c r="G520" s="2"/>
      <c r="H520" s="2"/>
      <c r="I520" s="2"/>
      <c r="J520" s="2"/>
      <c r="K520" s="2"/>
      <c r="L520" s="2"/>
      <c r="M520" s="2"/>
      <c r="N520" s="2"/>
      <c r="O520" s="2"/>
      <c r="P520" s="2"/>
      <c r="Q520" s="2"/>
      <c r="R520" s="2"/>
      <c r="S520" s="2"/>
      <c r="T520" s="2"/>
      <c r="U520" s="2"/>
      <c r="V520" s="2"/>
      <c r="W520" s="2"/>
      <c r="X520" s="2"/>
    </row>
    <row r="521">
      <c r="A521" s="116"/>
      <c r="B521" s="44"/>
      <c r="C521" s="2"/>
      <c r="D521" s="2"/>
      <c r="E521" s="2"/>
      <c r="F521" s="2"/>
      <c r="G521" s="2"/>
      <c r="H521" s="2"/>
      <c r="I521" s="2"/>
      <c r="J521" s="2"/>
      <c r="K521" s="2"/>
      <c r="L521" s="2"/>
      <c r="M521" s="2"/>
      <c r="N521" s="2"/>
      <c r="O521" s="2"/>
      <c r="P521" s="2"/>
      <c r="Q521" s="2"/>
      <c r="R521" s="2"/>
      <c r="S521" s="2"/>
      <c r="T521" s="2"/>
      <c r="U521" s="2"/>
      <c r="V521" s="2"/>
      <c r="W521" s="2"/>
      <c r="X521" s="2"/>
    </row>
    <row r="522">
      <c r="A522" s="116"/>
      <c r="B522" s="44"/>
      <c r="C522" s="2"/>
      <c r="D522" s="2"/>
      <c r="E522" s="2"/>
      <c r="F522" s="2"/>
      <c r="G522" s="2"/>
      <c r="H522" s="2"/>
      <c r="I522" s="2"/>
      <c r="J522" s="2"/>
      <c r="K522" s="2"/>
      <c r="L522" s="2"/>
      <c r="M522" s="2"/>
      <c r="N522" s="2"/>
      <c r="O522" s="2"/>
      <c r="P522" s="2"/>
      <c r="Q522" s="2"/>
      <c r="R522" s="2"/>
      <c r="S522" s="2"/>
      <c r="T522" s="2"/>
      <c r="U522" s="2"/>
      <c r="V522" s="2"/>
      <c r="W522" s="2"/>
      <c r="X522" s="2"/>
    </row>
    <row r="523">
      <c r="A523" s="116"/>
      <c r="B523" s="44"/>
      <c r="C523" s="2"/>
      <c r="D523" s="2"/>
      <c r="E523" s="2"/>
      <c r="F523" s="2"/>
      <c r="G523" s="2"/>
      <c r="H523" s="2"/>
      <c r="I523" s="2"/>
      <c r="J523" s="2"/>
      <c r="K523" s="2"/>
      <c r="L523" s="2"/>
      <c r="M523" s="2"/>
      <c r="N523" s="2"/>
      <c r="O523" s="2"/>
      <c r="P523" s="2"/>
      <c r="Q523" s="2"/>
      <c r="R523" s="2"/>
      <c r="S523" s="2"/>
      <c r="T523" s="2"/>
      <c r="U523" s="2"/>
      <c r="V523" s="2"/>
      <c r="W523" s="2"/>
      <c r="X523" s="2"/>
    </row>
    <row r="524">
      <c r="A524" s="116"/>
      <c r="B524" s="44"/>
      <c r="C524" s="2"/>
      <c r="D524" s="2"/>
      <c r="E524" s="2"/>
      <c r="F524" s="2"/>
      <c r="G524" s="2"/>
      <c r="H524" s="2"/>
      <c r="I524" s="2"/>
      <c r="J524" s="2"/>
      <c r="K524" s="2"/>
      <c r="L524" s="2"/>
      <c r="M524" s="2"/>
      <c r="N524" s="2"/>
      <c r="O524" s="2"/>
      <c r="P524" s="2"/>
      <c r="Q524" s="2"/>
      <c r="R524" s="2"/>
      <c r="S524" s="2"/>
      <c r="T524" s="2"/>
      <c r="U524" s="2"/>
      <c r="V524" s="2"/>
      <c r="W524" s="2"/>
      <c r="X524" s="2"/>
    </row>
    <row r="525">
      <c r="A525" s="116"/>
      <c r="B525" s="44"/>
      <c r="C525" s="2"/>
      <c r="D525" s="2"/>
      <c r="E525" s="2"/>
      <c r="F525" s="2"/>
      <c r="G525" s="2"/>
      <c r="H525" s="2"/>
      <c r="I525" s="2"/>
      <c r="J525" s="2"/>
      <c r="K525" s="2"/>
      <c r="L525" s="2"/>
      <c r="M525" s="2"/>
      <c r="N525" s="2"/>
      <c r="O525" s="2"/>
      <c r="P525" s="2"/>
      <c r="Q525" s="2"/>
      <c r="R525" s="2"/>
      <c r="S525" s="2"/>
      <c r="T525" s="2"/>
      <c r="U525" s="2"/>
      <c r="V525" s="2"/>
      <c r="W525" s="2"/>
      <c r="X525" s="2"/>
    </row>
    <row r="526">
      <c r="A526" s="116"/>
      <c r="B526" s="44"/>
      <c r="C526" s="2"/>
      <c r="D526" s="2"/>
      <c r="E526" s="2"/>
      <c r="F526" s="2"/>
      <c r="G526" s="2"/>
      <c r="H526" s="2"/>
      <c r="I526" s="2"/>
      <c r="J526" s="2"/>
      <c r="K526" s="2"/>
      <c r="L526" s="2"/>
      <c r="M526" s="2"/>
      <c r="N526" s="2"/>
      <c r="O526" s="2"/>
      <c r="P526" s="2"/>
      <c r="Q526" s="2"/>
      <c r="R526" s="2"/>
      <c r="S526" s="2"/>
      <c r="T526" s="2"/>
      <c r="U526" s="2"/>
      <c r="V526" s="2"/>
      <c r="W526" s="2"/>
      <c r="X526" s="2"/>
    </row>
    <row r="527">
      <c r="A527" s="116"/>
      <c r="B527" s="44"/>
      <c r="C527" s="2"/>
      <c r="D527" s="2"/>
      <c r="E527" s="2"/>
      <c r="F527" s="2"/>
      <c r="G527" s="2"/>
      <c r="H527" s="2"/>
      <c r="I527" s="2"/>
      <c r="J527" s="2"/>
      <c r="K527" s="2"/>
      <c r="L527" s="2"/>
      <c r="M527" s="2"/>
      <c r="N527" s="2"/>
      <c r="O527" s="2"/>
      <c r="P527" s="2"/>
      <c r="Q527" s="2"/>
      <c r="R527" s="2"/>
      <c r="S527" s="2"/>
      <c r="T527" s="2"/>
      <c r="U527" s="2"/>
      <c r="V527" s="2"/>
      <c r="W527" s="2"/>
      <c r="X527" s="2"/>
    </row>
    <row r="528">
      <c r="A528" s="116"/>
      <c r="B528" s="44"/>
      <c r="C528" s="2"/>
      <c r="D528" s="2"/>
      <c r="E528" s="2"/>
      <c r="F528" s="2"/>
      <c r="G528" s="2"/>
      <c r="H528" s="2"/>
      <c r="I528" s="2"/>
      <c r="J528" s="2"/>
      <c r="K528" s="2"/>
      <c r="L528" s="2"/>
      <c r="M528" s="2"/>
      <c r="N528" s="2"/>
      <c r="O528" s="2"/>
      <c r="P528" s="2"/>
      <c r="Q528" s="2"/>
      <c r="R528" s="2"/>
      <c r="S528" s="2"/>
      <c r="T528" s="2"/>
      <c r="U528" s="2"/>
      <c r="V528" s="2"/>
      <c r="W528" s="2"/>
      <c r="X528" s="2"/>
    </row>
    <row r="529">
      <c r="A529" s="116"/>
      <c r="B529" s="44"/>
      <c r="C529" s="2"/>
      <c r="D529" s="2"/>
      <c r="E529" s="2"/>
      <c r="F529" s="2"/>
      <c r="G529" s="2"/>
      <c r="H529" s="2"/>
      <c r="I529" s="2"/>
      <c r="J529" s="2"/>
      <c r="K529" s="2"/>
      <c r="L529" s="2"/>
      <c r="M529" s="2"/>
      <c r="N529" s="2"/>
      <c r="O529" s="2"/>
      <c r="P529" s="2"/>
      <c r="Q529" s="2"/>
      <c r="R529" s="2"/>
      <c r="S529" s="2"/>
      <c r="T529" s="2"/>
      <c r="U529" s="2"/>
      <c r="V529" s="2"/>
      <c r="W529" s="2"/>
      <c r="X529" s="2"/>
    </row>
    <row r="530">
      <c r="A530" s="116"/>
      <c r="B530" s="44"/>
      <c r="C530" s="2"/>
      <c r="D530" s="2"/>
      <c r="E530" s="2"/>
      <c r="F530" s="2"/>
      <c r="G530" s="2"/>
      <c r="H530" s="2"/>
      <c r="I530" s="2"/>
      <c r="J530" s="2"/>
      <c r="K530" s="2"/>
      <c r="L530" s="2"/>
      <c r="M530" s="2"/>
      <c r="N530" s="2"/>
      <c r="O530" s="2"/>
      <c r="P530" s="2"/>
      <c r="Q530" s="2"/>
      <c r="R530" s="2"/>
      <c r="S530" s="2"/>
      <c r="T530" s="2"/>
      <c r="U530" s="2"/>
      <c r="V530" s="2"/>
      <c r="W530" s="2"/>
      <c r="X530" s="2"/>
    </row>
    <row r="531">
      <c r="A531" s="116"/>
      <c r="B531" s="44"/>
      <c r="C531" s="2"/>
      <c r="D531" s="2"/>
      <c r="E531" s="2"/>
      <c r="F531" s="2"/>
      <c r="G531" s="2"/>
      <c r="H531" s="2"/>
      <c r="I531" s="2"/>
      <c r="J531" s="2"/>
      <c r="K531" s="2"/>
      <c r="L531" s="2"/>
      <c r="M531" s="2"/>
      <c r="N531" s="2"/>
      <c r="O531" s="2"/>
      <c r="P531" s="2"/>
      <c r="Q531" s="2"/>
      <c r="R531" s="2"/>
      <c r="S531" s="2"/>
      <c r="T531" s="2"/>
      <c r="U531" s="2"/>
      <c r="V531" s="2"/>
      <c r="W531" s="2"/>
      <c r="X531" s="2"/>
    </row>
    <row r="532">
      <c r="A532" s="116"/>
      <c r="B532" s="44"/>
      <c r="C532" s="2"/>
      <c r="D532" s="2"/>
      <c r="E532" s="2"/>
      <c r="F532" s="2"/>
      <c r="G532" s="2"/>
      <c r="H532" s="2"/>
      <c r="I532" s="2"/>
      <c r="J532" s="2"/>
      <c r="K532" s="2"/>
      <c r="L532" s="2"/>
      <c r="M532" s="2"/>
      <c r="N532" s="2"/>
      <c r="O532" s="2"/>
      <c r="P532" s="2"/>
      <c r="Q532" s="2"/>
      <c r="R532" s="2"/>
      <c r="S532" s="2"/>
      <c r="T532" s="2"/>
      <c r="U532" s="2"/>
      <c r="V532" s="2"/>
      <c r="W532" s="2"/>
      <c r="X532" s="2"/>
    </row>
    <row r="533">
      <c r="A533" s="116"/>
      <c r="B533" s="44"/>
      <c r="C533" s="2"/>
      <c r="D533" s="2"/>
      <c r="E533" s="2"/>
      <c r="F533" s="2"/>
      <c r="G533" s="2"/>
      <c r="H533" s="2"/>
      <c r="I533" s="2"/>
      <c r="J533" s="2"/>
      <c r="K533" s="2"/>
      <c r="L533" s="2"/>
      <c r="M533" s="2"/>
      <c r="N533" s="2"/>
      <c r="O533" s="2"/>
      <c r="P533" s="2"/>
      <c r="Q533" s="2"/>
      <c r="R533" s="2"/>
      <c r="S533" s="2"/>
      <c r="T533" s="2"/>
      <c r="U533" s="2"/>
      <c r="V533" s="2"/>
      <c r="W533" s="2"/>
      <c r="X533" s="2"/>
    </row>
    <row r="534">
      <c r="A534" s="116"/>
      <c r="B534" s="44"/>
      <c r="C534" s="2"/>
      <c r="D534" s="2"/>
      <c r="E534" s="2"/>
      <c r="F534" s="2"/>
      <c r="G534" s="2"/>
      <c r="H534" s="2"/>
      <c r="I534" s="2"/>
      <c r="J534" s="2"/>
      <c r="K534" s="2"/>
      <c r="L534" s="2"/>
      <c r="M534" s="2"/>
      <c r="N534" s="2"/>
      <c r="O534" s="2"/>
      <c r="P534" s="2"/>
      <c r="Q534" s="2"/>
      <c r="R534" s="2"/>
      <c r="S534" s="2"/>
      <c r="T534" s="2"/>
      <c r="U534" s="2"/>
      <c r="V534" s="2"/>
      <c r="W534" s="2"/>
      <c r="X534" s="2"/>
    </row>
    <row r="535">
      <c r="A535" s="116"/>
      <c r="B535" s="44"/>
      <c r="C535" s="2"/>
      <c r="D535" s="2"/>
      <c r="E535" s="2"/>
      <c r="F535" s="2"/>
      <c r="G535" s="2"/>
      <c r="H535" s="2"/>
      <c r="I535" s="2"/>
      <c r="J535" s="2"/>
      <c r="K535" s="2"/>
      <c r="L535" s="2"/>
      <c r="M535" s="2"/>
      <c r="N535" s="2"/>
      <c r="O535" s="2"/>
      <c r="P535" s="2"/>
      <c r="Q535" s="2"/>
      <c r="R535" s="2"/>
      <c r="S535" s="2"/>
      <c r="T535" s="2"/>
      <c r="U535" s="2"/>
      <c r="V535" s="2"/>
      <c r="W535" s="2"/>
      <c r="X535" s="2"/>
    </row>
    <row r="536">
      <c r="A536" s="116"/>
      <c r="B536" s="44"/>
      <c r="C536" s="2"/>
      <c r="D536" s="2"/>
      <c r="E536" s="2"/>
      <c r="F536" s="2"/>
      <c r="G536" s="2"/>
      <c r="H536" s="2"/>
      <c r="I536" s="2"/>
      <c r="J536" s="2"/>
      <c r="K536" s="2"/>
      <c r="L536" s="2"/>
      <c r="M536" s="2"/>
      <c r="N536" s="2"/>
      <c r="O536" s="2"/>
      <c r="P536" s="2"/>
      <c r="Q536" s="2"/>
      <c r="R536" s="2"/>
      <c r="S536" s="2"/>
      <c r="T536" s="2"/>
      <c r="U536" s="2"/>
      <c r="V536" s="2"/>
      <c r="W536" s="2"/>
      <c r="X536" s="2"/>
    </row>
    <row r="537">
      <c r="A537" s="116"/>
      <c r="B537" s="44"/>
      <c r="C537" s="2"/>
      <c r="D537" s="2"/>
      <c r="E537" s="2"/>
      <c r="F537" s="2"/>
      <c r="G537" s="2"/>
      <c r="H537" s="2"/>
      <c r="I537" s="2"/>
      <c r="J537" s="2"/>
      <c r="K537" s="2"/>
      <c r="L537" s="2"/>
      <c r="M537" s="2"/>
      <c r="N537" s="2"/>
      <c r="O537" s="2"/>
      <c r="P537" s="2"/>
      <c r="Q537" s="2"/>
      <c r="R537" s="2"/>
      <c r="S537" s="2"/>
      <c r="T537" s="2"/>
      <c r="U537" s="2"/>
      <c r="V537" s="2"/>
      <c r="W537" s="2"/>
      <c r="X537" s="2"/>
    </row>
    <row r="538">
      <c r="A538" s="116"/>
      <c r="B538" s="44"/>
      <c r="C538" s="2"/>
      <c r="D538" s="2"/>
      <c r="E538" s="2"/>
      <c r="F538" s="2"/>
      <c r="G538" s="2"/>
      <c r="H538" s="2"/>
      <c r="I538" s="2"/>
      <c r="J538" s="2"/>
      <c r="K538" s="2"/>
      <c r="L538" s="2"/>
      <c r="M538" s="2"/>
      <c r="N538" s="2"/>
      <c r="O538" s="2"/>
      <c r="P538" s="2"/>
      <c r="Q538" s="2"/>
      <c r="R538" s="2"/>
      <c r="S538" s="2"/>
      <c r="T538" s="2"/>
      <c r="U538" s="2"/>
      <c r="V538" s="2"/>
      <c r="W538" s="2"/>
      <c r="X538" s="2"/>
    </row>
    <row r="539">
      <c r="A539" s="116"/>
      <c r="B539" s="44"/>
      <c r="C539" s="2"/>
      <c r="D539" s="2"/>
      <c r="E539" s="2"/>
      <c r="F539" s="2"/>
      <c r="G539" s="2"/>
      <c r="H539" s="2"/>
      <c r="I539" s="2"/>
      <c r="J539" s="2"/>
      <c r="K539" s="2"/>
      <c r="L539" s="2"/>
      <c r="M539" s="2"/>
      <c r="N539" s="2"/>
      <c r="O539" s="2"/>
      <c r="P539" s="2"/>
      <c r="Q539" s="2"/>
      <c r="R539" s="2"/>
      <c r="S539" s="2"/>
      <c r="T539" s="2"/>
      <c r="U539" s="2"/>
      <c r="V539" s="2"/>
      <c r="W539" s="2"/>
      <c r="X539" s="2"/>
    </row>
    <row r="540">
      <c r="A540" s="116"/>
      <c r="B540" s="44"/>
      <c r="C540" s="2"/>
      <c r="D540" s="2"/>
      <c r="E540" s="2"/>
      <c r="F540" s="2"/>
      <c r="G540" s="2"/>
      <c r="H540" s="2"/>
      <c r="I540" s="2"/>
      <c r="J540" s="2"/>
      <c r="K540" s="2"/>
      <c r="L540" s="2"/>
      <c r="M540" s="2"/>
      <c r="N540" s="2"/>
      <c r="O540" s="2"/>
      <c r="P540" s="2"/>
      <c r="Q540" s="2"/>
      <c r="R540" s="2"/>
      <c r="S540" s="2"/>
      <c r="T540" s="2"/>
      <c r="U540" s="2"/>
      <c r="V540" s="2"/>
      <c r="W540" s="2"/>
      <c r="X540" s="2"/>
    </row>
    <row r="541">
      <c r="A541" s="116"/>
      <c r="B541" s="44"/>
      <c r="C541" s="2"/>
      <c r="D541" s="2"/>
      <c r="E541" s="2"/>
      <c r="F541" s="2"/>
      <c r="G541" s="2"/>
      <c r="H541" s="2"/>
      <c r="I541" s="2"/>
      <c r="J541" s="2"/>
      <c r="K541" s="2"/>
      <c r="L541" s="2"/>
      <c r="M541" s="2"/>
      <c r="N541" s="2"/>
      <c r="O541" s="2"/>
      <c r="P541" s="2"/>
      <c r="Q541" s="2"/>
      <c r="R541" s="2"/>
      <c r="S541" s="2"/>
      <c r="T541" s="2"/>
      <c r="U541" s="2"/>
      <c r="V541" s="2"/>
      <c r="W541" s="2"/>
      <c r="X541" s="2"/>
    </row>
    <row r="542">
      <c r="A542" s="116"/>
      <c r="B542" s="44"/>
      <c r="C542" s="2"/>
      <c r="D542" s="2"/>
      <c r="E542" s="2"/>
      <c r="F542" s="2"/>
      <c r="G542" s="2"/>
      <c r="H542" s="2"/>
      <c r="I542" s="2"/>
      <c r="J542" s="2"/>
      <c r="K542" s="2"/>
      <c r="L542" s="2"/>
      <c r="M542" s="2"/>
      <c r="N542" s="2"/>
      <c r="O542" s="2"/>
      <c r="P542" s="2"/>
      <c r="Q542" s="2"/>
      <c r="R542" s="2"/>
      <c r="S542" s="2"/>
      <c r="T542" s="2"/>
      <c r="U542" s="2"/>
      <c r="V542" s="2"/>
      <c r="W542" s="2"/>
      <c r="X542" s="2"/>
    </row>
    <row r="543">
      <c r="A543" s="116"/>
      <c r="B543" s="44"/>
      <c r="C543" s="2"/>
      <c r="D543" s="2"/>
      <c r="E543" s="2"/>
      <c r="F543" s="2"/>
      <c r="G543" s="2"/>
      <c r="H543" s="2"/>
      <c r="I543" s="2"/>
      <c r="J543" s="2"/>
      <c r="K543" s="2"/>
      <c r="L543" s="2"/>
      <c r="M543" s="2"/>
      <c r="N543" s="2"/>
      <c r="O543" s="2"/>
      <c r="P543" s="2"/>
      <c r="Q543" s="2"/>
      <c r="R543" s="2"/>
      <c r="S543" s="2"/>
      <c r="T543" s="2"/>
      <c r="U543" s="2"/>
      <c r="V543" s="2"/>
      <c r="W543" s="2"/>
      <c r="X543" s="2"/>
    </row>
    <row r="544">
      <c r="A544" s="116"/>
      <c r="B544" s="44"/>
      <c r="C544" s="2"/>
      <c r="D544" s="2"/>
      <c r="E544" s="2"/>
      <c r="F544" s="2"/>
      <c r="G544" s="2"/>
      <c r="H544" s="2"/>
      <c r="I544" s="2"/>
      <c r="J544" s="2"/>
      <c r="K544" s="2"/>
      <c r="L544" s="2"/>
      <c r="M544" s="2"/>
      <c r="N544" s="2"/>
      <c r="O544" s="2"/>
      <c r="P544" s="2"/>
      <c r="Q544" s="2"/>
      <c r="R544" s="2"/>
      <c r="S544" s="2"/>
      <c r="T544" s="2"/>
      <c r="U544" s="2"/>
      <c r="V544" s="2"/>
      <c r="W544" s="2"/>
      <c r="X544" s="2"/>
    </row>
    <row r="545">
      <c r="A545" s="116"/>
      <c r="B545" s="44"/>
      <c r="C545" s="2"/>
      <c r="D545" s="2"/>
      <c r="E545" s="2"/>
      <c r="F545" s="2"/>
      <c r="G545" s="2"/>
      <c r="H545" s="2"/>
      <c r="I545" s="2"/>
      <c r="J545" s="2"/>
      <c r="K545" s="2"/>
      <c r="L545" s="2"/>
      <c r="M545" s="2"/>
      <c r="N545" s="2"/>
      <c r="O545" s="2"/>
      <c r="P545" s="2"/>
      <c r="Q545" s="2"/>
      <c r="R545" s="2"/>
      <c r="S545" s="2"/>
      <c r="T545" s="2"/>
      <c r="U545" s="2"/>
      <c r="V545" s="2"/>
      <c r="W545" s="2"/>
      <c r="X545" s="2"/>
    </row>
    <row r="546">
      <c r="A546" s="116"/>
      <c r="B546" s="44"/>
      <c r="C546" s="2"/>
      <c r="D546" s="2"/>
      <c r="E546" s="2"/>
      <c r="F546" s="2"/>
      <c r="G546" s="2"/>
      <c r="H546" s="2"/>
      <c r="I546" s="2"/>
      <c r="J546" s="2"/>
      <c r="K546" s="2"/>
      <c r="L546" s="2"/>
      <c r="M546" s="2"/>
      <c r="N546" s="2"/>
      <c r="O546" s="2"/>
      <c r="P546" s="2"/>
      <c r="Q546" s="2"/>
      <c r="R546" s="2"/>
      <c r="S546" s="2"/>
      <c r="T546" s="2"/>
      <c r="U546" s="2"/>
      <c r="V546" s="2"/>
      <c r="W546" s="2"/>
      <c r="X546" s="2"/>
    </row>
    <row r="547">
      <c r="A547" s="116"/>
      <c r="B547" s="44"/>
      <c r="C547" s="2"/>
      <c r="D547" s="2"/>
      <c r="E547" s="2"/>
      <c r="F547" s="2"/>
      <c r="G547" s="2"/>
      <c r="H547" s="2"/>
      <c r="I547" s="2"/>
      <c r="J547" s="2"/>
      <c r="K547" s="2"/>
      <c r="L547" s="2"/>
      <c r="M547" s="2"/>
      <c r="N547" s="2"/>
      <c r="O547" s="2"/>
      <c r="P547" s="2"/>
      <c r="Q547" s="2"/>
      <c r="R547" s="2"/>
      <c r="S547" s="2"/>
      <c r="T547" s="2"/>
      <c r="U547" s="2"/>
      <c r="V547" s="2"/>
      <c r="W547" s="2"/>
      <c r="X547" s="2"/>
    </row>
    <row r="548">
      <c r="A548" s="116"/>
      <c r="B548" s="44"/>
      <c r="C548" s="2"/>
      <c r="D548" s="2"/>
      <c r="E548" s="2"/>
      <c r="F548" s="2"/>
      <c r="G548" s="2"/>
      <c r="H548" s="2"/>
      <c r="I548" s="2"/>
      <c r="J548" s="2"/>
      <c r="K548" s="2"/>
      <c r="L548" s="2"/>
      <c r="M548" s="2"/>
      <c r="N548" s="2"/>
      <c r="O548" s="2"/>
      <c r="P548" s="2"/>
      <c r="Q548" s="2"/>
      <c r="R548" s="2"/>
      <c r="S548" s="2"/>
      <c r="T548" s="2"/>
      <c r="U548" s="2"/>
      <c r="V548" s="2"/>
      <c r="W548" s="2"/>
      <c r="X548" s="2"/>
    </row>
    <row r="549">
      <c r="A549" s="116"/>
      <c r="B549" s="44"/>
      <c r="C549" s="2"/>
      <c r="D549" s="2"/>
      <c r="E549" s="2"/>
      <c r="F549" s="2"/>
      <c r="G549" s="2"/>
      <c r="H549" s="2"/>
      <c r="I549" s="2"/>
      <c r="J549" s="2"/>
      <c r="K549" s="2"/>
      <c r="L549" s="2"/>
      <c r="M549" s="2"/>
      <c r="N549" s="2"/>
      <c r="O549" s="2"/>
      <c r="P549" s="2"/>
      <c r="Q549" s="2"/>
      <c r="R549" s="2"/>
      <c r="S549" s="2"/>
      <c r="T549" s="2"/>
      <c r="U549" s="2"/>
      <c r="V549" s="2"/>
      <c r="W549" s="2"/>
      <c r="X549" s="2"/>
    </row>
    <row r="550">
      <c r="A550" s="116"/>
      <c r="B550" s="44"/>
      <c r="C550" s="2"/>
      <c r="D550" s="2"/>
      <c r="E550" s="2"/>
      <c r="F550" s="2"/>
      <c r="G550" s="2"/>
      <c r="H550" s="2"/>
      <c r="I550" s="2"/>
      <c r="J550" s="2"/>
      <c r="K550" s="2"/>
      <c r="L550" s="2"/>
      <c r="M550" s="2"/>
      <c r="N550" s="2"/>
      <c r="O550" s="2"/>
      <c r="P550" s="2"/>
      <c r="Q550" s="2"/>
      <c r="R550" s="2"/>
      <c r="S550" s="2"/>
      <c r="T550" s="2"/>
      <c r="U550" s="2"/>
      <c r="V550" s="2"/>
      <c r="W550" s="2"/>
      <c r="X550" s="2"/>
    </row>
    <row r="551">
      <c r="A551" s="116"/>
      <c r="B551" s="44"/>
      <c r="C551" s="2"/>
      <c r="D551" s="2"/>
      <c r="E551" s="2"/>
      <c r="F551" s="2"/>
      <c r="G551" s="2"/>
      <c r="H551" s="2"/>
      <c r="I551" s="2"/>
      <c r="J551" s="2"/>
      <c r="K551" s="2"/>
      <c r="L551" s="2"/>
      <c r="M551" s="2"/>
      <c r="N551" s="2"/>
      <c r="O551" s="2"/>
      <c r="P551" s="2"/>
      <c r="Q551" s="2"/>
      <c r="R551" s="2"/>
      <c r="S551" s="2"/>
      <c r="T551" s="2"/>
      <c r="U551" s="2"/>
      <c r="V551" s="2"/>
      <c r="W551" s="2"/>
      <c r="X551" s="2"/>
    </row>
    <row r="552">
      <c r="A552" s="116"/>
      <c r="B552" s="44"/>
      <c r="C552" s="2"/>
      <c r="D552" s="2"/>
      <c r="E552" s="2"/>
      <c r="F552" s="2"/>
      <c r="G552" s="2"/>
      <c r="H552" s="2"/>
      <c r="I552" s="2"/>
      <c r="J552" s="2"/>
      <c r="K552" s="2"/>
      <c r="L552" s="2"/>
      <c r="M552" s="2"/>
      <c r="N552" s="2"/>
      <c r="O552" s="2"/>
      <c r="P552" s="2"/>
      <c r="Q552" s="2"/>
      <c r="R552" s="2"/>
      <c r="S552" s="2"/>
      <c r="T552" s="2"/>
      <c r="U552" s="2"/>
      <c r="V552" s="2"/>
      <c r="W552" s="2"/>
      <c r="X552" s="2"/>
    </row>
    <row r="553">
      <c r="A553" s="116"/>
      <c r="B553" s="44"/>
      <c r="C553" s="2"/>
      <c r="D553" s="2"/>
      <c r="E553" s="2"/>
      <c r="F553" s="2"/>
      <c r="G553" s="2"/>
      <c r="H553" s="2"/>
      <c r="I553" s="2"/>
      <c r="J553" s="2"/>
      <c r="K553" s="2"/>
      <c r="L553" s="2"/>
      <c r="M553" s="2"/>
      <c r="N553" s="2"/>
      <c r="O553" s="2"/>
      <c r="P553" s="2"/>
      <c r="Q553" s="2"/>
      <c r="R553" s="2"/>
      <c r="S553" s="2"/>
      <c r="T553" s="2"/>
      <c r="U553" s="2"/>
      <c r="V553" s="2"/>
      <c r="W553" s="2"/>
      <c r="X553" s="2"/>
    </row>
    <row r="554">
      <c r="A554" s="116"/>
      <c r="B554" s="44"/>
      <c r="C554" s="2"/>
      <c r="D554" s="2"/>
      <c r="E554" s="2"/>
      <c r="F554" s="2"/>
      <c r="G554" s="2"/>
      <c r="H554" s="2"/>
      <c r="I554" s="2"/>
      <c r="J554" s="2"/>
      <c r="K554" s="2"/>
      <c r="L554" s="2"/>
      <c r="M554" s="2"/>
      <c r="N554" s="2"/>
      <c r="O554" s="2"/>
      <c r="P554" s="2"/>
      <c r="Q554" s="2"/>
      <c r="R554" s="2"/>
      <c r="S554" s="2"/>
      <c r="T554" s="2"/>
      <c r="U554" s="2"/>
      <c r="V554" s="2"/>
      <c r="W554" s="2"/>
      <c r="X554" s="2"/>
    </row>
    <row r="555">
      <c r="A555" s="116"/>
      <c r="B555" s="44"/>
      <c r="C555" s="2"/>
      <c r="D555" s="2"/>
      <c r="E555" s="2"/>
      <c r="F555" s="2"/>
      <c r="G555" s="2"/>
      <c r="H555" s="2"/>
      <c r="I555" s="2"/>
      <c r="J555" s="2"/>
      <c r="K555" s="2"/>
      <c r="L555" s="2"/>
      <c r="M555" s="2"/>
      <c r="N555" s="2"/>
      <c r="O555" s="2"/>
      <c r="P555" s="2"/>
      <c r="Q555" s="2"/>
      <c r="R555" s="2"/>
      <c r="S555" s="2"/>
      <c r="T555" s="2"/>
      <c r="U555" s="2"/>
      <c r="V555" s="2"/>
      <c r="W555" s="2"/>
      <c r="X555" s="2"/>
    </row>
    <row r="556">
      <c r="A556" s="116"/>
      <c r="B556" s="44"/>
      <c r="C556" s="2"/>
      <c r="D556" s="2"/>
      <c r="E556" s="2"/>
      <c r="F556" s="2"/>
      <c r="G556" s="2"/>
      <c r="H556" s="2"/>
      <c r="I556" s="2"/>
      <c r="J556" s="2"/>
      <c r="K556" s="2"/>
      <c r="L556" s="2"/>
      <c r="M556" s="2"/>
      <c r="N556" s="2"/>
      <c r="O556" s="2"/>
      <c r="P556" s="2"/>
      <c r="Q556" s="2"/>
      <c r="R556" s="2"/>
      <c r="S556" s="2"/>
      <c r="T556" s="2"/>
      <c r="U556" s="2"/>
      <c r="V556" s="2"/>
      <c r="W556" s="2"/>
      <c r="X556" s="2"/>
    </row>
    <row r="557">
      <c r="A557" s="116"/>
      <c r="B557" s="44"/>
      <c r="C557" s="2"/>
      <c r="D557" s="2"/>
      <c r="E557" s="2"/>
      <c r="F557" s="2"/>
      <c r="G557" s="2"/>
      <c r="H557" s="2"/>
      <c r="I557" s="2"/>
      <c r="J557" s="2"/>
      <c r="K557" s="2"/>
      <c r="L557" s="2"/>
      <c r="M557" s="2"/>
      <c r="N557" s="2"/>
      <c r="O557" s="2"/>
      <c r="P557" s="2"/>
      <c r="Q557" s="2"/>
      <c r="R557" s="2"/>
      <c r="S557" s="2"/>
      <c r="T557" s="2"/>
      <c r="U557" s="2"/>
      <c r="V557" s="2"/>
      <c r="W557" s="2"/>
      <c r="X557" s="2"/>
    </row>
    <row r="558">
      <c r="A558" s="116"/>
      <c r="B558" s="44"/>
      <c r="C558" s="2"/>
      <c r="D558" s="2"/>
      <c r="E558" s="2"/>
      <c r="F558" s="2"/>
      <c r="G558" s="2"/>
      <c r="H558" s="2"/>
      <c r="I558" s="2"/>
      <c r="J558" s="2"/>
      <c r="K558" s="2"/>
      <c r="L558" s="2"/>
      <c r="M558" s="2"/>
      <c r="N558" s="2"/>
      <c r="O558" s="2"/>
      <c r="P558" s="2"/>
      <c r="Q558" s="2"/>
      <c r="R558" s="2"/>
      <c r="S558" s="2"/>
      <c r="T558" s="2"/>
      <c r="U558" s="2"/>
      <c r="V558" s="2"/>
      <c r="W558" s="2"/>
      <c r="X558" s="2"/>
    </row>
    <row r="559">
      <c r="A559" s="116"/>
      <c r="B559" s="44"/>
      <c r="C559" s="2"/>
      <c r="D559" s="2"/>
      <c r="E559" s="2"/>
      <c r="F559" s="2"/>
      <c r="G559" s="2"/>
      <c r="H559" s="2"/>
      <c r="I559" s="2"/>
      <c r="J559" s="2"/>
      <c r="K559" s="2"/>
      <c r="L559" s="2"/>
      <c r="M559" s="2"/>
      <c r="N559" s="2"/>
      <c r="O559" s="2"/>
      <c r="P559" s="2"/>
      <c r="Q559" s="2"/>
      <c r="R559" s="2"/>
      <c r="S559" s="2"/>
      <c r="T559" s="2"/>
      <c r="U559" s="2"/>
      <c r="V559" s="2"/>
      <c r="W559" s="2"/>
      <c r="X559" s="2"/>
    </row>
    <row r="560">
      <c r="A560" s="116"/>
      <c r="B560" s="44"/>
      <c r="C560" s="2"/>
      <c r="D560" s="2"/>
      <c r="E560" s="2"/>
      <c r="F560" s="2"/>
      <c r="G560" s="2"/>
      <c r="H560" s="2"/>
      <c r="I560" s="2"/>
      <c r="J560" s="2"/>
      <c r="K560" s="2"/>
      <c r="L560" s="2"/>
      <c r="M560" s="2"/>
      <c r="N560" s="2"/>
      <c r="O560" s="2"/>
      <c r="P560" s="2"/>
      <c r="Q560" s="2"/>
      <c r="R560" s="2"/>
      <c r="S560" s="2"/>
      <c r="T560" s="2"/>
      <c r="U560" s="2"/>
      <c r="V560" s="2"/>
      <c r="W560" s="2"/>
      <c r="X560" s="2"/>
    </row>
    <row r="561">
      <c r="A561" s="116"/>
      <c r="B561" s="44"/>
      <c r="C561" s="2"/>
      <c r="D561" s="2"/>
      <c r="E561" s="2"/>
      <c r="F561" s="2"/>
      <c r="G561" s="2"/>
      <c r="H561" s="2"/>
      <c r="I561" s="2"/>
      <c r="J561" s="2"/>
      <c r="K561" s="2"/>
      <c r="L561" s="2"/>
      <c r="M561" s="2"/>
      <c r="N561" s="2"/>
      <c r="O561" s="2"/>
      <c r="P561" s="2"/>
      <c r="Q561" s="2"/>
      <c r="R561" s="2"/>
      <c r="S561" s="2"/>
      <c r="T561" s="2"/>
      <c r="U561" s="2"/>
      <c r="V561" s="2"/>
      <c r="W561" s="2"/>
      <c r="X561" s="2"/>
    </row>
    <row r="562">
      <c r="A562" s="116"/>
      <c r="B562" s="44"/>
      <c r="C562" s="2"/>
      <c r="D562" s="2"/>
      <c r="E562" s="2"/>
      <c r="F562" s="2"/>
      <c r="G562" s="2"/>
      <c r="H562" s="2"/>
      <c r="I562" s="2"/>
      <c r="J562" s="2"/>
      <c r="K562" s="2"/>
      <c r="L562" s="2"/>
      <c r="M562" s="2"/>
      <c r="N562" s="2"/>
      <c r="O562" s="2"/>
      <c r="P562" s="2"/>
      <c r="Q562" s="2"/>
      <c r="R562" s="2"/>
      <c r="S562" s="2"/>
      <c r="T562" s="2"/>
      <c r="U562" s="2"/>
      <c r="V562" s="2"/>
      <c r="W562" s="2"/>
      <c r="X562" s="2"/>
    </row>
    <row r="563">
      <c r="A563" s="116"/>
      <c r="B563" s="44"/>
      <c r="C563" s="2"/>
      <c r="D563" s="2"/>
      <c r="E563" s="2"/>
      <c r="F563" s="2"/>
      <c r="G563" s="2"/>
      <c r="H563" s="2"/>
      <c r="I563" s="2"/>
      <c r="J563" s="2"/>
      <c r="K563" s="2"/>
      <c r="L563" s="2"/>
      <c r="M563" s="2"/>
      <c r="N563" s="2"/>
      <c r="O563" s="2"/>
      <c r="P563" s="2"/>
      <c r="Q563" s="2"/>
      <c r="R563" s="2"/>
      <c r="S563" s="2"/>
      <c r="T563" s="2"/>
      <c r="U563" s="2"/>
      <c r="V563" s="2"/>
      <c r="W563" s="2"/>
      <c r="X563" s="2"/>
    </row>
    <row r="564">
      <c r="A564" s="116"/>
      <c r="B564" s="44"/>
      <c r="C564" s="2"/>
      <c r="D564" s="2"/>
      <c r="E564" s="2"/>
      <c r="F564" s="2"/>
      <c r="G564" s="2"/>
      <c r="H564" s="2"/>
      <c r="I564" s="2"/>
      <c r="J564" s="2"/>
      <c r="K564" s="2"/>
      <c r="L564" s="2"/>
      <c r="M564" s="2"/>
      <c r="N564" s="2"/>
      <c r="O564" s="2"/>
      <c r="P564" s="2"/>
      <c r="Q564" s="2"/>
      <c r="R564" s="2"/>
      <c r="S564" s="2"/>
      <c r="T564" s="2"/>
      <c r="U564" s="2"/>
      <c r="V564" s="2"/>
      <c r="W564" s="2"/>
      <c r="X564" s="2"/>
    </row>
    <row r="565">
      <c r="A565" s="116"/>
      <c r="B565" s="44"/>
      <c r="C565" s="2"/>
      <c r="D565" s="2"/>
      <c r="E565" s="2"/>
      <c r="F565" s="2"/>
      <c r="G565" s="2"/>
      <c r="H565" s="2"/>
      <c r="I565" s="2"/>
      <c r="J565" s="2"/>
      <c r="K565" s="2"/>
      <c r="L565" s="2"/>
      <c r="M565" s="2"/>
      <c r="N565" s="2"/>
      <c r="O565" s="2"/>
      <c r="P565" s="2"/>
      <c r="Q565" s="2"/>
      <c r="R565" s="2"/>
      <c r="S565" s="2"/>
      <c r="T565" s="2"/>
      <c r="U565" s="2"/>
      <c r="V565" s="2"/>
      <c r="W565" s="2"/>
      <c r="X565" s="2"/>
    </row>
    <row r="566">
      <c r="A566" s="116"/>
      <c r="B566" s="44"/>
      <c r="C566" s="2"/>
      <c r="D566" s="2"/>
      <c r="E566" s="2"/>
      <c r="F566" s="2"/>
      <c r="G566" s="2"/>
      <c r="H566" s="2"/>
      <c r="I566" s="2"/>
      <c r="J566" s="2"/>
      <c r="K566" s="2"/>
      <c r="L566" s="2"/>
      <c r="M566" s="2"/>
      <c r="N566" s="2"/>
      <c r="O566" s="2"/>
      <c r="P566" s="2"/>
      <c r="Q566" s="2"/>
      <c r="R566" s="2"/>
      <c r="S566" s="2"/>
      <c r="T566" s="2"/>
      <c r="U566" s="2"/>
      <c r="V566" s="2"/>
      <c r="W566" s="2"/>
      <c r="X566" s="2"/>
    </row>
    <row r="567">
      <c r="A567" s="116"/>
      <c r="B567" s="44"/>
      <c r="C567" s="2"/>
      <c r="D567" s="2"/>
      <c r="E567" s="2"/>
      <c r="F567" s="2"/>
      <c r="G567" s="2"/>
      <c r="H567" s="2"/>
      <c r="I567" s="2"/>
      <c r="J567" s="2"/>
      <c r="K567" s="2"/>
      <c r="L567" s="2"/>
      <c r="M567" s="2"/>
      <c r="N567" s="2"/>
      <c r="O567" s="2"/>
      <c r="P567" s="2"/>
      <c r="Q567" s="2"/>
      <c r="R567" s="2"/>
      <c r="S567" s="2"/>
      <c r="T567" s="2"/>
      <c r="U567" s="2"/>
      <c r="V567" s="2"/>
      <c r="W567" s="2"/>
      <c r="X567" s="2"/>
    </row>
    <row r="568">
      <c r="A568" s="116"/>
      <c r="B568" s="44"/>
      <c r="C568" s="2"/>
      <c r="D568" s="2"/>
      <c r="E568" s="2"/>
      <c r="F568" s="2"/>
      <c r="G568" s="2"/>
      <c r="H568" s="2"/>
      <c r="I568" s="2"/>
      <c r="J568" s="2"/>
      <c r="K568" s="2"/>
      <c r="L568" s="2"/>
      <c r="M568" s="2"/>
      <c r="N568" s="2"/>
      <c r="O568" s="2"/>
      <c r="P568" s="2"/>
      <c r="Q568" s="2"/>
      <c r="R568" s="2"/>
      <c r="S568" s="2"/>
      <c r="T568" s="2"/>
      <c r="U568" s="2"/>
      <c r="V568" s="2"/>
      <c r="W568" s="2"/>
      <c r="X568" s="2"/>
    </row>
    <row r="569">
      <c r="A569" s="116"/>
      <c r="B569" s="44"/>
      <c r="C569" s="2"/>
      <c r="D569" s="2"/>
      <c r="E569" s="2"/>
      <c r="F569" s="2"/>
      <c r="G569" s="2"/>
      <c r="H569" s="2"/>
      <c r="I569" s="2"/>
      <c r="J569" s="2"/>
      <c r="K569" s="2"/>
      <c r="L569" s="2"/>
      <c r="M569" s="2"/>
      <c r="N569" s="2"/>
      <c r="O569" s="2"/>
      <c r="P569" s="2"/>
      <c r="Q569" s="2"/>
      <c r="R569" s="2"/>
      <c r="S569" s="2"/>
      <c r="T569" s="2"/>
      <c r="U569" s="2"/>
      <c r="V569" s="2"/>
      <c r="W569" s="2"/>
      <c r="X569" s="2"/>
    </row>
    <row r="570">
      <c r="A570" s="116"/>
      <c r="B570" s="44"/>
      <c r="C570" s="2"/>
      <c r="D570" s="2"/>
      <c r="E570" s="2"/>
      <c r="F570" s="2"/>
      <c r="G570" s="2"/>
      <c r="H570" s="2"/>
      <c r="I570" s="2"/>
      <c r="J570" s="2"/>
      <c r="K570" s="2"/>
      <c r="L570" s="2"/>
      <c r="M570" s="2"/>
      <c r="N570" s="2"/>
      <c r="O570" s="2"/>
      <c r="P570" s="2"/>
      <c r="Q570" s="2"/>
      <c r="R570" s="2"/>
      <c r="S570" s="2"/>
      <c r="T570" s="2"/>
      <c r="U570" s="2"/>
      <c r="V570" s="2"/>
      <c r="W570" s="2"/>
      <c r="X570" s="2"/>
    </row>
    <row r="571">
      <c r="A571" s="116"/>
      <c r="B571" s="44"/>
      <c r="C571" s="2"/>
      <c r="D571" s="2"/>
      <c r="E571" s="2"/>
      <c r="F571" s="2"/>
      <c r="G571" s="2"/>
      <c r="H571" s="2"/>
      <c r="I571" s="2"/>
      <c r="J571" s="2"/>
      <c r="K571" s="2"/>
      <c r="L571" s="2"/>
      <c r="M571" s="2"/>
      <c r="N571" s="2"/>
      <c r="O571" s="2"/>
      <c r="P571" s="2"/>
      <c r="Q571" s="2"/>
      <c r="R571" s="2"/>
      <c r="S571" s="2"/>
      <c r="T571" s="2"/>
      <c r="U571" s="2"/>
      <c r="V571" s="2"/>
      <c r="W571" s="2"/>
      <c r="X571" s="2"/>
    </row>
    <row r="572">
      <c r="A572" s="116"/>
      <c r="B572" s="44"/>
      <c r="C572" s="2"/>
      <c r="D572" s="2"/>
      <c r="E572" s="2"/>
      <c r="F572" s="2"/>
      <c r="G572" s="2"/>
      <c r="H572" s="2"/>
      <c r="I572" s="2"/>
      <c r="J572" s="2"/>
      <c r="K572" s="2"/>
      <c r="L572" s="2"/>
      <c r="M572" s="2"/>
      <c r="N572" s="2"/>
      <c r="O572" s="2"/>
      <c r="P572" s="2"/>
      <c r="Q572" s="2"/>
      <c r="R572" s="2"/>
      <c r="S572" s="2"/>
      <c r="T572" s="2"/>
      <c r="U572" s="2"/>
      <c r="V572" s="2"/>
      <c r="W572" s="2"/>
      <c r="X572" s="2"/>
    </row>
    <row r="573">
      <c r="A573" s="116"/>
      <c r="B573" s="44"/>
      <c r="C573" s="2"/>
      <c r="D573" s="2"/>
      <c r="E573" s="2"/>
      <c r="F573" s="2"/>
      <c r="G573" s="2"/>
      <c r="H573" s="2"/>
      <c r="I573" s="2"/>
      <c r="J573" s="2"/>
      <c r="K573" s="2"/>
      <c r="L573" s="2"/>
      <c r="M573" s="2"/>
      <c r="N573" s="2"/>
      <c r="O573" s="2"/>
      <c r="P573" s="2"/>
      <c r="Q573" s="2"/>
      <c r="R573" s="2"/>
      <c r="S573" s="2"/>
      <c r="T573" s="2"/>
      <c r="U573" s="2"/>
      <c r="V573" s="2"/>
      <c r="W573" s="2"/>
      <c r="X573" s="2"/>
    </row>
    <row r="574">
      <c r="A574" s="116"/>
      <c r="B574" s="44"/>
      <c r="C574" s="2"/>
      <c r="D574" s="2"/>
      <c r="E574" s="2"/>
      <c r="F574" s="2"/>
      <c r="G574" s="2"/>
      <c r="H574" s="2"/>
      <c r="I574" s="2"/>
      <c r="J574" s="2"/>
      <c r="K574" s="2"/>
      <c r="L574" s="2"/>
      <c r="M574" s="2"/>
      <c r="N574" s="2"/>
      <c r="O574" s="2"/>
      <c r="P574" s="2"/>
      <c r="Q574" s="2"/>
      <c r="R574" s="2"/>
      <c r="S574" s="2"/>
      <c r="T574" s="2"/>
      <c r="U574" s="2"/>
      <c r="V574" s="2"/>
      <c r="W574" s="2"/>
      <c r="X574" s="2"/>
    </row>
    <row r="575">
      <c r="A575" s="116"/>
      <c r="B575" s="44"/>
      <c r="C575" s="2"/>
      <c r="D575" s="2"/>
      <c r="E575" s="2"/>
      <c r="F575" s="2"/>
      <c r="G575" s="2"/>
      <c r="H575" s="2"/>
      <c r="I575" s="2"/>
      <c r="J575" s="2"/>
      <c r="K575" s="2"/>
      <c r="L575" s="2"/>
      <c r="M575" s="2"/>
      <c r="N575" s="2"/>
      <c r="O575" s="2"/>
      <c r="P575" s="2"/>
      <c r="Q575" s="2"/>
      <c r="R575" s="2"/>
      <c r="S575" s="2"/>
      <c r="T575" s="2"/>
      <c r="U575" s="2"/>
      <c r="V575" s="2"/>
      <c r="W575" s="2"/>
      <c r="X575" s="2"/>
    </row>
    <row r="576">
      <c r="A576" s="116"/>
      <c r="B576" s="44"/>
      <c r="C576" s="2"/>
      <c r="D576" s="2"/>
      <c r="E576" s="2"/>
      <c r="F576" s="2"/>
      <c r="G576" s="2"/>
      <c r="H576" s="2"/>
      <c r="I576" s="2"/>
      <c r="J576" s="2"/>
      <c r="K576" s="2"/>
      <c r="L576" s="2"/>
      <c r="M576" s="2"/>
      <c r="N576" s="2"/>
      <c r="O576" s="2"/>
      <c r="P576" s="2"/>
      <c r="Q576" s="2"/>
      <c r="R576" s="2"/>
      <c r="S576" s="2"/>
      <c r="T576" s="2"/>
      <c r="U576" s="2"/>
      <c r="V576" s="2"/>
      <c r="W576" s="2"/>
      <c r="X576" s="2"/>
    </row>
    <row r="577">
      <c r="A577" s="116"/>
      <c r="B577" s="44"/>
      <c r="C577" s="2"/>
      <c r="D577" s="2"/>
      <c r="E577" s="2"/>
      <c r="F577" s="2"/>
      <c r="G577" s="2"/>
      <c r="H577" s="2"/>
      <c r="I577" s="2"/>
      <c r="J577" s="2"/>
      <c r="K577" s="2"/>
      <c r="L577" s="2"/>
      <c r="M577" s="2"/>
      <c r="N577" s="2"/>
      <c r="O577" s="2"/>
      <c r="P577" s="2"/>
      <c r="Q577" s="2"/>
      <c r="R577" s="2"/>
      <c r="S577" s="2"/>
      <c r="T577" s="2"/>
      <c r="U577" s="2"/>
      <c r="V577" s="2"/>
      <c r="W577" s="2"/>
      <c r="X577" s="2"/>
    </row>
    <row r="578">
      <c r="A578" s="116"/>
      <c r="B578" s="44"/>
      <c r="C578" s="2"/>
      <c r="D578" s="2"/>
      <c r="E578" s="2"/>
      <c r="F578" s="2"/>
      <c r="G578" s="2"/>
      <c r="H578" s="2"/>
      <c r="I578" s="2"/>
      <c r="J578" s="2"/>
      <c r="K578" s="2"/>
      <c r="L578" s="2"/>
      <c r="M578" s="2"/>
      <c r="N578" s="2"/>
      <c r="O578" s="2"/>
      <c r="P578" s="2"/>
      <c r="Q578" s="2"/>
      <c r="R578" s="2"/>
      <c r="S578" s="2"/>
      <c r="T578" s="2"/>
      <c r="U578" s="2"/>
      <c r="V578" s="2"/>
      <c r="W578" s="2"/>
      <c r="X578" s="2"/>
    </row>
    <row r="579">
      <c r="A579" s="116"/>
      <c r="B579" s="44"/>
      <c r="C579" s="2"/>
      <c r="D579" s="2"/>
      <c r="E579" s="2"/>
      <c r="F579" s="2"/>
      <c r="G579" s="2"/>
      <c r="H579" s="2"/>
      <c r="I579" s="2"/>
      <c r="J579" s="2"/>
      <c r="K579" s="2"/>
      <c r="L579" s="2"/>
      <c r="M579" s="2"/>
      <c r="N579" s="2"/>
      <c r="O579" s="2"/>
      <c r="P579" s="2"/>
      <c r="Q579" s="2"/>
      <c r="R579" s="2"/>
      <c r="S579" s="2"/>
      <c r="T579" s="2"/>
      <c r="U579" s="2"/>
      <c r="V579" s="2"/>
      <c r="W579" s="2"/>
      <c r="X579" s="2"/>
    </row>
    <row r="580">
      <c r="A580" s="116"/>
      <c r="B580" s="44"/>
      <c r="C580" s="2"/>
      <c r="D580" s="2"/>
      <c r="E580" s="2"/>
      <c r="F580" s="2"/>
      <c r="G580" s="2"/>
      <c r="H580" s="2"/>
      <c r="I580" s="2"/>
      <c r="J580" s="2"/>
      <c r="K580" s="2"/>
      <c r="L580" s="2"/>
      <c r="M580" s="2"/>
      <c r="N580" s="2"/>
      <c r="O580" s="2"/>
      <c r="P580" s="2"/>
      <c r="Q580" s="2"/>
      <c r="R580" s="2"/>
      <c r="S580" s="2"/>
      <c r="T580" s="2"/>
      <c r="U580" s="2"/>
      <c r="V580" s="2"/>
      <c r="W580" s="2"/>
      <c r="X580" s="2"/>
    </row>
    <row r="581">
      <c r="A581" s="116"/>
      <c r="B581" s="44"/>
      <c r="C581" s="2"/>
      <c r="D581" s="2"/>
      <c r="E581" s="2"/>
      <c r="F581" s="2"/>
      <c r="G581" s="2"/>
      <c r="H581" s="2"/>
      <c r="I581" s="2"/>
      <c r="J581" s="2"/>
      <c r="K581" s="2"/>
      <c r="L581" s="2"/>
      <c r="M581" s="2"/>
      <c r="N581" s="2"/>
      <c r="O581" s="2"/>
      <c r="P581" s="2"/>
      <c r="Q581" s="2"/>
      <c r="R581" s="2"/>
      <c r="S581" s="2"/>
      <c r="T581" s="2"/>
      <c r="U581" s="2"/>
      <c r="V581" s="2"/>
      <c r="W581" s="2"/>
      <c r="X581" s="2"/>
    </row>
    <row r="582">
      <c r="A582" s="116"/>
      <c r="B582" s="44"/>
      <c r="C582" s="2"/>
      <c r="D582" s="2"/>
      <c r="E582" s="2"/>
      <c r="F582" s="2"/>
      <c r="G582" s="2"/>
      <c r="H582" s="2"/>
      <c r="I582" s="2"/>
      <c r="J582" s="2"/>
      <c r="K582" s="2"/>
      <c r="L582" s="2"/>
      <c r="M582" s="2"/>
      <c r="N582" s="2"/>
      <c r="O582" s="2"/>
      <c r="P582" s="2"/>
      <c r="Q582" s="2"/>
      <c r="R582" s="2"/>
      <c r="S582" s="2"/>
      <c r="T582" s="2"/>
      <c r="U582" s="2"/>
      <c r="V582" s="2"/>
      <c r="W582" s="2"/>
      <c r="X582" s="2"/>
    </row>
    <row r="583">
      <c r="A583" s="116"/>
      <c r="B583" s="44"/>
      <c r="C583" s="2"/>
      <c r="D583" s="2"/>
      <c r="E583" s="2"/>
      <c r="F583" s="2"/>
      <c r="G583" s="2"/>
      <c r="H583" s="2"/>
      <c r="I583" s="2"/>
      <c r="J583" s="2"/>
      <c r="K583" s="2"/>
      <c r="L583" s="2"/>
      <c r="M583" s="2"/>
      <c r="N583" s="2"/>
      <c r="O583" s="2"/>
      <c r="P583" s="2"/>
      <c r="Q583" s="2"/>
      <c r="R583" s="2"/>
      <c r="S583" s="2"/>
      <c r="T583" s="2"/>
      <c r="U583" s="2"/>
      <c r="V583" s="2"/>
      <c r="W583" s="2"/>
      <c r="X583" s="2"/>
    </row>
    <row r="584">
      <c r="A584" s="116"/>
      <c r="B584" s="44"/>
      <c r="C584" s="2"/>
      <c r="D584" s="2"/>
      <c r="E584" s="2"/>
      <c r="F584" s="2"/>
      <c r="G584" s="2"/>
      <c r="H584" s="2"/>
      <c r="I584" s="2"/>
      <c r="J584" s="2"/>
      <c r="K584" s="2"/>
      <c r="L584" s="2"/>
      <c r="M584" s="2"/>
      <c r="N584" s="2"/>
      <c r="O584" s="2"/>
      <c r="P584" s="2"/>
      <c r="Q584" s="2"/>
      <c r="R584" s="2"/>
      <c r="S584" s="2"/>
      <c r="T584" s="2"/>
      <c r="U584" s="2"/>
      <c r="V584" s="2"/>
      <c r="W584" s="2"/>
      <c r="X584" s="2"/>
    </row>
    <row r="585">
      <c r="A585" s="116"/>
      <c r="B585" s="44"/>
      <c r="C585" s="2"/>
      <c r="D585" s="2"/>
      <c r="E585" s="2"/>
      <c r="F585" s="2"/>
      <c r="G585" s="2"/>
      <c r="H585" s="2"/>
      <c r="I585" s="2"/>
      <c r="J585" s="2"/>
      <c r="K585" s="2"/>
      <c r="L585" s="2"/>
      <c r="M585" s="2"/>
      <c r="N585" s="2"/>
      <c r="O585" s="2"/>
      <c r="P585" s="2"/>
      <c r="Q585" s="2"/>
      <c r="R585" s="2"/>
      <c r="S585" s="2"/>
      <c r="T585" s="2"/>
      <c r="U585" s="2"/>
      <c r="V585" s="2"/>
      <c r="W585" s="2"/>
      <c r="X585" s="2"/>
    </row>
    <row r="586">
      <c r="A586" s="116"/>
      <c r="B586" s="44"/>
      <c r="C586" s="2"/>
      <c r="D586" s="2"/>
      <c r="E586" s="2"/>
      <c r="F586" s="2"/>
      <c r="G586" s="2"/>
      <c r="H586" s="2"/>
      <c r="I586" s="2"/>
      <c r="J586" s="2"/>
      <c r="K586" s="2"/>
      <c r="L586" s="2"/>
      <c r="M586" s="2"/>
      <c r="N586" s="2"/>
      <c r="O586" s="2"/>
      <c r="P586" s="2"/>
      <c r="Q586" s="2"/>
      <c r="R586" s="2"/>
      <c r="S586" s="2"/>
      <c r="T586" s="2"/>
      <c r="U586" s="2"/>
      <c r="V586" s="2"/>
      <c r="W586" s="2"/>
      <c r="X586" s="2"/>
    </row>
    <row r="587">
      <c r="A587" s="116"/>
      <c r="B587" s="44"/>
      <c r="C587" s="2"/>
      <c r="D587" s="2"/>
      <c r="E587" s="2"/>
      <c r="F587" s="2"/>
      <c r="G587" s="2"/>
      <c r="H587" s="2"/>
      <c r="I587" s="2"/>
      <c r="J587" s="2"/>
      <c r="K587" s="2"/>
      <c r="L587" s="2"/>
      <c r="M587" s="2"/>
      <c r="N587" s="2"/>
      <c r="O587" s="2"/>
      <c r="P587" s="2"/>
      <c r="Q587" s="2"/>
      <c r="R587" s="2"/>
      <c r="S587" s="2"/>
      <c r="T587" s="2"/>
      <c r="U587" s="2"/>
      <c r="V587" s="2"/>
      <c r="W587" s="2"/>
      <c r="X587" s="2"/>
    </row>
    <row r="588">
      <c r="A588" s="116"/>
      <c r="B588" s="44"/>
      <c r="C588" s="2"/>
      <c r="D588" s="2"/>
      <c r="E588" s="2"/>
      <c r="F588" s="2"/>
      <c r="G588" s="2"/>
      <c r="H588" s="2"/>
      <c r="I588" s="2"/>
      <c r="J588" s="2"/>
      <c r="K588" s="2"/>
      <c r="L588" s="2"/>
      <c r="M588" s="2"/>
      <c r="N588" s="2"/>
      <c r="O588" s="2"/>
      <c r="P588" s="2"/>
      <c r="Q588" s="2"/>
      <c r="R588" s="2"/>
      <c r="S588" s="2"/>
      <c r="T588" s="2"/>
      <c r="U588" s="2"/>
      <c r="V588" s="2"/>
      <c r="W588" s="2"/>
      <c r="X588" s="2"/>
    </row>
    <row r="589">
      <c r="A589" s="116"/>
      <c r="B589" s="44"/>
      <c r="C589" s="2"/>
      <c r="D589" s="2"/>
      <c r="E589" s="2"/>
      <c r="F589" s="2"/>
      <c r="G589" s="2"/>
      <c r="H589" s="2"/>
      <c r="I589" s="2"/>
      <c r="J589" s="2"/>
      <c r="K589" s="2"/>
      <c r="L589" s="2"/>
      <c r="M589" s="2"/>
      <c r="N589" s="2"/>
      <c r="O589" s="2"/>
      <c r="P589" s="2"/>
      <c r="Q589" s="2"/>
      <c r="R589" s="2"/>
      <c r="S589" s="2"/>
      <c r="T589" s="2"/>
      <c r="U589" s="2"/>
      <c r="V589" s="2"/>
      <c r="W589" s="2"/>
      <c r="X589" s="2"/>
    </row>
    <row r="590">
      <c r="A590" s="116"/>
      <c r="B590" s="44"/>
      <c r="C590" s="2"/>
      <c r="D590" s="2"/>
      <c r="E590" s="2"/>
      <c r="F590" s="2"/>
      <c r="G590" s="2"/>
      <c r="H590" s="2"/>
      <c r="I590" s="2"/>
      <c r="J590" s="2"/>
      <c r="K590" s="2"/>
      <c r="L590" s="2"/>
      <c r="M590" s="2"/>
      <c r="N590" s="2"/>
      <c r="O590" s="2"/>
      <c r="P590" s="2"/>
      <c r="Q590" s="2"/>
      <c r="R590" s="2"/>
      <c r="S590" s="2"/>
      <c r="T590" s="2"/>
      <c r="U590" s="2"/>
      <c r="V590" s="2"/>
      <c r="W590" s="2"/>
      <c r="X590" s="2"/>
    </row>
    <row r="591">
      <c r="A591" s="116"/>
      <c r="B591" s="44"/>
      <c r="C591" s="2"/>
      <c r="D591" s="2"/>
      <c r="E591" s="2"/>
      <c r="F591" s="2"/>
      <c r="G591" s="2"/>
      <c r="H591" s="2"/>
      <c r="I591" s="2"/>
      <c r="J591" s="2"/>
      <c r="K591" s="2"/>
      <c r="L591" s="2"/>
      <c r="M591" s="2"/>
      <c r="N591" s="2"/>
      <c r="O591" s="2"/>
      <c r="P591" s="2"/>
      <c r="Q591" s="2"/>
      <c r="R591" s="2"/>
      <c r="S591" s="2"/>
      <c r="T591" s="2"/>
      <c r="U591" s="2"/>
      <c r="V591" s="2"/>
      <c r="W591" s="2"/>
      <c r="X591" s="2"/>
    </row>
    <row r="592">
      <c r="A592" s="116"/>
      <c r="B592" s="44"/>
      <c r="C592" s="2"/>
      <c r="D592" s="2"/>
      <c r="E592" s="2"/>
      <c r="F592" s="2"/>
      <c r="G592" s="2"/>
      <c r="H592" s="2"/>
      <c r="I592" s="2"/>
      <c r="J592" s="2"/>
      <c r="K592" s="2"/>
      <c r="L592" s="2"/>
      <c r="M592" s="2"/>
      <c r="N592" s="2"/>
      <c r="O592" s="2"/>
      <c r="P592" s="2"/>
      <c r="Q592" s="2"/>
      <c r="R592" s="2"/>
      <c r="S592" s="2"/>
      <c r="T592" s="2"/>
      <c r="U592" s="2"/>
      <c r="V592" s="2"/>
      <c r="W592" s="2"/>
      <c r="X592" s="2"/>
    </row>
    <row r="593">
      <c r="A593" s="116"/>
      <c r="B593" s="44"/>
      <c r="C593" s="2"/>
      <c r="D593" s="2"/>
      <c r="E593" s="2"/>
      <c r="F593" s="2"/>
      <c r="G593" s="2"/>
      <c r="H593" s="2"/>
      <c r="I593" s="2"/>
      <c r="J593" s="2"/>
      <c r="K593" s="2"/>
      <c r="L593" s="2"/>
      <c r="M593" s="2"/>
      <c r="N593" s="2"/>
      <c r="O593" s="2"/>
      <c r="P593" s="2"/>
      <c r="Q593" s="2"/>
      <c r="R593" s="2"/>
      <c r="S593" s="2"/>
      <c r="T593" s="2"/>
      <c r="U593" s="2"/>
      <c r="V593" s="2"/>
      <c r="W593" s="2"/>
      <c r="X593" s="2"/>
    </row>
    <row r="594">
      <c r="A594" s="116"/>
      <c r="B594" s="44"/>
      <c r="C594" s="2"/>
      <c r="D594" s="2"/>
      <c r="E594" s="2"/>
      <c r="F594" s="2"/>
      <c r="G594" s="2"/>
      <c r="H594" s="2"/>
      <c r="I594" s="2"/>
      <c r="J594" s="2"/>
      <c r="K594" s="2"/>
      <c r="L594" s="2"/>
      <c r="M594" s="2"/>
      <c r="N594" s="2"/>
      <c r="O594" s="2"/>
      <c r="P594" s="2"/>
      <c r="Q594" s="2"/>
      <c r="R594" s="2"/>
      <c r="S594" s="2"/>
      <c r="T594" s="2"/>
      <c r="U594" s="2"/>
      <c r="V594" s="2"/>
      <c r="W594" s="2"/>
      <c r="X594" s="2"/>
    </row>
    <row r="595">
      <c r="A595" s="116"/>
      <c r="B595" s="44"/>
      <c r="C595" s="2"/>
      <c r="D595" s="2"/>
      <c r="E595" s="2"/>
      <c r="F595" s="2"/>
      <c r="G595" s="2"/>
      <c r="H595" s="2"/>
      <c r="I595" s="2"/>
      <c r="J595" s="2"/>
      <c r="K595" s="2"/>
      <c r="L595" s="2"/>
      <c r="M595" s="2"/>
      <c r="N595" s="2"/>
      <c r="O595" s="2"/>
      <c r="P595" s="2"/>
      <c r="Q595" s="2"/>
      <c r="R595" s="2"/>
      <c r="S595" s="2"/>
      <c r="T595" s="2"/>
      <c r="U595" s="2"/>
      <c r="V595" s="2"/>
      <c r="W595" s="2"/>
      <c r="X595" s="2"/>
    </row>
    <row r="596">
      <c r="A596" s="116"/>
      <c r="B596" s="44"/>
      <c r="C596" s="2"/>
      <c r="D596" s="2"/>
      <c r="E596" s="2"/>
      <c r="F596" s="2"/>
      <c r="G596" s="2"/>
      <c r="H596" s="2"/>
      <c r="I596" s="2"/>
      <c r="J596" s="2"/>
      <c r="K596" s="2"/>
      <c r="L596" s="2"/>
      <c r="M596" s="2"/>
      <c r="N596" s="2"/>
      <c r="O596" s="2"/>
      <c r="P596" s="2"/>
      <c r="Q596" s="2"/>
      <c r="R596" s="2"/>
      <c r="S596" s="2"/>
      <c r="T596" s="2"/>
      <c r="U596" s="2"/>
      <c r="V596" s="2"/>
      <c r="W596" s="2"/>
      <c r="X596" s="2"/>
    </row>
    <row r="597">
      <c r="A597" s="116"/>
      <c r="B597" s="44"/>
      <c r="C597" s="2"/>
      <c r="D597" s="2"/>
      <c r="E597" s="2"/>
      <c r="F597" s="2"/>
      <c r="G597" s="2"/>
      <c r="H597" s="2"/>
      <c r="I597" s="2"/>
      <c r="J597" s="2"/>
      <c r="K597" s="2"/>
      <c r="L597" s="2"/>
      <c r="M597" s="2"/>
      <c r="N597" s="2"/>
      <c r="O597" s="2"/>
      <c r="P597" s="2"/>
      <c r="Q597" s="2"/>
      <c r="R597" s="2"/>
      <c r="S597" s="2"/>
      <c r="T597" s="2"/>
      <c r="U597" s="2"/>
      <c r="V597" s="2"/>
      <c r="W597" s="2"/>
      <c r="X597" s="2"/>
    </row>
    <row r="598">
      <c r="A598" s="116"/>
      <c r="B598" s="44"/>
      <c r="C598" s="2"/>
      <c r="D598" s="2"/>
      <c r="E598" s="2"/>
      <c r="F598" s="2"/>
      <c r="G598" s="2"/>
      <c r="H598" s="2"/>
      <c r="I598" s="2"/>
      <c r="J598" s="2"/>
      <c r="K598" s="2"/>
      <c r="L598" s="2"/>
      <c r="M598" s="2"/>
      <c r="N598" s="2"/>
      <c r="O598" s="2"/>
      <c r="P598" s="2"/>
      <c r="Q598" s="2"/>
      <c r="R598" s="2"/>
      <c r="S598" s="2"/>
      <c r="T598" s="2"/>
      <c r="U598" s="2"/>
      <c r="V598" s="2"/>
      <c r="W598" s="2"/>
      <c r="X598" s="2"/>
    </row>
    <row r="599">
      <c r="A599" s="116"/>
      <c r="B599" s="44"/>
      <c r="C599" s="2"/>
      <c r="D599" s="2"/>
      <c r="E599" s="2"/>
      <c r="F599" s="2"/>
      <c r="G599" s="2"/>
      <c r="H599" s="2"/>
      <c r="I599" s="2"/>
      <c r="J599" s="2"/>
      <c r="K599" s="2"/>
      <c r="L599" s="2"/>
      <c r="M599" s="2"/>
      <c r="N599" s="2"/>
      <c r="O599" s="2"/>
      <c r="P599" s="2"/>
      <c r="Q599" s="2"/>
      <c r="R599" s="2"/>
      <c r="S599" s="2"/>
      <c r="T599" s="2"/>
      <c r="U599" s="2"/>
      <c r="V599" s="2"/>
      <c r="W599" s="2"/>
      <c r="X599" s="2"/>
    </row>
    <row r="600">
      <c r="A600" s="116"/>
      <c r="B600" s="44"/>
      <c r="C600" s="2"/>
      <c r="D600" s="2"/>
      <c r="E600" s="2"/>
      <c r="F600" s="2"/>
      <c r="G600" s="2"/>
      <c r="H600" s="2"/>
      <c r="I600" s="2"/>
      <c r="J600" s="2"/>
      <c r="K600" s="2"/>
      <c r="L600" s="2"/>
      <c r="M600" s="2"/>
      <c r="N600" s="2"/>
      <c r="O600" s="2"/>
      <c r="P600" s="2"/>
      <c r="Q600" s="2"/>
      <c r="R600" s="2"/>
      <c r="S600" s="2"/>
      <c r="T600" s="2"/>
      <c r="U600" s="2"/>
      <c r="V600" s="2"/>
      <c r="W600" s="2"/>
      <c r="X600" s="2"/>
    </row>
    <row r="601">
      <c r="A601" s="116"/>
      <c r="B601" s="44"/>
      <c r="C601" s="2"/>
      <c r="D601" s="2"/>
      <c r="E601" s="2"/>
      <c r="F601" s="2"/>
      <c r="G601" s="2"/>
      <c r="H601" s="2"/>
      <c r="I601" s="2"/>
      <c r="J601" s="2"/>
      <c r="K601" s="2"/>
      <c r="L601" s="2"/>
      <c r="M601" s="2"/>
      <c r="N601" s="2"/>
      <c r="O601" s="2"/>
      <c r="P601" s="2"/>
      <c r="Q601" s="2"/>
      <c r="R601" s="2"/>
      <c r="S601" s="2"/>
      <c r="T601" s="2"/>
      <c r="U601" s="2"/>
      <c r="V601" s="2"/>
      <c r="W601" s="2"/>
      <c r="X601" s="2"/>
    </row>
    <row r="602">
      <c r="A602" s="116"/>
      <c r="B602" s="44"/>
      <c r="C602" s="2"/>
      <c r="D602" s="2"/>
      <c r="E602" s="2"/>
      <c r="F602" s="2"/>
      <c r="G602" s="2"/>
      <c r="H602" s="2"/>
      <c r="I602" s="2"/>
      <c r="J602" s="2"/>
      <c r="K602" s="2"/>
      <c r="L602" s="2"/>
      <c r="M602" s="2"/>
      <c r="N602" s="2"/>
      <c r="O602" s="2"/>
      <c r="P602" s="2"/>
      <c r="Q602" s="2"/>
      <c r="R602" s="2"/>
      <c r="S602" s="2"/>
      <c r="T602" s="2"/>
      <c r="U602" s="2"/>
      <c r="V602" s="2"/>
      <c r="W602" s="2"/>
      <c r="X602" s="2"/>
    </row>
    <row r="603">
      <c r="A603" s="116"/>
      <c r="B603" s="44"/>
      <c r="C603" s="2"/>
      <c r="D603" s="2"/>
      <c r="E603" s="2"/>
      <c r="F603" s="2"/>
      <c r="G603" s="2"/>
      <c r="H603" s="2"/>
      <c r="I603" s="2"/>
      <c r="J603" s="2"/>
      <c r="K603" s="2"/>
      <c r="L603" s="2"/>
      <c r="M603" s="2"/>
      <c r="N603" s="2"/>
      <c r="O603" s="2"/>
      <c r="P603" s="2"/>
      <c r="Q603" s="2"/>
      <c r="R603" s="2"/>
      <c r="S603" s="2"/>
      <c r="T603" s="2"/>
      <c r="U603" s="2"/>
      <c r="V603" s="2"/>
      <c r="W603" s="2"/>
      <c r="X603" s="2"/>
    </row>
    <row r="604">
      <c r="A604" s="116"/>
      <c r="B604" s="44"/>
      <c r="C604" s="2"/>
      <c r="D604" s="2"/>
      <c r="E604" s="2"/>
      <c r="F604" s="2"/>
      <c r="G604" s="2"/>
      <c r="H604" s="2"/>
      <c r="I604" s="2"/>
      <c r="J604" s="2"/>
      <c r="K604" s="2"/>
      <c r="L604" s="2"/>
      <c r="M604" s="2"/>
      <c r="N604" s="2"/>
      <c r="O604" s="2"/>
      <c r="P604" s="2"/>
      <c r="Q604" s="2"/>
      <c r="R604" s="2"/>
      <c r="S604" s="2"/>
      <c r="T604" s="2"/>
      <c r="U604" s="2"/>
      <c r="V604" s="2"/>
      <c r="W604" s="2"/>
      <c r="X604" s="2"/>
    </row>
    <row r="605">
      <c r="A605" s="116"/>
      <c r="B605" s="44"/>
      <c r="C605" s="2"/>
      <c r="D605" s="2"/>
      <c r="E605" s="2"/>
      <c r="F605" s="2"/>
      <c r="G605" s="2"/>
      <c r="H605" s="2"/>
      <c r="I605" s="2"/>
      <c r="J605" s="2"/>
      <c r="K605" s="2"/>
      <c r="L605" s="2"/>
      <c r="M605" s="2"/>
      <c r="N605" s="2"/>
      <c r="O605" s="2"/>
      <c r="P605" s="2"/>
      <c r="Q605" s="2"/>
      <c r="R605" s="2"/>
      <c r="S605" s="2"/>
      <c r="T605" s="2"/>
      <c r="U605" s="2"/>
      <c r="V605" s="2"/>
      <c r="W605" s="2"/>
      <c r="X605" s="2"/>
    </row>
    <row r="606">
      <c r="A606" s="116"/>
      <c r="B606" s="44"/>
      <c r="C606" s="2"/>
      <c r="D606" s="2"/>
      <c r="E606" s="2"/>
      <c r="F606" s="2"/>
      <c r="G606" s="2"/>
      <c r="H606" s="2"/>
      <c r="I606" s="2"/>
      <c r="J606" s="2"/>
      <c r="K606" s="2"/>
      <c r="L606" s="2"/>
      <c r="M606" s="2"/>
      <c r="N606" s="2"/>
      <c r="O606" s="2"/>
      <c r="P606" s="2"/>
      <c r="Q606" s="2"/>
      <c r="R606" s="2"/>
      <c r="S606" s="2"/>
      <c r="T606" s="2"/>
      <c r="U606" s="2"/>
      <c r="V606" s="2"/>
      <c r="W606" s="2"/>
      <c r="X606" s="2"/>
    </row>
    <row r="607">
      <c r="A607" s="116"/>
      <c r="B607" s="44"/>
      <c r="C607" s="2"/>
      <c r="D607" s="2"/>
      <c r="E607" s="2"/>
      <c r="F607" s="2"/>
      <c r="G607" s="2"/>
      <c r="H607" s="2"/>
      <c r="I607" s="2"/>
      <c r="J607" s="2"/>
      <c r="K607" s="2"/>
      <c r="L607" s="2"/>
      <c r="M607" s="2"/>
      <c r="N607" s="2"/>
      <c r="O607" s="2"/>
      <c r="P607" s="2"/>
      <c r="Q607" s="2"/>
      <c r="R607" s="2"/>
      <c r="S607" s="2"/>
      <c r="T607" s="2"/>
      <c r="U607" s="2"/>
      <c r="V607" s="2"/>
      <c r="W607" s="2"/>
      <c r="X607" s="2"/>
    </row>
    <row r="608">
      <c r="A608" s="116"/>
      <c r="B608" s="44"/>
      <c r="C608" s="2"/>
      <c r="D608" s="2"/>
      <c r="E608" s="2"/>
      <c r="F608" s="2"/>
      <c r="G608" s="2"/>
      <c r="H608" s="2"/>
      <c r="I608" s="2"/>
      <c r="J608" s="2"/>
      <c r="K608" s="2"/>
      <c r="L608" s="2"/>
      <c r="M608" s="2"/>
      <c r="N608" s="2"/>
      <c r="O608" s="2"/>
      <c r="P608" s="2"/>
      <c r="Q608" s="2"/>
      <c r="R608" s="2"/>
      <c r="S608" s="2"/>
      <c r="T608" s="2"/>
      <c r="U608" s="2"/>
      <c r="V608" s="2"/>
      <c r="W608" s="2"/>
      <c r="X608" s="2"/>
    </row>
    <row r="609">
      <c r="A609" s="116"/>
      <c r="B609" s="44"/>
      <c r="C609" s="2"/>
      <c r="D609" s="2"/>
      <c r="E609" s="2"/>
      <c r="F609" s="2"/>
      <c r="G609" s="2"/>
      <c r="H609" s="2"/>
      <c r="I609" s="2"/>
      <c r="J609" s="2"/>
      <c r="K609" s="2"/>
      <c r="L609" s="2"/>
      <c r="M609" s="2"/>
      <c r="N609" s="2"/>
      <c r="O609" s="2"/>
      <c r="P609" s="2"/>
      <c r="Q609" s="2"/>
      <c r="R609" s="2"/>
      <c r="S609" s="2"/>
      <c r="T609" s="2"/>
      <c r="U609" s="2"/>
      <c r="V609" s="2"/>
      <c r="W609" s="2"/>
      <c r="X609" s="2"/>
    </row>
    <row r="610">
      <c r="A610" s="116"/>
      <c r="B610" s="44"/>
      <c r="C610" s="2"/>
      <c r="D610" s="2"/>
      <c r="E610" s="2"/>
      <c r="F610" s="2"/>
      <c r="G610" s="2"/>
      <c r="H610" s="2"/>
      <c r="I610" s="2"/>
      <c r="J610" s="2"/>
      <c r="K610" s="2"/>
      <c r="L610" s="2"/>
      <c r="M610" s="2"/>
      <c r="N610" s="2"/>
      <c r="O610" s="2"/>
      <c r="P610" s="2"/>
      <c r="Q610" s="2"/>
      <c r="R610" s="2"/>
      <c r="S610" s="2"/>
      <c r="T610" s="2"/>
      <c r="U610" s="2"/>
      <c r="V610" s="2"/>
      <c r="W610" s="2"/>
      <c r="X610" s="2"/>
    </row>
    <row r="611">
      <c r="A611" s="116"/>
      <c r="B611" s="44"/>
      <c r="C611" s="2"/>
      <c r="D611" s="2"/>
      <c r="E611" s="2"/>
      <c r="F611" s="2"/>
      <c r="G611" s="2"/>
      <c r="H611" s="2"/>
      <c r="I611" s="2"/>
      <c r="J611" s="2"/>
      <c r="K611" s="2"/>
      <c r="L611" s="2"/>
      <c r="M611" s="2"/>
      <c r="N611" s="2"/>
      <c r="O611" s="2"/>
      <c r="P611" s="2"/>
      <c r="Q611" s="2"/>
      <c r="R611" s="2"/>
      <c r="S611" s="2"/>
      <c r="T611" s="2"/>
      <c r="U611" s="2"/>
      <c r="V611" s="2"/>
      <c r="W611" s="2"/>
      <c r="X611" s="2"/>
    </row>
    <row r="612">
      <c r="A612" s="116"/>
      <c r="B612" s="44"/>
      <c r="C612" s="2"/>
      <c r="D612" s="2"/>
      <c r="E612" s="2"/>
      <c r="F612" s="2"/>
      <c r="G612" s="2"/>
      <c r="H612" s="2"/>
      <c r="I612" s="2"/>
      <c r="J612" s="2"/>
      <c r="K612" s="2"/>
      <c r="L612" s="2"/>
      <c r="M612" s="2"/>
      <c r="N612" s="2"/>
      <c r="O612" s="2"/>
      <c r="P612" s="2"/>
      <c r="Q612" s="2"/>
      <c r="R612" s="2"/>
      <c r="S612" s="2"/>
      <c r="T612" s="2"/>
      <c r="U612" s="2"/>
      <c r="V612" s="2"/>
      <c r="W612" s="2"/>
      <c r="X612" s="2"/>
    </row>
    <row r="613">
      <c r="A613" s="116"/>
      <c r="B613" s="44"/>
      <c r="C613" s="2"/>
      <c r="D613" s="2"/>
      <c r="E613" s="2"/>
      <c r="F613" s="2"/>
      <c r="G613" s="2"/>
      <c r="H613" s="2"/>
      <c r="I613" s="2"/>
      <c r="J613" s="2"/>
      <c r="K613" s="2"/>
      <c r="L613" s="2"/>
      <c r="M613" s="2"/>
      <c r="N613" s="2"/>
      <c r="O613" s="2"/>
      <c r="P613" s="2"/>
      <c r="Q613" s="2"/>
      <c r="R613" s="2"/>
      <c r="S613" s="2"/>
      <c r="T613" s="2"/>
      <c r="U613" s="2"/>
      <c r="V613" s="2"/>
      <c r="W613" s="2"/>
      <c r="X613" s="2"/>
    </row>
    <row r="614">
      <c r="A614" s="116"/>
      <c r="B614" s="44"/>
      <c r="C614" s="2"/>
      <c r="D614" s="2"/>
      <c r="E614" s="2"/>
      <c r="F614" s="2"/>
      <c r="G614" s="2"/>
      <c r="H614" s="2"/>
      <c r="I614" s="2"/>
      <c r="J614" s="2"/>
      <c r="K614" s="2"/>
      <c r="L614" s="2"/>
      <c r="M614" s="2"/>
      <c r="N614" s="2"/>
      <c r="O614" s="2"/>
      <c r="P614" s="2"/>
      <c r="Q614" s="2"/>
      <c r="R614" s="2"/>
      <c r="S614" s="2"/>
      <c r="T614" s="2"/>
      <c r="U614" s="2"/>
      <c r="V614" s="2"/>
      <c r="W614" s="2"/>
      <c r="X614" s="2"/>
    </row>
    <row r="615">
      <c r="A615" s="116"/>
      <c r="B615" s="44"/>
      <c r="C615" s="2"/>
      <c r="D615" s="2"/>
      <c r="E615" s="2"/>
      <c r="F615" s="2"/>
      <c r="G615" s="2"/>
      <c r="H615" s="2"/>
      <c r="I615" s="2"/>
      <c r="J615" s="2"/>
      <c r="K615" s="2"/>
      <c r="L615" s="2"/>
      <c r="M615" s="2"/>
      <c r="N615" s="2"/>
      <c r="O615" s="2"/>
      <c r="P615" s="2"/>
      <c r="Q615" s="2"/>
      <c r="R615" s="2"/>
      <c r="S615" s="2"/>
      <c r="T615" s="2"/>
      <c r="U615" s="2"/>
      <c r="V615" s="2"/>
      <c r="W615" s="2"/>
      <c r="X615" s="2"/>
    </row>
    <row r="616">
      <c r="A616" s="116"/>
      <c r="B616" s="44"/>
      <c r="C616" s="2"/>
      <c r="D616" s="2"/>
      <c r="E616" s="2"/>
      <c r="F616" s="2"/>
      <c r="G616" s="2"/>
      <c r="H616" s="2"/>
      <c r="I616" s="2"/>
      <c r="J616" s="2"/>
      <c r="K616" s="2"/>
      <c r="L616" s="2"/>
      <c r="M616" s="2"/>
      <c r="N616" s="2"/>
      <c r="O616" s="2"/>
      <c r="P616" s="2"/>
      <c r="Q616" s="2"/>
      <c r="R616" s="2"/>
      <c r="S616" s="2"/>
      <c r="T616" s="2"/>
      <c r="U616" s="2"/>
      <c r="V616" s="2"/>
      <c r="W616" s="2"/>
      <c r="X616" s="2"/>
    </row>
    <row r="617">
      <c r="A617" s="116"/>
      <c r="B617" s="44"/>
      <c r="C617" s="2"/>
      <c r="D617" s="2"/>
      <c r="E617" s="2"/>
      <c r="F617" s="2"/>
      <c r="G617" s="2"/>
      <c r="H617" s="2"/>
      <c r="I617" s="2"/>
      <c r="J617" s="2"/>
      <c r="K617" s="2"/>
      <c r="L617" s="2"/>
      <c r="M617" s="2"/>
      <c r="N617" s="2"/>
      <c r="O617" s="2"/>
      <c r="P617" s="2"/>
      <c r="Q617" s="2"/>
      <c r="R617" s="2"/>
      <c r="S617" s="2"/>
      <c r="T617" s="2"/>
      <c r="U617" s="2"/>
      <c r="V617" s="2"/>
      <c r="W617" s="2"/>
      <c r="X617" s="2"/>
    </row>
    <row r="618">
      <c r="A618" s="116"/>
      <c r="B618" s="44"/>
      <c r="C618" s="2"/>
      <c r="D618" s="2"/>
      <c r="E618" s="2"/>
      <c r="F618" s="2"/>
      <c r="G618" s="2"/>
      <c r="H618" s="2"/>
      <c r="I618" s="2"/>
      <c r="J618" s="2"/>
      <c r="K618" s="2"/>
      <c r="L618" s="2"/>
      <c r="M618" s="2"/>
      <c r="N618" s="2"/>
      <c r="O618" s="2"/>
      <c r="P618" s="2"/>
      <c r="Q618" s="2"/>
      <c r="R618" s="2"/>
      <c r="S618" s="2"/>
      <c r="T618" s="2"/>
      <c r="U618" s="2"/>
      <c r="V618" s="2"/>
      <c r="W618" s="2"/>
      <c r="X618" s="2"/>
    </row>
    <row r="619">
      <c r="A619" s="116"/>
      <c r="B619" s="44"/>
      <c r="C619" s="2"/>
      <c r="D619" s="2"/>
      <c r="E619" s="2"/>
      <c r="F619" s="2"/>
      <c r="G619" s="2"/>
      <c r="H619" s="2"/>
      <c r="I619" s="2"/>
      <c r="J619" s="2"/>
      <c r="K619" s="2"/>
      <c r="L619" s="2"/>
      <c r="M619" s="2"/>
      <c r="N619" s="2"/>
      <c r="O619" s="2"/>
      <c r="P619" s="2"/>
      <c r="Q619" s="2"/>
      <c r="R619" s="2"/>
      <c r="S619" s="2"/>
      <c r="T619" s="2"/>
      <c r="U619" s="2"/>
      <c r="V619" s="2"/>
      <c r="W619" s="2"/>
      <c r="X619" s="2"/>
    </row>
    <row r="620">
      <c r="A620" s="116"/>
      <c r="B620" s="44"/>
      <c r="C620" s="2"/>
      <c r="D620" s="2"/>
      <c r="E620" s="2"/>
      <c r="F620" s="2"/>
      <c r="G620" s="2"/>
      <c r="H620" s="2"/>
      <c r="I620" s="2"/>
      <c r="J620" s="2"/>
      <c r="K620" s="2"/>
      <c r="L620" s="2"/>
      <c r="M620" s="2"/>
      <c r="N620" s="2"/>
      <c r="O620" s="2"/>
      <c r="P620" s="2"/>
      <c r="Q620" s="2"/>
      <c r="R620" s="2"/>
      <c r="S620" s="2"/>
      <c r="T620" s="2"/>
      <c r="U620" s="2"/>
      <c r="V620" s="2"/>
      <c r="W620" s="2"/>
      <c r="X620" s="2"/>
    </row>
    <row r="621">
      <c r="A621" s="116"/>
      <c r="B621" s="44"/>
      <c r="C621" s="2"/>
      <c r="D621" s="2"/>
      <c r="E621" s="2"/>
      <c r="F621" s="2"/>
      <c r="G621" s="2"/>
      <c r="H621" s="2"/>
      <c r="I621" s="2"/>
      <c r="J621" s="2"/>
      <c r="K621" s="2"/>
      <c r="L621" s="2"/>
      <c r="M621" s="2"/>
      <c r="N621" s="2"/>
      <c r="O621" s="2"/>
      <c r="P621" s="2"/>
      <c r="Q621" s="2"/>
      <c r="R621" s="2"/>
      <c r="S621" s="2"/>
      <c r="T621" s="2"/>
      <c r="U621" s="2"/>
      <c r="V621" s="2"/>
      <c r="W621" s="2"/>
      <c r="X621" s="2"/>
    </row>
    <row r="622">
      <c r="A622" s="116"/>
      <c r="B622" s="44"/>
      <c r="C622" s="2"/>
      <c r="D622" s="2"/>
      <c r="E622" s="2"/>
      <c r="F622" s="2"/>
      <c r="G622" s="2"/>
      <c r="H622" s="2"/>
      <c r="I622" s="2"/>
      <c r="J622" s="2"/>
      <c r="K622" s="2"/>
      <c r="L622" s="2"/>
      <c r="M622" s="2"/>
      <c r="N622" s="2"/>
      <c r="O622" s="2"/>
      <c r="P622" s="2"/>
      <c r="Q622" s="2"/>
      <c r="R622" s="2"/>
      <c r="S622" s="2"/>
      <c r="T622" s="2"/>
      <c r="U622" s="2"/>
      <c r="V622" s="2"/>
      <c r="W622" s="2"/>
      <c r="X622" s="2"/>
    </row>
    <row r="623">
      <c r="A623" s="116"/>
      <c r="B623" s="44"/>
      <c r="C623" s="2"/>
      <c r="D623" s="2"/>
      <c r="E623" s="2"/>
      <c r="F623" s="2"/>
      <c r="G623" s="2"/>
      <c r="H623" s="2"/>
      <c r="I623" s="2"/>
      <c r="J623" s="2"/>
      <c r="K623" s="2"/>
      <c r="L623" s="2"/>
      <c r="M623" s="2"/>
      <c r="N623" s="2"/>
      <c r="O623" s="2"/>
      <c r="P623" s="2"/>
      <c r="Q623" s="2"/>
      <c r="R623" s="2"/>
      <c r="S623" s="2"/>
      <c r="T623" s="2"/>
      <c r="U623" s="2"/>
      <c r="V623" s="2"/>
      <c r="W623" s="2"/>
      <c r="X623" s="2"/>
    </row>
    <row r="624">
      <c r="A624" s="116"/>
      <c r="B624" s="44"/>
      <c r="C624" s="2"/>
      <c r="D624" s="2"/>
      <c r="E624" s="2"/>
      <c r="F624" s="2"/>
      <c r="G624" s="2"/>
      <c r="H624" s="2"/>
      <c r="I624" s="2"/>
      <c r="J624" s="2"/>
      <c r="K624" s="2"/>
      <c r="L624" s="2"/>
      <c r="M624" s="2"/>
      <c r="N624" s="2"/>
      <c r="O624" s="2"/>
      <c r="P624" s="2"/>
      <c r="Q624" s="2"/>
      <c r="R624" s="2"/>
      <c r="S624" s="2"/>
      <c r="T624" s="2"/>
      <c r="U624" s="2"/>
      <c r="V624" s="2"/>
      <c r="W624" s="2"/>
      <c r="X624" s="2"/>
    </row>
    <row r="625">
      <c r="A625" s="116"/>
      <c r="B625" s="44"/>
      <c r="C625" s="2"/>
      <c r="D625" s="2"/>
      <c r="E625" s="2"/>
      <c r="F625" s="2"/>
      <c r="G625" s="2"/>
      <c r="H625" s="2"/>
      <c r="I625" s="2"/>
      <c r="J625" s="2"/>
      <c r="K625" s="2"/>
      <c r="L625" s="2"/>
      <c r="M625" s="2"/>
      <c r="N625" s="2"/>
      <c r="O625" s="2"/>
      <c r="P625" s="2"/>
      <c r="Q625" s="2"/>
      <c r="R625" s="2"/>
      <c r="S625" s="2"/>
      <c r="T625" s="2"/>
      <c r="U625" s="2"/>
      <c r="V625" s="2"/>
      <c r="W625" s="2"/>
      <c r="X625" s="2"/>
    </row>
    <row r="626">
      <c r="A626" s="116"/>
      <c r="B626" s="44"/>
      <c r="C626" s="2"/>
      <c r="D626" s="2"/>
      <c r="E626" s="2"/>
      <c r="F626" s="2"/>
      <c r="G626" s="2"/>
      <c r="H626" s="2"/>
      <c r="I626" s="2"/>
      <c r="J626" s="2"/>
      <c r="K626" s="2"/>
      <c r="L626" s="2"/>
      <c r="M626" s="2"/>
      <c r="N626" s="2"/>
      <c r="O626" s="2"/>
      <c r="P626" s="2"/>
      <c r="Q626" s="2"/>
      <c r="R626" s="2"/>
      <c r="S626" s="2"/>
      <c r="T626" s="2"/>
      <c r="U626" s="2"/>
      <c r="V626" s="2"/>
      <c r="W626" s="2"/>
      <c r="X626" s="2"/>
    </row>
    <row r="627">
      <c r="A627" s="116"/>
      <c r="B627" s="44"/>
      <c r="C627" s="2"/>
      <c r="D627" s="2"/>
      <c r="E627" s="2"/>
      <c r="F627" s="2"/>
      <c r="G627" s="2"/>
      <c r="H627" s="2"/>
      <c r="I627" s="2"/>
      <c r="J627" s="2"/>
      <c r="K627" s="2"/>
      <c r="L627" s="2"/>
      <c r="M627" s="2"/>
      <c r="N627" s="2"/>
      <c r="O627" s="2"/>
      <c r="P627" s="2"/>
      <c r="Q627" s="2"/>
      <c r="R627" s="2"/>
      <c r="S627" s="2"/>
      <c r="T627" s="2"/>
      <c r="U627" s="2"/>
      <c r="V627" s="2"/>
      <c r="W627" s="2"/>
      <c r="X627" s="2"/>
    </row>
    <row r="628">
      <c r="A628" s="116"/>
      <c r="B628" s="44"/>
      <c r="C628" s="2"/>
      <c r="D628" s="2"/>
      <c r="E628" s="2"/>
      <c r="F628" s="2"/>
      <c r="G628" s="2"/>
      <c r="H628" s="2"/>
      <c r="I628" s="2"/>
      <c r="J628" s="2"/>
      <c r="K628" s="2"/>
      <c r="L628" s="2"/>
      <c r="M628" s="2"/>
      <c r="N628" s="2"/>
      <c r="O628" s="2"/>
      <c r="P628" s="2"/>
      <c r="Q628" s="2"/>
      <c r="R628" s="2"/>
      <c r="S628" s="2"/>
      <c r="T628" s="2"/>
      <c r="U628" s="2"/>
      <c r="V628" s="2"/>
      <c r="W628" s="2"/>
      <c r="X628" s="2"/>
    </row>
    <row r="629">
      <c r="A629" s="116"/>
      <c r="B629" s="44"/>
      <c r="C629" s="2"/>
      <c r="D629" s="2"/>
      <c r="E629" s="2"/>
      <c r="F629" s="2"/>
      <c r="G629" s="2"/>
      <c r="H629" s="2"/>
      <c r="I629" s="2"/>
      <c r="J629" s="2"/>
      <c r="K629" s="2"/>
      <c r="L629" s="2"/>
      <c r="M629" s="2"/>
      <c r="N629" s="2"/>
      <c r="O629" s="2"/>
      <c r="P629" s="2"/>
      <c r="Q629" s="2"/>
      <c r="R629" s="2"/>
      <c r="S629" s="2"/>
      <c r="T629" s="2"/>
      <c r="U629" s="2"/>
      <c r="V629" s="2"/>
      <c r="W629" s="2"/>
      <c r="X629" s="2"/>
    </row>
    <row r="630">
      <c r="A630" s="116"/>
      <c r="B630" s="44"/>
      <c r="C630" s="2"/>
      <c r="D630" s="2"/>
      <c r="E630" s="2"/>
      <c r="F630" s="2"/>
      <c r="G630" s="2"/>
      <c r="H630" s="2"/>
      <c r="I630" s="2"/>
      <c r="J630" s="2"/>
      <c r="K630" s="2"/>
      <c r="L630" s="2"/>
      <c r="M630" s="2"/>
      <c r="N630" s="2"/>
      <c r="O630" s="2"/>
      <c r="P630" s="2"/>
      <c r="Q630" s="2"/>
      <c r="R630" s="2"/>
      <c r="S630" s="2"/>
      <c r="T630" s="2"/>
      <c r="U630" s="2"/>
      <c r="V630" s="2"/>
      <c r="W630" s="2"/>
      <c r="X630" s="2"/>
    </row>
    <row r="631">
      <c r="A631" s="116"/>
      <c r="B631" s="44"/>
      <c r="C631" s="2"/>
      <c r="D631" s="2"/>
      <c r="E631" s="2"/>
      <c r="F631" s="2"/>
      <c r="G631" s="2"/>
      <c r="H631" s="2"/>
      <c r="I631" s="2"/>
      <c r="J631" s="2"/>
      <c r="K631" s="2"/>
      <c r="L631" s="2"/>
      <c r="M631" s="2"/>
      <c r="N631" s="2"/>
      <c r="O631" s="2"/>
      <c r="P631" s="2"/>
      <c r="Q631" s="2"/>
      <c r="R631" s="2"/>
      <c r="S631" s="2"/>
      <c r="T631" s="2"/>
      <c r="U631" s="2"/>
      <c r="V631" s="2"/>
      <c r="W631" s="2"/>
      <c r="X631" s="2"/>
    </row>
    <row r="632">
      <c r="A632" s="116"/>
      <c r="B632" s="44"/>
      <c r="C632" s="2"/>
      <c r="D632" s="2"/>
      <c r="E632" s="2"/>
      <c r="F632" s="2"/>
      <c r="G632" s="2"/>
      <c r="H632" s="2"/>
      <c r="I632" s="2"/>
      <c r="J632" s="2"/>
      <c r="K632" s="2"/>
      <c r="L632" s="2"/>
      <c r="M632" s="2"/>
      <c r="N632" s="2"/>
      <c r="O632" s="2"/>
      <c r="P632" s="2"/>
      <c r="Q632" s="2"/>
      <c r="R632" s="2"/>
      <c r="S632" s="2"/>
      <c r="T632" s="2"/>
      <c r="U632" s="2"/>
      <c r="V632" s="2"/>
      <c r="W632" s="2"/>
      <c r="X632" s="2"/>
    </row>
    <row r="633">
      <c r="A633" s="116"/>
      <c r="B633" s="44"/>
      <c r="C633" s="2"/>
      <c r="D633" s="2"/>
      <c r="E633" s="2"/>
      <c r="F633" s="2"/>
      <c r="G633" s="2"/>
      <c r="H633" s="2"/>
      <c r="I633" s="2"/>
      <c r="J633" s="2"/>
      <c r="K633" s="2"/>
      <c r="L633" s="2"/>
      <c r="M633" s="2"/>
      <c r="N633" s="2"/>
      <c r="O633" s="2"/>
      <c r="P633" s="2"/>
      <c r="Q633" s="2"/>
      <c r="R633" s="2"/>
      <c r="S633" s="2"/>
      <c r="T633" s="2"/>
      <c r="U633" s="2"/>
      <c r="V633" s="2"/>
      <c r="W633" s="2"/>
      <c r="X633" s="2"/>
    </row>
    <row r="634">
      <c r="A634" s="116"/>
      <c r="B634" s="44"/>
      <c r="C634" s="2"/>
      <c r="D634" s="2"/>
      <c r="E634" s="2"/>
      <c r="F634" s="2"/>
      <c r="G634" s="2"/>
      <c r="H634" s="2"/>
      <c r="I634" s="2"/>
      <c r="J634" s="2"/>
      <c r="K634" s="2"/>
      <c r="L634" s="2"/>
      <c r="M634" s="2"/>
      <c r="N634" s="2"/>
      <c r="O634" s="2"/>
      <c r="P634" s="2"/>
      <c r="Q634" s="2"/>
      <c r="R634" s="2"/>
      <c r="S634" s="2"/>
      <c r="T634" s="2"/>
      <c r="U634" s="2"/>
      <c r="V634" s="2"/>
      <c r="W634" s="2"/>
      <c r="X634" s="2"/>
    </row>
    <row r="635">
      <c r="A635" s="116"/>
      <c r="B635" s="44"/>
      <c r="C635" s="2"/>
      <c r="D635" s="2"/>
      <c r="E635" s="2"/>
      <c r="F635" s="2"/>
      <c r="G635" s="2"/>
      <c r="H635" s="2"/>
      <c r="I635" s="2"/>
      <c r="J635" s="2"/>
      <c r="K635" s="2"/>
      <c r="L635" s="2"/>
      <c r="M635" s="2"/>
      <c r="N635" s="2"/>
      <c r="O635" s="2"/>
      <c r="P635" s="2"/>
      <c r="Q635" s="2"/>
      <c r="R635" s="2"/>
      <c r="S635" s="2"/>
      <c r="T635" s="2"/>
      <c r="U635" s="2"/>
      <c r="V635" s="2"/>
      <c r="W635" s="2"/>
      <c r="X635" s="2"/>
    </row>
    <row r="636">
      <c r="A636" s="116"/>
      <c r="B636" s="44"/>
      <c r="C636" s="2"/>
      <c r="D636" s="2"/>
      <c r="E636" s="2"/>
      <c r="F636" s="2"/>
      <c r="G636" s="2"/>
      <c r="H636" s="2"/>
      <c r="I636" s="2"/>
      <c r="J636" s="2"/>
      <c r="K636" s="2"/>
      <c r="L636" s="2"/>
      <c r="M636" s="2"/>
      <c r="N636" s="2"/>
      <c r="O636" s="2"/>
      <c r="P636" s="2"/>
      <c r="Q636" s="2"/>
      <c r="R636" s="2"/>
      <c r="S636" s="2"/>
      <c r="T636" s="2"/>
      <c r="U636" s="2"/>
      <c r="V636" s="2"/>
      <c r="W636" s="2"/>
      <c r="X636" s="2"/>
    </row>
    <row r="637">
      <c r="A637" s="116"/>
      <c r="B637" s="44"/>
      <c r="C637" s="2"/>
      <c r="D637" s="2"/>
      <c r="E637" s="2"/>
      <c r="F637" s="2"/>
      <c r="G637" s="2"/>
      <c r="H637" s="2"/>
      <c r="I637" s="2"/>
      <c r="J637" s="2"/>
      <c r="K637" s="2"/>
      <c r="L637" s="2"/>
      <c r="M637" s="2"/>
      <c r="N637" s="2"/>
      <c r="O637" s="2"/>
      <c r="P637" s="2"/>
      <c r="Q637" s="2"/>
      <c r="R637" s="2"/>
      <c r="S637" s="2"/>
      <c r="T637" s="2"/>
      <c r="U637" s="2"/>
      <c r="V637" s="2"/>
      <c r="W637" s="2"/>
      <c r="X637" s="2"/>
    </row>
    <row r="638">
      <c r="A638" s="116"/>
      <c r="B638" s="44"/>
      <c r="C638" s="2"/>
      <c r="D638" s="2"/>
      <c r="E638" s="2"/>
      <c r="F638" s="2"/>
      <c r="G638" s="2"/>
      <c r="H638" s="2"/>
      <c r="I638" s="2"/>
      <c r="J638" s="2"/>
      <c r="K638" s="2"/>
      <c r="L638" s="2"/>
      <c r="M638" s="2"/>
      <c r="N638" s="2"/>
      <c r="O638" s="2"/>
      <c r="P638" s="2"/>
      <c r="Q638" s="2"/>
      <c r="R638" s="2"/>
      <c r="S638" s="2"/>
      <c r="T638" s="2"/>
      <c r="U638" s="2"/>
      <c r="V638" s="2"/>
      <c r="W638" s="2"/>
      <c r="X638" s="2"/>
    </row>
    <row r="639">
      <c r="A639" s="116"/>
      <c r="B639" s="44"/>
      <c r="C639" s="2"/>
      <c r="D639" s="2"/>
      <c r="E639" s="2"/>
      <c r="F639" s="2"/>
      <c r="G639" s="2"/>
      <c r="H639" s="2"/>
      <c r="I639" s="2"/>
      <c r="J639" s="2"/>
      <c r="K639" s="2"/>
      <c r="L639" s="2"/>
      <c r="M639" s="2"/>
      <c r="N639" s="2"/>
      <c r="O639" s="2"/>
      <c r="P639" s="2"/>
      <c r="Q639" s="2"/>
      <c r="R639" s="2"/>
      <c r="S639" s="2"/>
      <c r="T639" s="2"/>
      <c r="U639" s="2"/>
      <c r="V639" s="2"/>
      <c r="W639" s="2"/>
      <c r="X639" s="2"/>
    </row>
    <row r="640">
      <c r="A640" s="116"/>
      <c r="B640" s="44"/>
      <c r="C640" s="2"/>
      <c r="D640" s="2"/>
      <c r="E640" s="2"/>
      <c r="F640" s="2"/>
      <c r="G640" s="2"/>
      <c r="H640" s="2"/>
      <c r="I640" s="2"/>
      <c r="J640" s="2"/>
      <c r="K640" s="2"/>
      <c r="L640" s="2"/>
      <c r="M640" s="2"/>
      <c r="N640" s="2"/>
      <c r="O640" s="2"/>
      <c r="P640" s="2"/>
      <c r="Q640" s="2"/>
      <c r="R640" s="2"/>
      <c r="S640" s="2"/>
      <c r="T640" s="2"/>
      <c r="U640" s="2"/>
      <c r="V640" s="2"/>
      <c r="W640" s="2"/>
      <c r="X640" s="2"/>
    </row>
    <row r="641">
      <c r="A641" s="116"/>
      <c r="B641" s="44"/>
      <c r="C641" s="2"/>
      <c r="D641" s="2"/>
      <c r="E641" s="2"/>
      <c r="F641" s="2"/>
      <c r="G641" s="2"/>
      <c r="H641" s="2"/>
      <c r="I641" s="2"/>
      <c r="J641" s="2"/>
      <c r="K641" s="2"/>
      <c r="L641" s="2"/>
      <c r="M641" s="2"/>
      <c r="N641" s="2"/>
      <c r="O641" s="2"/>
      <c r="P641" s="2"/>
      <c r="Q641" s="2"/>
      <c r="R641" s="2"/>
      <c r="S641" s="2"/>
      <c r="T641" s="2"/>
      <c r="U641" s="2"/>
      <c r="V641" s="2"/>
      <c r="W641" s="2"/>
      <c r="X641" s="2"/>
    </row>
    <row r="642">
      <c r="A642" s="116"/>
      <c r="B642" s="44"/>
      <c r="C642" s="2"/>
      <c r="D642" s="2"/>
      <c r="E642" s="2"/>
      <c r="F642" s="2"/>
      <c r="G642" s="2"/>
      <c r="H642" s="2"/>
      <c r="I642" s="2"/>
      <c r="J642" s="2"/>
      <c r="K642" s="2"/>
      <c r="L642" s="2"/>
      <c r="M642" s="2"/>
      <c r="N642" s="2"/>
      <c r="O642" s="2"/>
      <c r="P642" s="2"/>
      <c r="Q642" s="2"/>
      <c r="R642" s="2"/>
      <c r="S642" s="2"/>
      <c r="T642" s="2"/>
      <c r="U642" s="2"/>
      <c r="V642" s="2"/>
      <c r="W642" s="2"/>
      <c r="X642" s="2"/>
    </row>
    <row r="643">
      <c r="A643" s="116"/>
      <c r="B643" s="44"/>
      <c r="C643" s="2"/>
      <c r="D643" s="2"/>
      <c r="E643" s="2"/>
      <c r="F643" s="2"/>
      <c r="G643" s="2"/>
      <c r="H643" s="2"/>
      <c r="I643" s="2"/>
      <c r="J643" s="2"/>
      <c r="K643" s="2"/>
      <c r="L643" s="2"/>
      <c r="M643" s="2"/>
      <c r="N643" s="2"/>
      <c r="O643" s="2"/>
      <c r="P643" s="2"/>
      <c r="Q643" s="2"/>
      <c r="R643" s="2"/>
      <c r="S643" s="2"/>
      <c r="T643" s="2"/>
      <c r="U643" s="2"/>
      <c r="V643" s="2"/>
      <c r="W643" s="2"/>
      <c r="X643" s="2"/>
    </row>
    <row r="644">
      <c r="A644" s="116"/>
      <c r="B644" s="44"/>
      <c r="C644" s="2"/>
      <c r="D644" s="2"/>
      <c r="E644" s="2"/>
      <c r="F644" s="2"/>
      <c r="G644" s="2"/>
      <c r="H644" s="2"/>
      <c r="I644" s="2"/>
      <c r="J644" s="2"/>
      <c r="K644" s="2"/>
      <c r="L644" s="2"/>
      <c r="M644" s="2"/>
      <c r="N644" s="2"/>
      <c r="O644" s="2"/>
      <c r="P644" s="2"/>
      <c r="Q644" s="2"/>
      <c r="R644" s="2"/>
      <c r="S644" s="2"/>
      <c r="T644" s="2"/>
      <c r="U644" s="2"/>
      <c r="V644" s="2"/>
      <c r="W644" s="2"/>
      <c r="X644" s="2"/>
    </row>
    <row r="645">
      <c r="A645" s="116"/>
      <c r="B645" s="44"/>
      <c r="C645" s="2"/>
      <c r="D645" s="2"/>
      <c r="E645" s="2"/>
      <c r="F645" s="2"/>
      <c r="G645" s="2"/>
      <c r="H645" s="2"/>
      <c r="I645" s="2"/>
      <c r="J645" s="2"/>
      <c r="K645" s="2"/>
      <c r="L645" s="2"/>
      <c r="M645" s="2"/>
      <c r="N645" s="2"/>
      <c r="O645" s="2"/>
      <c r="P645" s="2"/>
      <c r="Q645" s="2"/>
      <c r="R645" s="2"/>
      <c r="S645" s="2"/>
      <c r="T645" s="2"/>
      <c r="U645" s="2"/>
      <c r="V645" s="2"/>
      <c r="W645" s="2"/>
      <c r="X645" s="2"/>
    </row>
    <row r="646">
      <c r="A646" s="116"/>
      <c r="B646" s="44"/>
      <c r="C646" s="2"/>
      <c r="D646" s="2"/>
      <c r="E646" s="2"/>
      <c r="F646" s="2"/>
      <c r="G646" s="2"/>
      <c r="H646" s="2"/>
      <c r="I646" s="2"/>
      <c r="J646" s="2"/>
      <c r="K646" s="2"/>
      <c r="L646" s="2"/>
      <c r="M646" s="2"/>
      <c r="N646" s="2"/>
      <c r="O646" s="2"/>
      <c r="P646" s="2"/>
      <c r="Q646" s="2"/>
      <c r="R646" s="2"/>
      <c r="S646" s="2"/>
      <c r="T646" s="2"/>
      <c r="U646" s="2"/>
      <c r="V646" s="2"/>
      <c r="W646" s="2"/>
      <c r="X646" s="2"/>
    </row>
    <row r="647">
      <c r="A647" s="116"/>
      <c r="B647" s="44"/>
      <c r="C647" s="2"/>
      <c r="D647" s="2"/>
      <c r="E647" s="2"/>
      <c r="F647" s="2"/>
      <c r="G647" s="2"/>
      <c r="H647" s="2"/>
      <c r="I647" s="2"/>
      <c r="J647" s="2"/>
      <c r="K647" s="2"/>
      <c r="L647" s="2"/>
      <c r="M647" s="2"/>
      <c r="N647" s="2"/>
      <c r="O647" s="2"/>
      <c r="P647" s="2"/>
      <c r="Q647" s="2"/>
      <c r="R647" s="2"/>
      <c r="S647" s="2"/>
      <c r="T647" s="2"/>
      <c r="U647" s="2"/>
      <c r="V647" s="2"/>
      <c r="W647" s="2"/>
      <c r="X647" s="2"/>
    </row>
    <row r="648">
      <c r="A648" s="116"/>
      <c r="B648" s="44"/>
      <c r="C648" s="2"/>
      <c r="D648" s="2"/>
      <c r="E648" s="2"/>
      <c r="F648" s="2"/>
      <c r="G648" s="2"/>
      <c r="H648" s="2"/>
      <c r="I648" s="2"/>
      <c r="J648" s="2"/>
      <c r="K648" s="2"/>
      <c r="L648" s="2"/>
      <c r="M648" s="2"/>
      <c r="N648" s="2"/>
      <c r="O648" s="2"/>
      <c r="P648" s="2"/>
      <c r="Q648" s="2"/>
      <c r="R648" s="2"/>
      <c r="S648" s="2"/>
      <c r="T648" s="2"/>
      <c r="U648" s="2"/>
      <c r="V648" s="2"/>
      <c r="W648" s="2"/>
      <c r="X648" s="2"/>
    </row>
    <row r="649">
      <c r="A649" s="116"/>
      <c r="B649" s="44"/>
      <c r="C649" s="2"/>
      <c r="D649" s="2"/>
      <c r="E649" s="2"/>
      <c r="F649" s="2"/>
      <c r="G649" s="2"/>
      <c r="H649" s="2"/>
      <c r="I649" s="2"/>
      <c r="J649" s="2"/>
      <c r="K649" s="2"/>
      <c r="L649" s="2"/>
      <c r="M649" s="2"/>
      <c r="N649" s="2"/>
      <c r="O649" s="2"/>
      <c r="P649" s="2"/>
      <c r="Q649" s="2"/>
      <c r="R649" s="2"/>
      <c r="S649" s="2"/>
      <c r="T649" s="2"/>
      <c r="U649" s="2"/>
      <c r="V649" s="2"/>
      <c r="W649" s="2"/>
      <c r="X649" s="2"/>
    </row>
    <row r="650">
      <c r="A650" s="116"/>
      <c r="B650" s="44"/>
      <c r="C650" s="2"/>
      <c r="D650" s="2"/>
      <c r="E650" s="2"/>
      <c r="F650" s="2"/>
      <c r="G650" s="2"/>
      <c r="H650" s="2"/>
      <c r="I650" s="2"/>
      <c r="J650" s="2"/>
      <c r="K650" s="2"/>
      <c r="L650" s="2"/>
      <c r="M650" s="2"/>
      <c r="N650" s="2"/>
      <c r="O650" s="2"/>
      <c r="P650" s="2"/>
      <c r="Q650" s="2"/>
      <c r="R650" s="2"/>
      <c r="S650" s="2"/>
      <c r="T650" s="2"/>
      <c r="U650" s="2"/>
      <c r="V650" s="2"/>
      <c r="W650" s="2"/>
      <c r="X650" s="2"/>
    </row>
    <row r="651">
      <c r="A651" s="116"/>
      <c r="B651" s="44"/>
      <c r="C651" s="2"/>
      <c r="D651" s="2"/>
      <c r="E651" s="2"/>
      <c r="F651" s="2"/>
      <c r="G651" s="2"/>
      <c r="H651" s="2"/>
      <c r="I651" s="2"/>
      <c r="J651" s="2"/>
      <c r="K651" s="2"/>
      <c r="L651" s="2"/>
      <c r="M651" s="2"/>
      <c r="N651" s="2"/>
      <c r="O651" s="2"/>
      <c r="P651" s="2"/>
      <c r="Q651" s="2"/>
      <c r="R651" s="2"/>
      <c r="S651" s="2"/>
      <c r="T651" s="2"/>
      <c r="U651" s="2"/>
      <c r="V651" s="2"/>
      <c r="W651" s="2"/>
      <c r="X651" s="2"/>
    </row>
    <row r="652">
      <c r="A652" s="116"/>
      <c r="B652" s="44"/>
      <c r="C652" s="2"/>
      <c r="D652" s="2"/>
      <c r="E652" s="2"/>
      <c r="F652" s="2"/>
      <c r="G652" s="2"/>
      <c r="H652" s="2"/>
      <c r="I652" s="2"/>
      <c r="J652" s="2"/>
      <c r="K652" s="2"/>
      <c r="L652" s="2"/>
      <c r="M652" s="2"/>
      <c r="N652" s="2"/>
      <c r="O652" s="2"/>
      <c r="P652" s="2"/>
      <c r="Q652" s="2"/>
      <c r="R652" s="2"/>
      <c r="S652" s="2"/>
      <c r="T652" s="2"/>
      <c r="U652" s="2"/>
      <c r="V652" s="2"/>
      <c r="W652" s="2"/>
      <c r="X652" s="2"/>
    </row>
    <row r="653">
      <c r="A653" s="116"/>
      <c r="B653" s="44"/>
      <c r="C653" s="2"/>
      <c r="D653" s="2"/>
      <c r="E653" s="2"/>
      <c r="F653" s="2"/>
      <c r="G653" s="2"/>
      <c r="H653" s="2"/>
      <c r="I653" s="2"/>
      <c r="J653" s="2"/>
      <c r="K653" s="2"/>
      <c r="L653" s="2"/>
      <c r="M653" s="2"/>
      <c r="N653" s="2"/>
      <c r="O653" s="2"/>
      <c r="P653" s="2"/>
      <c r="Q653" s="2"/>
      <c r="R653" s="2"/>
      <c r="S653" s="2"/>
      <c r="T653" s="2"/>
      <c r="U653" s="2"/>
      <c r="V653" s="2"/>
      <c r="W653" s="2"/>
      <c r="X653" s="2"/>
    </row>
    <row r="654">
      <c r="A654" s="116"/>
      <c r="B654" s="44"/>
      <c r="C654" s="2"/>
      <c r="D654" s="2"/>
      <c r="E654" s="2"/>
      <c r="F654" s="2"/>
      <c r="G654" s="2"/>
      <c r="H654" s="2"/>
      <c r="I654" s="2"/>
      <c r="J654" s="2"/>
      <c r="K654" s="2"/>
      <c r="L654" s="2"/>
      <c r="M654" s="2"/>
      <c r="N654" s="2"/>
      <c r="O654" s="2"/>
      <c r="P654" s="2"/>
      <c r="Q654" s="2"/>
      <c r="R654" s="2"/>
      <c r="S654" s="2"/>
      <c r="T654" s="2"/>
      <c r="U654" s="2"/>
      <c r="V654" s="2"/>
      <c r="W654" s="2"/>
      <c r="X654" s="2"/>
    </row>
    <row r="655">
      <c r="A655" s="116"/>
      <c r="B655" s="44"/>
      <c r="C655" s="2"/>
      <c r="D655" s="2"/>
      <c r="E655" s="2"/>
      <c r="F655" s="2"/>
      <c r="G655" s="2"/>
      <c r="H655" s="2"/>
      <c r="I655" s="2"/>
      <c r="J655" s="2"/>
      <c r="K655" s="2"/>
      <c r="L655" s="2"/>
      <c r="M655" s="2"/>
      <c r="N655" s="2"/>
      <c r="O655" s="2"/>
      <c r="P655" s="2"/>
      <c r="Q655" s="2"/>
      <c r="R655" s="2"/>
      <c r="S655" s="2"/>
      <c r="T655" s="2"/>
      <c r="U655" s="2"/>
      <c r="V655" s="2"/>
      <c r="W655" s="2"/>
      <c r="X655" s="2"/>
    </row>
    <row r="656">
      <c r="A656" s="116"/>
      <c r="B656" s="44"/>
      <c r="C656" s="2"/>
      <c r="D656" s="2"/>
      <c r="E656" s="2"/>
      <c r="F656" s="2"/>
      <c r="G656" s="2"/>
      <c r="H656" s="2"/>
      <c r="I656" s="2"/>
      <c r="J656" s="2"/>
      <c r="K656" s="2"/>
      <c r="L656" s="2"/>
      <c r="M656" s="2"/>
      <c r="N656" s="2"/>
      <c r="O656" s="2"/>
      <c r="P656" s="2"/>
      <c r="Q656" s="2"/>
      <c r="R656" s="2"/>
      <c r="S656" s="2"/>
      <c r="T656" s="2"/>
      <c r="U656" s="2"/>
      <c r="V656" s="2"/>
      <c r="W656" s="2"/>
      <c r="X656" s="2"/>
    </row>
    <row r="657">
      <c r="A657" s="116"/>
      <c r="B657" s="44"/>
      <c r="C657" s="2"/>
      <c r="D657" s="2"/>
      <c r="E657" s="2"/>
      <c r="F657" s="2"/>
      <c r="G657" s="2"/>
      <c r="H657" s="2"/>
      <c r="I657" s="2"/>
      <c r="J657" s="2"/>
      <c r="K657" s="2"/>
      <c r="L657" s="2"/>
      <c r="M657" s="2"/>
      <c r="N657" s="2"/>
      <c r="O657" s="2"/>
      <c r="P657" s="2"/>
      <c r="Q657" s="2"/>
      <c r="R657" s="2"/>
      <c r="S657" s="2"/>
      <c r="T657" s="2"/>
      <c r="U657" s="2"/>
      <c r="V657" s="2"/>
      <c r="W657" s="2"/>
      <c r="X657" s="2"/>
    </row>
    <row r="658">
      <c r="A658" s="116"/>
      <c r="B658" s="44"/>
      <c r="C658" s="2"/>
      <c r="D658" s="2"/>
      <c r="E658" s="2"/>
      <c r="F658" s="2"/>
      <c r="G658" s="2"/>
      <c r="H658" s="2"/>
      <c r="I658" s="2"/>
      <c r="J658" s="2"/>
      <c r="K658" s="2"/>
      <c r="L658" s="2"/>
      <c r="M658" s="2"/>
      <c r="N658" s="2"/>
      <c r="O658" s="2"/>
      <c r="P658" s="2"/>
      <c r="Q658" s="2"/>
      <c r="R658" s="2"/>
      <c r="S658" s="2"/>
      <c r="T658" s="2"/>
      <c r="U658" s="2"/>
      <c r="V658" s="2"/>
      <c r="W658" s="2"/>
      <c r="X658" s="2"/>
    </row>
    <row r="659">
      <c r="A659" s="116"/>
      <c r="B659" s="44"/>
      <c r="C659" s="2"/>
      <c r="D659" s="2"/>
      <c r="E659" s="2"/>
      <c r="F659" s="2"/>
      <c r="G659" s="2"/>
      <c r="H659" s="2"/>
      <c r="I659" s="2"/>
      <c r="J659" s="2"/>
      <c r="K659" s="2"/>
      <c r="L659" s="2"/>
      <c r="M659" s="2"/>
      <c r="N659" s="2"/>
      <c r="O659" s="2"/>
      <c r="P659" s="2"/>
      <c r="Q659" s="2"/>
      <c r="R659" s="2"/>
      <c r="S659" s="2"/>
      <c r="T659" s="2"/>
      <c r="U659" s="2"/>
      <c r="V659" s="2"/>
      <c r="W659" s="2"/>
      <c r="X659" s="2"/>
    </row>
    <row r="660">
      <c r="A660" s="116"/>
      <c r="B660" s="44"/>
      <c r="C660" s="2"/>
      <c r="D660" s="2"/>
      <c r="E660" s="2"/>
      <c r="F660" s="2"/>
      <c r="G660" s="2"/>
      <c r="H660" s="2"/>
      <c r="I660" s="2"/>
      <c r="J660" s="2"/>
      <c r="K660" s="2"/>
      <c r="L660" s="2"/>
      <c r="M660" s="2"/>
      <c r="N660" s="2"/>
      <c r="O660" s="2"/>
      <c r="P660" s="2"/>
      <c r="Q660" s="2"/>
      <c r="R660" s="2"/>
      <c r="S660" s="2"/>
      <c r="T660" s="2"/>
      <c r="U660" s="2"/>
      <c r="V660" s="2"/>
      <c r="W660" s="2"/>
      <c r="X660" s="2"/>
    </row>
    <row r="661">
      <c r="A661" s="116"/>
      <c r="B661" s="44"/>
      <c r="C661" s="2"/>
      <c r="D661" s="2"/>
      <c r="E661" s="2"/>
      <c r="F661" s="2"/>
      <c r="G661" s="2"/>
      <c r="H661" s="2"/>
      <c r="I661" s="2"/>
      <c r="J661" s="2"/>
      <c r="K661" s="2"/>
      <c r="L661" s="2"/>
      <c r="M661" s="2"/>
      <c r="N661" s="2"/>
      <c r="O661" s="2"/>
      <c r="P661" s="2"/>
      <c r="Q661" s="2"/>
      <c r="R661" s="2"/>
      <c r="S661" s="2"/>
      <c r="T661" s="2"/>
      <c r="U661" s="2"/>
      <c r="V661" s="2"/>
      <c r="W661" s="2"/>
      <c r="X661" s="2"/>
    </row>
    <row r="662">
      <c r="A662" s="116"/>
      <c r="B662" s="44"/>
      <c r="C662" s="2"/>
      <c r="D662" s="2"/>
      <c r="E662" s="2"/>
      <c r="F662" s="2"/>
      <c r="G662" s="2"/>
      <c r="H662" s="2"/>
      <c r="I662" s="2"/>
      <c r="J662" s="2"/>
      <c r="K662" s="2"/>
      <c r="L662" s="2"/>
      <c r="M662" s="2"/>
      <c r="N662" s="2"/>
      <c r="O662" s="2"/>
      <c r="P662" s="2"/>
      <c r="Q662" s="2"/>
      <c r="R662" s="2"/>
      <c r="S662" s="2"/>
      <c r="T662" s="2"/>
      <c r="U662" s="2"/>
      <c r="V662" s="2"/>
      <c r="W662" s="2"/>
      <c r="X662" s="2"/>
    </row>
    <row r="663">
      <c r="A663" s="116"/>
      <c r="B663" s="44"/>
      <c r="C663" s="2"/>
      <c r="D663" s="2"/>
      <c r="E663" s="2"/>
      <c r="F663" s="2"/>
      <c r="G663" s="2"/>
      <c r="H663" s="2"/>
      <c r="I663" s="2"/>
      <c r="J663" s="2"/>
      <c r="K663" s="2"/>
      <c r="L663" s="2"/>
      <c r="M663" s="2"/>
      <c r="N663" s="2"/>
      <c r="O663" s="2"/>
      <c r="P663" s="2"/>
      <c r="Q663" s="2"/>
      <c r="R663" s="2"/>
      <c r="S663" s="2"/>
      <c r="T663" s="2"/>
      <c r="U663" s="2"/>
      <c r="V663" s="2"/>
      <c r="W663" s="2"/>
      <c r="X663" s="2"/>
    </row>
    <row r="664">
      <c r="A664" s="116"/>
      <c r="B664" s="44"/>
      <c r="C664" s="2"/>
      <c r="D664" s="2"/>
      <c r="E664" s="2"/>
      <c r="F664" s="2"/>
      <c r="G664" s="2"/>
      <c r="H664" s="2"/>
      <c r="I664" s="2"/>
      <c r="J664" s="2"/>
      <c r="K664" s="2"/>
      <c r="L664" s="2"/>
      <c r="M664" s="2"/>
      <c r="N664" s="2"/>
      <c r="O664" s="2"/>
      <c r="P664" s="2"/>
      <c r="Q664" s="2"/>
      <c r="R664" s="2"/>
      <c r="S664" s="2"/>
      <c r="T664" s="2"/>
      <c r="U664" s="2"/>
      <c r="V664" s="2"/>
      <c r="W664" s="2"/>
      <c r="X664" s="2"/>
    </row>
    <row r="665">
      <c r="A665" s="116"/>
      <c r="B665" s="44"/>
      <c r="C665" s="2"/>
      <c r="D665" s="2"/>
      <c r="E665" s="2"/>
      <c r="F665" s="2"/>
      <c r="G665" s="2"/>
      <c r="H665" s="2"/>
      <c r="I665" s="2"/>
      <c r="J665" s="2"/>
      <c r="K665" s="2"/>
      <c r="L665" s="2"/>
      <c r="M665" s="2"/>
      <c r="N665" s="2"/>
      <c r="O665" s="2"/>
      <c r="P665" s="2"/>
      <c r="Q665" s="2"/>
      <c r="R665" s="2"/>
      <c r="S665" s="2"/>
      <c r="T665" s="2"/>
      <c r="U665" s="2"/>
      <c r="V665" s="2"/>
      <c r="W665" s="2"/>
      <c r="X665" s="2"/>
    </row>
    <row r="666">
      <c r="A666" s="116"/>
      <c r="B666" s="44"/>
      <c r="C666" s="2"/>
      <c r="D666" s="2"/>
      <c r="E666" s="2"/>
      <c r="F666" s="2"/>
      <c r="G666" s="2"/>
      <c r="H666" s="2"/>
      <c r="I666" s="2"/>
      <c r="J666" s="2"/>
      <c r="K666" s="2"/>
      <c r="L666" s="2"/>
      <c r="M666" s="2"/>
      <c r="N666" s="2"/>
      <c r="O666" s="2"/>
      <c r="P666" s="2"/>
      <c r="Q666" s="2"/>
      <c r="R666" s="2"/>
      <c r="S666" s="2"/>
      <c r="T666" s="2"/>
      <c r="U666" s="2"/>
      <c r="V666" s="2"/>
      <c r="W666" s="2"/>
      <c r="X666" s="2"/>
    </row>
    <row r="667">
      <c r="A667" s="116"/>
      <c r="B667" s="44"/>
      <c r="C667" s="2"/>
      <c r="D667" s="2"/>
      <c r="E667" s="2"/>
      <c r="F667" s="2"/>
      <c r="G667" s="2"/>
      <c r="H667" s="2"/>
      <c r="I667" s="2"/>
      <c r="J667" s="2"/>
      <c r="K667" s="2"/>
      <c r="L667" s="2"/>
      <c r="M667" s="2"/>
      <c r="N667" s="2"/>
      <c r="O667" s="2"/>
      <c r="P667" s="2"/>
      <c r="Q667" s="2"/>
      <c r="R667" s="2"/>
      <c r="S667" s="2"/>
      <c r="T667" s="2"/>
      <c r="U667" s="2"/>
      <c r="V667" s="2"/>
      <c r="W667" s="2"/>
      <c r="X667" s="2"/>
    </row>
    <row r="668">
      <c r="A668" s="116"/>
      <c r="B668" s="44"/>
      <c r="C668" s="2"/>
      <c r="D668" s="2"/>
      <c r="E668" s="2"/>
      <c r="F668" s="2"/>
      <c r="G668" s="2"/>
      <c r="H668" s="2"/>
      <c r="I668" s="2"/>
      <c r="J668" s="2"/>
      <c r="K668" s="2"/>
      <c r="L668" s="2"/>
      <c r="M668" s="2"/>
      <c r="N668" s="2"/>
      <c r="O668" s="2"/>
      <c r="P668" s="2"/>
      <c r="Q668" s="2"/>
      <c r="R668" s="2"/>
      <c r="S668" s="2"/>
      <c r="T668" s="2"/>
      <c r="U668" s="2"/>
      <c r="V668" s="2"/>
      <c r="W668" s="2"/>
      <c r="X668" s="2"/>
    </row>
    <row r="669">
      <c r="A669" s="116"/>
      <c r="B669" s="44"/>
      <c r="C669" s="2"/>
      <c r="D669" s="2"/>
      <c r="E669" s="2"/>
      <c r="F669" s="2"/>
      <c r="G669" s="2"/>
      <c r="H669" s="2"/>
      <c r="I669" s="2"/>
      <c r="J669" s="2"/>
      <c r="K669" s="2"/>
      <c r="L669" s="2"/>
      <c r="M669" s="2"/>
      <c r="N669" s="2"/>
      <c r="O669" s="2"/>
      <c r="P669" s="2"/>
      <c r="Q669" s="2"/>
      <c r="R669" s="2"/>
      <c r="S669" s="2"/>
      <c r="T669" s="2"/>
      <c r="U669" s="2"/>
      <c r="V669" s="2"/>
      <c r="W669" s="2"/>
      <c r="X669" s="2"/>
    </row>
    <row r="670">
      <c r="A670" s="116"/>
      <c r="B670" s="44"/>
      <c r="C670" s="2"/>
      <c r="D670" s="2"/>
      <c r="E670" s="2"/>
      <c r="F670" s="2"/>
      <c r="G670" s="2"/>
      <c r="H670" s="2"/>
      <c r="I670" s="2"/>
      <c r="J670" s="2"/>
      <c r="K670" s="2"/>
      <c r="L670" s="2"/>
      <c r="M670" s="2"/>
      <c r="N670" s="2"/>
      <c r="O670" s="2"/>
      <c r="P670" s="2"/>
      <c r="Q670" s="2"/>
      <c r="R670" s="2"/>
      <c r="S670" s="2"/>
      <c r="T670" s="2"/>
      <c r="U670" s="2"/>
      <c r="V670" s="2"/>
      <c r="W670" s="2"/>
      <c r="X670" s="2"/>
    </row>
    <row r="671">
      <c r="A671" s="116"/>
      <c r="B671" s="44"/>
      <c r="C671" s="2"/>
      <c r="D671" s="2"/>
      <c r="E671" s="2"/>
      <c r="F671" s="2"/>
      <c r="G671" s="2"/>
      <c r="H671" s="2"/>
      <c r="I671" s="2"/>
      <c r="J671" s="2"/>
      <c r="K671" s="2"/>
      <c r="L671" s="2"/>
      <c r="M671" s="2"/>
      <c r="N671" s="2"/>
      <c r="O671" s="2"/>
      <c r="P671" s="2"/>
      <c r="Q671" s="2"/>
      <c r="R671" s="2"/>
      <c r="S671" s="2"/>
      <c r="T671" s="2"/>
      <c r="U671" s="2"/>
      <c r="V671" s="2"/>
      <c r="W671" s="2"/>
      <c r="X671" s="2"/>
    </row>
    <row r="672">
      <c r="A672" s="116"/>
      <c r="B672" s="44"/>
      <c r="C672" s="2"/>
      <c r="D672" s="2"/>
      <c r="E672" s="2"/>
      <c r="F672" s="2"/>
      <c r="G672" s="2"/>
      <c r="H672" s="2"/>
      <c r="I672" s="2"/>
      <c r="J672" s="2"/>
      <c r="K672" s="2"/>
      <c r="L672" s="2"/>
      <c r="M672" s="2"/>
      <c r="N672" s="2"/>
      <c r="O672" s="2"/>
      <c r="P672" s="2"/>
      <c r="Q672" s="2"/>
      <c r="R672" s="2"/>
      <c r="S672" s="2"/>
      <c r="T672" s="2"/>
      <c r="U672" s="2"/>
      <c r="V672" s="2"/>
      <c r="W672" s="2"/>
      <c r="X672" s="2"/>
    </row>
    <row r="673">
      <c r="A673" s="116"/>
      <c r="B673" s="44"/>
      <c r="C673" s="2"/>
      <c r="D673" s="2"/>
      <c r="E673" s="2"/>
      <c r="F673" s="2"/>
      <c r="G673" s="2"/>
      <c r="H673" s="2"/>
      <c r="I673" s="2"/>
      <c r="J673" s="2"/>
      <c r="K673" s="2"/>
      <c r="L673" s="2"/>
      <c r="M673" s="2"/>
      <c r="N673" s="2"/>
      <c r="O673" s="2"/>
      <c r="P673" s="2"/>
      <c r="Q673" s="2"/>
      <c r="R673" s="2"/>
      <c r="S673" s="2"/>
      <c r="T673" s="2"/>
      <c r="U673" s="2"/>
      <c r="V673" s="2"/>
      <c r="W673" s="2"/>
      <c r="X673" s="2"/>
    </row>
    <row r="674">
      <c r="A674" s="116"/>
      <c r="B674" s="44"/>
      <c r="C674" s="2"/>
      <c r="D674" s="2"/>
      <c r="E674" s="2"/>
      <c r="F674" s="2"/>
      <c r="G674" s="2"/>
      <c r="H674" s="2"/>
      <c r="I674" s="2"/>
      <c r="J674" s="2"/>
      <c r="K674" s="2"/>
      <c r="L674" s="2"/>
      <c r="M674" s="2"/>
      <c r="N674" s="2"/>
      <c r="O674" s="2"/>
      <c r="P674" s="2"/>
      <c r="Q674" s="2"/>
      <c r="R674" s="2"/>
      <c r="S674" s="2"/>
      <c r="T674" s="2"/>
      <c r="U674" s="2"/>
      <c r="V674" s="2"/>
      <c r="W674" s="2"/>
      <c r="X674" s="2"/>
    </row>
    <row r="675">
      <c r="A675" s="116"/>
      <c r="B675" s="44"/>
      <c r="C675" s="2"/>
      <c r="D675" s="2"/>
      <c r="E675" s="2"/>
      <c r="F675" s="2"/>
      <c r="G675" s="2"/>
      <c r="H675" s="2"/>
      <c r="I675" s="2"/>
      <c r="J675" s="2"/>
      <c r="K675" s="2"/>
      <c r="L675" s="2"/>
      <c r="M675" s="2"/>
      <c r="N675" s="2"/>
      <c r="O675" s="2"/>
      <c r="P675" s="2"/>
      <c r="Q675" s="2"/>
      <c r="R675" s="2"/>
      <c r="S675" s="2"/>
      <c r="T675" s="2"/>
      <c r="U675" s="2"/>
      <c r="V675" s="2"/>
      <c r="W675" s="2"/>
      <c r="X675" s="2"/>
    </row>
    <row r="676">
      <c r="A676" s="116"/>
      <c r="B676" s="44"/>
      <c r="C676" s="2"/>
      <c r="D676" s="2"/>
      <c r="E676" s="2"/>
      <c r="F676" s="2"/>
      <c r="G676" s="2"/>
      <c r="H676" s="2"/>
      <c r="I676" s="2"/>
      <c r="J676" s="2"/>
      <c r="K676" s="2"/>
      <c r="L676" s="2"/>
      <c r="M676" s="2"/>
      <c r="N676" s="2"/>
      <c r="O676" s="2"/>
      <c r="P676" s="2"/>
      <c r="Q676" s="2"/>
      <c r="R676" s="2"/>
      <c r="S676" s="2"/>
      <c r="T676" s="2"/>
      <c r="U676" s="2"/>
      <c r="V676" s="2"/>
      <c r="W676" s="2"/>
      <c r="X676" s="2"/>
    </row>
    <row r="677">
      <c r="A677" s="116"/>
      <c r="B677" s="44"/>
      <c r="C677" s="2"/>
      <c r="D677" s="2"/>
      <c r="E677" s="2"/>
      <c r="F677" s="2"/>
      <c r="G677" s="2"/>
      <c r="H677" s="2"/>
      <c r="I677" s="2"/>
      <c r="J677" s="2"/>
      <c r="K677" s="2"/>
      <c r="L677" s="2"/>
      <c r="M677" s="2"/>
      <c r="N677" s="2"/>
      <c r="O677" s="2"/>
      <c r="P677" s="2"/>
      <c r="Q677" s="2"/>
      <c r="R677" s="2"/>
      <c r="S677" s="2"/>
      <c r="T677" s="2"/>
      <c r="U677" s="2"/>
      <c r="V677" s="2"/>
      <c r="W677" s="2"/>
      <c r="X677" s="2"/>
    </row>
    <row r="678">
      <c r="A678" s="116"/>
      <c r="B678" s="44"/>
      <c r="C678" s="2"/>
      <c r="D678" s="2"/>
      <c r="E678" s="2"/>
      <c r="F678" s="2"/>
      <c r="G678" s="2"/>
      <c r="H678" s="2"/>
      <c r="I678" s="2"/>
      <c r="J678" s="2"/>
      <c r="K678" s="2"/>
      <c r="L678" s="2"/>
      <c r="M678" s="2"/>
      <c r="N678" s="2"/>
      <c r="O678" s="2"/>
      <c r="P678" s="2"/>
      <c r="Q678" s="2"/>
      <c r="R678" s="2"/>
      <c r="S678" s="2"/>
      <c r="T678" s="2"/>
      <c r="U678" s="2"/>
      <c r="V678" s="2"/>
      <c r="W678" s="2"/>
      <c r="X678" s="2"/>
    </row>
    <row r="679">
      <c r="A679" s="116"/>
      <c r="B679" s="44"/>
      <c r="C679" s="2"/>
      <c r="D679" s="2"/>
      <c r="E679" s="2"/>
      <c r="F679" s="2"/>
      <c r="G679" s="2"/>
      <c r="H679" s="2"/>
      <c r="I679" s="2"/>
      <c r="J679" s="2"/>
      <c r="K679" s="2"/>
      <c r="L679" s="2"/>
      <c r="M679" s="2"/>
      <c r="N679" s="2"/>
      <c r="O679" s="2"/>
      <c r="P679" s="2"/>
      <c r="Q679" s="2"/>
      <c r="R679" s="2"/>
      <c r="S679" s="2"/>
      <c r="T679" s="2"/>
      <c r="U679" s="2"/>
      <c r="V679" s="2"/>
      <c r="W679" s="2"/>
      <c r="X679" s="2"/>
    </row>
    <row r="680">
      <c r="A680" s="116"/>
      <c r="B680" s="44"/>
      <c r="C680" s="2"/>
      <c r="D680" s="2"/>
      <c r="E680" s="2"/>
      <c r="F680" s="2"/>
      <c r="G680" s="2"/>
      <c r="H680" s="2"/>
      <c r="I680" s="2"/>
      <c r="J680" s="2"/>
      <c r="K680" s="2"/>
      <c r="L680" s="2"/>
      <c r="M680" s="2"/>
      <c r="N680" s="2"/>
      <c r="O680" s="2"/>
      <c r="P680" s="2"/>
      <c r="Q680" s="2"/>
      <c r="R680" s="2"/>
      <c r="S680" s="2"/>
      <c r="T680" s="2"/>
      <c r="U680" s="2"/>
      <c r="V680" s="2"/>
      <c r="W680" s="2"/>
      <c r="X680" s="2"/>
    </row>
    <row r="681">
      <c r="A681" s="116"/>
      <c r="B681" s="44"/>
      <c r="C681" s="2"/>
      <c r="D681" s="2"/>
      <c r="E681" s="2"/>
      <c r="F681" s="2"/>
      <c r="G681" s="2"/>
      <c r="H681" s="2"/>
      <c r="I681" s="2"/>
      <c r="J681" s="2"/>
      <c r="K681" s="2"/>
      <c r="L681" s="2"/>
      <c r="M681" s="2"/>
      <c r="N681" s="2"/>
      <c r="O681" s="2"/>
      <c r="P681" s="2"/>
      <c r="Q681" s="2"/>
      <c r="R681" s="2"/>
      <c r="S681" s="2"/>
      <c r="T681" s="2"/>
      <c r="U681" s="2"/>
      <c r="V681" s="2"/>
      <c r="W681" s="2"/>
      <c r="X681" s="2"/>
    </row>
    <row r="682">
      <c r="A682" s="116"/>
      <c r="B682" s="44"/>
      <c r="C682" s="2"/>
      <c r="D682" s="2"/>
      <c r="E682" s="2"/>
      <c r="F682" s="2"/>
      <c r="G682" s="2"/>
      <c r="H682" s="2"/>
      <c r="I682" s="2"/>
      <c r="J682" s="2"/>
      <c r="K682" s="2"/>
      <c r="L682" s="2"/>
      <c r="M682" s="2"/>
      <c r="N682" s="2"/>
      <c r="O682" s="2"/>
      <c r="P682" s="2"/>
      <c r="Q682" s="2"/>
      <c r="R682" s="2"/>
      <c r="S682" s="2"/>
      <c r="T682" s="2"/>
      <c r="U682" s="2"/>
      <c r="V682" s="2"/>
      <c r="W682" s="2"/>
      <c r="X682" s="2"/>
    </row>
    <row r="683">
      <c r="A683" s="116"/>
      <c r="B683" s="44"/>
      <c r="C683" s="2"/>
      <c r="D683" s="2"/>
      <c r="E683" s="2"/>
      <c r="F683" s="2"/>
      <c r="G683" s="2"/>
      <c r="H683" s="2"/>
      <c r="I683" s="2"/>
      <c r="J683" s="2"/>
      <c r="K683" s="2"/>
      <c r="L683" s="2"/>
      <c r="M683" s="2"/>
      <c r="N683" s="2"/>
      <c r="O683" s="2"/>
      <c r="P683" s="2"/>
      <c r="Q683" s="2"/>
      <c r="R683" s="2"/>
      <c r="S683" s="2"/>
      <c r="T683" s="2"/>
      <c r="U683" s="2"/>
      <c r="V683" s="2"/>
      <c r="W683" s="2"/>
      <c r="X683" s="2"/>
    </row>
    <row r="684">
      <c r="A684" s="116"/>
      <c r="B684" s="44"/>
      <c r="C684" s="2"/>
      <c r="D684" s="2"/>
      <c r="E684" s="2"/>
      <c r="F684" s="2"/>
      <c r="G684" s="2"/>
      <c r="H684" s="2"/>
      <c r="I684" s="2"/>
      <c r="J684" s="2"/>
      <c r="K684" s="2"/>
      <c r="L684" s="2"/>
      <c r="M684" s="2"/>
      <c r="N684" s="2"/>
      <c r="O684" s="2"/>
      <c r="P684" s="2"/>
      <c r="Q684" s="2"/>
      <c r="R684" s="2"/>
      <c r="S684" s="2"/>
      <c r="T684" s="2"/>
      <c r="U684" s="2"/>
      <c r="V684" s="2"/>
      <c r="W684" s="2"/>
      <c r="X684" s="2"/>
    </row>
    <row r="685">
      <c r="A685" s="116"/>
      <c r="B685" s="44"/>
      <c r="C685" s="2"/>
      <c r="D685" s="2"/>
      <c r="E685" s="2"/>
      <c r="F685" s="2"/>
      <c r="G685" s="2"/>
      <c r="H685" s="2"/>
      <c r="I685" s="2"/>
      <c r="J685" s="2"/>
      <c r="K685" s="2"/>
      <c r="L685" s="2"/>
      <c r="M685" s="2"/>
      <c r="N685" s="2"/>
      <c r="O685" s="2"/>
      <c r="P685" s="2"/>
      <c r="Q685" s="2"/>
      <c r="R685" s="2"/>
      <c r="S685" s="2"/>
      <c r="T685" s="2"/>
      <c r="U685" s="2"/>
      <c r="V685" s="2"/>
      <c r="W685" s="2"/>
      <c r="X685" s="2"/>
    </row>
    <row r="686">
      <c r="A686" s="116"/>
      <c r="B686" s="44"/>
      <c r="C686" s="2"/>
      <c r="D686" s="2"/>
      <c r="E686" s="2"/>
      <c r="F686" s="2"/>
      <c r="G686" s="2"/>
      <c r="H686" s="2"/>
      <c r="I686" s="2"/>
      <c r="J686" s="2"/>
      <c r="K686" s="2"/>
      <c r="L686" s="2"/>
      <c r="M686" s="2"/>
      <c r="N686" s="2"/>
      <c r="O686" s="2"/>
      <c r="P686" s="2"/>
      <c r="Q686" s="2"/>
      <c r="R686" s="2"/>
      <c r="S686" s="2"/>
      <c r="T686" s="2"/>
      <c r="U686" s="2"/>
      <c r="V686" s="2"/>
      <c r="W686" s="2"/>
      <c r="X686" s="2"/>
    </row>
    <row r="687">
      <c r="A687" s="116"/>
      <c r="B687" s="44"/>
      <c r="C687" s="2"/>
      <c r="D687" s="2"/>
      <c r="E687" s="2"/>
      <c r="F687" s="2"/>
      <c r="G687" s="2"/>
      <c r="H687" s="2"/>
      <c r="I687" s="2"/>
      <c r="J687" s="2"/>
      <c r="K687" s="2"/>
      <c r="L687" s="2"/>
      <c r="M687" s="2"/>
      <c r="N687" s="2"/>
      <c r="O687" s="2"/>
      <c r="P687" s="2"/>
      <c r="Q687" s="2"/>
      <c r="R687" s="2"/>
      <c r="S687" s="2"/>
      <c r="T687" s="2"/>
      <c r="U687" s="2"/>
      <c r="V687" s="2"/>
      <c r="W687" s="2"/>
      <c r="X687" s="2"/>
    </row>
    <row r="688">
      <c r="A688" s="116"/>
      <c r="B688" s="44"/>
      <c r="C688" s="2"/>
      <c r="D688" s="2"/>
      <c r="E688" s="2"/>
      <c r="F688" s="2"/>
      <c r="G688" s="2"/>
      <c r="H688" s="2"/>
      <c r="I688" s="2"/>
      <c r="J688" s="2"/>
      <c r="K688" s="2"/>
      <c r="L688" s="2"/>
      <c r="M688" s="2"/>
      <c r="N688" s="2"/>
      <c r="O688" s="2"/>
      <c r="P688" s="2"/>
      <c r="Q688" s="2"/>
      <c r="R688" s="2"/>
      <c r="S688" s="2"/>
      <c r="T688" s="2"/>
      <c r="U688" s="2"/>
      <c r="V688" s="2"/>
      <c r="W688" s="2"/>
      <c r="X688" s="2"/>
    </row>
    <row r="689">
      <c r="A689" s="116"/>
      <c r="B689" s="44"/>
      <c r="C689" s="2"/>
      <c r="D689" s="2"/>
      <c r="E689" s="2"/>
      <c r="F689" s="2"/>
      <c r="G689" s="2"/>
      <c r="H689" s="2"/>
      <c r="I689" s="2"/>
      <c r="J689" s="2"/>
      <c r="K689" s="2"/>
      <c r="L689" s="2"/>
      <c r="M689" s="2"/>
      <c r="N689" s="2"/>
      <c r="O689" s="2"/>
      <c r="P689" s="2"/>
      <c r="Q689" s="2"/>
      <c r="R689" s="2"/>
      <c r="S689" s="2"/>
      <c r="T689" s="2"/>
      <c r="U689" s="2"/>
      <c r="V689" s="2"/>
      <c r="W689" s="2"/>
      <c r="X689" s="2"/>
    </row>
    <row r="690">
      <c r="A690" s="116"/>
      <c r="B690" s="44"/>
      <c r="C690" s="2"/>
      <c r="D690" s="2"/>
      <c r="E690" s="2"/>
      <c r="F690" s="2"/>
      <c r="G690" s="2"/>
      <c r="H690" s="2"/>
      <c r="I690" s="2"/>
      <c r="J690" s="2"/>
      <c r="K690" s="2"/>
      <c r="L690" s="2"/>
      <c r="M690" s="2"/>
      <c r="N690" s="2"/>
      <c r="O690" s="2"/>
      <c r="P690" s="2"/>
      <c r="Q690" s="2"/>
      <c r="R690" s="2"/>
      <c r="S690" s="2"/>
      <c r="T690" s="2"/>
      <c r="U690" s="2"/>
      <c r="V690" s="2"/>
      <c r="W690" s="2"/>
      <c r="X690" s="2"/>
    </row>
    <row r="691">
      <c r="A691" s="116"/>
      <c r="B691" s="44"/>
      <c r="C691" s="2"/>
      <c r="D691" s="2"/>
      <c r="E691" s="2"/>
      <c r="F691" s="2"/>
      <c r="G691" s="2"/>
      <c r="H691" s="2"/>
      <c r="I691" s="2"/>
      <c r="J691" s="2"/>
      <c r="K691" s="2"/>
      <c r="L691" s="2"/>
      <c r="M691" s="2"/>
      <c r="N691" s="2"/>
      <c r="O691" s="2"/>
      <c r="P691" s="2"/>
      <c r="Q691" s="2"/>
      <c r="R691" s="2"/>
      <c r="S691" s="2"/>
      <c r="T691" s="2"/>
      <c r="U691" s="2"/>
      <c r="V691" s="2"/>
      <c r="W691" s="2"/>
      <c r="X691" s="2"/>
    </row>
    <row r="692">
      <c r="A692" s="116"/>
      <c r="B692" s="44"/>
      <c r="C692" s="2"/>
      <c r="D692" s="2"/>
      <c r="E692" s="2"/>
      <c r="F692" s="2"/>
      <c r="G692" s="2"/>
      <c r="H692" s="2"/>
      <c r="I692" s="2"/>
      <c r="J692" s="2"/>
      <c r="K692" s="2"/>
      <c r="L692" s="2"/>
      <c r="M692" s="2"/>
      <c r="N692" s="2"/>
      <c r="O692" s="2"/>
      <c r="P692" s="2"/>
      <c r="Q692" s="2"/>
      <c r="R692" s="2"/>
      <c r="S692" s="2"/>
      <c r="T692" s="2"/>
      <c r="U692" s="2"/>
      <c r="V692" s="2"/>
      <c r="W692" s="2"/>
      <c r="X692" s="2"/>
    </row>
    <row r="693">
      <c r="A693" s="116"/>
      <c r="B693" s="44"/>
      <c r="C693" s="2"/>
      <c r="D693" s="2"/>
      <c r="E693" s="2"/>
      <c r="F693" s="2"/>
      <c r="G693" s="2"/>
      <c r="H693" s="2"/>
      <c r="I693" s="2"/>
      <c r="J693" s="2"/>
      <c r="K693" s="2"/>
      <c r="L693" s="2"/>
      <c r="M693" s="2"/>
      <c r="N693" s="2"/>
      <c r="O693" s="2"/>
      <c r="P693" s="2"/>
      <c r="Q693" s="2"/>
      <c r="R693" s="2"/>
      <c r="S693" s="2"/>
      <c r="T693" s="2"/>
      <c r="U693" s="2"/>
      <c r="V693" s="2"/>
      <c r="W693" s="2"/>
      <c r="X693" s="2"/>
    </row>
    <row r="694">
      <c r="A694" s="116"/>
      <c r="B694" s="44"/>
      <c r="C694" s="2"/>
      <c r="D694" s="2"/>
      <c r="E694" s="2"/>
      <c r="F694" s="2"/>
      <c r="G694" s="2"/>
      <c r="H694" s="2"/>
      <c r="I694" s="2"/>
      <c r="J694" s="2"/>
      <c r="K694" s="2"/>
      <c r="L694" s="2"/>
      <c r="M694" s="2"/>
      <c r="N694" s="2"/>
      <c r="O694" s="2"/>
      <c r="P694" s="2"/>
      <c r="Q694" s="2"/>
      <c r="R694" s="2"/>
      <c r="S694" s="2"/>
      <c r="T694" s="2"/>
      <c r="U694" s="2"/>
      <c r="V694" s="2"/>
      <c r="W694" s="2"/>
      <c r="X694" s="2"/>
    </row>
    <row r="695">
      <c r="A695" s="116"/>
      <c r="B695" s="44"/>
      <c r="C695" s="2"/>
      <c r="D695" s="2"/>
      <c r="E695" s="2"/>
      <c r="F695" s="2"/>
      <c r="G695" s="2"/>
      <c r="H695" s="2"/>
      <c r="I695" s="2"/>
      <c r="J695" s="2"/>
      <c r="K695" s="2"/>
      <c r="L695" s="2"/>
      <c r="M695" s="2"/>
      <c r="N695" s="2"/>
      <c r="O695" s="2"/>
      <c r="P695" s="2"/>
      <c r="Q695" s="2"/>
      <c r="R695" s="2"/>
      <c r="S695" s="2"/>
      <c r="T695" s="2"/>
      <c r="U695" s="2"/>
      <c r="V695" s="2"/>
      <c r="W695" s="2"/>
      <c r="X695" s="2"/>
    </row>
    <row r="696">
      <c r="A696" s="116"/>
      <c r="B696" s="44"/>
      <c r="C696" s="2"/>
      <c r="D696" s="2"/>
      <c r="E696" s="2"/>
      <c r="F696" s="2"/>
      <c r="G696" s="2"/>
      <c r="H696" s="2"/>
      <c r="I696" s="2"/>
      <c r="J696" s="2"/>
      <c r="K696" s="2"/>
      <c r="L696" s="2"/>
      <c r="M696" s="2"/>
      <c r="N696" s="2"/>
      <c r="O696" s="2"/>
      <c r="P696" s="2"/>
      <c r="Q696" s="2"/>
      <c r="R696" s="2"/>
      <c r="S696" s="2"/>
      <c r="T696" s="2"/>
      <c r="U696" s="2"/>
      <c r="V696" s="2"/>
      <c r="W696" s="2"/>
      <c r="X696" s="2"/>
    </row>
    <row r="697">
      <c r="A697" s="116"/>
      <c r="B697" s="44"/>
      <c r="C697" s="2"/>
      <c r="D697" s="2"/>
      <c r="E697" s="2"/>
      <c r="F697" s="2"/>
      <c r="G697" s="2"/>
      <c r="H697" s="2"/>
      <c r="I697" s="2"/>
      <c r="J697" s="2"/>
      <c r="K697" s="2"/>
      <c r="L697" s="2"/>
      <c r="M697" s="2"/>
      <c r="N697" s="2"/>
      <c r="O697" s="2"/>
      <c r="P697" s="2"/>
      <c r="Q697" s="2"/>
      <c r="R697" s="2"/>
      <c r="S697" s="2"/>
      <c r="T697" s="2"/>
      <c r="U697" s="2"/>
      <c r="V697" s="2"/>
      <c r="W697" s="2"/>
      <c r="X697" s="2"/>
    </row>
    <row r="698">
      <c r="A698" s="116"/>
      <c r="B698" s="44"/>
      <c r="C698" s="2"/>
      <c r="D698" s="2"/>
      <c r="E698" s="2"/>
      <c r="F698" s="2"/>
      <c r="G698" s="2"/>
      <c r="H698" s="2"/>
      <c r="I698" s="2"/>
      <c r="J698" s="2"/>
      <c r="K698" s="2"/>
      <c r="L698" s="2"/>
      <c r="M698" s="2"/>
      <c r="N698" s="2"/>
      <c r="O698" s="2"/>
      <c r="P698" s="2"/>
      <c r="Q698" s="2"/>
      <c r="R698" s="2"/>
      <c r="S698" s="2"/>
      <c r="T698" s="2"/>
      <c r="U698" s="2"/>
      <c r="V698" s="2"/>
      <c r="W698" s="2"/>
      <c r="X698" s="2"/>
    </row>
    <row r="699">
      <c r="A699" s="116"/>
      <c r="B699" s="44"/>
      <c r="C699" s="2"/>
      <c r="D699" s="2"/>
      <c r="E699" s="2"/>
      <c r="F699" s="2"/>
      <c r="G699" s="2"/>
      <c r="H699" s="2"/>
      <c r="I699" s="2"/>
      <c r="J699" s="2"/>
      <c r="K699" s="2"/>
      <c r="L699" s="2"/>
      <c r="M699" s="2"/>
      <c r="N699" s="2"/>
      <c r="O699" s="2"/>
      <c r="P699" s="2"/>
      <c r="Q699" s="2"/>
      <c r="R699" s="2"/>
      <c r="S699" s="2"/>
      <c r="T699" s="2"/>
      <c r="U699" s="2"/>
      <c r="V699" s="2"/>
      <c r="W699" s="2"/>
      <c r="X699" s="2"/>
    </row>
    <row r="700">
      <c r="A700" s="116"/>
      <c r="B700" s="44"/>
      <c r="C700" s="2"/>
      <c r="D700" s="2"/>
      <c r="E700" s="2"/>
      <c r="F700" s="2"/>
      <c r="G700" s="2"/>
      <c r="H700" s="2"/>
      <c r="I700" s="2"/>
      <c r="J700" s="2"/>
      <c r="K700" s="2"/>
      <c r="L700" s="2"/>
      <c r="M700" s="2"/>
      <c r="N700" s="2"/>
      <c r="O700" s="2"/>
      <c r="P700" s="2"/>
      <c r="Q700" s="2"/>
      <c r="R700" s="2"/>
      <c r="S700" s="2"/>
      <c r="T700" s="2"/>
      <c r="U700" s="2"/>
      <c r="V700" s="2"/>
      <c r="W700" s="2"/>
      <c r="X700" s="2"/>
    </row>
    <row r="701">
      <c r="A701" s="116"/>
      <c r="B701" s="44"/>
      <c r="C701" s="2"/>
      <c r="D701" s="2"/>
      <c r="E701" s="2"/>
      <c r="F701" s="2"/>
      <c r="G701" s="2"/>
      <c r="H701" s="2"/>
      <c r="I701" s="2"/>
      <c r="J701" s="2"/>
      <c r="K701" s="2"/>
      <c r="L701" s="2"/>
      <c r="M701" s="2"/>
      <c r="N701" s="2"/>
      <c r="O701" s="2"/>
      <c r="P701" s="2"/>
      <c r="Q701" s="2"/>
      <c r="R701" s="2"/>
      <c r="S701" s="2"/>
      <c r="T701" s="2"/>
      <c r="U701" s="2"/>
      <c r="V701" s="2"/>
      <c r="W701" s="2"/>
      <c r="X701" s="2"/>
    </row>
    <row r="702">
      <c r="A702" s="116"/>
      <c r="B702" s="44"/>
      <c r="C702" s="2"/>
      <c r="D702" s="2"/>
      <c r="E702" s="2"/>
      <c r="F702" s="2"/>
      <c r="G702" s="2"/>
      <c r="H702" s="2"/>
      <c r="I702" s="2"/>
      <c r="J702" s="2"/>
      <c r="K702" s="2"/>
      <c r="L702" s="2"/>
      <c r="M702" s="2"/>
      <c r="N702" s="2"/>
      <c r="O702" s="2"/>
      <c r="P702" s="2"/>
      <c r="Q702" s="2"/>
      <c r="R702" s="2"/>
      <c r="S702" s="2"/>
      <c r="T702" s="2"/>
      <c r="U702" s="2"/>
      <c r="V702" s="2"/>
      <c r="W702" s="2"/>
      <c r="X702" s="2"/>
    </row>
    <row r="703">
      <c r="A703" s="116"/>
      <c r="B703" s="44"/>
      <c r="C703" s="2"/>
      <c r="D703" s="2"/>
      <c r="E703" s="2"/>
      <c r="F703" s="2"/>
      <c r="G703" s="2"/>
      <c r="H703" s="2"/>
      <c r="I703" s="2"/>
      <c r="J703" s="2"/>
      <c r="K703" s="2"/>
      <c r="L703" s="2"/>
      <c r="M703" s="2"/>
      <c r="N703" s="2"/>
      <c r="O703" s="2"/>
      <c r="P703" s="2"/>
      <c r="Q703" s="2"/>
      <c r="R703" s="2"/>
      <c r="S703" s="2"/>
      <c r="T703" s="2"/>
      <c r="U703" s="2"/>
      <c r="V703" s="2"/>
      <c r="W703" s="2"/>
      <c r="X703" s="2"/>
    </row>
    <row r="704">
      <c r="A704" s="116"/>
      <c r="B704" s="44"/>
      <c r="C704" s="2"/>
      <c r="D704" s="2"/>
      <c r="E704" s="2"/>
      <c r="F704" s="2"/>
      <c r="G704" s="2"/>
      <c r="H704" s="2"/>
      <c r="I704" s="2"/>
      <c r="J704" s="2"/>
      <c r="K704" s="2"/>
      <c r="L704" s="2"/>
      <c r="M704" s="2"/>
      <c r="N704" s="2"/>
      <c r="O704" s="2"/>
      <c r="P704" s="2"/>
      <c r="Q704" s="2"/>
      <c r="R704" s="2"/>
      <c r="S704" s="2"/>
      <c r="T704" s="2"/>
      <c r="U704" s="2"/>
      <c r="V704" s="2"/>
      <c r="W704" s="2"/>
      <c r="X704" s="2"/>
    </row>
    <row r="705">
      <c r="A705" s="116"/>
      <c r="B705" s="44"/>
      <c r="C705" s="2"/>
      <c r="D705" s="2"/>
      <c r="E705" s="2"/>
      <c r="F705" s="2"/>
      <c r="G705" s="2"/>
      <c r="H705" s="2"/>
      <c r="I705" s="2"/>
      <c r="J705" s="2"/>
      <c r="K705" s="2"/>
      <c r="L705" s="2"/>
      <c r="M705" s="2"/>
      <c r="N705" s="2"/>
      <c r="O705" s="2"/>
      <c r="P705" s="2"/>
      <c r="Q705" s="2"/>
      <c r="R705" s="2"/>
      <c r="S705" s="2"/>
      <c r="T705" s="2"/>
      <c r="U705" s="2"/>
      <c r="V705" s="2"/>
      <c r="W705" s="2"/>
      <c r="X705" s="2"/>
    </row>
    <row r="706">
      <c r="A706" s="116"/>
      <c r="B706" s="44"/>
      <c r="C706" s="2"/>
      <c r="D706" s="2"/>
      <c r="E706" s="2"/>
      <c r="F706" s="2"/>
      <c r="G706" s="2"/>
      <c r="H706" s="2"/>
      <c r="I706" s="2"/>
      <c r="J706" s="2"/>
      <c r="K706" s="2"/>
      <c r="L706" s="2"/>
      <c r="M706" s="2"/>
      <c r="N706" s="2"/>
      <c r="O706" s="2"/>
      <c r="P706" s="2"/>
      <c r="Q706" s="2"/>
      <c r="R706" s="2"/>
      <c r="S706" s="2"/>
      <c r="T706" s="2"/>
      <c r="U706" s="2"/>
      <c r="V706" s="2"/>
      <c r="W706" s="2"/>
      <c r="X706" s="2"/>
    </row>
    <row r="707">
      <c r="A707" s="116"/>
      <c r="B707" s="44"/>
      <c r="C707" s="2"/>
      <c r="D707" s="2"/>
      <c r="E707" s="2"/>
      <c r="F707" s="2"/>
      <c r="G707" s="2"/>
      <c r="H707" s="2"/>
      <c r="I707" s="2"/>
      <c r="J707" s="2"/>
      <c r="K707" s="2"/>
      <c r="L707" s="2"/>
      <c r="M707" s="2"/>
      <c r="N707" s="2"/>
      <c r="O707" s="2"/>
      <c r="P707" s="2"/>
      <c r="Q707" s="2"/>
      <c r="R707" s="2"/>
      <c r="S707" s="2"/>
      <c r="T707" s="2"/>
      <c r="U707" s="2"/>
      <c r="V707" s="2"/>
      <c r="W707" s="2"/>
      <c r="X707" s="2"/>
    </row>
    <row r="708">
      <c r="A708" s="116"/>
      <c r="B708" s="44"/>
      <c r="C708" s="2"/>
      <c r="D708" s="2"/>
      <c r="E708" s="2"/>
      <c r="F708" s="2"/>
      <c r="G708" s="2"/>
      <c r="H708" s="2"/>
      <c r="I708" s="2"/>
      <c r="J708" s="2"/>
      <c r="K708" s="2"/>
      <c r="L708" s="2"/>
      <c r="M708" s="2"/>
      <c r="N708" s="2"/>
      <c r="O708" s="2"/>
      <c r="P708" s="2"/>
      <c r="Q708" s="2"/>
      <c r="R708" s="2"/>
      <c r="S708" s="2"/>
      <c r="T708" s="2"/>
      <c r="U708" s="2"/>
      <c r="V708" s="2"/>
      <c r="W708" s="2"/>
      <c r="X708" s="2"/>
    </row>
    <row r="709">
      <c r="A709" s="116"/>
      <c r="B709" s="44"/>
      <c r="C709" s="2"/>
      <c r="D709" s="2"/>
      <c r="E709" s="2"/>
      <c r="F709" s="2"/>
      <c r="G709" s="2"/>
      <c r="H709" s="2"/>
      <c r="I709" s="2"/>
      <c r="J709" s="2"/>
      <c r="K709" s="2"/>
      <c r="L709" s="2"/>
      <c r="M709" s="2"/>
      <c r="N709" s="2"/>
      <c r="O709" s="2"/>
      <c r="P709" s="2"/>
      <c r="Q709" s="2"/>
      <c r="R709" s="2"/>
      <c r="S709" s="2"/>
      <c r="T709" s="2"/>
      <c r="U709" s="2"/>
      <c r="V709" s="2"/>
      <c r="W709" s="2"/>
      <c r="X709" s="2"/>
    </row>
    <row r="710">
      <c r="A710" s="116"/>
      <c r="B710" s="44"/>
      <c r="C710" s="2"/>
      <c r="D710" s="2"/>
      <c r="E710" s="2"/>
      <c r="F710" s="2"/>
      <c r="G710" s="2"/>
      <c r="H710" s="2"/>
      <c r="I710" s="2"/>
      <c r="J710" s="2"/>
      <c r="K710" s="2"/>
      <c r="L710" s="2"/>
      <c r="M710" s="2"/>
      <c r="N710" s="2"/>
      <c r="O710" s="2"/>
      <c r="P710" s="2"/>
      <c r="Q710" s="2"/>
      <c r="R710" s="2"/>
      <c r="S710" s="2"/>
      <c r="T710" s="2"/>
      <c r="U710" s="2"/>
      <c r="V710" s="2"/>
      <c r="W710" s="2"/>
      <c r="X710" s="2"/>
    </row>
    <row r="711">
      <c r="A711" s="116"/>
      <c r="B711" s="44"/>
      <c r="C711" s="2"/>
      <c r="D711" s="2"/>
      <c r="E711" s="2"/>
      <c r="F711" s="2"/>
      <c r="G711" s="2"/>
      <c r="H711" s="2"/>
      <c r="I711" s="2"/>
      <c r="J711" s="2"/>
      <c r="K711" s="2"/>
      <c r="L711" s="2"/>
      <c r="M711" s="2"/>
      <c r="N711" s="2"/>
      <c r="O711" s="2"/>
      <c r="P711" s="2"/>
      <c r="Q711" s="2"/>
      <c r="R711" s="2"/>
      <c r="S711" s="2"/>
      <c r="T711" s="2"/>
      <c r="U711" s="2"/>
      <c r="V711" s="2"/>
      <c r="W711" s="2"/>
      <c r="X711" s="2"/>
    </row>
    <row r="712">
      <c r="A712" s="116"/>
      <c r="B712" s="44"/>
      <c r="C712" s="2"/>
      <c r="D712" s="2"/>
      <c r="E712" s="2"/>
      <c r="F712" s="2"/>
      <c r="G712" s="2"/>
      <c r="H712" s="2"/>
      <c r="I712" s="2"/>
      <c r="J712" s="2"/>
      <c r="K712" s="2"/>
      <c r="L712" s="2"/>
      <c r="M712" s="2"/>
      <c r="N712" s="2"/>
      <c r="O712" s="2"/>
      <c r="P712" s="2"/>
      <c r="Q712" s="2"/>
      <c r="R712" s="2"/>
      <c r="S712" s="2"/>
      <c r="T712" s="2"/>
      <c r="U712" s="2"/>
      <c r="V712" s="2"/>
      <c r="W712" s="2"/>
      <c r="X712" s="2"/>
    </row>
    <row r="713">
      <c r="A713" s="116"/>
      <c r="B713" s="44"/>
      <c r="C713" s="2"/>
      <c r="D713" s="2"/>
      <c r="E713" s="2"/>
      <c r="F713" s="2"/>
      <c r="G713" s="2"/>
      <c r="H713" s="2"/>
      <c r="I713" s="2"/>
      <c r="J713" s="2"/>
      <c r="K713" s="2"/>
      <c r="L713" s="2"/>
      <c r="M713" s="2"/>
      <c r="N713" s="2"/>
      <c r="O713" s="2"/>
      <c r="P713" s="2"/>
      <c r="Q713" s="2"/>
      <c r="R713" s="2"/>
      <c r="S713" s="2"/>
      <c r="T713" s="2"/>
      <c r="U713" s="2"/>
      <c r="V713" s="2"/>
      <c r="W713" s="2"/>
      <c r="X713" s="2"/>
    </row>
    <row r="714">
      <c r="A714" s="116"/>
      <c r="B714" s="44"/>
      <c r="C714" s="2"/>
      <c r="D714" s="2"/>
      <c r="E714" s="2"/>
      <c r="F714" s="2"/>
      <c r="G714" s="2"/>
      <c r="H714" s="2"/>
      <c r="I714" s="2"/>
      <c r="J714" s="2"/>
      <c r="K714" s="2"/>
      <c r="L714" s="2"/>
      <c r="M714" s="2"/>
      <c r="N714" s="2"/>
      <c r="O714" s="2"/>
      <c r="P714" s="2"/>
      <c r="Q714" s="2"/>
      <c r="R714" s="2"/>
      <c r="S714" s="2"/>
      <c r="T714" s="2"/>
      <c r="U714" s="2"/>
      <c r="V714" s="2"/>
      <c r="W714" s="2"/>
      <c r="X714" s="2"/>
    </row>
    <row r="715">
      <c r="A715" s="116"/>
      <c r="B715" s="44"/>
      <c r="C715" s="2"/>
      <c r="D715" s="2"/>
      <c r="E715" s="2"/>
      <c r="F715" s="2"/>
      <c r="G715" s="2"/>
      <c r="H715" s="2"/>
      <c r="I715" s="2"/>
      <c r="J715" s="2"/>
      <c r="K715" s="2"/>
      <c r="L715" s="2"/>
      <c r="M715" s="2"/>
      <c r="N715" s="2"/>
      <c r="O715" s="2"/>
      <c r="P715" s="2"/>
      <c r="Q715" s="2"/>
      <c r="R715" s="2"/>
      <c r="S715" s="2"/>
      <c r="T715" s="2"/>
      <c r="U715" s="2"/>
      <c r="V715" s="2"/>
      <c r="W715" s="2"/>
      <c r="X715" s="2"/>
    </row>
    <row r="716">
      <c r="A716" s="116"/>
      <c r="B716" s="44"/>
      <c r="C716" s="2"/>
      <c r="D716" s="2"/>
      <c r="E716" s="2"/>
      <c r="F716" s="2"/>
      <c r="G716" s="2"/>
      <c r="H716" s="2"/>
      <c r="I716" s="2"/>
      <c r="J716" s="2"/>
      <c r="K716" s="2"/>
      <c r="L716" s="2"/>
      <c r="M716" s="2"/>
      <c r="N716" s="2"/>
      <c r="O716" s="2"/>
      <c r="P716" s="2"/>
      <c r="Q716" s="2"/>
      <c r="R716" s="2"/>
      <c r="S716" s="2"/>
      <c r="T716" s="2"/>
      <c r="U716" s="2"/>
      <c r="V716" s="2"/>
      <c r="W716" s="2"/>
      <c r="X716" s="2"/>
    </row>
    <row r="717">
      <c r="A717" s="116"/>
      <c r="B717" s="44"/>
      <c r="C717" s="2"/>
      <c r="D717" s="2"/>
      <c r="E717" s="2"/>
      <c r="F717" s="2"/>
      <c r="G717" s="2"/>
      <c r="H717" s="2"/>
      <c r="I717" s="2"/>
      <c r="J717" s="2"/>
      <c r="K717" s="2"/>
      <c r="L717" s="2"/>
      <c r="M717" s="2"/>
      <c r="N717" s="2"/>
      <c r="O717" s="2"/>
      <c r="P717" s="2"/>
      <c r="Q717" s="2"/>
      <c r="R717" s="2"/>
      <c r="S717" s="2"/>
      <c r="T717" s="2"/>
      <c r="U717" s="2"/>
      <c r="V717" s="2"/>
      <c r="W717" s="2"/>
      <c r="X717" s="2"/>
    </row>
    <row r="718">
      <c r="A718" s="116"/>
      <c r="B718" s="44"/>
      <c r="C718" s="2"/>
      <c r="D718" s="2"/>
      <c r="E718" s="2"/>
      <c r="F718" s="2"/>
      <c r="G718" s="2"/>
      <c r="H718" s="2"/>
      <c r="I718" s="2"/>
      <c r="J718" s="2"/>
      <c r="K718" s="2"/>
      <c r="L718" s="2"/>
      <c r="M718" s="2"/>
      <c r="N718" s="2"/>
      <c r="O718" s="2"/>
      <c r="P718" s="2"/>
      <c r="Q718" s="2"/>
      <c r="R718" s="2"/>
      <c r="S718" s="2"/>
      <c r="T718" s="2"/>
      <c r="U718" s="2"/>
      <c r="V718" s="2"/>
      <c r="W718" s="2"/>
      <c r="X718" s="2"/>
    </row>
    <row r="719">
      <c r="A719" s="116"/>
      <c r="B719" s="44"/>
      <c r="C719" s="2"/>
      <c r="D719" s="2"/>
      <c r="E719" s="2"/>
      <c r="F719" s="2"/>
      <c r="G719" s="2"/>
      <c r="H719" s="2"/>
      <c r="I719" s="2"/>
      <c r="J719" s="2"/>
      <c r="K719" s="2"/>
      <c r="L719" s="2"/>
      <c r="M719" s="2"/>
      <c r="N719" s="2"/>
      <c r="O719" s="2"/>
      <c r="P719" s="2"/>
      <c r="Q719" s="2"/>
      <c r="R719" s="2"/>
      <c r="S719" s="2"/>
      <c r="T719" s="2"/>
      <c r="U719" s="2"/>
      <c r="V719" s="2"/>
      <c r="W719" s="2"/>
      <c r="X719" s="2"/>
    </row>
    <row r="720">
      <c r="A720" s="116"/>
      <c r="B720" s="44"/>
      <c r="C720" s="2"/>
      <c r="D720" s="2"/>
      <c r="E720" s="2"/>
      <c r="F720" s="2"/>
      <c r="G720" s="2"/>
      <c r="H720" s="2"/>
      <c r="I720" s="2"/>
      <c r="J720" s="2"/>
      <c r="K720" s="2"/>
      <c r="L720" s="2"/>
      <c r="M720" s="2"/>
      <c r="N720" s="2"/>
      <c r="O720" s="2"/>
      <c r="P720" s="2"/>
      <c r="Q720" s="2"/>
      <c r="R720" s="2"/>
      <c r="S720" s="2"/>
      <c r="T720" s="2"/>
      <c r="U720" s="2"/>
      <c r="V720" s="2"/>
      <c r="W720" s="2"/>
      <c r="X720" s="2"/>
    </row>
    <row r="721">
      <c r="A721" s="116"/>
      <c r="B721" s="44"/>
      <c r="C721" s="2"/>
      <c r="D721" s="2"/>
      <c r="E721" s="2"/>
      <c r="F721" s="2"/>
      <c r="G721" s="2"/>
      <c r="H721" s="2"/>
      <c r="I721" s="2"/>
      <c r="J721" s="2"/>
      <c r="K721" s="2"/>
      <c r="L721" s="2"/>
      <c r="M721" s="2"/>
      <c r="N721" s="2"/>
      <c r="O721" s="2"/>
      <c r="P721" s="2"/>
      <c r="Q721" s="2"/>
      <c r="R721" s="2"/>
      <c r="S721" s="2"/>
      <c r="T721" s="2"/>
      <c r="U721" s="2"/>
      <c r="V721" s="2"/>
      <c r="W721" s="2"/>
      <c r="X721" s="2"/>
    </row>
    <row r="722">
      <c r="A722" s="116"/>
      <c r="B722" s="44"/>
      <c r="C722" s="2"/>
      <c r="D722" s="2"/>
      <c r="E722" s="2"/>
      <c r="F722" s="2"/>
      <c r="G722" s="2"/>
      <c r="H722" s="2"/>
      <c r="I722" s="2"/>
      <c r="J722" s="2"/>
      <c r="K722" s="2"/>
      <c r="L722" s="2"/>
      <c r="M722" s="2"/>
      <c r="N722" s="2"/>
      <c r="O722" s="2"/>
      <c r="P722" s="2"/>
      <c r="Q722" s="2"/>
      <c r="R722" s="2"/>
      <c r="S722" s="2"/>
      <c r="T722" s="2"/>
      <c r="U722" s="2"/>
      <c r="V722" s="2"/>
      <c r="W722" s="2"/>
      <c r="X722" s="2"/>
    </row>
    <row r="723">
      <c r="A723" s="116"/>
      <c r="B723" s="44"/>
      <c r="C723" s="2"/>
      <c r="D723" s="2"/>
      <c r="E723" s="2"/>
      <c r="F723" s="2"/>
      <c r="G723" s="2"/>
      <c r="H723" s="2"/>
      <c r="I723" s="2"/>
      <c r="J723" s="2"/>
      <c r="K723" s="2"/>
      <c r="L723" s="2"/>
      <c r="M723" s="2"/>
      <c r="N723" s="2"/>
      <c r="O723" s="2"/>
      <c r="P723" s="2"/>
      <c r="Q723" s="2"/>
      <c r="R723" s="2"/>
      <c r="S723" s="2"/>
      <c r="T723" s="2"/>
      <c r="U723" s="2"/>
      <c r="V723" s="2"/>
      <c r="W723" s="2"/>
      <c r="X723" s="2"/>
    </row>
    <row r="724">
      <c r="A724" s="116"/>
      <c r="B724" s="44"/>
      <c r="C724" s="2"/>
      <c r="D724" s="2"/>
      <c r="E724" s="2"/>
      <c r="F724" s="2"/>
      <c r="G724" s="2"/>
      <c r="H724" s="2"/>
      <c r="I724" s="2"/>
      <c r="J724" s="2"/>
      <c r="K724" s="2"/>
      <c r="L724" s="2"/>
      <c r="M724" s="2"/>
      <c r="N724" s="2"/>
      <c r="O724" s="2"/>
      <c r="P724" s="2"/>
      <c r="Q724" s="2"/>
      <c r="R724" s="2"/>
      <c r="S724" s="2"/>
      <c r="T724" s="2"/>
      <c r="U724" s="2"/>
      <c r="V724" s="2"/>
      <c r="W724" s="2"/>
      <c r="X724" s="2"/>
    </row>
    <row r="725">
      <c r="A725" s="116"/>
      <c r="B725" s="44"/>
      <c r="C725" s="2"/>
      <c r="D725" s="2"/>
      <c r="E725" s="2"/>
      <c r="F725" s="2"/>
      <c r="G725" s="2"/>
      <c r="H725" s="2"/>
      <c r="I725" s="2"/>
      <c r="J725" s="2"/>
      <c r="K725" s="2"/>
      <c r="L725" s="2"/>
      <c r="M725" s="2"/>
      <c r="N725" s="2"/>
      <c r="O725" s="2"/>
      <c r="P725" s="2"/>
      <c r="Q725" s="2"/>
      <c r="R725" s="2"/>
      <c r="S725" s="2"/>
      <c r="T725" s="2"/>
      <c r="U725" s="2"/>
      <c r="V725" s="2"/>
      <c r="W725" s="2"/>
      <c r="X725" s="2"/>
    </row>
    <row r="726">
      <c r="A726" s="116"/>
      <c r="B726" s="44"/>
      <c r="C726" s="2"/>
      <c r="D726" s="2"/>
      <c r="E726" s="2"/>
      <c r="F726" s="2"/>
      <c r="G726" s="2"/>
      <c r="H726" s="2"/>
      <c r="I726" s="2"/>
      <c r="J726" s="2"/>
      <c r="K726" s="2"/>
      <c r="L726" s="2"/>
      <c r="M726" s="2"/>
      <c r="N726" s="2"/>
      <c r="O726" s="2"/>
      <c r="P726" s="2"/>
      <c r="Q726" s="2"/>
      <c r="R726" s="2"/>
      <c r="S726" s="2"/>
      <c r="T726" s="2"/>
      <c r="U726" s="2"/>
      <c r="V726" s="2"/>
      <c r="W726" s="2"/>
      <c r="X726" s="2"/>
    </row>
    <row r="727">
      <c r="A727" s="116"/>
      <c r="B727" s="44"/>
      <c r="C727" s="2"/>
      <c r="D727" s="2"/>
      <c r="E727" s="2"/>
      <c r="F727" s="2"/>
      <c r="G727" s="2"/>
      <c r="H727" s="2"/>
      <c r="I727" s="2"/>
      <c r="J727" s="2"/>
      <c r="K727" s="2"/>
      <c r="L727" s="2"/>
      <c r="M727" s="2"/>
      <c r="N727" s="2"/>
      <c r="O727" s="2"/>
      <c r="P727" s="2"/>
      <c r="Q727" s="2"/>
      <c r="R727" s="2"/>
      <c r="S727" s="2"/>
      <c r="T727" s="2"/>
      <c r="U727" s="2"/>
      <c r="V727" s="2"/>
      <c r="W727" s="2"/>
      <c r="X727" s="2"/>
    </row>
    <row r="728">
      <c r="A728" s="116"/>
      <c r="B728" s="44"/>
      <c r="C728" s="2"/>
      <c r="D728" s="2"/>
      <c r="E728" s="2"/>
      <c r="F728" s="2"/>
      <c r="G728" s="2"/>
      <c r="H728" s="2"/>
      <c r="I728" s="2"/>
      <c r="J728" s="2"/>
      <c r="K728" s="2"/>
      <c r="L728" s="2"/>
      <c r="M728" s="2"/>
      <c r="N728" s="2"/>
      <c r="O728" s="2"/>
      <c r="P728" s="2"/>
      <c r="Q728" s="2"/>
      <c r="R728" s="2"/>
      <c r="S728" s="2"/>
      <c r="T728" s="2"/>
      <c r="U728" s="2"/>
      <c r="V728" s="2"/>
      <c r="W728" s="2"/>
      <c r="X728" s="2"/>
    </row>
    <row r="729">
      <c r="A729" s="116"/>
      <c r="B729" s="44"/>
      <c r="C729" s="2"/>
      <c r="D729" s="2"/>
      <c r="E729" s="2"/>
      <c r="F729" s="2"/>
      <c r="G729" s="2"/>
      <c r="H729" s="2"/>
      <c r="I729" s="2"/>
      <c r="J729" s="2"/>
      <c r="K729" s="2"/>
      <c r="L729" s="2"/>
      <c r="M729" s="2"/>
      <c r="N729" s="2"/>
      <c r="O729" s="2"/>
      <c r="P729" s="2"/>
      <c r="Q729" s="2"/>
      <c r="R729" s="2"/>
      <c r="S729" s="2"/>
      <c r="T729" s="2"/>
      <c r="U729" s="2"/>
      <c r="V729" s="2"/>
      <c r="W729" s="2"/>
      <c r="X729" s="2"/>
    </row>
    <row r="730">
      <c r="A730" s="116"/>
      <c r="B730" s="44"/>
      <c r="C730" s="2"/>
      <c r="D730" s="2"/>
      <c r="E730" s="2"/>
      <c r="F730" s="2"/>
      <c r="G730" s="2"/>
      <c r="H730" s="2"/>
      <c r="I730" s="2"/>
      <c r="J730" s="2"/>
      <c r="K730" s="2"/>
      <c r="L730" s="2"/>
      <c r="M730" s="2"/>
      <c r="N730" s="2"/>
      <c r="O730" s="2"/>
      <c r="P730" s="2"/>
      <c r="Q730" s="2"/>
      <c r="R730" s="2"/>
      <c r="S730" s="2"/>
      <c r="T730" s="2"/>
      <c r="U730" s="2"/>
      <c r="V730" s="2"/>
      <c r="W730" s="2"/>
      <c r="X730" s="2"/>
    </row>
    <row r="731">
      <c r="A731" s="116"/>
      <c r="B731" s="44"/>
      <c r="C731" s="2"/>
      <c r="D731" s="2"/>
      <c r="E731" s="2"/>
      <c r="F731" s="2"/>
      <c r="G731" s="2"/>
      <c r="H731" s="2"/>
      <c r="I731" s="2"/>
      <c r="J731" s="2"/>
      <c r="K731" s="2"/>
      <c r="L731" s="2"/>
      <c r="M731" s="2"/>
      <c r="N731" s="2"/>
      <c r="O731" s="2"/>
      <c r="P731" s="2"/>
      <c r="Q731" s="2"/>
      <c r="R731" s="2"/>
      <c r="S731" s="2"/>
      <c r="T731" s="2"/>
      <c r="U731" s="2"/>
      <c r="V731" s="2"/>
      <c r="W731" s="2"/>
      <c r="X731" s="2"/>
    </row>
    <row r="732">
      <c r="A732" s="116"/>
      <c r="B732" s="44"/>
      <c r="C732" s="2"/>
      <c r="D732" s="2"/>
      <c r="E732" s="2"/>
      <c r="F732" s="2"/>
      <c r="G732" s="2"/>
      <c r="H732" s="2"/>
      <c r="I732" s="2"/>
      <c r="J732" s="2"/>
      <c r="K732" s="2"/>
      <c r="L732" s="2"/>
      <c r="M732" s="2"/>
      <c r="N732" s="2"/>
      <c r="O732" s="2"/>
      <c r="P732" s="2"/>
      <c r="Q732" s="2"/>
      <c r="R732" s="2"/>
      <c r="S732" s="2"/>
      <c r="T732" s="2"/>
      <c r="U732" s="2"/>
      <c r="V732" s="2"/>
      <c r="W732" s="2"/>
      <c r="X732" s="2"/>
    </row>
    <row r="733">
      <c r="A733" s="116"/>
      <c r="B733" s="44"/>
      <c r="C733" s="2"/>
      <c r="D733" s="2"/>
      <c r="E733" s="2"/>
      <c r="F733" s="2"/>
      <c r="G733" s="2"/>
      <c r="H733" s="2"/>
      <c r="I733" s="2"/>
      <c r="J733" s="2"/>
      <c r="K733" s="2"/>
      <c r="L733" s="2"/>
      <c r="M733" s="2"/>
      <c r="N733" s="2"/>
      <c r="O733" s="2"/>
      <c r="P733" s="2"/>
      <c r="Q733" s="2"/>
      <c r="R733" s="2"/>
      <c r="S733" s="2"/>
      <c r="T733" s="2"/>
      <c r="U733" s="2"/>
      <c r="V733" s="2"/>
      <c r="W733" s="2"/>
      <c r="X733" s="2"/>
    </row>
    <row r="734">
      <c r="A734" s="116"/>
      <c r="B734" s="44"/>
      <c r="C734" s="2"/>
      <c r="D734" s="2"/>
      <c r="E734" s="2"/>
      <c r="F734" s="2"/>
      <c r="G734" s="2"/>
      <c r="H734" s="2"/>
      <c r="I734" s="2"/>
      <c r="J734" s="2"/>
      <c r="K734" s="2"/>
      <c r="L734" s="2"/>
      <c r="M734" s="2"/>
      <c r="N734" s="2"/>
      <c r="O734" s="2"/>
      <c r="P734" s="2"/>
      <c r="Q734" s="2"/>
      <c r="R734" s="2"/>
      <c r="S734" s="2"/>
      <c r="T734" s="2"/>
      <c r="U734" s="2"/>
      <c r="V734" s="2"/>
      <c r="W734" s="2"/>
      <c r="X734" s="2"/>
    </row>
    <row r="735">
      <c r="A735" s="116"/>
      <c r="B735" s="44"/>
      <c r="C735" s="2"/>
      <c r="D735" s="2"/>
      <c r="E735" s="2"/>
      <c r="F735" s="2"/>
      <c r="G735" s="2"/>
      <c r="H735" s="2"/>
      <c r="I735" s="2"/>
      <c r="J735" s="2"/>
      <c r="K735" s="2"/>
      <c r="L735" s="2"/>
      <c r="M735" s="2"/>
      <c r="N735" s="2"/>
      <c r="O735" s="2"/>
      <c r="P735" s="2"/>
      <c r="Q735" s="2"/>
      <c r="R735" s="2"/>
      <c r="S735" s="2"/>
      <c r="T735" s="2"/>
      <c r="U735" s="2"/>
      <c r="V735" s="2"/>
      <c r="W735" s="2"/>
      <c r="X735" s="2"/>
    </row>
    <row r="736">
      <c r="A736" s="116"/>
      <c r="B736" s="44"/>
      <c r="C736" s="2"/>
      <c r="D736" s="2"/>
      <c r="E736" s="2"/>
      <c r="F736" s="2"/>
      <c r="G736" s="2"/>
      <c r="H736" s="2"/>
      <c r="I736" s="2"/>
      <c r="J736" s="2"/>
      <c r="K736" s="2"/>
      <c r="L736" s="2"/>
      <c r="M736" s="2"/>
      <c r="N736" s="2"/>
      <c r="O736" s="2"/>
      <c r="P736" s="2"/>
      <c r="Q736" s="2"/>
      <c r="R736" s="2"/>
      <c r="S736" s="2"/>
      <c r="T736" s="2"/>
      <c r="U736" s="2"/>
      <c r="V736" s="2"/>
      <c r="W736" s="2"/>
      <c r="X736" s="2"/>
    </row>
    <row r="737">
      <c r="A737" s="116"/>
      <c r="B737" s="44"/>
      <c r="C737" s="2"/>
      <c r="D737" s="2"/>
      <c r="E737" s="2"/>
      <c r="F737" s="2"/>
      <c r="G737" s="2"/>
      <c r="H737" s="2"/>
      <c r="I737" s="2"/>
      <c r="J737" s="2"/>
      <c r="K737" s="2"/>
      <c r="L737" s="2"/>
      <c r="M737" s="2"/>
      <c r="N737" s="2"/>
      <c r="O737" s="2"/>
      <c r="P737" s="2"/>
      <c r="Q737" s="2"/>
      <c r="R737" s="2"/>
      <c r="S737" s="2"/>
      <c r="T737" s="2"/>
      <c r="U737" s="2"/>
      <c r="V737" s="2"/>
      <c r="W737" s="2"/>
      <c r="X737" s="2"/>
    </row>
    <row r="738">
      <c r="A738" s="116"/>
      <c r="B738" s="44"/>
      <c r="C738" s="2"/>
      <c r="D738" s="2"/>
      <c r="E738" s="2"/>
      <c r="F738" s="2"/>
      <c r="G738" s="2"/>
      <c r="H738" s="2"/>
      <c r="I738" s="2"/>
      <c r="J738" s="2"/>
      <c r="K738" s="2"/>
      <c r="L738" s="2"/>
      <c r="M738" s="2"/>
      <c r="N738" s="2"/>
      <c r="O738" s="2"/>
      <c r="P738" s="2"/>
      <c r="Q738" s="2"/>
      <c r="R738" s="2"/>
      <c r="S738" s="2"/>
      <c r="T738" s="2"/>
      <c r="U738" s="2"/>
      <c r="V738" s="2"/>
      <c r="W738" s="2"/>
      <c r="X738" s="2"/>
    </row>
    <row r="739">
      <c r="A739" s="116"/>
      <c r="B739" s="44"/>
      <c r="C739" s="2"/>
      <c r="D739" s="2"/>
      <c r="E739" s="2"/>
      <c r="F739" s="2"/>
      <c r="G739" s="2"/>
      <c r="H739" s="2"/>
      <c r="I739" s="2"/>
      <c r="J739" s="2"/>
      <c r="K739" s="2"/>
      <c r="L739" s="2"/>
      <c r="M739" s="2"/>
      <c r="N739" s="2"/>
      <c r="O739" s="2"/>
      <c r="P739" s="2"/>
      <c r="Q739" s="2"/>
      <c r="R739" s="2"/>
      <c r="S739" s="2"/>
      <c r="T739" s="2"/>
      <c r="U739" s="2"/>
      <c r="V739" s="2"/>
      <c r="W739" s="2"/>
      <c r="X739" s="2"/>
    </row>
    <row r="740">
      <c r="A740" s="116"/>
      <c r="B740" s="44"/>
      <c r="C740" s="2"/>
      <c r="D740" s="2"/>
      <c r="E740" s="2"/>
      <c r="F740" s="2"/>
      <c r="G740" s="2"/>
      <c r="H740" s="2"/>
      <c r="I740" s="2"/>
      <c r="J740" s="2"/>
      <c r="K740" s="2"/>
      <c r="L740" s="2"/>
      <c r="M740" s="2"/>
      <c r="N740" s="2"/>
      <c r="O740" s="2"/>
      <c r="P740" s="2"/>
      <c r="Q740" s="2"/>
      <c r="R740" s="2"/>
      <c r="S740" s="2"/>
      <c r="T740" s="2"/>
      <c r="U740" s="2"/>
      <c r="V740" s="2"/>
      <c r="W740" s="2"/>
      <c r="X740" s="2"/>
    </row>
    <row r="741">
      <c r="A741" s="116"/>
      <c r="B741" s="44"/>
      <c r="C741" s="2"/>
      <c r="D741" s="2"/>
      <c r="E741" s="2"/>
      <c r="F741" s="2"/>
      <c r="G741" s="2"/>
      <c r="H741" s="2"/>
      <c r="I741" s="2"/>
      <c r="J741" s="2"/>
      <c r="K741" s="2"/>
      <c r="L741" s="2"/>
      <c r="M741" s="2"/>
      <c r="N741" s="2"/>
      <c r="O741" s="2"/>
      <c r="P741" s="2"/>
      <c r="Q741" s="2"/>
      <c r="R741" s="2"/>
      <c r="S741" s="2"/>
      <c r="T741" s="2"/>
      <c r="U741" s="2"/>
      <c r="V741" s="2"/>
      <c r="W741" s="2"/>
      <c r="X741" s="2"/>
    </row>
    <row r="742">
      <c r="A742" s="116"/>
      <c r="B742" s="44"/>
      <c r="C742" s="2"/>
      <c r="D742" s="2"/>
      <c r="E742" s="2"/>
      <c r="F742" s="2"/>
      <c r="G742" s="2"/>
      <c r="H742" s="2"/>
      <c r="I742" s="2"/>
      <c r="J742" s="2"/>
      <c r="K742" s="2"/>
      <c r="L742" s="2"/>
      <c r="M742" s="2"/>
      <c r="N742" s="2"/>
      <c r="O742" s="2"/>
      <c r="P742" s="2"/>
      <c r="Q742" s="2"/>
      <c r="R742" s="2"/>
      <c r="S742" s="2"/>
      <c r="T742" s="2"/>
      <c r="U742" s="2"/>
      <c r="V742" s="2"/>
      <c r="W742" s="2"/>
      <c r="X742" s="2"/>
    </row>
    <row r="743">
      <c r="A743" s="116"/>
      <c r="B743" s="44"/>
      <c r="C743" s="2"/>
      <c r="D743" s="2"/>
      <c r="E743" s="2"/>
      <c r="F743" s="2"/>
      <c r="G743" s="2"/>
      <c r="H743" s="2"/>
      <c r="I743" s="2"/>
      <c r="J743" s="2"/>
      <c r="K743" s="2"/>
      <c r="L743" s="2"/>
      <c r="M743" s="2"/>
      <c r="N743" s="2"/>
      <c r="O743" s="2"/>
      <c r="P743" s="2"/>
      <c r="Q743" s="2"/>
      <c r="R743" s="2"/>
      <c r="S743" s="2"/>
      <c r="T743" s="2"/>
      <c r="U743" s="2"/>
      <c r="V743" s="2"/>
      <c r="W743" s="2"/>
      <c r="X743" s="2"/>
    </row>
    <row r="744">
      <c r="A744" s="116"/>
      <c r="B744" s="44"/>
      <c r="C744" s="2"/>
      <c r="D744" s="2"/>
      <c r="E744" s="2"/>
      <c r="F744" s="2"/>
      <c r="G744" s="2"/>
      <c r="H744" s="2"/>
      <c r="I744" s="2"/>
      <c r="J744" s="2"/>
      <c r="K744" s="2"/>
      <c r="L744" s="2"/>
      <c r="M744" s="2"/>
      <c r="N744" s="2"/>
      <c r="O744" s="2"/>
      <c r="P744" s="2"/>
      <c r="Q744" s="2"/>
      <c r="R744" s="2"/>
      <c r="S744" s="2"/>
      <c r="T744" s="2"/>
      <c r="U744" s="2"/>
      <c r="V744" s="2"/>
      <c r="W744" s="2"/>
      <c r="X744" s="2"/>
    </row>
    <row r="745">
      <c r="A745" s="116"/>
      <c r="B745" s="44"/>
      <c r="C745" s="2"/>
      <c r="D745" s="2"/>
      <c r="E745" s="2"/>
      <c r="F745" s="2"/>
      <c r="G745" s="2"/>
      <c r="H745" s="2"/>
      <c r="I745" s="2"/>
      <c r="J745" s="2"/>
      <c r="K745" s="2"/>
      <c r="L745" s="2"/>
      <c r="M745" s="2"/>
      <c r="N745" s="2"/>
      <c r="O745" s="2"/>
      <c r="P745" s="2"/>
      <c r="Q745" s="2"/>
      <c r="R745" s="2"/>
      <c r="S745" s="2"/>
      <c r="T745" s="2"/>
      <c r="U745" s="2"/>
      <c r="V745" s="2"/>
      <c r="W745" s="2"/>
      <c r="X745" s="2"/>
    </row>
    <row r="746">
      <c r="A746" s="116"/>
      <c r="B746" s="44"/>
      <c r="C746" s="2"/>
      <c r="D746" s="2"/>
      <c r="E746" s="2"/>
      <c r="F746" s="2"/>
      <c r="G746" s="2"/>
      <c r="H746" s="2"/>
      <c r="I746" s="2"/>
      <c r="J746" s="2"/>
      <c r="K746" s="2"/>
      <c r="L746" s="2"/>
      <c r="M746" s="2"/>
      <c r="N746" s="2"/>
      <c r="O746" s="2"/>
      <c r="P746" s="2"/>
      <c r="Q746" s="2"/>
      <c r="R746" s="2"/>
      <c r="S746" s="2"/>
      <c r="T746" s="2"/>
      <c r="U746" s="2"/>
      <c r="V746" s="2"/>
      <c r="W746" s="2"/>
      <c r="X746" s="2"/>
    </row>
    <row r="747">
      <c r="A747" s="116"/>
      <c r="B747" s="44"/>
      <c r="C747" s="2"/>
      <c r="D747" s="2"/>
      <c r="E747" s="2"/>
      <c r="F747" s="2"/>
      <c r="G747" s="2"/>
      <c r="H747" s="2"/>
      <c r="I747" s="2"/>
      <c r="J747" s="2"/>
      <c r="K747" s="2"/>
      <c r="L747" s="2"/>
      <c r="M747" s="2"/>
      <c r="N747" s="2"/>
      <c r="O747" s="2"/>
      <c r="P747" s="2"/>
      <c r="Q747" s="2"/>
      <c r="R747" s="2"/>
      <c r="S747" s="2"/>
      <c r="T747" s="2"/>
      <c r="U747" s="2"/>
      <c r="V747" s="2"/>
      <c r="W747" s="2"/>
      <c r="X747" s="2"/>
    </row>
    <row r="748">
      <c r="A748" s="116"/>
      <c r="B748" s="44"/>
      <c r="C748" s="2"/>
      <c r="D748" s="2"/>
      <c r="E748" s="2"/>
      <c r="F748" s="2"/>
      <c r="G748" s="2"/>
      <c r="H748" s="2"/>
      <c r="I748" s="2"/>
      <c r="J748" s="2"/>
      <c r="K748" s="2"/>
      <c r="L748" s="2"/>
      <c r="M748" s="2"/>
      <c r="N748" s="2"/>
      <c r="O748" s="2"/>
      <c r="P748" s="2"/>
      <c r="Q748" s="2"/>
      <c r="R748" s="2"/>
      <c r="S748" s="2"/>
      <c r="T748" s="2"/>
      <c r="U748" s="2"/>
      <c r="V748" s="2"/>
      <c r="W748" s="2"/>
      <c r="X748" s="2"/>
    </row>
    <row r="749">
      <c r="A749" s="116"/>
      <c r="B749" s="44"/>
      <c r="C749" s="2"/>
      <c r="D749" s="2"/>
      <c r="E749" s="2"/>
      <c r="F749" s="2"/>
      <c r="G749" s="2"/>
      <c r="H749" s="2"/>
      <c r="I749" s="2"/>
      <c r="J749" s="2"/>
      <c r="K749" s="2"/>
      <c r="L749" s="2"/>
      <c r="M749" s="2"/>
      <c r="N749" s="2"/>
      <c r="O749" s="2"/>
      <c r="P749" s="2"/>
      <c r="Q749" s="2"/>
      <c r="R749" s="2"/>
      <c r="S749" s="2"/>
      <c r="T749" s="2"/>
      <c r="U749" s="2"/>
      <c r="V749" s="2"/>
      <c r="W749" s="2"/>
      <c r="X749" s="2"/>
    </row>
    <row r="750">
      <c r="A750" s="116"/>
      <c r="B750" s="44"/>
      <c r="C750" s="2"/>
      <c r="D750" s="2"/>
      <c r="E750" s="2"/>
      <c r="F750" s="2"/>
      <c r="G750" s="2"/>
      <c r="H750" s="2"/>
      <c r="I750" s="2"/>
      <c r="J750" s="2"/>
      <c r="K750" s="2"/>
      <c r="L750" s="2"/>
      <c r="M750" s="2"/>
      <c r="N750" s="2"/>
      <c r="O750" s="2"/>
      <c r="P750" s="2"/>
      <c r="Q750" s="2"/>
      <c r="R750" s="2"/>
      <c r="S750" s="2"/>
      <c r="T750" s="2"/>
      <c r="U750" s="2"/>
      <c r="V750" s="2"/>
      <c r="W750" s="2"/>
      <c r="X750" s="2"/>
    </row>
    <row r="751">
      <c r="A751" s="116"/>
      <c r="B751" s="44"/>
      <c r="C751" s="2"/>
      <c r="D751" s="2"/>
      <c r="E751" s="2"/>
      <c r="F751" s="2"/>
      <c r="G751" s="2"/>
      <c r="H751" s="2"/>
      <c r="I751" s="2"/>
      <c r="J751" s="2"/>
      <c r="K751" s="2"/>
      <c r="L751" s="2"/>
      <c r="M751" s="2"/>
      <c r="N751" s="2"/>
      <c r="O751" s="2"/>
      <c r="P751" s="2"/>
      <c r="Q751" s="2"/>
      <c r="R751" s="2"/>
      <c r="S751" s="2"/>
      <c r="T751" s="2"/>
      <c r="U751" s="2"/>
      <c r="V751" s="2"/>
      <c r="W751" s="2"/>
      <c r="X751" s="2"/>
    </row>
    <row r="752">
      <c r="A752" s="116"/>
      <c r="B752" s="44"/>
      <c r="C752" s="2"/>
      <c r="D752" s="2"/>
      <c r="E752" s="2"/>
      <c r="F752" s="2"/>
      <c r="G752" s="2"/>
      <c r="H752" s="2"/>
      <c r="I752" s="2"/>
      <c r="J752" s="2"/>
      <c r="K752" s="2"/>
      <c r="L752" s="2"/>
      <c r="M752" s="2"/>
      <c r="N752" s="2"/>
      <c r="O752" s="2"/>
      <c r="P752" s="2"/>
      <c r="Q752" s="2"/>
      <c r="R752" s="2"/>
      <c r="S752" s="2"/>
      <c r="T752" s="2"/>
      <c r="U752" s="2"/>
      <c r="V752" s="2"/>
      <c r="W752" s="2"/>
      <c r="X752" s="2"/>
    </row>
    <row r="753">
      <c r="A753" s="116"/>
      <c r="B753" s="44"/>
      <c r="C753" s="2"/>
      <c r="D753" s="2"/>
      <c r="E753" s="2"/>
      <c r="F753" s="2"/>
      <c r="G753" s="2"/>
      <c r="H753" s="2"/>
      <c r="I753" s="2"/>
      <c r="J753" s="2"/>
      <c r="K753" s="2"/>
      <c r="L753" s="2"/>
      <c r="M753" s="2"/>
      <c r="N753" s="2"/>
      <c r="O753" s="2"/>
      <c r="P753" s="2"/>
      <c r="Q753" s="2"/>
      <c r="R753" s="2"/>
      <c r="S753" s="2"/>
      <c r="T753" s="2"/>
      <c r="U753" s="2"/>
      <c r="V753" s="2"/>
      <c r="W753" s="2"/>
      <c r="X753" s="2"/>
    </row>
    <row r="754">
      <c r="A754" s="116"/>
      <c r="B754" s="44"/>
      <c r="C754" s="2"/>
      <c r="D754" s="2"/>
      <c r="E754" s="2"/>
      <c r="F754" s="2"/>
      <c r="G754" s="2"/>
      <c r="H754" s="2"/>
      <c r="I754" s="2"/>
      <c r="J754" s="2"/>
      <c r="K754" s="2"/>
      <c r="L754" s="2"/>
      <c r="M754" s="2"/>
      <c r="N754" s="2"/>
      <c r="O754" s="2"/>
      <c r="P754" s="2"/>
      <c r="Q754" s="2"/>
      <c r="R754" s="2"/>
      <c r="S754" s="2"/>
      <c r="T754" s="2"/>
      <c r="U754" s="2"/>
      <c r="V754" s="2"/>
      <c r="W754" s="2"/>
      <c r="X754" s="2"/>
    </row>
    <row r="755">
      <c r="A755" s="116"/>
      <c r="B755" s="44"/>
      <c r="C755" s="2"/>
      <c r="D755" s="2"/>
      <c r="E755" s="2"/>
      <c r="F755" s="2"/>
      <c r="G755" s="2"/>
      <c r="H755" s="2"/>
      <c r="I755" s="2"/>
      <c r="J755" s="2"/>
      <c r="K755" s="2"/>
      <c r="L755" s="2"/>
      <c r="M755" s="2"/>
      <c r="N755" s="2"/>
      <c r="O755" s="2"/>
      <c r="P755" s="2"/>
      <c r="Q755" s="2"/>
      <c r="R755" s="2"/>
      <c r="S755" s="2"/>
      <c r="T755" s="2"/>
      <c r="U755" s="2"/>
      <c r="V755" s="2"/>
      <c r="W755" s="2"/>
      <c r="X755" s="2"/>
    </row>
    <row r="756">
      <c r="A756" s="116"/>
      <c r="B756" s="44"/>
      <c r="C756" s="2"/>
      <c r="D756" s="2"/>
      <c r="E756" s="2"/>
      <c r="F756" s="2"/>
      <c r="G756" s="2"/>
      <c r="H756" s="2"/>
      <c r="I756" s="2"/>
      <c r="J756" s="2"/>
      <c r="K756" s="2"/>
      <c r="L756" s="2"/>
      <c r="M756" s="2"/>
      <c r="N756" s="2"/>
      <c r="O756" s="2"/>
      <c r="P756" s="2"/>
      <c r="Q756" s="2"/>
      <c r="R756" s="2"/>
      <c r="S756" s="2"/>
      <c r="T756" s="2"/>
      <c r="U756" s="2"/>
      <c r="V756" s="2"/>
      <c r="W756" s="2"/>
      <c r="X756" s="2"/>
    </row>
    <row r="757">
      <c r="A757" s="116"/>
      <c r="B757" s="44"/>
      <c r="C757" s="2"/>
      <c r="D757" s="2"/>
      <c r="E757" s="2"/>
      <c r="F757" s="2"/>
      <c r="G757" s="2"/>
      <c r="H757" s="2"/>
      <c r="I757" s="2"/>
      <c r="J757" s="2"/>
      <c r="K757" s="2"/>
      <c r="L757" s="2"/>
      <c r="M757" s="2"/>
      <c r="N757" s="2"/>
      <c r="O757" s="2"/>
      <c r="P757" s="2"/>
      <c r="Q757" s="2"/>
      <c r="R757" s="2"/>
      <c r="S757" s="2"/>
      <c r="T757" s="2"/>
      <c r="U757" s="2"/>
      <c r="V757" s="2"/>
      <c r="W757" s="2"/>
      <c r="X757" s="2"/>
    </row>
    <row r="758">
      <c r="A758" s="116"/>
      <c r="B758" s="44"/>
      <c r="C758" s="2"/>
      <c r="D758" s="2"/>
      <c r="E758" s="2"/>
      <c r="F758" s="2"/>
      <c r="G758" s="2"/>
      <c r="H758" s="2"/>
      <c r="I758" s="2"/>
      <c r="J758" s="2"/>
      <c r="K758" s="2"/>
      <c r="L758" s="2"/>
      <c r="M758" s="2"/>
      <c r="N758" s="2"/>
      <c r="O758" s="2"/>
      <c r="P758" s="2"/>
      <c r="Q758" s="2"/>
      <c r="R758" s="2"/>
      <c r="S758" s="2"/>
      <c r="T758" s="2"/>
      <c r="U758" s="2"/>
      <c r="V758" s="2"/>
      <c r="W758" s="2"/>
      <c r="X758" s="2"/>
    </row>
    <row r="759">
      <c r="A759" s="116"/>
      <c r="B759" s="44"/>
      <c r="C759" s="2"/>
      <c r="D759" s="2"/>
      <c r="E759" s="2"/>
      <c r="F759" s="2"/>
      <c r="G759" s="2"/>
      <c r="H759" s="2"/>
      <c r="I759" s="2"/>
      <c r="J759" s="2"/>
      <c r="K759" s="2"/>
      <c r="L759" s="2"/>
      <c r="M759" s="2"/>
      <c r="N759" s="2"/>
      <c r="O759" s="2"/>
      <c r="P759" s="2"/>
      <c r="Q759" s="2"/>
      <c r="R759" s="2"/>
      <c r="S759" s="2"/>
      <c r="T759" s="2"/>
      <c r="U759" s="2"/>
      <c r="V759" s="2"/>
      <c r="W759" s="2"/>
      <c r="X759" s="2"/>
    </row>
    <row r="760">
      <c r="A760" s="116"/>
      <c r="B760" s="44"/>
      <c r="C760" s="2"/>
      <c r="D760" s="2"/>
      <c r="E760" s="2"/>
      <c r="F760" s="2"/>
      <c r="G760" s="2"/>
      <c r="H760" s="2"/>
      <c r="I760" s="2"/>
      <c r="J760" s="2"/>
      <c r="K760" s="2"/>
      <c r="L760" s="2"/>
      <c r="M760" s="2"/>
      <c r="N760" s="2"/>
      <c r="O760" s="2"/>
      <c r="P760" s="2"/>
      <c r="Q760" s="2"/>
      <c r="R760" s="2"/>
      <c r="S760" s="2"/>
      <c r="T760" s="2"/>
      <c r="U760" s="2"/>
      <c r="V760" s="2"/>
      <c r="W760" s="2"/>
      <c r="X760" s="2"/>
    </row>
    <row r="761">
      <c r="A761" s="116"/>
      <c r="B761" s="44"/>
      <c r="C761" s="2"/>
      <c r="D761" s="2"/>
      <c r="E761" s="2"/>
      <c r="F761" s="2"/>
      <c r="G761" s="2"/>
      <c r="H761" s="2"/>
      <c r="I761" s="2"/>
      <c r="J761" s="2"/>
      <c r="K761" s="2"/>
      <c r="L761" s="2"/>
      <c r="M761" s="2"/>
      <c r="N761" s="2"/>
      <c r="O761" s="2"/>
      <c r="P761" s="2"/>
      <c r="Q761" s="2"/>
      <c r="R761" s="2"/>
      <c r="S761" s="2"/>
      <c r="T761" s="2"/>
      <c r="U761" s="2"/>
      <c r="V761" s="2"/>
      <c r="W761" s="2"/>
      <c r="X761" s="2"/>
    </row>
    <row r="762">
      <c r="A762" s="116"/>
      <c r="B762" s="44"/>
      <c r="C762" s="2"/>
      <c r="D762" s="2"/>
      <c r="E762" s="2"/>
      <c r="F762" s="2"/>
      <c r="G762" s="2"/>
      <c r="H762" s="2"/>
      <c r="I762" s="2"/>
      <c r="J762" s="2"/>
      <c r="K762" s="2"/>
      <c r="L762" s="2"/>
      <c r="M762" s="2"/>
      <c r="N762" s="2"/>
      <c r="O762" s="2"/>
      <c r="P762" s="2"/>
      <c r="Q762" s="2"/>
      <c r="R762" s="2"/>
      <c r="S762" s="2"/>
      <c r="T762" s="2"/>
      <c r="U762" s="2"/>
      <c r="V762" s="2"/>
      <c r="W762" s="2"/>
      <c r="X762" s="2"/>
    </row>
    <row r="763">
      <c r="A763" s="116"/>
      <c r="B763" s="44"/>
      <c r="C763" s="2"/>
      <c r="D763" s="2"/>
      <c r="E763" s="2"/>
      <c r="F763" s="2"/>
      <c r="G763" s="2"/>
      <c r="H763" s="2"/>
      <c r="I763" s="2"/>
      <c r="J763" s="2"/>
      <c r="K763" s="2"/>
      <c r="L763" s="2"/>
      <c r="M763" s="2"/>
      <c r="N763" s="2"/>
      <c r="O763" s="2"/>
      <c r="P763" s="2"/>
      <c r="Q763" s="2"/>
      <c r="R763" s="2"/>
      <c r="S763" s="2"/>
      <c r="T763" s="2"/>
      <c r="U763" s="2"/>
      <c r="V763" s="2"/>
      <c r="W763" s="2"/>
      <c r="X763" s="2"/>
    </row>
    <row r="764">
      <c r="A764" s="116"/>
      <c r="B764" s="44"/>
      <c r="C764" s="2"/>
      <c r="D764" s="2"/>
      <c r="E764" s="2"/>
      <c r="F764" s="2"/>
      <c r="G764" s="2"/>
      <c r="H764" s="2"/>
      <c r="I764" s="2"/>
      <c r="J764" s="2"/>
      <c r="K764" s="2"/>
      <c r="L764" s="2"/>
      <c r="M764" s="2"/>
      <c r="N764" s="2"/>
      <c r="O764" s="2"/>
      <c r="P764" s="2"/>
      <c r="Q764" s="2"/>
      <c r="R764" s="2"/>
      <c r="S764" s="2"/>
      <c r="T764" s="2"/>
      <c r="U764" s="2"/>
      <c r="V764" s="2"/>
      <c r="W764" s="2"/>
      <c r="X764" s="2"/>
    </row>
    <row r="765">
      <c r="A765" s="116"/>
      <c r="B765" s="44"/>
      <c r="C765" s="2"/>
      <c r="D765" s="2"/>
      <c r="E765" s="2"/>
      <c r="F765" s="2"/>
      <c r="G765" s="2"/>
      <c r="H765" s="2"/>
      <c r="I765" s="2"/>
      <c r="J765" s="2"/>
      <c r="K765" s="2"/>
      <c r="L765" s="2"/>
      <c r="M765" s="2"/>
      <c r="N765" s="2"/>
      <c r="O765" s="2"/>
      <c r="P765" s="2"/>
      <c r="Q765" s="2"/>
      <c r="R765" s="2"/>
      <c r="S765" s="2"/>
      <c r="T765" s="2"/>
      <c r="U765" s="2"/>
      <c r="V765" s="2"/>
      <c r="W765" s="2"/>
      <c r="X765" s="2"/>
    </row>
    <row r="766">
      <c r="A766" s="116"/>
      <c r="B766" s="44"/>
      <c r="C766" s="2"/>
      <c r="D766" s="2"/>
      <c r="E766" s="2"/>
      <c r="F766" s="2"/>
      <c r="G766" s="2"/>
      <c r="H766" s="2"/>
      <c r="I766" s="2"/>
      <c r="J766" s="2"/>
      <c r="K766" s="2"/>
      <c r="L766" s="2"/>
      <c r="M766" s="2"/>
      <c r="N766" s="2"/>
      <c r="O766" s="2"/>
      <c r="P766" s="2"/>
      <c r="Q766" s="2"/>
      <c r="R766" s="2"/>
      <c r="S766" s="2"/>
      <c r="T766" s="2"/>
      <c r="U766" s="2"/>
      <c r="V766" s="2"/>
      <c r="W766" s="2"/>
      <c r="X766" s="2"/>
    </row>
    <row r="767">
      <c r="A767" s="116"/>
      <c r="B767" s="44"/>
      <c r="C767" s="2"/>
      <c r="D767" s="2"/>
      <c r="E767" s="2"/>
      <c r="F767" s="2"/>
      <c r="G767" s="2"/>
      <c r="H767" s="2"/>
      <c r="I767" s="2"/>
      <c r="J767" s="2"/>
      <c r="K767" s="2"/>
      <c r="L767" s="2"/>
      <c r="M767" s="2"/>
      <c r="N767" s="2"/>
      <c r="O767" s="2"/>
      <c r="P767" s="2"/>
      <c r="Q767" s="2"/>
      <c r="R767" s="2"/>
      <c r="S767" s="2"/>
      <c r="T767" s="2"/>
      <c r="U767" s="2"/>
      <c r="V767" s="2"/>
      <c r="W767" s="2"/>
      <c r="X767" s="2"/>
    </row>
    <row r="768">
      <c r="A768" s="116"/>
      <c r="B768" s="44"/>
      <c r="C768" s="2"/>
      <c r="D768" s="2"/>
      <c r="E768" s="2"/>
      <c r="F768" s="2"/>
      <c r="G768" s="2"/>
      <c r="H768" s="2"/>
      <c r="I768" s="2"/>
      <c r="J768" s="2"/>
      <c r="K768" s="2"/>
      <c r="L768" s="2"/>
      <c r="M768" s="2"/>
      <c r="N768" s="2"/>
      <c r="O768" s="2"/>
      <c r="P768" s="2"/>
      <c r="Q768" s="2"/>
      <c r="R768" s="2"/>
      <c r="S768" s="2"/>
      <c r="T768" s="2"/>
      <c r="U768" s="2"/>
      <c r="V768" s="2"/>
      <c r="W768" s="2"/>
      <c r="X768" s="2"/>
    </row>
    <row r="769">
      <c r="A769" s="116"/>
      <c r="B769" s="44"/>
      <c r="C769" s="2"/>
      <c r="D769" s="2"/>
      <c r="E769" s="2"/>
      <c r="F769" s="2"/>
      <c r="G769" s="2"/>
      <c r="H769" s="2"/>
      <c r="I769" s="2"/>
      <c r="J769" s="2"/>
      <c r="K769" s="2"/>
      <c r="L769" s="2"/>
      <c r="M769" s="2"/>
      <c r="N769" s="2"/>
      <c r="O769" s="2"/>
      <c r="P769" s="2"/>
      <c r="Q769" s="2"/>
      <c r="R769" s="2"/>
      <c r="S769" s="2"/>
      <c r="T769" s="2"/>
      <c r="U769" s="2"/>
      <c r="V769" s="2"/>
      <c r="W769" s="2"/>
      <c r="X769" s="2"/>
    </row>
    <row r="770">
      <c r="A770" s="116"/>
      <c r="B770" s="44"/>
      <c r="C770" s="2"/>
      <c r="D770" s="2"/>
      <c r="E770" s="2"/>
      <c r="F770" s="2"/>
      <c r="G770" s="2"/>
      <c r="H770" s="2"/>
      <c r="I770" s="2"/>
      <c r="J770" s="2"/>
      <c r="K770" s="2"/>
      <c r="L770" s="2"/>
      <c r="M770" s="2"/>
      <c r="N770" s="2"/>
      <c r="O770" s="2"/>
      <c r="P770" s="2"/>
      <c r="Q770" s="2"/>
      <c r="R770" s="2"/>
      <c r="S770" s="2"/>
      <c r="T770" s="2"/>
      <c r="U770" s="2"/>
      <c r="V770" s="2"/>
      <c r="W770" s="2"/>
      <c r="X770" s="2"/>
    </row>
    <row r="771">
      <c r="A771" s="116"/>
      <c r="B771" s="44"/>
      <c r="C771" s="2"/>
      <c r="D771" s="2"/>
      <c r="E771" s="2"/>
      <c r="F771" s="2"/>
      <c r="G771" s="2"/>
      <c r="H771" s="2"/>
      <c r="I771" s="2"/>
      <c r="J771" s="2"/>
      <c r="K771" s="2"/>
      <c r="L771" s="2"/>
      <c r="M771" s="2"/>
      <c r="N771" s="2"/>
      <c r="O771" s="2"/>
      <c r="P771" s="2"/>
      <c r="Q771" s="2"/>
      <c r="R771" s="2"/>
      <c r="S771" s="2"/>
      <c r="T771" s="2"/>
      <c r="U771" s="2"/>
      <c r="V771" s="2"/>
      <c r="W771" s="2"/>
      <c r="X771" s="2"/>
    </row>
    <row r="772">
      <c r="A772" s="116"/>
      <c r="B772" s="44"/>
      <c r="C772" s="2"/>
      <c r="D772" s="2"/>
      <c r="E772" s="2"/>
      <c r="F772" s="2"/>
      <c r="G772" s="2"/>
      <c r="H772" s="2"/>
      <c r="I772" s="2"/>
      <c r="J772" s="2"/>
      <c r="K772" s="2"/>
      <c r="L772" s="2"/>
      <c r="M772" s="2"/>
      <c r="N772" s="2"/>
      <c r="O772" s="2"/>
      <c r="P772" s="2"/>
      <c r="Q772" s="2"/>
      <c r="R772" s="2"/>
      <c r="S772" s="2"/>
      <c r="T772" s="2"/>
      <c r="U772" s="2"/>
      <c r="V772" s="2"/>
      <c r="W772" s="2"/>
      <c r="X772" s="2"/>
    </row>
    <row r="773">
      <c r="A773" s="116"/>
      <c r="B773" s="44"/>
      <c r="C773" s="2"/>
      <c r="D773" s="2"/>
      <c r="E773" s="2"/>
      <c r="F773" s="2"/>
      <c r="G773" s="2"/>
      <c r="H773" s="2"/>
      <c r="I773" s="2"/>
      <c r="J773" s="2"/>
      <c r="K773" s="2"/>
      <c r="L773" s="2"/>
      <c r="M773" s="2"/>
      <c r="N773" s="2"/>
      <c r="O773" s="2"/>
      <c r="P773" s="2"/>
      <c r="Q773" s="2"/>
      <c r="R773" s="2"/>
      <c r="S773" s="2"/>
      <c r="T773" s="2"/>
      <c r="U773" s="2"/>
      <c r="V773" s="2"/>
      <c r="W773" s="2"/>
      <c r="X773" s="2"/>
    </row>
    <row r="774">
      <c r="A774" s="116"/>
      <c r="B774" s="44"/>
      <c r="C774" s="2"/>
      <c r="D774" s="2"/>
      <c r="E774" s="2"/>
      <c r="F774" s="2"/>
      <c r="G774" s="2"/>
      <c r="H774" s="2"/>
      <c r="I774" s="2"/>
      <c r="J774" s="2"/>
      <c r="K774" s="2"/>
      <c r="L774" s="2"/>
      <c r="M774" s="2"/>
      <c r="N774" s="2"/>
      <c r="O774" s="2"/>
      <c r="P774" s="2"/>
      <c r="Q774" s="2"/>
      <c r="R774" s="2"/>
      <c r="S774" s="2"/>
      <c r="T774" s="2"/>
      <c r="U774" s="2"/>
      <c r="V774" s="2"/>
      <c r="W774" s="2"/>
      <c r="X774" s="2"/>
    </row>
    <row r="775">
      <c r="A775" s="116"/>
      <c r="B775" s="44"/>
      <c r="C775" s="2"/>
      <c r="D775" s="2"/>
      <c r="E775" s="2"/>
      <c r="F775" s="2"/>
      <c r="G775" s="2"/>
      <c r="H775" s="2"/>
      <c r="I775" s="2"/>
      <c r="J775" s="2"/>
      <c r="K775" s="2"/>
      <c r="L775" s="2"/>
      <c r="M775" s="2"/>
      <c r="N775" s="2"/>
      <c r="O775" s="2"/>
      <c r="P775" s="2"/>
      <c r="Q775" s="2"/>
      <c r="R775" s="2"/>
      <c r="S775" s="2"/>
      <c r="T775" s="2"/>
      <c r="U775" s="2"/>
      <c r="V775" s="2"/>
      <c r="W775" s="2"/>
      <c r="X775" s="2"/>
    </row>
    <row r="776">
      <c r="A776" s="116"/>
      <c r="B776" s="44"/>
      <c r="C776" s="2"/>
      <c r="D776" s="2"/>
      <c r="E776" s="2"/>
      <c r="F776" s="2"/>
      <c r="G776" s="2"/>
      <c r="H776" s="2"/>
      <c r="I776" s="2"/>
      <c r="J776" s="2"/>
      <c r="K776" s="2"/>
      <c r="L776" s="2"/>
      <c r="M776" s="2"/>
      <c r="N776" s="2"/>
      <c r="O776" s="2"/>
      <c r="P776" s="2"/>
      <c r="Q776" s="2"/>
      <c r="R776" s="2"/>
      <c r="S776" s="2"/>
      <c r="T776" s="2"/>
      <c r="U776" s="2"/>
      <c r="V776" s="2"/>
      <c r="W776" s="2"/>
      <c r="X776" s="2"/>
    </row>
    <row r="777">
      <c r="A777" s="116"/>
      <c r="B777" s="44"/>
      <c r="C777" s="2"/>
      <c r="D777" s="2"/>
      <c r="E777" s="2"/>
      <c r="F777" s="2"/>
      <c r="G777" s="2"/>
      <c r="H777" s="2"/>
      <c r="I777" s="2"/>
      <c r="J777" s="2"/>
      <c r="K777" s="2"/>
      <c r="L777" s="2"/>
      <c r="M777" s="2"/>
      <c r="N777" s="2"/>
      <c r="O777" s="2"/>
      <c r="P777" s="2"/>
      <c r="Q777" s="2"/>
      <c r="R777" s="2"/>
      <c r="S777" s="2"/>
      <c r="T777" s="2"/>
      <c r="U777" s="2"/>
      <c r="V777" s="2"/>
      <c r="W777" s="2"/>
      <c r="X777" s="2"/>
    </row>
    <row r="778">
      <c r="A778" s="116"/>
      <c r="B778" s="44"/>
      <c r="C778" s="2"/>
      <c r="D778" s="2"/>
      <c r="E778" s="2"/>
      <c r="F778" s="2"/>
      <c r="G778" s="2"/>
      <c r="H778" s="2"/>
      <c r="I778" s="2"/>
      <c r="J778" s="2"/>
      <c r="K778" s="2"/>
      <c r="L778" s="2"/>
      <c r="M778" s="2"/>
      <c r="N778" s="2"/>
      <c r="O778" s="2"/>
      <c r="P778" s="2"/>
      <c r="Q778" s="2"/>
      <c r="R778" s="2"/>
      <c r="S778" s="2"/>
      <c r="T778" s="2"/>
      <c r="U778" s="2"/>
      <c r="V778" s="2"/>
      <c r="W778" s="2"/>
      <c r="X778" s="2"/>
    </row>
    <row r="779">
      <c r="A779" s="116"/>
      <c r="B779" s="44"/>
      <c r="C779" s="2"/>
      <c r="D779" s="2"/>
      <c r="E779" s="2"/>
      <c r="F779" s="2"/>
      <c r="G779" s="2"/>
      <c r="H779" s="2"/>
      <c r="I779" s="2"/>
      <c r="J779" s="2"/>
      <c r="K779" s="2"/>
      <c r="L779" s="2"/>
      <c r="M779" s="2"/>
      <c r="N779" s="2"/>
      <c r="O779" s="2"/>
      <c r="P779" s="2"/>
      <c r="Q779" s="2"/>
      <c r="R779" s="2"/>
      <c r="S779" s="2"/>
      <c r="T779" s="2"/>
      <c r="U779" s="2"/>
      <c r="V779" s="2"/>
      <c r="W779" s="2"/>
      <c r="X779" s="2"/>
    </row>
    <row r="780">
      <c r="A780" s="116"/>
      <c r="B780" s="44"/>
      <c r="C780" s="2"/>
      <c r="D780" s="2"/>
      <c r="E780" s="2"/>
      <c r="F780" s="2"/>
      <c r="G780" s="2"/>
      <c r="H780" s="2"/>
      <c r="I780" s="2"/>
      <c r="J780" s="2"/>
      <c r="K780" s="2"/>
      <c r="L780" s="2"/>
      <c r="M780" s="2"/>
      <c r="N780" s="2"/>
      <c r="O780" s="2"/>
      <c r="P780" s="2"/>
      <c r="Q780" s="2"/>
      <c r="R780" s="2"/>
      <c r="S780" s="2"/>
      <c r="T780" s="2"/>
      <c r="U780" s="2"/>
      <c r="V780" s="2"/>
      <c r="W780" s="2"/>
      <c r="X780" s="2"/>
    </row>
    <row r="781">
      <c r="A781" s="116"/>
      <c r="B781" s="44"/>
      <c r="C781" s="2"/>
      <c r="D781" s="2"/>
      <c r="E781" s="2"/>
      <c r="F781" s="2"/>
      <c r="G781" s="2"/>
      <c r="H781" s="2"/>
      <c r="I781" s="2"/>
      <c r="J781" s="2"/>
      <c r="K781" s="2"/>
      <c r="L781" s="2"/>
      <c r="M781" s="2"/>
      <c r="N781" s="2"/>
      <c r="O781" s="2"/>
      <c r="P781" s="2"/>
      <c r="Q781" s="2"/>
      <c r="R781" s="2"/>
      <c r="S781" s="2"/>
      <c r="T781" s="2"/>
      <c r="U781" s="2"/>
      <c r="V781" s="2"/>
      <c r="W781" s="2"/>
      <c r="X781" s="2"/>
    </row>
    <row r="782">
      <c r="A782" s="116"/>
      <c r="B782" s="44"/>
      <c r="C782" s="2"/>
      <c r="D782" s="2"/>
      <c r="E782" s="2"/>
      <c r="F782" s="2"/>
      <c r="G782" s="2"/>
      <c r="H782" s="2"/>
      <c r="I782" s="2"/>
      <c r="J782" s="2"/>
      <c r="K782" s="2"/>
      <c r="L782" s="2"/>
      <c r="M782" s="2"/>
      <c r="N782" s="2"/>
      <c r="O782" s="2"/>
      <c r="P782" s="2"/>
      <c r="Q782" s="2"/>
      <c r="R782" s="2"/>
      <c r="S782" s="2"/>
      <c r="T782" s="2"/>
      <c r="U782" s="2"/>
      <c r="V782" s="2"/>
      <c r="W782" s="2"/>
      <c r="X782" s="2"/>
    </row>
    <row r="783">
      <c r="A783" s="116"/>
      <c r="B783" s="44"/>
      <c r="C783" s="2"/>
      <c r="D783" s="2"/>
      <c r="E783" s="2"/>
      <c r="F783" s="2"/>
      <c r="G783" s="2"/>
      <c r="H783" s="2"/>
      <c r="I783" s="2"/>
      <c r="J783" s="2"/>
      <c r="K783" s="2"/>
      <c r="L783" s="2"/>
      <c r="M783" s="2"/>
      <c r="N783" s="2"/>
      <c r="O783" s="2"/>
      <c r="P783" s="2"/>
      <c r="Q783" s="2"/>
      <c r="R783" s="2"/>
      <c r="S783" s="2"/>
      <c r="T783" s="2"/>
      <c r="U783" s="2"/>
      <c r="V783" s="2"/>
      <c r="W783" s="2"/>
      <c r="X783" s="2"/>
    </row>
    <row r="784">
      <c r="A784" s="116"/>
      <c r="B784" s="44"/>
      <c r="C784" s="2"/>
      <c r="D784" s="2"/>
      <c r="E784" s="2"/>
      <c r="F784" s="2"/>
      <c r="G784" s="2"/>
      <c r="H784" s="2"/>
      <c r="I784" s="2"/>
      <c r="J784" s="2"/>
      <c r="K784" s="2"/>
      <c r="L784" s="2"/>
      <c r="M784" s="2"/>
      <c r="N784" s="2"/>
      <c r="O784" s="2"/>
      <c r="P784" s="2"/>
      <c r="Q784" s="2"/>
      <c r="R784" s="2"/>
      <c r="S784" s="2"/>
      <c r="T784" s="2"/>
      <c r="U784" s="2"/>
      <c r="V784" s="2"/>
      <c r="W784" s="2"/>
      <c r="X784" s="2"/>
    </row>
    <row r="785">
      <c r="A785" s="116"/>
      <c r="B785" s="44"/>
      <c r="C785" s="2"/>
      <c r="D785" s="2"/>
      <c r="E785" s="2"/>
      <c r="F785" s="2"/>
      <c r="G785" s="2"/>
      <c r="H785" s="2"/>
      <c r="I785" s="2"/>
      <c r="J785" s="2"/>
      <c r="K785" s="2"/>
      <c r="L785" s="2"/>
      <c r="M785" s="2"/>
      <c r="N785" s="2"/>
      <c r="O785" s="2"/>
      <c r="P785" s="2"/>
      <c r="Q785" s="2"/>
      <c r="R785" s="2"/>
      <c r="S785" s="2"/>
      <c r="T785" s="2"/>
      <c r="U785" s="2"/>
      <c r="V785" s="2"/>
      <c r="W785" s="2"/>
      <c r="X785" s="2"/>
    </row>
    <row r="786">
      <c r="A786" s="116"/>
      <c r="B786" s="44"/>
      <c r="C786" s="2"/>
      <c r="D786" s="2"/>
      <c r="E786" s="2"/>
      <c r="F786" s="2"/>
      <c r="G786" s="2"/>
      <c r="H786" s="2"/>
      <c r="I786" s="2"/>
      <c r="J786" s="2"/>
      <c r="K786" s="2"/>
      <c r="L786" s="2"/>
      <c r="M786" s="2"/>
      <c r="N786" s="2"/>
      <c r="O786" s="2"/>
      <c r="P786" s="2"/>
      <c r="Q786" s="2"/>
      <c r="R786" s="2"/>
      <c r="S786" s="2"/>
      <c r="T786" s="2"/>
      <c r="U786" s="2"/>
      <c r="V786" s="2"/>
      <c r="W786" s="2"/>
      <c r="X786" s="2"/>
    </row>
    <row r="787">
      <c r="A787" s="116"/>
      <c r="B787" s="44"/>
      <c r="C787" s="2"/>
      <c r="D787" s="2"/>
      <c r="E787" s="2"/>
      <c r="F787" s="2"/>
      <c r="G787" s="2"/>
      <c r="H787" s="2"/>
      <c r="I787" s="2"/>
      <c r="J787" s="2"/>
      <c r="K787" s="2"/>
      <c r="L787" s="2"/>
      <c r="M787" s="2"/>
      <c r="N787" s="2"/>
      <c r="O787" s="2"/>
      <c r="P787" s="2"/>
      <c r="Q787" s="2"/>
      <c r="R787" s="2"/>
      <c r="S787" s="2"/>
      <c r="T787" s="2"/>
      <c r="U787" s="2"/>
      <c r="V787" s="2"/>
      <c r="W787" s="2"/>
      <c r="X787" s="2"/>
    </row>
    <row r="788">
      <c r="A788" s="116"/>
      <c r="B788" s="44"/>
      <c r="C788" s="2"/>
      <c r="D788" s="2"/>
      <c r="E788" s="2"/>
      <c r="F788" s="2"/>
      <c r="G788" s="2"/>
      <c r="H788" s="2"/>
      <c r="I788" s="2"/>
      <c r="J788" s="2"/>
      <c r="K788" s="2"/>
      <c r="L788" s="2"/>
      <c r="M788" s="2"/>
      <c r="N788" s="2"/>
      <c r="O788" s="2"/>
      <c r="P788" s="2"/>
      <c r="Q788" s="2"/>
      <c r="R788" s="2"/>
      <c r="S788" s="2"/>
      <c r="T788" s="2"/>
      <c r="U788" s="2"/>
      <c r="V788" s="2"/>
      <c r="W788" s="2"/>
      <c r="X788" s="2"/>
    </row>
    <row r="789">
      <c r="A789" s="116"/>
      <c r="B789" s="44"/>
      <c r="C789" s="2"/>
      <c r="D789" s="2"/>
      <c r="E789" s="2"/>
      <c r="F789" s="2"/>
      <c r="G789" s="2"/>
      <c r="H789" s="2"/>
      <c r="I789" s="2"/>
      <c r="J789" s="2"/>
      <c r="K789" s="2"/>
      <c r="L789" s="2"/>
      <c r="M789" s="2"/>
      <c r="N789" s="2"/>
      <c r="O789" s="2"/>
      <c r="P789" s="2"/>
      <c r="Q789" s="2"/>
      <c r="R789" s="2"/>
      <c r="S789" s="2"/>
      <c r="T789" s="2"/>
      <c r="U789" s="2"/>
      <c r="V789" s="2"/>
      <c r="W789" s="2"/>
      <c r="X789" s="2"/>
    </row>
    <row r="790">
      <c r="A790" s="116"/>
      <c r="B790" s="44"/>
      <c r="C790" s="2"/>
      <c r="D790" s="2"/>
      <c r="E790" s="2"/>
      <c r="F790" s="2"/>
      <c r="G790" s="2"/>
      <c r="H790" s="2"/>
      <c r="I790" s="2"/>
      <c r="J790" s="2"/>
      <c r="K790" s="2"/>
      <c r="L790" s="2"/>
      <c r="M790" s="2"/>
      <c r="N790" s="2"/>
      <c r="O790" s="2"/>
      <c r="P790" s="2"/>
      <c r="Q790" s="2"/>
      <c r="R790" s="2"/>
      <c r="S790" s="2"/>
      <c r="T790" s="2"/>
      <c r="U790" s="2"/>
      <c r="V790" s="2"/>
      <c r="W790" s="2"/>
      <c r="X790" s="2"/>
    </row>
    <row r="791">
      <c r="A791" s="116"/>
      <c r="B791" s="44"/>
      <c r="C791" s="2"/>
      <c r="D791" s="2"/>
      <c r="E791" s="2"/>
      <c r="F791" s="2"/>
      <c r="G791" s="2"/>
      <c r="H791" s="2"/>
      <c r="I791" s="2"/>
      <c r="J791" s="2"/>
      <c r="K791" s="2"/>
      <c r="L791" s="2"/>
      <c r="M791" s="2"/>
      <c r="N791" s="2"/>
      <c r="O791" s="2"/>
      <c r="P791" s="2"/>
      <c r="Q791" s="2"/>
      <c r="R791" s="2"/>
      <c r="S791" s="2"/>
      <c r="T791" s="2"/>
      <c r="U791" s="2"/>
      <c r="V791" s="2"/>
      <c r="W791" s="2"/>
      <c r="X791" s="2"/>
    </row>
    <row r="792">
      <c r="A792" s="116"/>
      <c r="B792" s="44"/>
      <c r="C792" s="2"/>
      <c r="D792" s="2"/>
      <c r="E792" s="2"/>
      <c r="F792" s="2"/>
      <c r="G792" s="2"/>
      <c r="H792" s="2"/>
      <c r="I792" s="2"/>
      <c r="J792" s="2"/>
      <c r="K792" s="2"/>
      <c r="L792" s="2"/>
      <c r="M792" s="2"/>
      <c r="N792" s="2"/>
      <c r="O792" s="2"/>
      <c r="P792" s="2"/>
      <c r="Q792" s="2"/>
      <c r="R792" s="2"/>
      <c r="S792" s="2"/>
      <c r="T792" s="2"/>
      <c r="U792" s="2"/>
      <c r="V792" s="2"/>
      <c r="W792" s="2"/>
      <c r="X792" s="2"/>
    </row>
    <row r="793">
      <c r="A793" s="116"/>
      <c r="B793" s="44"/>
      <c r="C793" s="2"/>
      <c r="D793" s="2"/>
      <c r="E793" s="2"/>
      <c r="F793" s="2"/>
      <c r="G793" s="2"/>
      <c r="H793" s="2"/>
      <c r="I793" s="2"/>
      <c r="J793" s="2"/>
      <c r="K793" s="2"/>
      <c r="L793" s="2"/>
      <c r="M793" s="2"/>
      <c r="N793" s="2"/>
      <c r="O793" s="2"/>
      <c r="P793" s="2"/>
      <c r="Q793" s="2"/>
      <c r="R793" s="2"/>
      <c r="S793" s="2"/>
      <c r="T793" s="2"/>
      <c r="U793" s="2"/>
      <c r="V793" s="2"/>
      <c r="W793" s="2"/>
      <c r="X793" s="2"/>
    </row>
    <row r="794">
      <c r="A794" s="116"/>
      <c r="B794" s="44"/>
      <c r="C794" s="2"/>
      <c r="D794" s="2"/>
      <c r="E794" s="2"/>
      <c r="F794" s="2"/>
      <c r="G794" s="2"/>
      <c r="H794" s="2"/>
      <c r="I794" s="2"/>
      <c r="J794" s="2"/>
      <c r="K794" s="2"/>
      <c r="L794" s="2"/>
      <c r="M794" s="2"/>
      <c r="N794" s="2"/>
      <c r="O794" s="2"/>
      <c r="P794" s="2"/>
      <c r="Q794" s="2"/>
      <c r="R794" s="2"/>
      <c r="S794" s="2"/>
      <c r="T794" s="2"/>
      <c r="U794" s="2"/>
      <c r="V794" s="2"/>
      <c r="W794" s="2"/>
      <c r="X794" s="2"/>
    </row>
    <row r="795">
      <c r="A795" s="116"/>
      <c r="B795" s="44"/>
      <c r="C795" s="2"/>
      <c r="D795" s="2"/>
      <c r="E795" s="2"/>
      <c r="F795" s="2"/>
      <c r="G795" s="2"/>
      <c r="H795" s="2"/>
      <c r="I795" s="2"/>
      <c r="J795" s="2"/>
      <c r="K795" s="2"/>
      <c r="L795" s="2"/>
      <c r="M795" s="2"/>
      <c r="N795" s="2"/>
      <c r="O795" s="2"/>
      <c r="P795" s="2"/>
      <c r="Q795" s="2"/>
      <c r="R795" s="2"/>
      <c r="S795" s="2"/>
      <c r="T795" s="2"/>
      <c r="U795" s="2"/>
      <c r="V795" s="2"/>
      <c r="W795" s="2"/>
      <c r="X795" s="2"/>
    </row>
    <row r="796">
      <c r="A796" s="116"/>
      <c r="B796" s="44"/>
      <c r="C796" s="2"/>
      <c r="D796" s="2"/>
      <c r="E796" s="2"/>
      <c r="F796" s="2"/>
      <c r="G796" s="2"/>
      <c r="H796" s="2"/>
      <c r="I796" s="2"/>
      <c r="J796" s="2"/>
      <c r="K796" s="2"/>
      <c r="L796" s="2"/>
      <c r="M796" s="2"/>
      <c r="N796" s="2"/>
      <c r="O796" s="2"/>
      <c r="P796" s="2"/>
      <c r="Q796" s="2"/>
      <c r="R796" s="2"/>
      <c r="S796" s="2"/>
      <c r="T796" s="2"/>
      <c r="U796" s="2"/>
      <c r="V796" s="2"/>
      <c r="W796" s="2"/>
      <c r="X796" s="2"/>
    </row>
    <row r="797">
      <c r="A797" s="116"/>
      <c r="B797" s="44"/>
      <c r="C797" s="2"/>
      <c r="D797" s="2"/>
      <c r="E797" s="2"/>
      <c r="F797" s="2"/>
      <c r="G797" s="2"/>
      <c r="H797" s="2"/>
      <c r="I797" s="2"/>
      <c r="J797" s="2"/>
      <c r="K797" s="2"/>
      <c r="L797" s="2"/>
      <c r="M797" s="2"/>
      <c r="N797" s="2"/>
      <c r="O797" s="2"/>
      <c r="P797" s="2"/>
      <c r="Q797" s="2"/>
      <c r="R797" s="2"/>
      <c r="S797" s="2"/>
      <c r="T797" s="2"/>
      <c r="U797" s="2"/>
      <c r="V797" s="2"/>
      <c r="W797" s="2"/>
      <c r="X797" s="2"/>
    </row>
    <row r="798">
      <c r="A798" s="116"/>
      <c r="B798" s="44"/>
      <c r="C798" s="2"/>
      <c r="D798" s="2"/>
      <c r="E798" s="2"/>
      <c r="F798" s="2"/>
      <c r="G798" s="2"/>
      <c r="H798" s="2"/>
      <c r="I798" s="2"/>
      <c r="J798" s="2"/>
      <c r="K798" s="2"/>
      <c r="L798" s="2"/>
      <c r="M798" s="2"/>
      <c r="N798" s="2"/>
      <c r="O798" s="2"/>
      <c r="P798" s="2"/>
      <c r="Q798" s="2"/>
      <c r="R798" s="2"/>
      <c r="S798" s="2"/>
      <c r="T798" s="2"/>
      <c r="U798" s="2"/>
      <c r="V798" s="2"/>
      <c r="W798" s="2"/>
      <c r="X798" s="2"/>
    </row>
    <row r="799">
      <c r="A799" s="116"/>
      <c r="B799" s="44"/>
      <c r="C799" s="2"/>
      <c r="D799" s="2"/>
      <c r="E799" s="2"/>
      <c r="F799" s="2"/>
      <c r="G799" s="2"/>
      <c r="H799" s="2"/>
      <c r="I799" s="2"/>
      <c r="J799" s="2"/>
      <c r="K799" s="2"/>
      <c r="L799" s="2"/>
      <c r="M799" s="2"/>
      <c r="N799" s="2"/>
      <c r="O799" s="2"/>
      <c r="P799" s="2"/>
      <c r="Q799" s="2"/>
      <c r="R799" s="2"/>
      <c r="S799" s="2"/>
      <c r="T799" s="2"/>
      <c r="U799" s="2"/>
      <c r="V799" s="2"/>
      <c r="W799" s="2"/>
      <c r="X799" s="2"/>
    </row>
    <row r="800">
      <c r="A800" s="116"/>
      <c r="B800" s="44"/>
      <c r="C800" s="2"/>
      <c r="D800" s="2"/>
      <c r="E800" s="2"/>
      <c r="F800" s="2"/>
      <c r="G800" s="2"/>
      <c r="H800" s="2"/>
      <c r="I800" s="2"/>
      <c r="J800" s="2"/>
      <c r="K800" s="2"/>
      <c r="L800" s="2"/>
      <c r="M800" s="2"/>
      <c r="N800" s="2"/>
      <c r="O800" s="2"/>
      <c r="P800" s="2"/>
      <c r="Q800" s="2"/>
      <c r="R800" s="2"/>
      <c r="S800" s="2"/>
      <c r="T800" s="2"/>
      <c r="U800" s="2"/>
      <c r="V800" s="2"/>
      <c r="W800" s="2"/>
      <c r="X800" s="2"/>
    </row>
    <row r="801">
      <c r="A801" s="116"/>
      <c r="B801" s="44"/>
      <c r="C801" s="2"/>
      <c r="D801" s="2"/>
      <c r="E801" s="2"/>
      <c r="F801" s="2"/>
      <c r="G801" s="2"/>
      <c r="H801" s="2"/>
      <c r="I801" s="2"/>
      <c r="J801" s="2"/>
      <c r="K801" s="2"/>
      <c r="L801" s="2"/>
      <c r="M801" s="2"/>
      <c r="N801" s="2"/>
      <c r="O801" s="2"/>
      <c r="P801" s="2"/>
      <c r="Q801" s="2"/>
      <c r="R801" s="2"/>
      <c r="S801" s="2"/>
      <c r="T801" s="2"/>
      <c r="U801" s="2"/>
      <c r="V801" s="2"/>
      <c r="W801" s="2"/>
      <c r="X801" s="2"/>
    </row>
    <row r="802">
      <c r="A802" s="116"/>
      <c r="B802" s="44"/>
      <c r="C802" s="2"/>
      <c r="D802" s="2"/>
      <c r="E802" s="2"/>
      <c r="F802" s="2"/>
      <c r="G802" s="2"/>
      <c r="H802" s="2"/>
      <c r="I802" s="2"/>
      <c r="J802" s="2"/>
      <c r="K802" s="2"/>
      <c r="L802" s="2"/>
      <c r="M802" s="2"/>
      <c r="N802" s="2"/>
      <c r="O802" s="2"/>
      <c r="P802" s="2"/>
      <c r="Q802" s="2"/>
      <c r="R802" s="2"/>
      <c r="S802" s="2"/>
      <c r="T802" s="2"/>
      <c r="U802" s="2"/>
      <c r="V802" s="2"/>
      <c r="W802" s="2"/>
      <c r="X802" s="2"/>
    </row>
    <row r="803">
      <c r="A803" s="116"/>
      <c r="B803" s="44"/>
      <c r="C803" s="2"/>
      <c r="D803" s="2"/>
      <c r="E803" s="2"/>
      <c r="F803" s="2"/>
      <c r="G803" s="2"/>
      <c r="H803" s="2"/>
      <c r="I803" s="2"/>
      <c r="J803" s="2"/>
      <c r="K803" s="2"/>
      <c r="L803" s="2"/>
      <c r="M803" s="2"/>
      <c r="N803" s="2"/>
      <c r="O803" s="2"/>
      <c r="P803" s="2"/>
      <c r="Q803" s="2"/>
      <c r="R803" s="2"/>
      <c r="S803" s="2"/>
      <c r="T803" s="2"/>
      <c r="U803" s="2"/>
      <c r="V803" s="2"/>
      <c r="W803" s="2"/>
      <c r="X803" s="2"/>
    </row>
    <row r="804">
      <c r="A804" s="116"/>
      <c r="B804" s="44"/>
      <c r="C804" s="2"/>
      <c r="D804" s="2"/>
      <c r="E804" s="2"/>
      <c r="F804" s="2"/>
      <c r="G804" s="2"/>
      <c r="H804" s="2"/>
      <c r="I804" s="2"/>
      <c r="J804" s="2"/>
      <c r="K804" s="2"/>
      <c r="L804" s="2"/>
      <c r="M804" s="2"/>
      <c r="N804" s="2"/>
      <c r="O804" s="2"/>
      <c r="P804" s="2"/>
      <c r="Q804" s="2"/>
      <c r="R804" s="2"/>
      <c r="S804" s="2"/>
      <c r="T804" s="2"/>
      <c r="U804" s="2"/>
      <c r="V804" s="2"/>
      <c r="W804" s="2"/>
      <c r="X804" s="2"/>
    </row>
    <row r="805">
      <c r="A805" s="116"/>
      <c r="B805" s="44"/>
      <c r="C805" s="2"/>
      <c r="D805" s="2"/>
      <c r="E805" s="2"/>
      <c r="F805" s="2"/>
      <c r="G805" s="2"/>
      <c r="H805" s="2"/>
      <c r="I805" s="2"/>
      <c r="J805" s="2"/>
      <c r="K805" s="2"/>
      <c r="L805" s="2"/>
      <c r="M805" s="2"/>
      <c r="N805" s="2"/>
      <c r="O805" s="2"/>
      <c r="P805" s="2"/>
      <c r="Q805" s="2"/>
      <c r="R805" s="2"/>
      <c r="S805" s="2"/>
      <c r="T805" s="2"/>
      <c r="U805" s="2"/>
      <c r="V805" s="2"/>
      <c r="W805" s="2"/>
      <c r="X805" s="2"/>
    </row>
    <row r="806">
      <c r="A806" s="116"/>
      <c r="B806" s="44"/>
      <c r="C806" s="2"/>
      <c r="D806" s="2"/>
      <c r="E806" s="2"/>
      <c r="F806" s="2"/>
      <c r="G806" s="2"/>
      <c r="H806" s="2"/>
      <c r="I806" s="2"/>
      <c r="J806" s="2"/>
      <c r="K806" s="2"/>
      <c r="L806" s="2"/>
      <c r="M806" s="2"/>
      <c r="N806" s="2"/>
      <c r="O806" s="2"/>
      <c r="P806" s="2"/>
      <c r="Q806" s="2"/>
      <c r="R806" s="2"/>
      <c r="S806" s="2"/>
      <c r="T806" s="2"/>
      <c r="U806" s="2"/>
      <c r="V806" s="2"/>
      <c r="W806" s="2"/>
      <c r="X806" s="2"/>
    </row>
    <row r="807">
      <c r="A807" s="116"/>
      <c r="B807" s="44"/>
      <c r="C807" s="2"/>
      <c r="D807" s="2"/>
      <c r="E807" s="2"/>
      <c r="F807" s="2"/>
      <c r="G807" s="2"/>
      <c r="H807" s="2"/>
      <c r="I807" s="2"/>
      <c r="J807" s="2"/>
      <c r="K807" s="2"/>
      <c r="L807" s="2"/>
      <c r="M807" s="2"/>
      <c r="N807" s="2"/>
      <c r="O807" s="2"/>
      <c r="P807" s="2"/>
      <c r="Q807" s="2"/>
      <c r="R807" s="2"/>
      <c r="S807" s="2"/>
      <c r="T807" s="2"/>
      <c r="U807" s="2"/>
      <c r="V807" s="2"/>
      <c r="W807" s="2"/>
      <c r="X807" s="2"/>
    </row>
    <row r="808">
      <c r="A808" s="116"/>
      <c r="B808" s="44"/>
      <c r="C808" s="2"/>
      <c r="D808" s="2"/>
      <c r="E808" s="2"/>
      <c r="F808" s="2"/>
      <c r="G808" s="2"/>
      <c r="H808" s="2"/>
      <c r="I808" s="2"/>
      <c r="J808" s="2"/>
      <c r="K808" s="2"/>
      <c r="L808" s="2"/>
      <c r="M808" s="2"/>
      <c r="N808" s="2"/>
      <c r="O808" s="2"/>
      <c r="P808" s="2"/>
      <c r="Q808" s="2"/>
      <c r="R808" s="2"/>
      <c r="S808" s="2"/>
      <c r="T808" s="2"/>
      <c r="U808" s="2"/>
      <c r="V808" s="2"/>
      <c r="W808" s="2"/>
      <c r="X808" s="2"/>
    </row>
    <row r="809">
      <c r="A809" s="116"/>
      <c r="B809" s="44"/>
      <c r="C809" s="2"/>
      <c r="D809" s="2"/>
      <c r="E809" s="2"/>
      <c r="F809" s="2"/>
      <c r="G809" s="2"/>
      <c r="H809" s="2"/>
      <c r="I809" s="2"/>
      <c r="J809" s="2"/>
      <c r="K809" s="2"/>
      <c r="L809" s="2"/>
      <c r="M809" s="2"/>
      <c r="N809" s="2"/>
      <c r="O809" s="2"/>
      <c r="P809" s="2"/>
      <c r="Q809" s="2"/>
      <c r="R809" s="2"/>
      <c r="S809" s="2"/>
      <c r="T809" s="2"/>
      <c r="U809" s="2"/>
      <c r="V809" s="2"/>
      <c r="W809" s="2"/>
      <c r="X809" s="2"/>
    </row>
    <row r="810">
      <c r="A810" s="116"/>
      <c r="B810" s="44"/>
      <c r="C810" s="2"/>
      <c r="D810" s="2"/>
      <c r="E810" s="2"/>
      <c r="F810" s="2"/>
      <c r="G810" s="2"/>
      <c r="H810" s="2"/>
      <c r="I810" s="2"/>
      <c r="J810" s="2"/>
      <c r="K810" s="2"/>
      <c r="L810" s="2"/>
      <c r="M810" s="2"/>
      <c r="N810" s="2"/>
      <c r="O810" s="2"/>
      <c r="P810" s="2"/>
      <c r="Q810" s="2"/>
      <c r="R810" s="2"/>
      <c r="S810" s="2"/>
      <c r="T810" s="2"/>
      <c r="U810" s="2"/>
      <c r="V810" s="2"/>
      <c r="W810" s="2"/>
      <c r="X810" s="2"/>
    </row>
    <row r="811">
      <c r="A811" s="116"/>
      <c r="B811" s="44"/>
      <c r="C811" s="2"/>
      <c r="D811" s="2"/>
      <c r="E811" s="2"/>
      <c r="F811" s="2"/>
      <c r="G811" s="2"/>
      <c r="H811" s="2"/>
      <c r="I811" s="2"/>
      <c r="J811" s="2"/>
      <c r="K811" s="2"/>
      <c r="L811" s="2"/>
      <c r="M811" s="2"/>
      <c r="N811" s="2"/>
      <c r="O811" s="2"/>
      <c r="P811" s="2"/>
      <c r="Q811" s="2"/>
      <c r="R811" s="2"/>
      <c r="S811" s="2"/>
      <c r="T811" s="2"/>
      <c r="U811" s="2"/>
      <c r="V811" s="2"/>
      <c r="W811" s="2"/>
      <c r="X811" s="2"/>
    </row>
    <row r="812">
      <c r="A812" s="116"/>
      <c r="B812" s="44"/>
      <c r="C812" s="2"/>
      <c r="D812" s="2"/>
      <c r="E812" s="2"/>
      <c r="F812" s="2"/>
      <c r="G812" s="2"/>
      <c r="H812" s="2"/>
      <c r="I812" s="2"/>
      <c r="J812" s="2"/>
      <c r="K812" s="2"/>
      <c r="L812" s="2"/>
      <c r="M812" s="2"/>
      <c r="N812" s="2"/>
      <c r="O812" s="2"/>
      <c r="P812" s="2"/>
      <c r="Q812" s="2"/>
      <c r="R812" s="2"/>
      <c r="S812" s="2"/>
      <c r="T812" s="2"/>
      <c r="U812" s="2"/>
      <c r="V812" s="2"/>
      <c r="W812" s="2"/>
      <c r="X812" s="2"/>
    </row>
    <row r="813">
      <c r="A813" s="116"/>
      <c r="B813" s="44"/>
      <c r="C813" s="2"/>
      <c r="D813" s="2"/>
      <c r="E813" s="2"/>
      <c r="F813" s="2"/>
      <c r="G813" s="2"/>
      <c r="H813" s="2"/>
      <c r="I813" s="2"/>
      <c r="J813" s="2"/>
      <c r="K813" s="2"/>
      <c r="L813" s="2"/>
      <c r="M813" s="2"/>
      <c r="N813" s="2"/>
      <c r="O813" s="2"/>
      <c r="P813" s="2"/>
      <c r="Q813" s="2"/>
      <c r="R813" s="2"/>
      <c r="S813" s="2"/>
      <c r="T813" s="2"/>
      <c r="U813" s="2"/>
      <c r="V813" s="2"/>
      <c r="W813" s="2"/>
      <c r="X813" s="2"/>
    </row>
    <row r="814">
      <c r="A814" s="116"/>
      <c r="B814" s="44"/>
      <c r="C814" s="2"/>
      <c r="D814" s="2"/>
      <c r="E814" s="2"/>
      <c r="F814" s="2"/>
      <c r="G814" s="2"/>
      <c r="H814" s="2"/>
      <c r="I814" s="2"/>
      <c r="J814" s="2"/>
      <c r="K814" s="2"/>
      <c r="L814" s="2"/>
      <c r="M814" s="2"/>
      <c r="N814" s="2"/>
      <c r="O814" s="2"/>
      <c r="P814" s="2"/>
      <c r="Q814" s="2"/>
      <c r="R814" s="2"/>
      <c r="S814" s="2"/>
      <c r="T814" s="2"/>
      <c r="U814" s="2"/>
      <c r="V814" s="2"/>
      <c r="W814" s="2"/>
      <c r="X814" s="2"/>
    </row>
    <row r="815">
      <c r="A815" s="116"/>
      <c r="B815" s="44"/>
      <c r="C815" s="2"/>
      <c r="D815" s="2"/>
      <c r="E815" s="2"/>
      <c r="F815" s="2"/>
      <c r="G815" s="2"/>
      <c r="H815" s="2"/>
      <c r="I815" s="2"/>
      <c r="J815" s="2"/>
      <c r="K815" s="2"/>
      <c r="L815" s="2"/>
      <c r="M815" s="2"/>
      <c r="N815" s="2"/>
      <c r="O815" s="2"/>
      <c r="P815" s="2"/>
      <c r="Q815" s="2"/>
      <c r="R815" s="2"/>
      <c r="S815" s="2"/>
      <c r="T815" s="2"/>
      <c r="U815" s="2"/>
      <c r="V815" s="2"/>
      <c r="W815" s="2"/>
      <c r="X815" s="2"/>
    </row>
    <row r="816">
      <c r="A816" s="116"/>
      <c r="B816" s="44"/>
      <c r="C816" s="2"/>
      <c r="D816" s="2"/>
      <c r="E816" s="2"/>
      <c r="F816" s="2"/>
      <c r="G816" s="2"/>
      <c r="H816" s="2"/>
      <c r="I816" s="2"/>
      <c r="J816" s="2"/>
      <c r="K816" s="2"/>
      <c r="L816" s="2"/>
      <c r="M816" s="2"/>
      <c r="N816" s="2"/>
      <c r="O816" s="2"/>
      <c r="P816" s="2"/>
      <c r="Q816" s="2"/>
      <c r="R816" s="2"/>
      <c r="S816" s="2"/>
      <c r="T816" s="2"/>
      <c r="U816" s="2"/>
      <c r="V816" s="2"/>
      <c r="W816" s="2"/>
      <c r="X816" s="2"/>
    </row>
    <row r="817">
      <c r="A817" s="116"/>
      <c r="B817" s="44"/>
      <c r="C817" s="2"/>
      <c r="D817" s="2"/>
      <c r="E817" s="2"/>
      <c r="F817" s="2"/>
      <c r="G817" s="2"/>
      <c r="H817" s="2"/>
      <c r="I817" s="2"/>
      <c r="J817" s="2"/>
      <c r="K817" s="2"/>
      <c r="L817" s="2"/>
      <c r="M817" s="2"/>
      <c r="N817" s="2"/>
      <c r="O817" s="2"/>
      <c r="P817" s="2"/>
      <c r="Q817" s="2"/>
      <c r="R817" s="2"/>
      <c r="S817" s="2"/>
      <c r="T817" s="2"/>
      <c r="U817" s="2"/>
      <c r="V817" s="2"/>
      <c r="W817" s="2"/>
      <c r="X817" s="2"/>
    </row>
    <row r="818">
      <c r="A818" s="116"/>
      <c r="B818" s="44"/>
      <c r="C818" s="2"/>
      <c r="D818" s="2"/>
      <c r="E818" s="2"/>
      <c r="F818" s="2"/>
      <c r="G818" s="2"/>
      <c r="H818" s="2"/>
      <c r="I818" s="2"/>
      <c r="J818" s="2"/>
      <c r="K818" s="2"/>
      <c r="L818" s="2"/>
      <c r="M818" s="2"/>
      <c r="N818" s="2"/>
      <c r="O818" s="2"/>
      <c r="P818" s="2"/>
      <c r="Q818" s="2"/>
      <c r="R818" s="2"/>
      <c r="S818" s="2"/>
      <c r="T818" s="2"/>
      <c r="U818" s="2"/>
      <c r="V818" s="2"/>
      <c r="W818" s="2"/>
      <c r="X818" s="2"/>
    </row>
    <row r="819">
      <c r="A819" s="116"/>
      <c r="B819" s="44"/>
      <c r="C819" s="2"/>
      <c r="D819" s="2"/>
      <c r="E819" s="2"/>
      <c r="F819" s="2"/>
      <c r="G819" s="2"/>
      <c r="H819" s="2"/>
      <c r="I819" s="2"/>
      <c r="J819" s="2"/>
      <c r="K819" s="2"/>
      <c r="L819" s="2"/>
      <c r="M819" s="2"/>
      <c r="N819" s="2"/>
      <c r="O819" s="2"/>
      <c r="P819" s="2"/>
      <c r="Q819" s="2"/>
      <c r="R819" s="2"/>
      <c r="S819" s="2"/>
      <c r="T819" s="2"/>
      <c r="U819" s="2"/>
      <c r="V819" s="2"/>
      <c r="W819" s="2"/>
      <c r="X819" s="2"/>
    </row>
    <row r="820">
      <c r="A820" s="116"/>
      <c r="B820" s="44"/>
      <c r="C820" s="2"/>
      <c r="D820" s="2"/>
      <c r="E820" s="2"/>
      <c r="F820" s="2"/>
      <c r="G820" s="2"/>
      <c r="H820" s="2"/>
      <c r="I820" s="2"/>
      <c r="J820" s="2"/>
      <c r="K820" s="2"/>
      <c r="L820" s="2"/>
      <c r="M820" s="2"/>
      <c r="N820" s="2"/>
      <c r="O820" s="2"/>
      <c r="P820" s="2"/>
      <c r="Q820" s="2"/>
      <c r="R820" s="2"/>
      <c r="S820" s="2"/>
      <c r="T820" s="2"/>
      <c r="U820" s="2"/>
      <c r="V820" s="2"/>
      <c r="W820" s="2"/>
      <c r="X820" s="2"/>
    </row>
    <row r="821">
      <c r="A821" s="116"/>
      <c r="B821" s="44"/>
      <c r="C821" s="2"/>
      <c r="D821" s="2"/>
      <c r="E821" s="2"/>
      <c r="F821" s="2"/>
      <c r="G821" s="2"/>
      <c r="H821" s="2"/>
      <c r="I821" s="2"/>
      <c r="J821" s="2"/>
      <c r="K821" s="2"/>
      <c r="L821" s="2"/>
      <c r="M821" s="2"/>
      <c r="N821" s="2"/>
      <c r="O821" s="2"/>
      <c r="P821" s="2"/>
      <c r="Q821" s="2"/>
      <c r="R821" s="2"/>
      <c r="S821" s="2"/>
      <c r="T821" s="2"/>
      <c r="U821" s="2"/>
      <c r="V821" s="2"/>
      <c r="W821" s="2"/>
      <c r="X821" s="2"/>
    </row>
    <row r="822">
      <c r="A822" s="116"/>
      <c r="B822" s="44"/>
      <c r="C822" s="2"/>
      <c r="D822" s="2"/>
      <c r="E822" s="2"/>
      <c r="F822" s="2"/>
      <c r="G822" s="2"/>
      <c r="H822" s="2"/>
      <c r="I822" s="2"/>
      <c r="J822" s="2"/>
      <c r="K822" s="2"/>
      <c r="L822" s="2"/>
      <c r="M822" s="2"/>
      <c r="N822" s="2"/>
      <c r="O822" s="2"/>
      <c r="P822" s="2"/>
      <c r="Q822" s="2"/>
      <c r="R822" s="2"/>
      <c r="S822" s="2"/>
      <c r="T822" s="2"/>
      <c r="U822" s="2"/>
      <c r="V822" s="2"/>
      <c r="W822" s="2"/>
      <c r="X822" s="2"/>
    </row>
    <row r="823">
      <c r="A823" s="116"/>
      <c r="B823" s="44"/>
      <c r="C823" s="2"/>
      <c r="D823" s="2"/>
      <c r="E823" s="2"/>
      <c r="F823" s="2"/>
      <c r="G823" s="2"/>
      <c r="H823" s="2"/>
      <c r="I823" s="2"/>
      <c r="J823" s="2"/>
      <c r="K823" s="2"/>
      <c r="L823" s="2"/>
      <c r="M823" s="2"/>
      <c r="N823" s="2"/>
      <c r="O823" s="2"/>
      <c r="P823" s="2"/>
      <c r="Q823" s="2"/>
      <c r="R823" s="2"/>
      <c r="S823" s="2"/>
      <c r="T823" s="2"/>
      <c r="U823" s="2"/>
      <c r="V823" s="2"/>
      <c r="W823" s="2"/>
      <c r="X823" s="2"/>
    </row>
    <row r="824">
      <c r="A824" s="116"/>
      <c r="B824" s="44"/>
      <c r="C824" s="2"/>
      <c r="D824" s="2"/>
      <c r="E824" s="2"/>
      <c r="F824" s="2"/>
      <c r="G824" s="2"/>
      <c r="H824" s="2"/>
      <c r="I824" s="2"/>
      <c r="J824" s="2"/>
      <c r="K824" s="2"/>
      <c r="L824" s="2"/>
      <c r="M824" s="2"/>
      <c r="N824" s="2"/>
      <c r="O824" s="2"/>
      <c r="P824" s="2"/>
      <c r="Q824" s="2"/>
      <c r="R824" s="2"/>
      <c r="S824" s="2"/>
      <c r="T824" s="2"/>
      <c r="U824" s="2"/>
      <c r="V824" s="2"/>
      <c r="W824" s="2"/>
      <c r="X824" s="2"/>
    </row>
    <row r="825">
      <c r="A825" s="116"/>
      <c r="B825" s="44"/>
      <c r="C825" s="2"/>
      <c r="D825" s="2"/>
      <c r="E825" s="2"/>
      <c r="F825" s="2"/>
      <c r="G825" s="2"/>
      <c r="H825" s="2"/>
      <c r="I825" s="2"/>
      <c r="J825" s="2"/>
      <c r="K825" s="2"/>
      <c r="L825" s="2"/>
      <c r="M825" s="2"/>
      <c r="N825" s="2"/>
      <c r="O825" s="2"/>
      <c r="P825" s="2"/>
      <c r="Q825" s="2"/>
      <c r="R825" s="2"/>
      <c r="S825" s="2"/>
      <c r="T825" s="2"/>
      <c r="U825" s="2"/>
      <c r="V825" s="2"/>
      <c r="W825" s="2"/>
      <c r="X825" s="2"/>
    </row>
    <row r="826">
      <c r="A826" s="116"/>
      <c r="B826" s="44"/>
      <c r="C826" s="2"/>
      <c r="D826" s="2"/>
      <c r="E826" s="2"/>
      <c r="F826" s="2"/>
      <c r="G826" s="2"/>
      <c r="H826" s="2"/>
      <c r="I826" s="2"/>
      <c r="J826" s="2"/>
      <c r="K826" s="2"/>
      <c r="L826" s="2"/>
      <c r="M826" s="2"/>
      <c r="N826" s="2"/>
      <c r="O826" s="2"/>
      <c r="P826" s="2"/>
      <c r="Q826" s="2"/>
      <c r="R826" s="2"/>
      <c r="S826" s="2"/>
      <c r="T826" s="2"/>
      <c r="U826" s="2"/>
      <c r="V826" s="2"/>
      <c r="W826" s="2"/>
      <c r="X826" s="2"/>
    </row>
    <row r="827">
      <c r="A827" s="116"/>
      <c r="B827" s="44"/>
      <c r="C827" s="2"/>
      <c r="D827" s="2"/>
      <c r="E827" s="2"/>
      <c r="F827" s="2"/>
      <c r="G827" s="2"/>
      <c r="H827" s="2"/>
      <c r="I827" s="2"/>
      <c r="J827" s="2"/>
      <c r="K827" s="2"/>
      <c r="L827" s="2"/>
      <c r="M827" s="2"/>
      <c r="N827" s="2"/>
      <c r="O827" s="2"/>
      <c r="P827" s="2"/>
      <c r="Q827" s="2"/>
      <c r="R827" s="2"/>
      <c r="S827" s="2"/>
      <c r="T827" s="2"/>
      <c r="U827" s="2"/>
      <c r="V827" s="2"/>
      <c r="W827" s="2"/>
      <c r="X827" s="2"/>
    </row>
    <row r="828">
      <c r="A828" s="116"/>
      <c r="B828" s="44"/>
      <c r="C828" s="2"/>
      <c r="D828" s="2"/>
      <c r="E828" s="2"/>
      <c r="F828" s="2"/>
      <c r="G828" s="2"/>
      <c r="H828" s="2"/>
      <c r="I828" s="2"/>
      <c r="J828" s="2"/>
      <c r="K828" s="2"/>
      <c r="L828" s="2"/>
      <c r="M828" s="2"/>
      <c r="N828" s="2"/>
      <c r="O828" s="2"/>
      <c r="P828" s="2"/>
      <c r="Q828" s="2"/>
      <c r="R828" s="2"/>
      <c r="S828" s="2"/>
      <c r="T828" s="2"/>
      <c r="U828" s="2"/>
      <c r="V828" s="2"/>
      <c r="W828" s="2"/>
      <c r="X828" s="2"/>
    </row>
    <row r="829">
      <c r="A829" s="116"/>
      <c r="B829" s="44"/>
      <c r="C829" s="2"/>
      <c r="D829" s="2"/>
      <c r="E829" s="2"/>
      <c r="F829" s="2"/>
      <c r="G829" s="2"/>
      <c r="H829" s="2"/>
      <c r="I829" s="2"/>
      <c r="J829" s="2"/>
      <c r="K829" s="2"/>
      <c r="L829" s="2"/>
      <c r="M829" s="2"/>
      <c r="N829" s="2"/>
      <c r="O829" s="2"/>
      <c r="P829" s="2"/>
      <c r="Q829" s="2"/>
      <c r="R829" s="2"/>
      <c r="S829" s="2"/>
      <c r="T829" s="2"/>
      <c r="U829" s="2"/>
      <c r="V829" s="2"/>
      <c r="W829" s="2"/>
      <c r="X829" s="2"/>
    </row>
    <row r="830">
      <c r="A830" s="116"/>
      <c r="B830" s="44"/>
      <c r="C830" s="2"/>
      <c r="D830" s="2"/>
      <c r="E830" s="2"/>
      <c r="F830" s="2"/>
      <c r="G830" s="2"/>
      <c r="H830" s="2"/>
      <c r="I830" s="2"/>
      <c r="J830" s="2"/>
      <c r="K830" s="2"/>
      <c r="L830" s="2"/>
      <c r="M830" s="2"/>
      <c r="N830" s="2"/>
      <c r="O830" s="2"/>
      <c r="P830" s="2"/>
      <c r="Q830" s="2"/>
      <c r="R830" s="2"/>
      <c r="S830" s="2"/>
      <c r="T830" s="2"/>
      <c r="U830" s="2"/>
      <c r="V830" s="2"/>
      <c r="W830" s="2"/>
      <c r="X830" s="2"/>
    </row>
    <row r="831">
      <c r="A831" s="116"/>
      <c r="B831" s="44"/>
      <c r="C831" s="2"/>
      <c r="D831" s="2"/>
      <c r="E831" s="2"/>
      <c r="F831" s="2"/>
      <c r="G831" s="2"/>
      <c r="H831" s="2"/>
      <c r="I831" s="2"/>
      <c r="J831" s="2"/>
      <c r="K831" s="2"/>
      <c r="L831" s="2"/>
      <c r="M831" s="2"/>
      <c r="N831" s="2"/>
      <c r="O831" s="2"/>
      <c r="P831" s="2"/>
      <c r="Q831" s="2"/>
      <c r="R831" s="2"/>
      <c r="S831" s="2"/>
      <c r="T831" s="2"/>
      <c r="U831" s="2"/>
      <c r="V831" s="2"/>
      <c r="W831" s="2"/>
      <c r="X831" s="2"/>
    </row>
    <row r="832">
      <c r="A832" s="116"/>
      <c r="B832" s="44"/>
      <c r="C832" s="2"/>
      <c r="D832" s="2"/>
      <c r="E832" s="2"/>
      <c r="F832" s="2"/>
      <c r="G832" s="2"/>
      <c r="H832" s="2"/>
      <c r="I832" s="2"/>
      <c r="J832" s="2"/>
      <c r="K832" s="2"/>
      <c r="L832" s="2"/>
      <c r="M832" s="2"/>
      <c r="N832" s="2"/>
      <c r="O832" s="2"/>
      <c r="P832" s="2"/>
      <c r="Q832" s="2"/>
      <c r="R832" s="2"/>
      <c r="S832" s="2"/>
      <c r="T832" s="2"/>
      <c r="U832" s="2"/>
      <c r="V832" s="2"/>
      <c r="W832" s="2"/>
      <c r="X832" s="2"/>
    </row>
    <row r="833">
      <c r="A833" s="116"/>
      <c r="B833" s="44"/>
      <c r="C833" s="2"/>
      <c r="D833" s="2"/>
      <c r="E833" s="2"/>
      <c r="F833" s="2"/>
      <c r="G833" s="2"/>
      <c r="H833" s="2"/>
      <c r="I833" s="2"/>
      <c r="J833" s="2"/>
      <c r="K833" s="2"/>
      <c r="L833" s="2"/>
      <c r="M833" s="2"/>
      <c r="N833" s="2"/>
      <c r="O833" s="2"/>
      <c r="P833" s="2"/>
      <c r="Q833" s="2"/>
      <c r="R833" s="2"/>
      <c r="S833" s="2"/>
      <c r="T833" s="2"/>
      <c r="U833" s="2"/>
      <c r="V833" s="2"/>
      <c r="W833" s="2"/>
      <c r="X833" s="2"/>
    </row>
    <row r="834">
      <c r="A834" s="116"/>
      <c r="B834" s="44"/>
      <c r="C834" s="2"/>
      <c r="D834" s="2"/>
      <c r="E834" s="2"/>
      <c r="F834" s="2"/>
      <c r="G834" s="2"/>
      <c r="H834" s="2"/>
      <c r="I834" s="2"/>
      <c r="J834" s="2"/>
      <c r="K834" s="2"/>
      <c r="L834" s="2"/>
      <c r="M834" s="2"/>
      <c r="N834" s="2"/>
      <c r="O834" s="2"/>
      <c r="P834" s="2"/>
      <c r="Q834" s="2"/>
      <c r="R834" s="2"/>
      <c r="S834" s="2"/>
      <c r="T834" s="2"/>
      <c r="U834" s="2"/>
      <c r="V834" s="2"/>
      <c r="W834" s="2"/>
      <c r="X834" s="2"/>
    </row>
    <row r="835">
      <c r="A835" s="116"/>
      <c r="B835" s="44"/>
      <c r="C835" s="2"/>
      <c r="D835" s="2"/>
      <c r="E835" s="2"/>
      <c r="F835" s="2"/>
      <c r="G835" s="2"/>
      <c r="H835" s="2"/>
      <c r="I835" s="2"/>
      <c r="J835" s="2"/>
      <c r="K835" s="2"/>
      <c r="L835" s="2"/>
      <c r="M835" s="2"/>
      <c r="N835" s="2"/>
      <c r="O835" s="2"/>
      <c r="P835" s="2"/>
      <c r="Q835" s="2"/>
      <c r="R835" s="2"/>
      <c r="S835" s="2"/>
      <c r="T835" s="2"/>
      <c r="U835" s="2"/>
      <c r="V835" s="2"/>
      <c r="W835" s="2"/>
      <c r="X835" s="2"/>
    </row>
    <row r="836">
      <c r="A836" s="116"/>
      <c r="B836" s="44"/>
      <c r="C836" s="2"/>
      <c r="D836" s="2"/>
      <c r="E836" s="2"/>
      <c r="F836" s="2"/>
      <c r="G836" s="2"/>
      <c r="H836" s="2"/>
      <c r="I836" s="2"/>
      <c r="J836" s="2"/>
      <c r="K836" s="2"/>
      <c r="L836" s="2"/>
      <c r="M836" s="2"/>
      <c r="N836" s="2"/>
      <c r="O836" s="2"/>
      <c r="P836" s="2"/>
      <c r="Q836" s="2"/>
      <c r="R836" s="2"/>
      <c r="S836" s="2"/>
      <c r="T836" s="2"/>
      <c r="U836" s="2"/>
      <c r="V836" s="2"/>
      <c r="W836" s="2"/>
      <c r="X836" s="2"/>
    </row>
    <row r="837">
      <c r="A837" s="116"/>
      <c r="B837" s="44"/>
      <c r="C837" s="2"/>
      <c r="D837" s="2"/>
      <c r="E837" s="2"/>
      <c r="F837" s="2"/>
      <c r="G837" s="2"/>
      <c r="H837" s="2"/>
      <c r="I837" s="2"/>
      <c r="J837" s="2"/>
      <c r="K837" s="2"/>
      <c r="L837" s="2"/>
      <c r="M837" s="2"/>
      <c r="N837" s="2"/>
      <c r="O837" s="2"/>
      <c r="P837" s="2"/>
      <c r="Q837" s="2"/>
      <c r="R837" s="2"/>
      <c r="S837" s="2"/>
      <c r="T837" s="2"/>
      <c r="U837" s="2"/>
      <c r="V837" s="2"/>
      <c r="W837" s="2"/>
      <c r="X837" s="2"/>
    </row>
    <row r="838">
      <c r="A838" s="116"/>
      <c r="B838" s="44"/>
      <c r="C838" s="2"/>
      <c r="D838" s="2"/>
      <c r="E838" s="2"/>
      <c r="F838" s="2"/>
      <c r="G838" s="2"/>
      <c r="H838" s="2"/>
      <c r="I838" s="2"/>
      <c r="J838" s="2"/>
      <c r="K838" s="2"/>
      <c r="L838" s="2"/>
      <c r="M838" s="2"/>
      <c r="N838" s="2"/>
      <c r="O838" s="2"/>
      <c r="P838" s="2"/>
      <c r="Q838" s="2"/>
      <c r="R838" s="2"/>
      <c r="S838" s="2"/>
      <c r="T838" s="2"/>
      <c r="U838" s="2"/>
      <c r="V838" s="2"/>
      <c r="W838" s="2"/>
      <c r="X838" s="2"/>
    </row>
    <row r="839">
      <c r="A839" s="116"/>
      <c r="B839" s="44"/>
      <c r="C839" s="2"/>
      <c r="D839" s="2"/>
      <c r="E839" s="2"/>
      <c r="F839" s="2"/>
      <c r="G839" s="2"/>
      <c r="H839" s="2"/>
      <c r="I839" s="2"/>
      <c r="J839" s="2"/>
      <c r="K839" s="2"/>
      <c r="L839" s="2"/>
      <c r="M839" s="2"/>
      <c r="N839" s="2"/>
      <c r="O839" s="2"/>
      <c r="P839" s="2"/>
      <c r="Q839" s="2"/>
      <c r="R839" s="2"/>
      <c r="S839" s="2"/>
      <c r="T839" s="2"/>
      <c r="U839" s="2"/>
      <c r="V839" s="2"/>
      <c r="W839" s="2"/>
      <c r="X839" s="2"/>
    </row>
    <row r="840">
      <c r="A840" s="116"/>
      <c r="B840" s="44"/>
      <c r="C840" s="2"/>
      <c r="D840" s="2"/>
      <c r="E840" s="2"/>
      <c r="F840" s="2"/>
      <c r="G840" s="2"/>
      <c r="H840" s="2"/>
      <c r="I840" s="2"/>
      <c r="J840" s="2"/>
      <c r="K840" s="2"/>
      <c r="L840" s="2"/>
      <c r="M840" s="2"/>
      <c r="N840" s="2"/>
      <c r="O840" s="2"/>
      <c r="P840" s="2"/>
      <c r="Q840" s="2"/>
      <c r="R840" s="2"/>
      <c r="S840" s="2"/>
      <c r="T840" s="2"/>
      <c r="U840" s="2"/>
      <c r="V840" s="2"/>
      <c r="W840" s="2"/>
      <c r="X840" s="2"/>
    </row>
    <row r="841">
      <c r="A841" s="116"/>
      <c r="B841" s="44"/>
      <c r="C841" s="2"/>
      <c r="D841" s="2"/>
      <c r="E841" s="2"/>
      <c r="F841" s="2"/>
      <c r="G841" s="2"/>
      <c r="H841" s="2"/>
      <c r="I841" s="2"/>
      <c r="J841" s="2"/>
      <c r="K841" s="2"/>
      <c r="L841" s="2"/>
      <c r="M841" s="2"/>
      <c r="N841" s="2"/>
      <c r="O841" s="2"/>
      <c r="P841" s="2"/>
      <c r="Q841" s="2"/>
      <c r="R841" s="2"/>
      <c r="S841" s="2"/>
      <c r="T841" s="2"/>
      <c r="U841" s="2"/>
      <c r="V841" s="2"/>
      <c r="W841" s="2"/>
      <c r="X841" s="2"/>
    </row>
    <row r="842">
      <c r="A842" s="116"/>
      <c r="B842" s="44"/>
      <c r="C842" s="2"/>
      <c r="D842" s="2"/>
      <c r="E842" s="2"/>
      <c r="F842" s="2"/>
      <c r="G842" s="2"/>
      <c r="H842" s="2"/>
      <c r="I842" s="2"/>
      <c r="J842" s="2"/>
      <c r="K842" s="2"/>
      <c r="L842" s="2"/>
      <c r="M842" s="2"/>
      <c r="N842" s="2"/>
      <c r="O842" s="2"/>
      <c r="P842" s="2"/>
      <c r="Q842" s="2"/>
      <c r="R842" s="2"/>
      <c r="S842" s="2"/>
      <c r="T842" s="2"/>
      <c r="U842" s="2"/>
      <c r="V842" s="2"/>
      <c r="W842" s="2"/>
      <c r="X842" s="2"/>
    </row>
    <row r="843">
      <c r="A843" s="116"/>
      <c r="B843" s="44"/>
      <c r="C843" s="2"/>
      <c r="D843" s="2"/>
      <c r="E843" s="2"/>
      <c r="F843" s="2"/>
      <c r="G843" s="2"/>
      <c r="H843" s="2"/>
      <c r="I843" s="2"/>
      <c r="J843" s="2"/>
      <c r="K843" s="2"/>
      <c r="L843" s="2"/>
      <c r="M843" s="2"/>
      <c r="N843" s="2"/>
      <c r="O843" s="2"/>
      <c r="P843" s="2"/>
      <c r="Q843" s="2"/>
      <c r="R843" s="2"/>
      <c r="S843" s="2"/>
      <c r="T843" s="2"/>
      <c r="U843" s="2"/>
      <c r="V843" s="2"/>
      <c r="W843" s="2"/>
      <c r="X843" s="2"/>
    </row>
    <row r="844">
      <c r="A844" s="116"/>
      <c r="B844" s="44"/>
      <c r="C844" s="2"/>
      <c r="D844" s="2"/>
      <c r="E844" s="2"/>
      <c r="F844" s="2"/>
      <c r="G844" s="2"/>
      <c r="H844" s="2"/>
      <c r="I844" s="2"/>
      <c r="J844" s="2"/>
      <c r="K844" s="2"/>
      <c r="L844" s="2"/>
      <c r="M844" s="2"/>
      <c r="N844" s="2"/>
      <c r="O844" s="2"/>
      <c r="P844" s="2"/>
      <c r="Q844" s="2"/>
      <c r="R844" s="2"/>
      <c r="S844" s="2"/>
      <c r="T844" s="2"/>
      <c r="U844" s="2"/>
      <c r="V844" s="2"/>
      <c r="W844" s="2"/>
      <c r="X844" s="2"/>
    </row>
    <row r="845">
      <c r="A845" s="116"/>
      <c r="B845" s="44"/>
      <c r="C845" s="2"/>
      <c r="D845" s="2"/>
      <c r="E845" s="2"/>
      <c r="F845" s="2"/>
      <c r="G845" s="2"/>
      <c r="H845" s="2"/>
      <c r="I845" s="2"/>
      <c r="J845" s="2"/>
      <c r="K845" s="2"/>
      <c r="L845" s="2"/>
      <c r="M845" s="2"/>
      <c r="N845" s="2"/>
      <c r="O845" s="2"/>
      <c r="P845" s="2"/>
      <c r="Q845" s="2"/>
      <c r="R845" s="2"/>
      <c r="S845" s="2"/>
      <c r="T845" s="2"/>
      <c r="U845" s="2"/>
      <c r="V845" s="2"/>
      <c r="W845" s="2"/>
      <c r="X845" s="2"/>
    </row>
    <row r="846">
      <c r="A846" s="116"/>
      <c r="B846" s="44"/>
      <c r="C846" s="2"/>
      <c r="D846" s="2"/>
      <c r="E846" s="2"/>
      <c r="F846" s="2"/>
      <c r="G846" s="2"/>
      <c r="H846" s="2"/>
      <c r="I846" s="2"/>
      <c r="J846" s="2"/>
      <c r="K846" s="2"/>
      <c r="L846" s="2"/>
      <c r="M846" s="2"/>
      <c r="N846" s="2"/>
      <c r="O846" s="2"/>
      <c r="P846" s="2"/>
      <c r="Q846" s="2"/>
      <c r="R846" s="2"/>
      <c r="S846" s="2"/>
      <c r="T846" s="2"/>
      <c r="U846" s="2"/>
      <c r="V846" s="2"/>
      <c r="W846" s="2"/>
      <c r="X846" s="2"/>
    </row>
    <row r="847">
      <c r="A847" s="116"/>
      <c r="B847" s="44"/>
      <c r="C847" s="2"/>
      <c r="D847" s="2"/>
      <c r="E847" s="2"/>
      <c r="F847" s="2"/>
      <c r="G847" s="2"/>
      <c r="H847" s="2"/>
      <c r="I847" s="2"/>
      <c r="J847" s="2"/>
      <c r="K847" s="2"/>
      <c r="L847" s="2"/>
      <c r="M847" s="2"/>
      <c r="N847" s="2"/>
      <c r="O847" s="2"/>
      <c r="P847" s="2"/>
      <c r="Q847" s="2"/>
      <c r="R847" s="2"/>
      <c r="S847" s="2"/>
      <c r="T847" s="2"/>
      <c r="U847" s="2"/>
      <c r="V847" s="2"/>
      <c r="W847" s="2"/>
      <c r="X847" s="2"/>
    </row>
    <row r="848">
      <c r="A848" s="116"/>
      <c r="B848" s="44"/>
      <c r="C848" s="2"/>
      <c r="D848" s="2"/>
      <c r="E848" s="2"/>
      <c r="F848" s="2"/>
      <c r="G848" s="2"/>
      <c r="H848" s="2"/>
      <c r="I848" s="2"/>
      <c r="J848" s="2"/>
      <c r="K848" s="2"/>
      <c r="L848" s="2"/>
      <c r="M848" s="2"/>
      <c r="N848" s="2"/>
      <c r="O848" s="2"/>
      <c r="P848" s="2"/>
      <c r="Q848" s="2"/>
      <c r="R848" s="2"/>
      <c r="S848" s="2"/>
      <c r="T848" s="2"/>
      <c r="U848" s="2"/>
      <c r="V848" s="2"/>
      <c r="W848" s="2"/>
      <c r="X848" s="2"/>
    </row>
    <row r="849">
      <c r="A849" s="116"/>
      <c r="B849" s="44"/>
      <c r="C849" s="2"/>
      <c r="D849" s="2"/>
      <c r="E849" s="2"/>
      <c r="F849" s="2"/>
      <c r="G849" s="2"/>
      <c r="H849" s="2"/>
      <c r="I849" s="2"/>
      <c r="J849" s="2"/>
      <c r="K849" s="2"/>
      <c r="L849" s="2"/>
      <c r="M849" s="2"/>
      <c r="N849" s="2"/>
      <c r="O849" s="2"/>
      <c r="P849" s="2"/>
      <c r="Q849" s="2"/>
      <c r="R849" s="2"/>
      <c r="S849" s="2"/>
      <c r="T849" s="2"/>
      <c r="U849" s="2"/>
      <c r="V849" s="2"/>
      <c r="W849" s="2"/>
      <c r="X849" s="2"/>
    </row>
    <row r="850">
      <c r="A850" s="116"/>
      <c r="B850" s="44"/>
      <c r="C850" s="2"/>
      <c r="D850" s="2"/>
      <c r="E850" s="2"/>
      <c r="F850" s="2"/>
      <c r="G850" s="2"/>
      <c r="H850" s="2"/>
      <c r="I850" s="2"/>
      <c r="J850" s="2"/>
      <c r="K850" s="2"/>
      <c r="L850" s="2"/>
      <c r="M850" s="2"/>
      <c r="N850" s="2"/>
      <c r="O850" s="2"/>
      <c r="P850" s="2"/>
      <c r="Q850" s="2"/>
      <c r="R850" s="2"/>
      <c r="S850" s="2"/>
      <c r="T850" s="2"/>
      <c r="U850" s="2"/>
      <c r="V850" s="2"/>
      <c r="W850" s="2"/>
      <c r="X850" s="2"/>
    </row>
    <row r="851">
      <c r="A851" s="116"/>
      <c r="B851" s="44"/>
      <c r="C851" s="2"/>
      <c r="D851" s="2"/>
      <c r="E851" s="2"/>
      <c r="F851" s="2"/>
      <c r="G851" s="2"/>
      <c r="H851" s="2"/>
      <c r="I851" s="2"/>
      <c r="J851" s="2"/>
      <c r="K851" s="2"/>
      <c r="L851" s="2"/>
      <c r="M851" s="2"/>
      <c r="N851" s="2"/>
      <c r="O851" s="2"/>
      <c r="P851" s="2"/>
      <c r="Q851" s="2"/>
      <c r="R851" s="2"/>
      <c r="S851" s="2"/>
      <c r="T851" s="2"/>
      <c r="U851" s="2"/>
      <c r="V851" s="2"/>
      <c r="W851" s="2"/>
      <c r="X851" s="2"/>
    </row>
    <row r="852">
      <c r="A852" s="116"/>
      <c r="B852" s="44"/>
      <c r="C852" s="2"/>
      <c r="D852" s="2"/>
      <c r="E852" s="2"/>
      <c r="F852" s="2"/>
      <c r="G852" s="2"/>
      <c r="H852" s="2"/>
      <c r="I852" s="2"/>
      <c r="J852" s="2"/>
      <c r="K852" s="2"/>
      <c r="L852" s="2"/>
      <c r="M852" s="2"/>
      <c r="N852" s="2"/>
      <c r="O852" s="2"/>
      <c r="P852" s="2"/>
      <c r="Q852" s="2"/>
      <c r="R852" s="2"/>
      <c r="S852" s="2"/>
      <c r="T852" s="2"/>
      <c r="U852" s="2"/>
      <c r="V852" s="2"/>
      <c r="W852" s="2"/>
      <c r="X852" s="2"/>
    </row>
    <row r="853">
      <c r="A853" s="116"/>
      <c r="B853" s="44"/>
      <c r="C853" s="2"/>
      <c r="D853" s="2"/>
      <c r="E853" s="2"/>
      <c r="F853" s="2"/>
      <c r="G853" s="2"/>
      <c r="H853" s="2"/>
      <c r="I853" s="2"/>
      <c r="J853" s="2"/>
      <c r="K853" s="2"/>
      <c r="L853" s="2"/>
      <c r="M853" s="2"/>
      <c r="N853" s="2"/>
      <c r="O853" s="2"/>
      <c r="P853" s="2"/>
      <c r="Q853" s="2"/>
      <c r="R853" s="2"/>
      <c r="S853" s="2"/>
      <c r="T853" s="2"/>
      <c r="U853" s="2"/>
      <c r="V853" s="2"/>
      <c r="W853" s="2"/>
      <c r="X853" s="2"/>
    </row>
    <row r="854">
      <c r="A854" s="116"/>
      <c r="B854" s="44"/>
      <c r="C854" s="2"/>
      <c r="D854" s="2"/>
      <c r="E854" s="2"/>
      <c r="F854" s="2"/>
      <c r="G854" s="2"/>
      <c r="H854" s="2"/>
      <c r="I854" s="2"/>
      <c r="J854" s="2"/>
      <c r="K854" s="2"/>
      <c r="L854" s="2"/>
      <c r="M854" s="2"/>
      <c r="N854" s="2"/>
      <c r="O854" s="2"/>
      <c r="P854" s="2"/>
      <c r="Q854" s="2"/>
      <c r="R854" s="2"/>
      <c r="S854" s="2"/>
      <c r="T854" s="2"/>
      <c r="U854" s="2"/>
      <c r="V854" s="2"/>
      <c r="W854" s="2"/>
      <c r="X854" s="2"/>
    </row>
    <row r="855">
      <c r="A855" s="116"/>
      <c r="B855" s="44"/>
      <c r="C855" s="2"/>
      <c r="D855" s="2"/>
      <c r="E855" s="2"/>
      <c r="F855" s="2"/>
      <c r="G855" s="2"/>
      <c r="H855" s="2"/>
      <c r="I855" s="2"/>
      <c r="J855" s="2"/>
      <c r="K855" s="2"/>
      <c r="L855" s="2"/>
      <c r="M855" s="2"/>
      <c r="N855" s="2"/>
      <c r="O855" s="2"/>
      <c r="P855" s="2"/>
      <c r="Q855" s="2"/>
      <c r="R855" s="2"/>
      <c r="S855" s="2"/>
      <c r="T855" s="2"/>
      <c r="U855" s="2"/>
      <c r="V855" s="2"/>
      <c r="W855" s="2"/>
      <c r="X855" s="2"/>
    </row>
    <row r="856">
      <c r="A856" s="116"/>
      <c r="B856" s="44"/>
      <c r="C856" s="2"/>
      <c r="D856" s="2"/>
      <c r="E856" s="2"/>
      <c r="F856" s="2"/>
      <c r="G856" s="2"/>
      <c r="H856" s="2"/>
      <c r="I856" s="2"/>
      <c r="J856" s="2"/>
      <c r="K856" s="2"/>
      <c r="L856" s="2"/>
      <c r="M856" s="2"/>
      <c r="N856" s="2"/>
      <c r="O856" s="2"/>
      <c r="P856" s="2"/>
      <c r="Q856" s="2"/>
      <c r="R856" s="2"/>
      <c r="S856" s="2"/>
      <c r="T856" s="2"/>
      <c r="U856" s="2"/>
      <c r="V856" s="2"/>
      <c r="W856" s="2"/>
      <c r="X856" s="2"/>
    </row>
    <row r="857">
      <c r="A857" s="116"/>
      <c r="B857" s="44"/>
      <c r="C857" s="2"/>
      <c r="D857" s="2"/>
      <c r="E857" s="2"/>
      <c r="F857" s="2"/>
      <c r="G857" s="2"/>
      <c r="H857" s="2"/>
      <c r="I857" s="2"/>
      <c r="J857" s="2"/>
      <c r="K857" s="2"/>
      <c r="L857" s="2"/>
      <c r="M857" s="2"/>
      <c r="N857" s="2"/>
      <c r="O857" s="2"/>
      <c r="P857" s="2"/>
      <c r="Q857" s="2"/>
      <c r="R857" s="2"/>
      <c r="S857" s="2"/>
      <c r="T857" s="2"/>
      <c r="U857" s="2"/>
      <c r="V857" s="2"/>
      <c r="W857" s="2"/>
      <c r="X857" s="2"/>
    </row>
    <row r="858">
      <c r="A858" s="116"/>
      <c r="B858" s="44"/>
      <c r="C858" s="2"/>
      <c r="D858" s="2"/>
      <c r="E858" s="2"/>
      <c r="F858" s="2"/>
      <c r="G858" s="2"/>
      <c r="H858" s="2"/>
      <c r="I858" s="2"/>
      <c r="J858" s="2"/>
      <c r="K858" s="2"/>
      <c r="L858" s="2"/>
      <c r="M858" s="2"/>
      <c r="N858" s="2"/>
      <c r="O858" s="2"/>
      <c r="P858" s="2"/>
      <c r="Q858" s="2"/>
      <c r="R858" s="2"/>
      <c r="S858" s="2"/>
      <c r="T858" s="2"/>
      <c r="U858" s="2"/>
      <c r="V858" s="2"/>
      <c r="W858" s="2"/>
      <c r="X858" s="2"/>
    </row>
    <row r="859">
      <c r="A859" s="116"/>
      <c r="B859" s="44"/>
      <c r="C859" s="2"/>
      <c r="D859" s="2"/>
      <c r="E859" s="2"/>
      <c r="F859" s="2"/>
      <c r="G859" s="2"/>
      <c r="H859" s="2"/>
      <c r="I859" s="2"/>
      <c r="J859" s="2"/>
      <c r="K859" s="2"/>
      <c r="L859" s="2"/>
      <c r="M859" s="2"/>
      <c r="N859" s="2"/>
      <c r="O859" s="2"/>
      <c r="P859" s="2"/>
      <c r="Q859" s="2"/>
      <c r="R859" s="2"/>
      <c r="S859" s="2"/>
      <c r="T859" s="2"/>
      <c r="U859" s="2"/>
      <c r="V859" s="2"/>
      <c r="W859" s="2"/>
      <c r="X859" s="2"/>
    </row>
    <row r="860">
      <c r="A860" s="116"/>
      <c r="B860" s="44"/>
      <c r="C860" s="2"/>
      <c r="D860" s="2"/>
      <c r="E860" s="2"/>
      <c r="F860" s="2"/>
      <c r="G860" s="2"/>
      <c r="H860" s="2"/>
      <c r="I860" s="2"/>
      <c r="J860" s="2"/>
      <c r="K860" s="2"/>
      <c r="L860" s="2"/>
      <c r="M860" s="2"/>
      <c r="N860" s="2"/>
      <c r="O860" s="2"/>
      <c r="P860" s="2"/>
      <c r="Q860" s="2"/>
      <c r="R860" s="2"/>
      <c r="S860" s="2"/>
      <c r="T860" s="2"/>
      <c r="U860" s="2"/>
      <c r="V860" s="2"/>
      <c r="W860" s="2"/>
      <c r="X860" s="2"/>
    </row>
    <row r="861">
      <c r="A861" s="116"/>
      <c r="B861" s="44"/>
      <c r="C861" s="2"/>
      <c r="D861" s="2"/>
      <c r="E861" s="2"/>
      <c r="F861" s="2"/>
      <c r="G861" s="2"/>
      <c r="H861" s="2"/>
      <c r="I861" s="2"/>
      <c r="J861" s="2"/>
      <c r="K861" s="2"/>
      <c r="L861" s="2"/>
      <c r="M861" s="2"/>
      <c r="N861" s="2"/>
      <c r="O861" s="2"/>
      <c r="P861" s="2"/>
      <c r="Q861" s="2"/>
      <c r="R861" s="2"/>
      <c r="S861" s="2"/>
      <c r="T861" s="2"/>
      <c r="U861" s="2"/>
      <c r="V861" s="2"/>
      <c r="W861" s="2"/>
      <c r="X861" s="2"/>
    </row>
    <row r="862">
      <c r="A862" s="116"/>
      <c r="B862" s="44"/>
      <c r="C862" s="2"/>
      <c r="D862" s="2"/>
      <c r="E862" s="2"/>
      <c r="F862" s="2"/>
      <c r="G862" s="2"/>
      <c r="H862" s="2"/>
      <c r="I862" s="2"/>
      <c r="J862" s="2"/>
      <c r="K862" s="2"/>
      <c r="L862" s="2"/>
      <c r="M862" s="2"/>
      <c r="N862" s="2"/>
      <c r="O862" s="2"/>
      <c r="P862" s="2"/>
      <c r="Q862" s="2"/>
      <c r="R862" s="2"/>
      <c r="S862" s="2"/>
      <c r="T862" s="2"/>
      <c r="U862" s="2"/>
      <c r="V862" s="2"/>
      <c r="W862" s="2"/>
      <c r="X862" s="2"/>
    </row>
    <row r="863">
      <c r="A863" s="116"/>
      <c r="B863" s="44"/>
      <c r="C863" s="2"/>
      <c r="D863" s="2"/>
      <c r="E863" s="2"/>
      <c r="F863" s="2"/>
      <c r="G863" s="2"/>
      <c r="H863" s="2"/>
      <c r="I863" s="2"/>
      <c r="J863" s="2"/>
      <c r="K863" s="2"/>
      <c r="L863" s="2"/>
      <c r="M863" s="2"/>
      <c r="N863" s="2"/>
      <c r="O863" s="2"/>
      <c r="P863" s="2"/>
      <c r="Q863" s="2"/>
      <c r="R863" s="2"/>
      <c r="S863" s="2"/>
      <c r="T863" s="2"/>
      <c r="U863" s="2"/>
      <c r="V863" s="2"/>
      <c r="W863" s="2"/>
      <c r="X863" s="2"/>
    </row>
    <row r="864">
      <c r="A864" s="116"/>
      <c r="B864" s="44"/>
      <c r="C864" s="2"/>
      <c r="D864" s="2"/>
      <c r="E864" s="2"/>
      <c r="F864" s="2"/>
      <c r="G864" s="2"/>
      <c r="H864" s="2"/>
      <c r="I864" s="2"/>
      <c r="J864" s="2"/>
      <c r="K864" s="2"/>
      <c r="L864" s="2"/>
      <c r="M864" s="2"/>
      <c r="N864" s="2"/>
      <c r="O864" s="2"/>
      <c r="P864" s="2"/>
      <c r="Q864" s="2"/>
      <c r="R864" s="2"/>
      <c r="S864" s="2"/>
      <c r="T864" s="2"/>
      <c r="U864" s="2"/>
      <c r="V864" s="2"/>
      <c r="W864" s="2"/>
      <c r="X864" s="2"/>
    </row>
    <row r="865">
      <c r="A865" s="116"/>
      <c r="B865" s="44"/>
      <c r="C865" s="2"/>
      <c r="D865" s="2"/>
      <c r="E865" s="2"/>
      <c r="F865" s="2"/>
      <c r="G865" s="2"/>
      <c r="H865" s="2"/>
      <c r="I865" s="2"/>
      <c r="J865" s="2"/>
      <c r="K865" s="2"/>
      <c r="L865" s="2"/>
      <c r="M865" s="2"/>
      <c r="N865" s="2"/>
      <c r="O865" s="2"/>
      <c r="P865" s="2"/>
      <c r="Q865" s="2"/>
      <c r="R865" s="2"/>
      <c r="S865" s="2"/>
      <c r="T865" s="2"/>
      <c r="U865" s="2"/>
      <c r="V865" s="2"/>
      <c r="W865" s="2"/>
      <c r="X865" s="2"/>
    </row>
    <row r="866">
      <c r="A866" s="116"/>
      <c r="B866" s="44"/>
      <c r="C866" s="2"/>
      <c r="D866" s="2"/>
      <c r="E866" s="2"/>
      <c r="F866" s="2"/>
      <c r="G866" s="2"/>
      <c r="H866" s="2"/>
      <c r="I866" s="2"/>
      <c r="J866" s="2"/>
      <c r="K866" s="2"/>
      <c r="L866" s="2"/>
      <c r="M866" s="2"/>
      <c r="N866" s="2"/>
      <c r="O866" s="2"/>
      <c r="P866" s="2"/>
      <c r="Q866" s="2"/>
      <c r="R866" s="2"/>
      <c r="S866" s="2"/>
      <c r="T866" s="2"/>
      <c r="U866" s="2"/>
      <c r="V866" s="2"/>
      <c r="W866" s="2"/>
      <c r="X866" s="2"/>
    </row>
    <row r="867">
      <c r="A867" s="116"/>
      <c r="B867" s="44"/>
      <c r="C867" s="2"/>
      <c r="D867" s="2"/>
      <c r="E867" s="2"/>
      <c r="F867" s="2"/>
      <c r="G867" s="2"/>
      <c r="H867" s="2"/>
      <c r="I867" s="2"/>
      <c r="J867" s="2"/>
      <c r="K867" s="2"/>
      <c r="L867" s="2"/>
      <c r="M867" s="2"/>
      <c r="N867" s="2"/>
      <c r="O867" s="2"/>
      <c r="P867" s="2"/>
      <c r="Q867" s="2"/>
      <c r="R867" s="2"/>
      <c r="S867" s="2"/>
      <c r="T867" s="2"/>
      <c r="U867" s="2"/>
      <c r="V867" s="2"/>
      <c r="W867" s="2"/>
      <c r="X867" s="2"/>
    </row>
    <row r="868">
      <c r="A868" s="116"/>
      <c r="B868" s="44"/>
      <c r="C868" s="2"/>
      <c r="D868" s="2"/>
      <c r="E868" s="2"/>
      <c r="F868" s="2"/>
      <c r="G868" s="2"/>
      <c r="H868" s="2"/>
      <c r="I868" s="2"/>
      <c r="J868" s="2"/>
      <c r="K868" s="2"/>
      <c r="L868" s="2"/>
      <c r="M868" s="2"/>
      <c r="N868" s="2"/>
      <c r="O868" s="2"/>
      <c r="P868" s="2"/>
      <c r="Q868" s="2"/>
      <c r="R868" s="2"/>
      <c r="S868" s="2"/>
      <c r="T868" s="2"/>
      <c r="U868" s="2"/>
      <c r="V868" s="2"/>
      <c r="W868" s="2"/>
      <c r="X868" s="2"/>
    </row>
    <row r="869">
      <c r="A869" s="116"/>
      <c r="B869" s="44"/>
      <c r="C869" s="2"/>
      <c r="D869" s="2"/>
      <c r="E869" s="2"/>
      <c r="F869" s="2"/>
      <c r="G869" s="2"/>
      <c r="H869" s="2"/>
      <c r="I869" s="2"/>
      <c r="J869" s="2"/>
      <c r="K869" s="2"/>
      <c r="L869" s="2"/>
      <c r="M869" s="2"/>
      <c r="N869" s="2"/>
      <c r="O869" s="2"/>
      <c r="P869" s="2"/>
      <c r="Q869" s="2"/>
      <c r="R869" s="2"/>
      <c r="S869" s="2"/>
      <c r="T869" s="2"/>
      <c r="U869" s="2"/>
      <c r="V869" s="2"/>
      <c r="W869" s="2"/>
      <c r="X869" s="2"/>
    </row>
    <row r="870">
      <c r="A870" s="116"/>
      <c r="B870" s="44"/>
      <c r="C870" s="2"/>
      <c r="D870" s="2"/>
      <c r="E870" s="2"/>
      <c r="F870" s="2"/>
      <c r="G870" s="2"/>
      <c r="H870" s="2"/>
      <c r="I870" s="2"/>
      <c r="J870" s="2"/>
      <c r="K870" s="2"/>
      <c r="L870" s="2"/>
      <c r="M870" s="2"/>
      <c r="N870" s="2"/>
      <c r="O870" s="2"/>
      <c r="P870" s="2"/>
      <c r="Q870" s="2"/>
      <c r="R870" s="2"/>
      <c r="S870" s="2"/>
      <c r="T870" s="2"/>
      <c r="U870" s="2"/>
      <c r="V870" s="2"/>
      <c r="W870" s="2"/>
      <c r="X870" s="2"/>
    </row>
    <row r="871">
      <c r="A871" s="116"/>
      <c r="B871" s="44"/>
      <c r="C871" s="2"/>
      <c r="D871" s="2"/>
      <c r="E871" s="2"/>
      <c r="F871" s="2"/>
      <c r="G871" s="2"/>
      <c r="H871" s="2"/>
      <c r="I871" s="2"/>
      <c r="J871" s="2"/>
      <c r="K871" s="2"/>
      <c r="L871" s="2"/>
      <c r="M871" s="2"/>
      <c r="N871" s="2"/>
      <c r="O871" s="2"/>
      <c r="P871" s="2"/>
      <c r="Q871" s="2"/>
      <c r="R871" s="2"/>
      <c r="S871" s="2"/>
      <c r="T871" s="2"/>
      <c r="U871" s="2"/>
      <c r="V871" s="2"/>
      <c r="W871" s="2"/>
      <c r="X871" s="2"/>
    </row>
    <row r="872">
      <c r="A872" s="116"/>
      <c r="B872" s="44"/>
      <c r="C872" s="2"/>
      <c r="D872" s="2"/>
      <c r="E872" s="2"/>
      <c r="F872" s="2"/>
      <c r="G872" s="2"/>
      <c r="H872" s="2"/>
      <c r="I872" s="2"/>
      <c r="J872" s="2"/>
      <c r="K872" s="2"/>
      <c r="L872" s="2"/>
      <c r="M872" s="2"/>
      <c r="N872" s="2"/>
      <c r="O872" s="2"/>
      <c r="P872" s="2"/>
      <c r="Q872" s="2"/>
      <c r="R872" s="2"/>
      <c r="S872" s="2"/>
      <c r="T872" s="2"/>
      <c r="U872" s="2"/>
      <c r="V872" s="2"/>
      <c r="W872" s="2"/>
      <c r="X872" s="2"/>
    </row>
    <row r="873">
      <c r="A873" s="116"/>
      <c r="B873" s="44"/>
      <c r="C873" s="2"/>
      <c r="D873" s="2"/>
      <c r="E873" s="2"/>
      <c r="F873" s="2"/>
      <c r="G873" s="2"/>
      <c r="H873" s="2"/>
      <c r="I873" s="2"/>
      <c r="J873" s="2"/>
      <c r="K873" s="2"/>
      <c r="L873" s="2"/>
      <c r="M873" s="2"/>
      <c r="N873" s="2"/>
      <c r="O873" s="2"/>
      <c r="P873" s="2"/>
      <c r="Q873" s="2"/>
      <c r="R873" s="2"/>
      <c r="S873" s="2"/>
      <c r="T873" s="2"/>
      <c r="U873" s="2"/>
      <c r="V873" s="2"/>
      <c r="W873" s="2"/>
      <c r="X873" s="2"/>
    </row>
    <row r="874">
      <c r="A874" s="116"/>
      <c r="B874" s="44"/>
      <c r="C874" s="2"/>
      <c r="D874" s="2"/>
      <c r="E874" s="2"/>
      <c r="F874" s="2"/>
      <c r="G874" s="2"/>
      <c r="H874" s="2"/>
      <c r="I874" s="2"/>
      <c r="J874" s="2"/>
      <c r="K874" s="2"/>
      <c r="L874" s="2"/>
      <c r="M874" s="2"/>
      <c r="N874" s="2"/>
      <c r="O874" s="2"/>
      <c r="P874" s="2"/>
      <c r="Q874" s="2"/>
      <c r="R874" s="2"/>
      <c r="S874" s="2"/>
      <c r="T874" s="2"/>
      <c r="U874" s="2"/>
      <c r="V874" s="2"/>
      <c r="W874" s="2"/>
      <c r="X874" s="2"/>
    </row>
    <row r="875">
      <c r="A875" s="116"/>
      <c r="B875" s="44"/>
      <c r="C875" s="2"/>
      <c r="D875" s="2"/>
      <c r="E875" s="2"/>
      <c r="F875" s="2"/>
      <c r="G875" s="2"/>
      <c r="H875" s="2"/>
      <c r="I875" s="2"/>
      <c r="J875" s="2"/>
      <c r="K875" s="2"/>
      <c r="L875" s="2"/>
      <c r="M875" s="2"/>
      <c r="N875" s="2"/>
      <c r="O875" s="2"/>
      <c r="P875" s="2"/>
      <c r="Q875" s="2"/>
      <c r="R875" s="2"/>
      <c r="S875" s="2"/>
      <c r="T875" s="2"/>
      <c r="U875" s="2"/>
      <c r="V875" s="2"/>
      <c r="W875" s="2"/>
      <c r="X875" s="2"/>
    </row>
    <row r="876">
      <c r="A876" s="116"/>
      <c r="B876" s="44"/>
      <c r="C876" s="2"/>
      <c r="D876" s="2"/>
      <c r="E876" s="2"/>
      <c r="F876" s="2"/>
      <c r="G876" s="2"/>
      <c r="H876" s="2"/>
      <c r="I876" s="2"/>
      <c r="J876" s="2"/>
      <c r="K876" s="2"/>
      <c r="L876" s="2"/>
      <c r="M876" s="2"/>
      <c r="N876" s="2"/>
      <c r="O876" s="2"/>
      <c r="P876" s="2"/>
      <c r="Q876" s="2"/>
      <c r="R876" s="2"/>
      <c r="S876" s="2"/>
      <c r="T876" s="2"/>
      <c r="U876" s="2"/>
      <c r="V876" s="2"/>
      <c r="W876" s="2"/>
      <c r="X876" s="2"/>
    </row>
    <row r="877">
      <c r="A877" s="116"/>
      <c r="B877" s="44"/>
      <c r="C877" s="2"/>
      <c r="D877" s="2"/>
      <c r="E877" s="2"/>
      <c r="F877" s="2"/>
      <c r="G877" s="2"/>
      <c r="H877" s="2"/>
      <c r="I877" s="2"/>
      <c r="J877" s="2"/>
      <c r="K877" s="2"/>
      <c r="L877" s="2"/>
      <c r="M877" s="2"/>
      <c r="N877" s="2"/>
      <c r="O877" s="2"/>
      <c r="P877" s="2"/>
      <c r="Q877" s="2"/>
      <c r="R877" s="2"/>
      <c r="S877" s="2"/>
      <c r="T877" s="2"/>
      <c r="U877" s="2"/>
      <c r="V877" s="2"/>
      <c r="W877" s="2"/>
      <c r="X877" s="2"/>
    </row>
    <row r="878">
      <c r="A878" s="116"/>
      <c r="B878" s="44"/>
      <c r="C878" s="2"/>
      <c r="D878" s="2"/>
      <c r="E878" s="2"/>
      <c r="F878" s="2"/>
      <c r="G878" s="2"/>
      <c r="H878" s="2"/>
      <c r="I878" s="2"/>
      <c r="J878" s="2"/>
      <c r="K878" s="2"/>
      <c r="L878" s="2"/>
      <c r="M878" s="2"/>
      <c r="N878" s="2"/>
      <c r="O878" s="2"/>
      <c r="P878" s="2"/>
      <c r="Q878" s="2"/>
      <c r="R878" s="2"/>
      <c r="S878" s="2"/>
      <c r="T878" s="2"/>
      <c r="U878" s="2"/>
      <c r="V878" s="2"/>
      <c r="W878" s="2"/>
      <c r="X878" s="2"/>
    </row>
    <row r="879">
      <c r="A879" s="116"/>
      <c r="B879" s="44"/>
      <c r="C879" s="2"/>
      <c r="D879" s="2"/>
      <c r="E879" s="2"/>
      <c r="F879" s="2"/>
      <c r="G879" s="2"/>
      <c r="H879" s="2"/>
      <c r="I879" s="2"/>
      <c r="J879" s="2"/>
      <c r="K879" s="2"/>
      <c r="L879" s="2"/>
      <c r="M879" s="2"/>
      <c r="N879" s="2"/>
      <c r="O879" s="2"/>
      <c r="P879" s="2"/>
      <c r="Q879" s="2"/>
      <c r="R879" s="2"/>
      <c r="S879" s="2"/>
      <c r="T879" s="2"/>
      <c r="U879" s="2"/>
      <c r="V879" s="2"/>
      <c r="W879" s="2"/>
      <c r="X879" s="2"/>
    </row>
    <row r="880">
      <c r="A880" s="116"/>
      <c r="B880" s="44"/>
      <c r="C880" s="2"/>
      <c r="D880" s="2"/>
      <c r="E880" s="2"/>
      <c r="F880" s="2"/>
      <c r="G880" s="2"/>
      <c r="H880" s="2"/>
      <c r="I880" s="2"/>
      <c r="J880" s="2"/>
      <c r="K880" s="2"/>
      <c r="L880" s="2"/>
      <c r="M880" s="2"/>
      <c r="N880" s="2"/>
      <c r="O880" s="2"/>
      <c r="P880" s="2"/>
      <c r="Q880" s="2"/>
      <c r="R880" s="2"/>
      <c r="S880" s="2"/>
      <c r="T880" s="2"/>
      <c r="U880" s="2"/>
      <c r="V880" s="2"/>
      <c r="W880" s="2"/>
      <c r="X880" s="2"/>
    </row>
    <row r="881">
      <c r="A881" s="116"/>
      <c r="B881" s="44"/>
      <c r="C881" s="2"/>
      <c r="D881" s="2"/>
      <c r="E881" s="2"/>
      <c r="F881" s="2"/>
      <c r="G881" s="2"/>
      <c r="H881" s="2"/>
      <c r="I881" s="2"/>
      <c r="J881" s="2"/>
      <c r="K881" s="2"/>
      <c r="L881" s="2"/>
      <c r="M881" s="2"/>
      <c r="N881" s="2"/>
      <c r="O881" s="2"/>
      <c r="P881" s="2"/>
      <c r="Q881" s="2"/>
      <c r="R881" s="2"/>
      <c r="S881" s="2"/>
      <c r="T881" s="2"/>
      <c r="U881" s="2"/>
      <c r="V881" s="2"/>
      <c r="W881" s="2"/>
      <c r="X881" s="2"/>
    </row>
    <row r="882">
      <c r="A882" s="116"/>
      <c r="B882" s="44"/>
      <c r="C882" s="2"/>
      <c r="D882" s="2"/>
      <c r="E882" s="2"/>
      <c r="F882" s="2"/>
      <c r="G882" s="2"/>
      <c r="H882" s="2"/>
      <c r="I882" s="2"/>
      <c r="J882" s="2"/>
      <c r="K882" s="2"/>
      <c r="L882" s="2"/>
      <c r="M882" s="2"/>
      <c r="N882" s="2"/>
      <c r="O882" s="2"/>
      <c r="P882" s="2"/>
      <c r="Q882" s="2"/>
      <c r="R882" s="2"/>
      <c r="S882" s="2"/>
      <c r="T882" s="2"/>
      <c r="U882" s="2"/>
      <c r="V882" s="2"/>
      <c r="W882" s="2"/>
      <c r="X882" s="2"/>
    </row>
    <row r="883">
      <c r="A883" s="116"/>
      <c r="B883" s="44"/>
      <c r="C883" s="2"/>
      <c r="D883" s="2"/>
      <c r="E883" s="2"/>
      <c r="F883" s="2"/>
      <c r="G883" s="2"/>
      <c r="H883" s="2"/>
      <c r="I883" s="2"/>
      <c r="J883" s="2"/>
      <c r="K883" s="2"/>
      <c r="L883" s="2"/>
      <c r="M883" s="2"/>
      <c r="N883" s="2"/>
      <c r="O883" s="2"/>
      <c r="P883" s="2"/>
      <c r="Q883" s="2"/>
      <c r="R883" s="2"/>
      <c r="S883" s="2"/>
      <c r="T883" s="2"/>
      <c r="U883" s="2"/>
      <c r="V883" s="2"/>
      <c r="W883" s="2"/>
      <c r="X883" s="2"/>
    </row>
    <row r="884">
      <c r="A884" s="116"/>
      <c r="B884" s="44"/>
      <c r="C884" s="2"/>
      <c r="D884" s="2"/>
      <c r="E884" s="2"/>
      <c r="F884" s="2"/>
      <c r="G884" s="2"/>
      <c r="H884" s="2"/>
      <c r="I884" s="2"/>
      <c r="J884" s="2"/>
      <c r="K884" s="2"/>
      <c r="L884" s="2"/>
      <c r="M884" s="2"/>
      <c r="N884" s="2"/>
      <c r="O884" s="2"/>
      <c r="P884" s="2"/>
      <c r="Q884" s="2"/>
      <c r="R884" s="2"/>
      <c r="S884" s="2"/>
      <c r="T884" s="2"/>
      <c r="U884" s="2"/>
      <c r="V884" s="2"/>
      <c r="W884" s="2"/>
      <c r="X884" s="2"/>
    </row>
    <row r="885">
      <c r="A885" s="116"/>
      <c r="B885" s="44"/>
      <c r="C885" s="2"/>
      <c r="D885" s="2"/>
      <c r="E885" s="2"/>
      <c r="F885" s="2"/>
      <c r="G885" s="2"/>
      <c r="H885" s="2"/>
      <c r="I885" s="2"/>
      <c r="J885" s="2"/>
      <c r="K885" s="2"/>
      <c r="L885" s="2"/>
      <c r="M885" s="2"/>
      <c r="N885" s="2"/>
      <c r="O885" s="2"/>
      <c r="P885" s="2"/>
      <c r="Q885" s="2"/>
      <c r="R885" s="2"/>
      <c r="S885" s="2"/>
      <c r="T885" s="2"/>
      <c r="U885" s="2"/>
      <c r="V885" s="2"/>
      <c r="W885" s="2"/>
      <c r="X885" s="2"/>
    </row>
    <row r="886">
      <c r="A886" s="116"/>
      <c r="B886" s="44"/>
      <c r="C886" s="2"/>
      <c r="D886" s="2"/>
      <c r="E886" s="2"/>
      <c r="F886" s="2"/>
      <c r="G886" s="2"/>
      <c r="H886" s="2"/>
      <c r="I886" s="2"/>
      <c r="J886" s="2"/>
      <c r="K886" s="2"/>
      <c r="L886" s="2"/>
      <c r="M886" s="2"/>
      <c r="N886" s="2"/>
      <c r="O886" s="2"/>
      <c r="P886" s="2"/>
      <c r="Q886" s="2"/>
      <c r="R886" s="2"/>
      <c r="S886" s="2"/>
      <c r="T886" s="2"/>
      <c r="U886" s="2"/>
      <c r="V886" s="2"/>
      <c r="W886" s="2"/>
      <c r="X886" s="2"/>
    </row>
    <row r="887">
      <c r="A887" s="116"/>
      <c r="B887" s="44"/>
      <c r="C887" s="2"/>
      <c r="D887" s="2"/>
      <c r="E887" s="2"/>
      <c r="F887" s="2"/>
      <c r="G887" s="2"/>
      <c r="H887" s="2"/>
      <c r="I887" s="2"/>
      <c r="J887" s="2"/>
      <c r="K887" s="2"/>
      <c r="L887" s="2"/>
      <c r="M887" s="2"/>
      <c r="N887" s="2"/>
      <c r="O887" s="2"/>
      <c r="P887" s="2"/>
      <c r="Q887" s="2"/>
      <c r="R887" s="2"/>
      <c r="S887" s="2"/>
      <c r="T887" s="2"/>
      <c r="U887" s="2"/>
      <c r="V887" s="2"/>
      <c r="W887" s="2"/>
      <c r="X887" s="2"/>
    </row>
    <row r="888">
      <c r="A888" s="116"/>
      <c r="B888" s="44"/>
      <c r="C888" s="2"/>
      <c r="D888" s="2"/>
      <c r="E888" s="2"/>
      <c r="F888" s="2"/>
      <c r="G888" s="2"/>
      <c r="H888" s="2"/>
      <c r="I888" s="2"/>
      <c r="J888" s="2"/>
      <c r="K888" s="2"/>
      <c r="L888" s="2"/>
      <c r="M888" s="2"/>
      <c r="N888" s="2"/>
      <c r="O888" s="2"/>
      <c r="P888" s="2"/>
      <c r="Q888" s="2"/>
      <c r="R888" s="2"/>
      <c r="S888" s="2"/>
      <c r="T888" s="2"/>
      <c r="U888" s="2"/>
      <c r="V888" s="2"/>
      <c r="W888" s="2"/>
      <c r="X888" s="2"/>
    </row>
    <row r="889">
      <c r="A889" s="116"/>
      <c r="B889" s="44"/>
      <c r="C889" s="2"/>
      <c r="D889" s="2"/>
      <c r="E889" s="2"/>
      <c r="F889" s="2"/>
      <c r="G889" s="2"/>
      <c r="H889" s="2"/>
      <c r="I889" s="2"/>
      <c r="J889" s="2"/>
      <c r="K889" s="2"/>
      <c r="L889" s="2"/>
      <c r="M889" s="2"/>
      <c r="N889" s="2"/>
      <c r="O889" s="2"/>
      <c r="P889" s="2"/>
      <c r="Q889" s="2"/>
      <c r="R889" s="2"/>
      <c r="S889" s="2"/>
      <c r="T889" s="2"/>
      <c r="U889" s="2"/>
      <c r="V889" s="2"/>
      <c r="W889" s="2"/>
      <c r="X889" s="2"/>
    </row>
    <row r="890">
      <c r="A890" s="116"/>
      <c r="B890" s="44"/>
      <c r="C890" s="2"/>
      <c r="D890" s="2"/>
      <c r="E890" s="2"/>
      <c r="F890" s="2"/>
      <c r="G890" s="2"/>
      <c r="H890" s="2"/>
      <c r="I890" s="2"/>
      <c r="J890" s="2"/>
      <c r="K890" s="2"/>
      <c r="L890" s="2"/>
      <c r="M890" s="2"/>
      <c r="N890" s="2"/>
      <c r="O890" s="2"/>
      <c r="P890" s="2"/>
      <c r="Q890" s="2"/>
      <c r="R890" s="2"/>
      <c r="S890" s="2"/>
      <c r="T890" s="2"/>
      <c r="U890" s="2"/>
      <c r="V890" s="2"/>
      <c r="W890" s="2"/>
      <c r="X890" s="2"/>
    </row>
    <row r="891">
      <c r="A891" s="116"/>
      <c r="B891" s="44"/>
      <c r="C891" s="2"/>
      <c r="D891" s="2"/>
      <c r="E891" s="2"/>
      <c r="F891" s="2"/>
      <c r="G891" s="2"/>
      <c r="H891" s="2"/>
      <c r="I891" s="2"/>
      <c r="J891" s="2"/>
      <c r="K891" s="2"/>
      <c r="L891" s="2"/>
      <c r="M891" s="2"/>
      <c r="N891" s="2"/>
      <c r="O891" s="2"/>
      <c r="P891" s="2"/>
      <c r="Q891" s="2"/>
      <c r="R891" s="2"/>
      <c r="S891" s="2"/>
      <c r="T891" s="2"/>
      <c r="U891" s="2"/>
      <c r="V891" s="2"/>
      <c r="W891" s="2"/>
      <c r="X891" s="2"/>
    </row>
    <row r="892">
      <c r="A892" s="116"/>
      <c r="B892" s="44"/>
      <c r="C892" s="2"/>
      <c r="D892" s="2"/>
      <c r="E892" s="2"/>
      <c r="F892" s="2"/>
      <c r="G892" s="2"/>
      <c r="H892" s="2"/>
      <c r="I892" s="2"/>
      <c r="J892" s="2"/>
      <c r="K892" s="2"/>
      <c r="L892" s="2"/>
      <c r="M892" s="2"/>
      <c r="N892" s="2"/>
      <c r="O892" s="2"/>
      <c r="P892" s="2"/>
      <c r="Q892" s="2"/>
      <c r="R892" s="2"/>
      <c r="S892" s="2"/>
      <c r="T892" s="2"/>
      <c r="U892" s="2"/>
      <c r="V892" s="2"/>
      <c r="W892" s="2"/>
      <c r="X892" s="2"/>
    </row>
    <row r="893">
      <c r="A893" s="116"/>
      <c r="B893" s="44"/>
      <c r="C893" s="2"/>
      <c r="D893" s="2"/>
      <c r="E893" s="2"/>
      <c r="F893" s="2"/>
      <c r="G893" s="2"/>
      <c r="H893" s="2"/>
      <c r="I893" s="2"/>
      <c r="J893" s="2"/>
      <c r="K893" s="2"/>
      <c r="L893" s="2"/>
      <c r="M893" s="2"/>
      <c r="N893" s="2"/>
      <c r="O893" s="2"/>
      <c r="P893" s="2"/>
      <c r="Q893" s="2"/>
      <c r="R893" s="2"/>
      <c r="S893" s="2"/>
      <c r="T893" s="2"/>
      <c r="U893" s="2"/>
      <c r="V893" s="2"/>
      <c r="W893" s="2"/>
      <c r="X893" s="2"/>
    </row>
    <row r="894">
      <c r="A894" s="116"/>
      <c r="B894" s="44"/>
      <c r="C894" s="2"/>
      <c r="D894" s="2"/>
      <c r="E894" s="2"/>
      <c r="F894" s="2"/>
      <c r="G894" s="2"/>
      <c r="H894" s="2"/>
      <c r="I894" s="2"/>
      <c r="J894" s="2"/>
      <c r="K894" s="2"/>
      <c r="L894" s="2"/>
      <c r="M894" s="2"/>
      <c r="N894" s="2"/>
      <c r="O894" s="2"/>
      <c r="P894" s="2"/>
      <c r="Q894" s="2"/>
      <c r="R894" s="2"/>
      <c r="S894" s="2"/>
      <c r="T894" s="2"/>
      <c r="U894" s="2"/>
      <c r="V894" s="2"/>
      <c r="W894" s="2"/>
      <c r="X894" s="2"/>
    </row>
    <row r="895">
      <c r="A895" s="116"/>
      <c r="B895" s="44"/>
      <c r="C895" s="2"/>
      <c r="D895" s="2"/>
      <c r="E895" s="2"/>
      <c r="F895" s="2"/>
      <c r="G895" s="2"/>
      <c r="H895" s="2"/>
      <c r="I895" s="2"/>
      <c r="J895" s="2"/>
      <c r="K895" s="2"/>
      <c r="L895" s="2"/>
      <c r="M895" s="2"/>
      <c r="N895" s="2"/>
      <c r="O895" s="2"/>
      <c r="P895" s="2"/>
      <c r="Q895" s="2"/>
      <c r="R895" s="2"/>
      <c r="S895" s="2"/>
      <c r="T895" s="2"/>
      <c r="U895" s="2"/>
      <c r="V895" s="2"/>
      <c r="W895" s="2"/>
      <c r="X895" s="2"/>
    </row>
    <row r="896">
      <c r="A896" s="116"/>
      <c r="B896" s="44"/>
      <c r="C896" s="2"/>
      <c r="D896" s="2"/>
      <c r="E896" s="2"/>
      <c r="F896" s="2"/>
      <c r="G896" s="2"/>
      <c r="H896" s="2"/>
      <c r="I896" s="2"/>
      <c r="J896" s="2"/>
      <c r="K896" s="2"/>
      <c r="L896" s="2"/>
      <c r="M896" s="2"/>
      <c r="N896" s="2"/>
      <c r="O896" s="2"/>
      <c r="P896" s="2"/>
      <c r="Q896" s="2"/>
      <c r="R896" s="2"/>
      <c r="S896" s="2"/>
      <c r="T896" s="2"/>
      <c r="U896" s="2"/>
      <c r="V896" s="2"/>
      <c r="W896" s="2"/>
      <c r="X896" s="2"/>
    </row>
    <row r="897">
      <c r="A897" s="116"/>
      <c r="B897" s="44"/>
      <c r="C897" s="2"/>
      <c r="D897" s="2"/>
      <c r="E897" s="2"/>
      <c r="F897" s="2"/>
      <c r="G897" s="2"/>
      <c r="H897" s="2"/>
      <c r="I897" s="2"/>
      <c r="J897" s="2"/>
      <c r="K897" s="2"/>
      <c r="L897" s="2"/>
      <c r="M897" s="2"/>
      <c r="N897" s="2"/>
      <c r="O897" s="2"/>
      <c r="P897" s="2"/>
      <c r="Q897" s="2"/>
      <c r="R897" s="2"/>
      <c r="S897" s="2"/>
      <c r="T897" s="2"/>
      <c r="U897" s="2"/>
      <c r="V897" s="2"/>
      <c r="W897" s="2"/>
      <c r="X897" s="2"/>
    </row>
    <row r="898">
      <c r="A898" s="116"/>
      <c r="B898" s="44"/>
      <c r="C898" s="2"/>
      <c r="D898" s="2"/>
      <c r="E898" s="2"/>
      <c r="F898" s="2"/>
      <c r="G898" s="2"/>
      <c r="H898" s="2"/>
      <c r="I898" s="2"/>
      <c r="J898" s="2"/>
      <c r="K898" s="2"/>
      <c r="L898" s="2"/>
      <c r="M898" s="2"/>
      <c r="N898" s="2"/>
      <c r="O898" s="2"/>
      <c r="P898" s="2"/>
      <c r="Q898" s="2"/>
      <c r="R898" s="2"/>
      <c r="S898" s="2"/>
      <c r="T898" s="2"/>
      <c r="U898" s="2"/>
      <c r="V898" s="2"/>
      <c r="W898" s="2"/>
      <c r="X898" s="2"/>
    </row>
    <row r="899">
      <c r="A899" s="116"/>
      <c r="B899" s="44"/>
      <c r="C899" s="2"/>
      <c r="D899" s="2"/>
      <c r="E899" s="2"/>
      <c r="F899" s="2"/>
      <c r="G899" s="2"/>
      <c r="H899" s="2"/>
      <c r="I899" s="2"/>
      <c r="J899" s="2"/>
      <c r="K899" s="2"/>
      <c r="L899" s="2"/>
      <c r="M899" s="2"/>
      <c r="N899" s="2"/>
      <c r="O899" s="2"/>
      <c r="P899" s="2"/>
      <c r="Q899" s="2"/>
      <c r="R899" s="2"/>
      <c r="S899" s="2"/>
      <c r="T899" s="2"/>
      <c r="U899" s="2"/>
      <c r="V899" s="2"/>
      <c r="W899" s="2"/>
      <c r="X899" s="2"/>
    </row>
    <row r="900">
      <c r="A900" s="116"/>
      <c r="B900" s="44"/>
      <c r="C900" s="2"/>
      <c r="D900" s="2"/>
      <c r="E900" s="2"/>
      <c r="F900" s="2"/>
      <c r="G900" s="2"/>
      <c r="H900" s="2"/>
      <c r="I900" s="2"/>
      <c r="J900" s="2"/>
      <c r="K900" s="2"/>
      <c r="L900" s="2"/>
      <c r="M900" s="2"/>
      <c r="N900" s="2"/>
      <c r="O900" s="2"/>
      <c r="P900" s="2"/>
      <c r="Q900" s="2"/>
      <c r="R900" s="2"/>
      <c r="S900" s="2"/>
      <c r="T900" s="2"/>
      <c r="U900" s="2"/>
      <c r="V900" s="2"/>
      <c r="W900" s="2"/>
      <c r="X900" s="2"/>
    </row>
    <row r="901">
      <c r="A901" s="116"/>
      <c r="B901" s="44"/>
      <c r="C901" s="2"/>
      <c r="D901" s="2"/>
      <c r="E901" s="2"/>
      <c r="F901" s="2"/>
      <c r="G901" s="2"/>
      <c r="H901" s="2"/>
      <c r="I901" s="2"/>
      <c r="J901" s="2"/>
      <c r="K901" s="2"/>
      <c r="L901" s="2"/>
      <c r="M901" s="2"/>
      <c r="N901" s="2"/>
      <c r="O901" s="2"/>
      <c r="P901" s="2"/>
      <c r="Q901" s="2"/>
      <c r="R901" s="2"/>
      <c r="S901" s="2"/>
      <c r="T901" s="2"/>
      <c r="U901" s="2"/>
      <c r="V901" s="2"/>
      <c r="W901" s="2"/>
      <c r="X901" s="2"/>
    </row>
    <row r="902">
      <c r="A902" s="116"/>
      <c r="B902" s="44"/>
      <c r="C902" s="2"/>
      <c r="D902" s="2"/>
      <c r="E902" s="2"/>
      <c r="F902" s="2"/>
      <c r="G902" s="2"/>
      <c r="H902" s="2"/>
      <c r="I902" s="2"/>
      <c r="J902" s="2"/>
      <c r="K902" s="2"/>
      <c r="L902" s="2"/>
      <c r="M902" s="2"/>
      <c r="N902" s="2"/>
      <c r="O902" s="2"/>
      <c r="P902" s="2"/>
      <c r="Q902" s="2"/>
      <c r="R902" s="2"/>
      <c r="S902" s="2"/>
      <c r="T902" s="2"/>
      <c r="U902" s="2"/>
      <c r="V902" s="2"/>
      <c r="W902" s="2"/>
      <c r="X902" s="2"/>
    </row>
    <row r="903">
      <c r="A903" s="116"/>
      <c r="B903" s="44"/>
      <c r="C903" s="2"/>
      <c r="D903" s="2"/>
      <c r="E903" s="2"/>
      <c r="F903" s="2"/>
      <c r="G903" s="2"/>
      <c r="H903" s="2"/>
      <c r="I903" s="2"/>
      <c r="J903" s="2"/>
      <c r="K903" s="2"/>
      <c r="L903" s="2"/>
      <c r="M903" s="2"/>
      <c r="N903" s="2"/>
      <c r="O903" s="2"/>
      <c r="P903" s="2"/>
      <c r="Q903" s="2"/>
      <c r="R903" s="2"/>
      <c r="S903" s="2"/>
      <c r="T903" s="2"/>
      <c r="U903" s="2"/>
      <c r="V903" s="2"/>
      <c r="W903" s="2"/>
      <c r="X903" s="2"/>
    </row>
    <row r="904">
      <c r="A904" s="116"/>
      <c r="B904" s="44"/>
      <c r="C904" s="2"/>
      <c r="D904" s="2"/>
      <c r="E904" s="2"/>
      <c r="F904" s="2"/>
      <c r="G904" s="2"/>
      <c r="H904" s="2"/>
      <c r="I904" s="2"/>
      <c r="J904" s="2"/>
      <c r="K904" s="2"/>
      <c r="L904" s="2"/>
      <c r="M904" s="2"/>
      <c r="N904" s="2"/>
      <c r="O904" s="2"/>
      <c r="P904" s="2"/>
      <c r="Q904" s="2"/>
      <c r="R904" s="2"/>
      <c r="S904" s="2"/>
      <c r="T904" s="2"/>
      <c r="U904" s="2"/>
      <c r="V904" s="2"/>
      <c r="W904" s="2"/>
      <c r="X904" s="2"/>
    </row>
    <row r="905">
      <c r="A905" s="116"/>
      <c r="B905" s="44"/>
      <c r="C905" s="2"/>
      <c r="D905" s="2"/>
      <c r="E905" s="2"/>
      <c r="F905" s="2"/>
      <c r="G905" s="2"/>
      <c r="H905" s="2"/>
      <c r="I905" s="2"/>
      <c r="J905" s="2"/>
      <c r="K905" s="2"/>
      <c r="L905" s="2"/>
      <c r="M905" s="2"/>
      <c r="N905" s="2"/>
      <c r="O905" s="2"/>
      <c r="P905" s="2"/>
      <c r="Q905" s="2"/>
      <c r="R905" s="2"/>
      <c r="S905" s="2"/>
      <c r="T905" s="2"/>
      <c r="U905" s="2"/>
      <c r="V905" s="2"/>
      <c r="W905" s="2"/>
      <c r="X905" s="2"/>
    </row>
    <row r="906">
      <c r="A906" s="116"/>
      <c r="B906" s="44"/>
      <c r="C906" s="2"/>
      <c r="D906" s="2"/>
      <c r="E906" s="2"/>
      <c r="F906" s="2"/>
      <c r="G906" s="2"/>
      <c r="H906" s="2"/>
      <c r="I906" s="2"/>
      <c r="J906" s="2"/>
      <c r="K906" s="2"/>
      <c r="L906" s="2"/>
      <c r="M906" s="2"/>
      <c r="N906" s="2"/>
      <c r="O906" s="2"/>
      <c r="P906" s="2"/>
      <c r="Q906" s="2"/>
      <c r="R906" s="2"/>
      <c r="S906" s="2"/>
      <c r="T906" s="2"/>
      <c r="U906" s="2"/>
      <c r="V906" s="2"/>
      <c r="W906" s="2"/>
      <c r="X906" s="2"/>
    </row>
    <row r="907">
      <c r="A907" s="116"/>
      <c r="B907" s="44"/>
      <c r="C907" s="2"/>
      <c r="D907" s="2"/>
      <c r="E907" s="2"/>
      <c r="F907" s="2"/>
      <c r="G907" s="2"/>
      <c r="H907" s="2"/>
      <c r="I907" s="2"/>
      <c r="J907" s="2"/>
      <c r="K907" s="2"/>
      <c r="L907" s="2"/>
      <c r="M907" s="2"/>
      <c r="N907" s="2"/>
      <c r="O907" s="2"/>
      <c r="P907" s="2"/>
      <c r="Q907" s="2"/>
      <c r="R907" s="2"/>
      <c r="S907" s="2"/>
      <c r="T907" s="2"/>
      <c r="U907" s="2"/>
      <c r="V907" s="2"/>
      <c r="W907" s="2"/>
      <c r="X907" s="2"/>
    </row>
    <row r="908">
      <c r="A908" s="116"/>
      <c r="B908" s="44"/>
      <c r="C908" s="2"/>
      <c r="D908" s="2"/>
      <c r="E908" s="2"/>
      <c r="F908" s="2"/>
      <c r="G908" s="2"/>
      <c r="H908" s="2"/>
      <c r="I908" s="2"/>
      <c r="J908" s="2"/>
      <c r="K908" s="2"/>
      <c r="L908" s="2"/>
      <c r="M908" s="2"/>
      <c r="N908" s="2"/>
      <c r="O908" s="2"/>
      <c r="P908" s="2"/>
      <c r="Q908" s="2"/>
      <c r="R908" s="2"/>
      <c r="S908" s="2"/>
      <c r="T908" s="2"/>
      <c r="U908" s="2"/>
      <c r="V908" s="2"/>
      <c r="W908" s="2"/>
      <c r="X908" s="2"/>
    </row>
    <row r="909">
      <c r="A909" s="116"/>
      <c r="B909" s="44"/>
      <c r="C909" s="2"/>
      <c r="D909" s="2"/>
      <c r="E909" s="2"/>
      <c r="F909" s="2"/>
      <c r="G909" s="2"/>
      <c r="H909" s="2"/>
      <c r="I909" s="2"/>
      <c r="J909" s="2"/>
      <c r="K909" s="2"/>
      <c r="L909" s="2"/>
      <c r="M909" s="2"/>
      <c r="N909" s="2"/>
      <c r="O909" s="2"/>
      <c r="P909" s="2"/>
      <c r="Q909" s="2"/>
      <c r="R909" s="2"/>
      <c r="S909" s="2"/>
      <c r="T909" s="2"/>
      <c r="U909" s="2"/>
      <c r="V909" s="2"/>
      <c r="W909" s="2"/>
      <c r="X909" s="2"/>
    </row>
    <row r="910">
      <c r="A910" s="116"/>
      <c r="B910" s="44"/>
      <c r="C910" s="2"/>
      <c r="D910" s="2"/>
      <c r="E910" s="2"/>
      <c r="F910" s="2"/>
      <c r="G910" s="2"/>
      <c r="H910" s="2"/>
      <c r="I910" s="2"/>
      <c r="J910" s="2"/>
      <c r="K910" s="2"/>
      <c r="L910" s="2"/>
      <c r="M910" s="2"/>
      <c r="N910" s="2"/>
      <c r="O910" s="2"/>
      <c r="P910" s="2"/>
      <c r="Q910" s="2"/>
      <c r="R910" s="2"/>
      <c r="S910" s="2"/>
      <c r="T910" s="2"/>
      <c r="U910" s="2"/>
      <c r="V910" s="2"/>
      <c r="W910" s="2"/>
      <c r="X910" s="2"/>
    </row>
    <row r="911">
      <c r="A911" s="116"/>
      <c r="B911" s="44"/>
      <c r="C911" s="2"/>
      <c r="D911" s="2"/>
      <c r="E911" s="2"/>
      <c r="F911" s="2"/>
      <c r="G911" s="2"/>
      <c r="H911" s="2"/>
      <c r="I911" s="2"/>
      <c r="J911" s="2"/>
      <c r="K911" s="2"/>
      <c r="L911" s="2"/>
      <c r="M911" s="2"/>
      <c r="N911" s="2"/>
      <c r="O911" s="2"/>
      <c r="P911" s="2"/>
      <c r="Q911" s="2"/>
      <c r="R911" s="2"/>
      <c r="S911" s="2"/>
      <c r="T911" s="2"/>
      <c r="U911" s="2"/>
      <c r="V911" s="2"/>
      <c r="W911" s="2"/>
      <c r="X911" s="2"/>
    </row>
    <row r="912">
      <c r="A912" s="116"/>
      <c r="B912" s="44"/>
      <c r="C912" s="2"/>
      <c r="D912" s="2"/>
      <c r="E912" s="2"/>
      <c r="F912" s="2"/>
      <c r="G912" s="2"/>
      <c r="H912" s="2"/>
      <c r="I912" s="2"/>
      <c r="J912" s="2"/>
      <c r="K912" s="2"/>
      <c r="L912" s="2"/>
      <c r="M912" s="2"/>
      <c r="N912" s="2"/>
      <c r="O912" s="2"/>
      <c r="P912" s="2"/>
      <c r="Q912" s="2"/>
      <c r="R912" s="2"/>
      <c r="S912" s="2"/>
      <c r="T912" s="2"/>
      <c r="U912" s="2"/>
      <c r="V912" s="2"/>
      <c r="W912" s="2"/>
      <c r="X912" s="2"/>
    </row>
    <row r="913">
      <c r="A913" s="116"/>
      <c r="B913" s="44"/>
      <c r="C913" s="2"/>
      <c r="D913" s="2"/>
      <c r="E913" s="2"/>
      <c r="F913" s="2"/>
      <c r="G913" s="2"/>
      <c r="H913" s="2"/>
      <c r="I913" s="2"/>
      <c r="J913" s="2"/>
      <c r="K913" s="2"/>
      <c r="L913" s="2"/>
      <c r="M913" s="2"/>
      <c r="N913" s="2"/>
      <c r="O913" s="2"/>
      <c r="P913" s="2"/>
      <c r="Q913" s="2"/>
      <c r="R913" s="2"/>
      <c r="S913" s="2"/>
      <c r="T913" s="2"/>
      <c r="U913" s="2"/>
      <c r="V913" s="2"/>
      <c r="W913" s="2"/>
      <c r="X913" s="2"/>
    </row>
    <row r="914">
      <c r="A914" s="116"/>
      <c r="B914" s="44"/>
      <c r="C914" s="2"/>
      <c r="D914" s="2"/>
      <c r="E914" s="2"/>
      <c r="F914" s="2"/>
      <c r="G914" s="2"/>
      <c r="H914" s="2"/>
      <c r="I914" s="2"/>
      <c r="J914" s="2"/>
      <c r="K914" s="2"/>
      <c r="L914" s="2"/>
      <c r="M914" s="2"/>
      <c r="N914" s="2"/>
      <c r="O914" s="2"/>
      <c r="P914" s="2"/>
      <c r="Q914" s="2"/>
      <c r="R914" s="2"/>
      <c r="S914" s="2"/>
      <c r="T914" s="2"/>
      <c r="U914" s="2"/>
      <c r="V914" s="2"/>
      <c r="W914" s="2"/>
      <c r="X914" s="2"/>
    </row>
    <row r="915">
      <c r="A915" s="116"/>
      <c r="B915" s="44"/>
      <c r="C915" s="2"/>
      <c r="D915" s="2"/>
      <c r="E915" s="2"/>
      <c r="F915" s="2"/>
      <c r="G915" s="2"/>
      <c r="H915" s="2"/>
      <c r="I915" s="2"/>
      <c r="J915" s="2"/>
      <c r="K915" s="2"/>
      <c r="L915" s="2"/>
      <c r="M915" s="2"/>
      <c r="N915" s="2"/>
      <c r="O915" s="2"/>
      <c r="P915" s="2"/>
      <c r="Q915" s="2"/>
      <c r="R915" s="2"/>
      <c r="S915" s="2"/>
      <c r="T915" s="2"/>
      <c r="U915" s="2"/>
      <c r="V915" s="2"/>
      <c r="W915" s="2"/>
      <c r="X915" s="2"/>
    </row>
    <row r="916">
      <c r="A916" s="116"/>
      <c r="B916" s="44"/>
      <c r="C916" s="2"/>
      <c r="D916" s="2"/>
      <c r="E916" s="2"/>
      <c r="F916" s="2"/>
      <c r="G916" s="2"/>
      <c r="H916" s="2"/>
      <c r="I916" s="2"/>
      <c r="J916" s="2"/>
      <c r="K916" s="2"/>
      <c r="L916" s="2"/>
      <c r="M916" s="2"/>
      <c r="N916" s="2"/>
      <c r="O916" s="2"/>
      <c r="P916" s="2"/>
      <c r="Q916" s="2"/>
      <c r="R916" s="2"/>
      <c r="S916" s="2"/>
      <c r="T916" s="2"/>
      <c r="U916" s="2"/>
      <c r="V916" s="2"/>
      <c r="W916" s="2"/>
      <c r="X916" s="2"/>
    </row>
    <row r="917">
      <c r="A917" s="116"/>
      <c r="B917" s="44"/>
      <c r="C917" s="2"/>
      <c r="D917" s="2"/>
      <c r="E917" s="2"/>
      <c r="F917" s="2"/>
      <c r="G917" s="2"/>
      <c r="H917" s="2"/>
      <c r="I917" s="2"/>
      <c r="J917" s="2"/>
      <c r="K917" s="2"/>
      <c r="L917" s="2"/>
      <c r="M917" s="2"/>
      <c r="N917" s="2"/>
      <c r="O917" s="2"/>
      <c r="P917" s="2"/>
      <c r="Q917" s="2"/>
      <c r="R917" s="2"/>
      <c r="S917" s="2"/>
      <c r="T917" s="2"/>
      <c r="U917" s="2"/>
      <c r="V917" s="2"/>
      <c r="W917" s="2"/>
      <c r="X917" s="2"/>
    </row>
    <row r="918">
      <c r="A918" s="116"/>
      <c r="B918" s="44"/>
      <c r="C918" s="2"/>
      <c r="D918" s="2"/>
      <c r="E918" s="2"/>
      <c r="F918" s="2"/>
      <c r="G918" s="2"/>
      <c r="H918" s="2"/>
      <c r="I918" s="2"/>
      <c r="J918" s="2"/>
      <c r="K918" s="2"/>
      <c r="L918" s="2"/>
      <c r="M918" s="2"/>
      <c r="N918" s="2"/>
      <c r="O918" s="2"/>
      <c r="P918" s="2"/>
      <c r="Q918" s="2"/>
      <c r="R918" s="2"/>
      <c r="S918" s="2"/>
      <c r="T918" s="2"/>
      <c r="U918" s="2"/>
      <c r="V918" s="2"/>
      <c r="W918" s="2"/>
      <c r="X918" s="2"/>
    </row>
    <row r="919">
      <c r="A919" s="116"/>
      <c r="B919" s="44"/>
      <c r="C919" s="2"/>
      <c r="D919" s="2"/>
      <c r="E919" s="2"/>
      <c r="F919" s="2"/>
      <c r="G919" s="2"/>
      <c r="H919" s="2"/>
      <c r="I919" s="2"/>
      <c r="J919" s="2"/>
      <c r="K919" s="2"/>
      <c r="L919" s="2"/>
      <c r="M919" s="2"/>
      <c r="N919" s="2"/>
      <c r="O919" s="2"/>
      <c r="P919" s="2"/>
      <c r="Q919" s="2"/>
      <c r="R919" s="2"/>
      <c r="S919" s="2"/>
      <c r="T919" s="2"/>
      <c r="U919" s="2"/>
      <c r="V919" s="2"/>
      <c r="W919" s="2"/>
      <c r="X919" s="2"/>
    </row>
    <row r="920">
      <c r="A920" s="116"/>
      <c r="B920" s="44"/>
      <c r="C920" s="2"/>
      <c r="D920" s="2"/>
      <c r="E920" s="2"/>
      <c r="F920" s="2"/>
      <c r="G920" s="2"/>
      <c r="H920" s="2"/>
      <c r="I920" s="2"/>
      <c r="J920" s="2"/>
      <c r="K920" s="2"/>
      <c r="L920" s="2"/>
      <c r="M920" s="2"/>
      <c r="N920" s="2"/>
      <c r="O920" s="2"/>
      <c r="P920" s="2"/>
      <c r="Q920" s="2"/>
      <c r="R920" s="2"/>
      <c r="S920" s="2"/>
      <c r="T920" s="2"/>
      <c r="U920" s="2"/>
      <c r="V920" s="2"/>
      <c r="W920" s="2"/>
      <c r="X920" s="2"/>
    </row>
    <row r="921">
      <c r="A921" s="116"/>
      <c r="B921" s="44"/>
      <c r="C921" s="2"/>
      <c r="D921" s="2"/>
      <c r="E921" s="2"/>
      <c r="F921" s="2"/>
      <c r="G921" s="2"/>
      <c r="H921" s="2"/>
      <c r="I921" s="2"/>
      <c r="J921" s="2"/>
      <c r="K921" s="2"/>
      <c r="L921" s="2"/>
      <c r="M921" s="2"/>
      <c r="N921" s="2"/>
      <c r="O921" s="2"/>
      <c r="P921" s="2"/>
      <c r="Q921" s="2"/>
      <c r="R921" s="2"/>
      <c r="S921" s="2"/>
      <c r="T921" s="2"/>
      <c r="U921" s="2"/>
      <c r="V921" s="2"/>
      <c r="W921" s="2"/>
      <c r="X921" s="2"/>
    </row>
    <row r="922">
      <c r="A922" s="116"/>
      <c r="B922" s="44"/>
      <c r="C922" s="2"/>
      <c r="D922" s="2"/>
      <c r="E922" s="2"/>
      <c r="F922" s="2"/>
      <c r="G922" s="2"/>
      <c r="H922" s="2"/>
      <c r="I922" s="2"/>
      <c r="J922" s="2"/>
      <c r="K922" s="2"/>
      <c r="L922" s="2"/>
      <c r="M922" s="2"/>
      <c r="N922" s="2"/>
      <c r="O922" s="2"/>
      <c r="P922" s="2"/>
      <c r="Q922" s="2"/>
      <c r="R922" s="2"/>
      <c r="S922" s="2"/>
      <c r="T922" s="2"/>
      <c r="U922" s="2"/>
      <c r="V922" s="2"/>
      <c r="W922" s="2"/>
      <c r="X922" s="2"/>
    </row>
    <row r="923">
      <c r="A923" s="116"/>
      <c r="B923" s="44"/>
      <c r="C923" s="2"/>
      <c r="D923" s="2"/>
      <c r="E923" s="2"/>
      <c r="F923" s="2"/>
      <c r="G923" s="2"/>
      <c r="H923" s="2"/>
      <c r="I923" s="2"/>
      <c r="J923" s="2"/>
      <c r="K923" s="2"/>
      <c r="L923" s="2"/>
      <c r="M923" s="2"/>
      <c r="N923" s="2"/>
      <c r="O923" s="2"/>
      <c r="P923" s="2"/>
      <c r="Q923" s="2"/>
      <c r="R923" s="2"/>
      <c r="S923" s="2"/>
      <c r="T923" s="2"/>
      <c r="U923" s="2"/>
      <c r="V923" s="2"/>
      <c r="W923" s="2"/>
      <c r="X923" s="2"/>
    </row>
    <row r="924">
      <c r="A924" s="116"/>
      <c r="B924" s="44"/>
      <c r="C924" s="2"/>
      <c r="D924" s="2"/>
      <c r="E924" s="2"/>
      <c r="F924" s="2"/>
      <c r="G924" s="2"/>
      <c r="H924" s="2"/>
      <c r="I924" s="2"/>
      <c r="J924" s="2"/>
      <c r="K924" s="2"/>
      <c r="L924" s="2"/>
      <c r="M924" s="2"/>
      <c r="N924" s="2"/>
      <c r="O924" s="2"/>
      <c r="P924" s="2"/>
      <c r="Q924" s="2"/>
      <c r="R924" s="2"/>
      <c r="S924" s="2"/>
      <c r="T924" s="2"/>
      <c r="U924" s="2"/>
      <c r="V924" s="2"/>
      <c r="W924" s="2"/>
      <c r="X924" s="2"/>
    </row>
    <row r="925">
      <c r="A925" s="116"/>
      <c r="B925" s="44"/>
      <c r="C925" s="2"/>
      <c r="D925" s="2"/>
      <c r="E925" s="2"/>
      <c r="F925" s="2"/>
      <c r="G925" s="2"/>
      <c r="H925" s="2"/>
      <c r="I925" s="2"/>
      <c r="J925" s="2"/>
      <c r="K925" s="2"/>
      <c r="L925" s="2"/>
      <c r="M925" s="2"/>
      <c r="N925" s="2"/>
      <c r="O925" s="2"/>
      <c r="P925" s="2"/>
      <c r="Q925" s="2"/>
      <c r="R925" s="2"/>
      <c r="S925" s="2"/>
      <c r="T925" s="2"/>
      <c r="U925" s="2"/>
      <c r="V925" s="2"/>
      <c r="W925" s="2"/>
      <c r="X925" s="2"/>
    </row>
    <row r="926">
      <c r="A926" s="116"/>
      <c r="B926" s="44"/>
      <c r="C926" s="2"/>
      <c r="D926" s="2"/>
      <c r="E926" s="2"/>
      <c r="F926" s="2"/>
      <c r="G926" s="2"/>
      <c r="H926" s="2"/>
      <c r="I926" s="2"/>
      <c r="J926" s="2"/>
      <c r="K926" s="2"/>
      <c r="L926" s="2"/>
      <c r="M926" s="2"/>
      <c r="N926" s="2"/>
      <c r="O926" s="2"/>
      <c r="P926" s="2"/>
      <c r="Q926" s="2"/>
      <c r="R926" s="2"/>
      <c r="S926" s="2"/>
      <c r="T926" s="2"/>
      <c r="U926" s="2"/>
      <c r="V926" s="2"/>
      <c r="W926" s="2"/>
      <c r="X926" s="2"/>
    </row>
    <row r="927">
      <c r="A927" s="116"/>
      <c r="B927" s="44"/>
      <c r="C927" s="2"/>
      <c r="D927" s="2"/>
      <c r="E927" s="2"/>
      <c r="F927" s="2"/>
      <c r="G927" s="2"/>
      <c r="H927" s="2"/>
      <c r="I927" s="2"/>
      <c r="J927" s="2"/>
      <c r="K927" s="2"/>
      <c r="L927" s="2"/>
      <c r="M927" s="2"/>
      <c r="N927" s="2"/>
      <c r="O927" s="2"/>
      <c r="P927" s="2"/>
      <c r="Q927" s="2"/>
      <c r="R927" s="2"/>
      <c r="S927" s="2"/>
      <c r="T927" s="2"/>
      <c r="U927" s="2"/>
      <c r="V927" s="2"/>
      <c r="W927" s="2"/>
      <c r="X927" s="2"/>
    </row>
    <row r="928">
      <c r="A928" s="116"/>
      <c r="B928" s="44"/>
      <c r="C928" s="2"/>
      <c r="D928" s="2"/>
      <c r="E928" s="2"/>
      <c r="F928" s="2"/>
      <c r="G928" s="2"/>
      <c r="H928" s="2"/>
      <c r="I928" s="2"/>
      <c r="J928" s="2"/>
      <c r="K928" s="2"/>
      <c r="L928" s="2"/>
      <c r="M928" s="2"/>
      <c r="N928" s="2"/>
      <c r="O928" s="2"/>
      <c r="P928" s="2"/>
      <c r="Q928" s="2"/>
      <c r="R928" s="2"/>
      <c r="S928" s="2"/>
      <c r="T928" s="2"/>
      <c r="U928" s="2"/>
      <c r="V928" s="2"/>
      <c r="W928" s="2"/>
      <c r="X928" s="2"/>
    </row>
    <row r="929">
      <c r="A929" s="116"/>
      <c r="B929" s="44"/>
      <c r="C929" s="2"/>
      <c r="D929" s="2"/>
      <c r="E929" s="2"/>
      <c r="F929" s="2"/>
      <c r="G929" s="2"/>
      <c r="H929" s="2"/>
      <c r="I929" s="2"/>
      <c r="J929" s="2"/>
      <c r="K929" s="2"/>
      <c r="L929" s="2"/>
      <c r="M929" s="2"/>
      <c r="N929" s="2"/>
      <c r="O929" s="2"/>
      <c r="P929" s="2"/>
      <c r="Q929" s="2"/>
      <c r="R929" s="2"/>
      <c r="S929" s="2"/>
      <c r="T929" s="2"/>
      <c r="U929" s="2"/>
      <c r="V929" s="2"/>
      <c r="W929" s="2"/>
      <c r="X929" s="2"/>
    </row>
    <row r="930">
      <c r="A930" s="116"/>
      <c r="B930" s="44"/>
      <c r="C930" s="2"/>
      <c r="D930" s="2"/>
      <c r="E930" s="2"/>
      <c r="F930" s="2"/>
      <c r="G930" s="2"/>
      <c r="H930" s="2"/>
      <c r="I930" s="2"/>
      <c r="J930" s="2"/>
      <c r="K930" s="2"/>
      <c r="L930" s="2"/>
      <c r="M930" s="2"/>
      <c r="N930" s="2"/>
      <c r="O930" s="2"/>
      <c r="P930" s="2"/>
      <c r="Q930" s="2"/>
      <c r="R930" s="2"/>
      <c r="S930" s="2"/>
      <c r="T930" s="2"/>
      <c r="U930" s="2"/>
      <c r="V930" s="2"/>
      <c r="W930" s="2"/>
      <c r="X930" s="2"/>
    </row>
    <row r="931">
      <c r="A931" s="116"/>
      <c r="B931" s="44"/>
      <c r="C931" s="2"/>
      <c r="D931" s="2"/>
      <c r="E931" s="2"/>
      <c r="F931" s="2"/>
      <c r="G931" s="2"/>
      <c r="H931" s="2"/>
      <c r="I931" s="2"/>
      <c r="J931" s="2"/>
      <c r="K931" s="2"/>
      <c r="L931" s="2"/>
      <c r="M931" s="2"/>
      <c r="N931" s="2"/>
      <c r="O931" s="2"/>
      <c r="P931" s="2"/>
      <c r="Q931" s="2"/>
      <c r="R931" s="2"/>
      <c r="S931" s="2"/>
      <c r="T931" s="2"/>
      <c r="U931" s="2"/>
      <c r="V931" s="2"/>
      <c r="W931" s="2"/>
      <c r="X931" s="2"/>
    </row>
    <row r="932">
      <c r="A932" s="116"/>
      <c r="B932" s="44"/>
      <c r="C932" s="2"/>
      <c r="D932" s="2"/>
      <c r="E932" s="2"/>
      <c r="F932" s="2"/>
      <c r="G932" s="2"/>
      <c r="H932" s="2"/>
      <c r="I932" s="2"/>
      <c r="J932" s="2"/>
      <c r="K932" s="2"/>
      <c r="L932" s="2"/>
      <c r="M932" s="2"/>
      <c r="N932" s="2"/>
      <c r="O932" s="2"/>
      <c r="P932" s="2"/>
      <c r="Q932" s="2"/>
      <c r="R932" s="2"/>
      <c r="S932" s="2"/>
      <c r="T932" s="2"/>
      <c r="U932" s="2"/>
      <c r="V932" s="2"/>
      <c r="W932" s="2"/>
      <c r="X932" s="2"/>
    </row>
    <row r="933">
      <c r="A933" s="116"/>
      <c r="B933" s="44"/>
      <c r="C933" s="2"/>
      <c r="D933" s="2"/>
      <c r="E933" s="2"/>
      <c r="F933" s="2"/>
      <c r="G933" s="2"/>
      <c r="H933" s="2"/>
      <c r="I933" s="2"/>
      <c r="J933" s="2"/>
      <c r="K933" s="2"/>
      <c r="L933" s="2"/>
      <c r="M933" s="2"/>
      <c r="N933" s="2"/>
      <c r="O933" s="2"/>
      <c r="P933" s="2"/>
      <c r="Q933" s="2"/>
      <c r="R933" s="2"/>
      <c r="S933" s="2"/>
      <c r="T933" s="2"/>
      <c r="U933" s="2"/>
      <c r="V933" s="2"/>
      <c r="W933" s="2"/>
      <c r="X933" s="2"/>
    </row>
    <row r="934">
      <c r="A934" s="116"/>
      <c r="B934" s="44"/>
      <c r="C934" s="2"/>
      <c r="D934" s="2"/>
      <c r="E934" s="2"/>
      <c r="F934" s="2"/>
      <c r="G934" s="2"/>
      <c r="H934" s="2"/>
      <c r="I934" s="2"/>
      <c r="J934" s="2"/>
      <c r="K934" s="2"/>
      <c r="L934" s="2"/>
      <c r="M934" s="2"/>
      <c r="N934" s="2"/>
      <c r="O934" s="2"/>
      <c r="P934" s="2"/>
      <c r="Q934" s="2"/>
      <c r="R934" s="2"/>
      <c r="S934" s="2"/>
      <c r="T934" s="2"/>
      <c r="U934" s="2"/>
      <c r="V934" s="2"/>
      <c r="W934" s="2"/>
      <c r="X934" s="2"/>
    </row>
    <row r="935">
      <c r="A935" s="116"/>
      <c r="B935" s="44"/>
      <c r="C935" s="2"/>
      <c r="D935" s="2"/>
      <c r="E935" s="2"/>
      <c r="F935" s="2"/>
      <c r="G935" s="2"/>
      <c r="H935" s="2"/>
      <c r="I935" s="2"/>
      <c r="J935" s="2"/>
      <c r="K935" s="2"/>
      <c r="L935" s="2"/>
      <c r="M935" s="2"/>
      <c r="N935" s="2"/>
      <c r="O935" s="2"/>
      <c r="P935" s="2"/>
      <c r="Q935" s="2"/>
      <c r="R935" s="2"/>
      <c r="S935" s="2"/>
      <c r="T935" s="2"/>
      <c r="U935" s="2"/>
      <c r="V935" s="2"/>
      <c r="W935" s="2"/>
      <c r="X935" s="2"/>
    </row>
    <row r="936">
      <c r="A936" s="116"/>
      <c r="B936" s="44"/>
      <c r="C936" s="2"/>
      <c r="D936" s="2"/>
      <c r="E936" s="2"/>
      <c r="F936" s="2"/>
      <c r="G936" s="2"/>
      <c r="H936" s="2"/>
      <c r="I936" s="2"/>
      <c r="J936" s="2"/>
      <c r="K936" s="2"/>
      <c r="L936" s="2"/>
      <c r="M936" s="2"/>
      <c r="N936" s="2"/>
      <c r="O936" s="2"/>
      <c r="P936" s="2"/>
      <c r="Q936" s="2"/>
      <c r="R936" s="2"/>
      <c r="S936" s="2"/>
      <c r="T936" s="2"/>
      <c r="U936" s="2"/>
      <c r="V936" s="2"/>
      <c r="W936" s="2"/>
      <c r="X936" s="2"/>
    </row>
    <row r="937">
      <c r="A937" s="116"/>
      <c r="B937" s="44"/>
      <c r="C937" s="2"/>
      <c r="D937" s="2"/>
      <c r="E937" s="2"/>
      <c r="F937" s="2"/>
      <c r="G937" s="2"/>
      <c r="H937" s="2"/>
      <c r="I937" s="2"/>
      <c r="J937" s="2"/>
      <c r="K937" s="2"/>
      <c r="L937" s="2"/>
      <c r="M937" s="2"/>
      <c r="N937" s="2"/>
      <c r="O937" s="2"/>
      <c r="P937" s="2"/>
      <c r="Q937" s="2"/>
      <c r="R937" s="2"/>
      <c r="S937" s="2"/>
      <c r="T937" s="2"/>
      <c r="U937" s="2"/>
      <c r="V937" s="2"/>
      <c r="W937" s="2"/>
      <c r="X937" s="2"/>
    </row>
    <row r="938">
      <c r="A938" s="116"/>
      <c r="B938" s="44"/>
      <c r="C938" s="2"/>
      <c r="D938" s="2"/>
      <c r="E938" s="2"/>
      <c r="F938" s="2"/>
      <c r="G938" s="2"/>
      <c r="H938" s="2"/>
      <c r="I938" s="2"/>
      <c r="J938" s="2"/>
      <c r="K938" s="2"/>
      <c r="L938" s="2"/>
      <c r="M938" s="2"/>
      <c r="N938" s="2"/>
      <c r="O938" s="2"/>
      <c r="P938" s="2"/>
      <c r="Q938" s="2"/>
      <c r="R938" s="2"/>
      <c r="S938" s="2"/>
      <c r="T938" s="2"/>
      <c r="U938" s="2"/>
      <c r="V938" s="2"/>
      <c r="W938" s="2"/>
      <c r="X938" s="2"/>
    </row>
    <row r="939">
      <c r="A939" s="116"/>
      <c r="B939" s="44"/>
      <c r="C939" s="2"/>
      <c r="D939" s="2"/>
      <c r="E939" s="2"/>
      <c r="F939" s="2"/>
      <c r="G939" s="2"/>
      <c r="H939" s="2"/>
      <c r="I939" s="2"/>
      <c r="J939" s="2"/>
      <c r="K939" s="2"/>
      <c r="L939" s="2"/>
      <c r="M939" s="2"/>
      <c r="N939" s="2"/>
      <c r="O939" s="2"/>
      <c r="P939" s="2"/>
      <c r="Q939" s="2"/>
      <c r="R939" s="2"/>
      <c r="S939" s="2"/>
      <c r="T939" s="2"/>
      <c r="U939" s="2"/>
      <c r="V939" s="2"/>
      <c r="W939" s="2"/>
      <c r="X939" s="2"/>
    </row>
    <row r="940">
      <c r="A940" s="116"/>
      <c r="B940" s="44"/>
      <c r="C940" s="2"/>
      <c r="D940" s="2"/>
      <c r="E940" s="2"/>
      <c r="F940" s="2"/>
      <c r="G940" s="2"/>
      <c r="H940" s="2"/>
      <c r="I940" s="2"/>
      <c r="J940" s="2"/>
      <c r="K940" s="2"/>
      <c r="L940" s="2"/>
      <c r="M940" s="2"/>
      <c r="N940" s="2"/>
      <c r="O940" s="2"/>
      <c r="P940" s="2"/>
      <c r="Q940" s="2"/>
      <c r="R940" s="2"/>
      <c r="S940" s="2"/>
      <c r="T940" s="2"/>
      <c r="U940" s="2"/>
      <c r="V940" s="2"/>
      <c r="W940" s="2"/>
      <c r="X940" s="2"/>
    </row>
    <row r="941">
      <c r="A941" s="116"/>
      <c r="B941" s="44"/>
      <c r="C941" s="2"/>
      <c r="D941" s="2"/>
      <c r="E941" s="2"/>
      <c r="F941" s="2"/>
      <c r="G941" s="2"/>
      <c r="H941" s="2"/>
      <c r="I941" s="2"/>
      <c r="J941" s="2"/>
      <c r="K941" s="2"/>
      <c r="L941" s="2"/>
      <c r="M941" s="2"/>
      <c r="N941" s="2"/>
      <c r="O941" s="2"/>
      <c r="P941" s="2"/>
      <c r="Q941" s="2"/>
      <c r="R941" s="2"/>
      <c r="S941" s="2"/>
      <c r="T941" s="2"/>
      <c r="U941" s="2"/>
      <c r="V941" s="2"/>
      <c r="W941" s="2"/>
      <c r="X941" s="2"/>
    </row>
    <row r="942">
      <c r="A942" s="116"/>
      <c r="B942" s="44"/>
      <c r="C942" s="2"/>
      <c r="D942" s="2"/>
      <c r="E942" s="2"/>
      <c r="F942" s="2"/>
      <c r="G942" s="2"/>
      <c r="H942" s="2"/>
      <c r="I942" s="2"/>
      <c r="J942" s="2"/>
      <c r="K942" s="2"/>
      <c r="L942" s="2"/>
      <c r="M942" s="2"/>
      <c r="N942" s="2"/>
      <c r="O942" s="2"/>
      <c r="P942" s="2"/>
      <c r="Q942" s="2"/>
      <c r="R942" s="2"/>
      <c r="S942" s="2"/>
      <c r="T942" s="2"/>
      <c r="U942" s="2"/>
      <c r="V942" s="2"/>
      <c r="W942" s="2"/>
      <c r="X942" s="2"/>
    </row>
    <row r="943">
      <c r="A943" s="116"/>
      <c r="B943" s="44"/>
      <c r="C943" s="2"/>
      <c r="D943" s="2"/>
      <c r="E943" s="2"/>
      <c r="F943" s="2"/>
      <c r="G943" s="2"/>
      <c r="H943" s="2"/>
      <c r="I943" s="2"/>
      <c r="J943" s="2"/>
      <c r="K943" s="2"/>
      <c r="L943" s="2"/>
      <c r="M943" s="2"/>
      <c r="N943" s="2"/>
      <c r="O943" s="2"/>
      <c r="P943" s="2"/>
      <c r="Q943" s="2"/>
      <c r="R943" s="2"/>
      <c r="S943" s="2"/>
      <c r="T943" s="2"/>
      <c r="U943" s="2"/>
      <c r="V943" s="2"/>
      <c r="W943" s="2"/>
      <c r="X943" s="2"/>
    </row>
    <row r="944">
      <c r="A944" s="116"/>
      <c r="B944" s="44"/>
      <c r="C944" s="2"/>
      <c r="D944" s="2"/>
      <c r="E944" s="2"/>
      <c r="F944" s="2"/>
      <c r="G944" s="2"/>
      <c r="H944" s="2"/>
      <c r="I944" s="2"/>
      <c r="J944" s="2"/>
      <c r="K944" s="2"/>
      <c r="L944" s="2"/>
      <c r="M944" s="2"/>
      <c r="N944" s="2"/>
      <c r="O944" s="2"/>
      <c r="P944" s="2"/>
      <c r="Q944" s="2"/>
      <c r="R944" s="2"/>
      <c r="S944" s="2"/>
      <c r="T944" s="2"/>
      <c r="U944" s="2"/>
      <c r="V944" s="2"/>
      <c r="W944" s="2"/>
      <c r="X944" s="2"/>
    </row>
    <row r="945">
      <c r="A945" s="116"/>
      <c r="B945" s="44"/>
      <c r="C945" s="2"/>
      <c r="D945" s="2"/>
      <c r="E945" s="2"/>
      <c r="F945" s="2"/>
      <c r="G945" s="2"/>
      <c r="H945" s="2"/>
      <c r="I945" s="2"/>
      <c r="J945" s="2"/>
      <c r="K945" s="2"/>
      <c r="L945" s="2"/>
      <c r="M945" s="2"/>
      <c r="N945" s="2"/>
      <c r="O945" s="2"/>
      <c r="P945" s="2"/>
      <c r="Q945" s="2"/>
      <c r="R945" s="2"/>
      <c r="S945" s="2"/>
      <c r="T945" s="2"/>
      <c r="U945" s="2"/>
      <c r="V945" s="2"/>
      <c r="W945" s="2"/>
      <c r="X945" s="2"/>
    </row>
    <row r="946">
      <c r="A946" s="116"/>
      <c r="B946" s="44"/>
      <c r="C946" s="2"/>
      <c r="D946" s="2"/>
      <c r="E946" s="2"/>
      <c r="F946" s="2"/>
      <c r="G946" s="2"/>
      <c r="H946" s="2"/>
      <c r="I946" s="2"/>
      <c r="J946" s="2"/>
      <c r="K946" s="2"/>
      <c r="L946" s="2"/>
      <c r="M946" s="2"/>
      <c r="N946" s="2"/>
      <c r="O946" s="2"/>
      <c r="P946" s="2"/>
      <c r="Q946" s="2"/>
      <c r="R946" s="2"/>
      <c r="S946" s="2"/>
      <c r="T946" s="2"/>
      <c r="U946" s="2"/>
      <c r="V946" s="2"/>
      <c r="W946" s="2"/>
      <c r="X946" s="2"/>
    </row>
    <row r="947">
      <c r="A947" s="116"/>
      <c r="B947" s="44"/>
      <c r="C947" s="2"/>
      <c r="D947" s="2"/>
      <c r="E947" s="2"/>
      <c r="F947" s="2"/>
      <c r="G947" s="2"/>
      <c r="H947" s="2"/>
      <c r="I947" s="2"/>
      <c r="J947" s="2"/>
      <c r="K947" s="2"/>
      <c r="L947" s="2"/>
      <c r="M947" s="2"/>
      <c r="N947" s="2"/>
      <c r="O947" s="2"/>
      <c r="P947" s="2"/>
      <c r="Q947" s="2"/>
      <c r="R947" s="2"/>
      <c r="S947" s="2"/>
      <c r="T947" s="2"/>
      <c r="U947" s="2"/>
      <c r="V947" s="2"/>
      <c r="W947" s="2"/>
      <c r="X947" s="2"/>
    </row>
    <row r="948">
      <c r="A948" s="116"/>
      <c r="B948" s="44"/>
      <c r="C948" s="2"/>
      <c r="D948" s="2"/>
      <c r="E948" s="2"/>
      <c r="F948" s="2"/>
      <c r="G948" s="2"/>
      <c r="H948" s="2"/>
      <c r="I948" s="2"/>
      <c r="J948" s="2"/>
      <c r="K948" s="2"/>
      <c r="L948" s="2"/>
      <c r="M948" s="2"/>
      <c r="N948" s="2"/>
      <c r="O948" s="2"/>
      <c r="P948" s="2"/>
      <c r="Q948" s="2"/>
      <c r="R948" s="2"/>
      <c r="S948" s="2"/>
      <c r="T948" s="2"/>
      <c r="U948" s="2"/>
      <c r="V948" s="2"/>
      <c r="W948" s="2"/>
      <c r="X948" s="2"/>
    </row>
    <row r="949">
      <c r="A949" s="116"/>
      <c r="B949" s="44"/>
      <c r="C949" s="2"/>
      <c r="D949" s="2"/>
      <c r="E949" s="2"/>
      <c r="F949" s="2"/>
      <c r="G949" s="2"/>
      <c r="H949" s="2"/>
      <c r="I949" s="2"/>
      <c r="J949" s="2"/>
      <c r="K949" s="2"/>
      <c r="L949" s="2"/>
      <c r="M949" s="2"/>
      <c r="N949" s="2"/>
      <c r="O949" s="2"/>
      <c r="P949" s="2"/>
      <c r="Q949" s="2"/>
      <c r="R949" s="2"/>
      <c r="S949" s="2"/>
      <c r="T949" s="2"/>
      <c r="U949" s="2"/>
      <c r="V949" s="2"/>
      <c r="W949" s="2"/>
      <c r="X949" s="2"/>
    </row>
    <row r="950">
      <c r="A950" s="116"/>
      <c r="B950" s="44"/>
      <c r="C950" s="2"/>
      <c r="D950" s="2"/>
      <c r="E950" s="2"/>
      <c r="F950" s="2"/>
      <c r="G950" s="2"/>
      <c r="H950" s="2"/>
      <c r="I950" s="2"/>
      <c r="J950" s="2"/>
      <c r="K950" s="2"/>
      <c r="L950" s="2"/>
      <c r="M950" s="2"/>
      <c r="N950" s="2"/>
      <c r="O950" s="2"/>
      <c r="P950" s="2"/>
      <c r="Q950" s="2"/>
      <c r="R950" s="2"/>
      <c r="S950" s="2"/>
      <c r="T950" s="2"/>
      <c r="U950" s="2"/>
      <c r="V950" s="2"/>
      <c r="W950" s="2"/>
      <c r="X950" s="2"/>
    </row>
    <row r="951">
      <c r="A951" s="116"/>
      <c r="B951" s="44"/>
      <c r="C951" s="2"/>
      <c r="D951" s="2"/>
      <c r="E951" s="2"/>
      <c r="F951" s="2"/>
      <c r="G951" s="2"/>
      <c r="H951" s="2"/>
      <c r="I951" s="2"/>
      <c r="J951" s="2"/>
      <c r="K951" s="2"/>
      <c r="L951" s="2"/>
      <c r="M951" s="2"/>
      <c r="N951" s="2"/>
      <c r="O951" s="2"/>
      <c r="P951" s="2"/>
      <c r="Q951" s="2"/>
      <c r="R951" s="2"/>
      <c r="S951" s="2"/>
      <c r="T951" s="2"/>
      <c r="U951" s="2"/>
      <c r="V951" s="2"/>
      <c r="W951" s="2"/>
      <c r="X951" s="2"/>
    </row>
    <row r="952">
      <c r="A952" s="116"/>
      <c r="B952" s="44"/>
      <c r="C952" s="2"/>
      <c r="D952" s="2"/>
      <c r="E952" s="2"/>
      <c r="F952" s="2"/>
      <c r="G952" s="2"/>
      <c r="H952" s="2"/>
      <c r="I952" s="2"/>
      <c r="J952" s="2"/>
      <c r="K952" s="2"/>
      <c r="L952" s="2"/>
      <c r="M952" s="2"/>
      <c r="N952" s="2"/>
      <c r="O952" s="2"/>
      <c r="P952" s="2"/>
      <c r="Q952" s="2"/>
      <c r="R952" s="2"/>
      <c r="S952" s="2"/>
      <c r="T952" s="2"/>
      <c r="U952" s="2"/>
      <c r="V952" s="2"/>
      <c r="W952" s="2"/>
      <c r="X952" s="2"/>
    </row>
    <row r="953">
      <c r="A953" s="116"/>
      <c r="B953" s="44"/>
      <c r="C953" s="2"/>
      <c r="D953" s="2"/>
      <c r="E953" s="2"/>
      <c r="F953" s="2"/>
      <c r="G953" s="2"/>
      <c r="H953" s="2"/>
      <c r="I953" s="2"/>
      <c r="J953" s="2"/>
      <c r="K953" s="2"/>
      <c r="L953" s="2"/>
      <c r="M953" s="2"/>
      <c r="N953" s="2"/>
      <c r="O953" s="2"/>
      <c r="P953" s="2"/>
      <c r="Q953" s="2"/>
      <c r="R953" s="2"/>
      <c r="S953" s="2"/>
      <c r="T953" s="2"/>
      <c r="U953" s="2"/>
      <c r="V953" s="2"/>
      <c r="W953" s="2"/>
      <c r="X953" s="2"/>
    </row>
    <row r="954">
      <c r="A954" s="116"/>
      <c r="B954" s="44"/>
      <c r="C954" s="2"/>
      <c r="D954" s="2"/>
      <c r="E954" s="2"/>
      <c r="F954" s="2"/>
      <c r="G954" s="2"/>
      <c r="H954" s="2"/>
      <c r="I954" s="2"/>
      <c r="J954" s="2"/>
      <c r="K954" s="2"/>
      <c r="L954" s="2"/>
      <c r="M954" s="2"/>
      <c r="N954" s="2"/>
      <c r="O954" s="2"/>
      <c r="P954" s="2"/>
      <c r="Q954" s="2"/>
      <c r="R954" s="2"/>
      <c r="S954" s="2"/>
      <c r="T954" s="2"/>
      <c r="U954" s="2"/>
      <c r="V954" s="2"/>
      <c r="W954" s="2"/>
      <c r="X954" s="2"/>
    </row>
    <row r="955">
      <c r="A955" s="116"/>
      <c r="B955" s="44"/>
      <c r="C955" s="2"/>
      <c r="D955" s="2"/>
      <c r="E955" s="2"/>
      <c r="F955" s="2"/>
      <c r="G955" s="2"/>
      <c r="H955" s="2"/>
      <c r="I955" s="2"/>
      <c r="J955" s="2"/>
      <c r="K955" s="2"/>
      <c r="L955" s="2"/>
      <c r="M955" s="2"/>
      <c r="N955" s="2"/>
      <c r="O955" s="2"/>
      <c r="P955" s="2"/>
      <c r="Q955" s="2"/>
      <c r="R955" s="2"/>
      <c r="S955" s="2"/>
      <c r="T955" s="2"/>
      <c r="U955" s="2"/>
      <c r="V955" s="2"/>
      <c r="W955" s="2"/>
      <c r="X955" s="2"/>
    </row>
    <row r="956">
      <c r="A956" s="116"/>
      <c r="B956" s="44"/>
      <c r="C956" s="2"/>
      <c r="D956" s="2"/>
      <c r="E956" s="2"/>
      <c r="F956" s="2"/>
      <c r="G956" s="2"/>
      <c r="H956" s="2"/>
      <c r="I956" s="2"/>
      <c r="J956" s="2"/>
      <c r="K956" s="2"/>
      <c r="L956" s="2"/>
      <c r="M956" s="2"/>
      <c r="N956" s="2"/>
      <c r="O956" s="2"/>
      <c r="P956" s="2"/>
      <c r="Q956" s="2"/>
      <c r="R956" s="2"/>
      <c r="S956" s="2"/>
      <c r="T956" s="2"/>
      <c r="U956" s="2"/>
      <c r="V956" s="2"/>
      <c r="W956" s="2"/>
      <c r="X956" s="2"/>
    </row>
    <row r="957">
      <c r="A957" s="116"/>
      <c r="B957" s="44"/>
      <c r="C957" s="2"/>
      <c r="D957" s="2"/>
      <c r="E957" s="2"/>
      <c r="F957" s="2"/>
      <c r="G957" s="2"/>
      <c r="H957" s="2"/>
      <c r="I957" s="2"/>
      <c r="J957" s="2"/>
      <c r="K957" s="2"/>
      <c r="L957" s="2"/>
      <c r="M957" s="2"/>
      <c r="N957" s="2"/>
      <c r="O957" s="2"/>
      <c r="P957" s="2"/>
      <c r="Q957" s="2"/>
      <c r="R957" s="2"/>
      <c r="S957" s="2"/>
      <c r="T957" s="2"/>
      <c r="U957" s="2"/>
      <c r="V957" s="2"/>
      <c r="W957" s="2"/>
      <c r="X957" s="2"/>
    </row>
    <row r="958">
      <c r="A958" s="116"/>
      <c r="B958" s="44"/>
      <c r="C958" s="2"/>
      <c r="D958" s="2"/>
      <c r="E958" s="2"/>
      <c r="F958" s="2"/>
      <c r="G958" s="2"/>
      <c r="H958" s="2"/>
      <c r="I958" s="2"/>
      <c r="J958" s="2"/>
      <c r="K958" s="2"/>
      <c r="L958" s="2"/>
      <c r="M958" s="2"/>
      <c r="N958" s="2"/>
      <c r="O958" s="2"/>
      <c r="P958" s="2"/>
      <c r="Q958" s="2"/>
      <c r="R958" s="2"/>
      <c r="S958" s="2"/>
      <c r="T958" s="2"/>
      <c r="U958" s="2"/>
      <c r="V958" s="2"/>
      <c r="W958" s="2"/>
      <c r="X958" s="2"/>
    </row>
    <row r="959">
      <c r="A959" s="116"/>
      <c r="B959" s="44"/>
      <c r="C959" s="2"/>
      <c r="D959" s="2"/>
      <c r="E959" s="2"/>
      <c r="F959" s="2"/>
      <c r="G959" s="2"/>
      <c r="H959" s="2"/>
      <c r="I959" s="2"/>
      <c r="J959" s="2"/>
      <c r="K959" s="2"/>
      <c r="L959" s="2"/>
      <c r="M959" s="2"/>
      <c r="N959" s="2"/>
      <c r="O959" s="2"/>
      <c r="P959" s="2"/>
      <c r="Q959" s="2"/>
      <c r="R959" s="2"/>
      <c r="S959" s="2"/>
      <c r="T959" s="2"/>
      <c r="U959" s="2"/>
      <c r="V959" s="2"/>
      <c r="W959" s="2"/>
      <c r="X959" s="2"/>
    </row>
    <row r="960">
      <c r="A960" s="116"/>
      <c r="B960" s="44"/>
      <c r="C960" s="2"/>
      <c r="D960" s="2"/>
      <c r="E960" s="2"/>
      <c r="F960" s="2"/>
      <c r="G960" s="2"/>
      <c r="H960" s="2"/>
      <c r="I960" s="2"/>
      <c r="J960" s="2"/>
      <c r="K960" s="2"/>
      <c r="L960" s="2"/>
      <c r="M960" s="2"/>
      <c r="N960" s="2"/>
      <c r="O960" s="2"/>
      <c r="P960" s="2"/>
      <c r="Q960" s="2"/>
      <c r="R960" s="2"/>
      <c r="S960" s="2"/>
      <c r="T960" s="2"/>
      <c r="U960" s="2"/>
      <c r="V960" s="2"/>
      <c r="W960" s="2"/>
      <c r="X960" s="2"/>
    </row>
    <row r="961">
      <c r="A961" s="116"/>
      <c r="B961" s="44"/>
      <c r="C961" s="2"/>
      <c r="D961" s="2"/>
      <c r="E961" s="2"/>
      <c r="F961" s="2"/>
      <c r="G961" s="2"/>
      <c r="H961" s="2"/>
      <c r="I961" s="2"/>
      <c r="J961" s="2"/>
      <c r="K961" s="2"/>
      <c r="L961" s="2"/>
      <c r="M961" s="2"/>
      <c r="N961" s="2"/>
      <c r="O961" s="2"/>
      <c r="P961" s="2"/>
      <c r="Q961" s="2"/>
      <c r="R961" s="2"/>
      <c r="S961" s="2"/>
      <c r="T961" s="2"/>
      <c r="U961" s="2"/>
      <c r="V961" s="2"/>
      <c r="W961" s="2"/>
      <c r="X961" s="2"/>
    </row>
    <row r="962">
      <c r="A962" s="116"/>
      <c r="B962" s="44"/>
      <c r="C962" s="2"/>
      <c r="D962" s="2"/>
      <c r="E962" s="2"/>
      <c r="F962" s="2"/>
      <c r="G962" s="2"/>
      <c r="H962" s="2"/>
      <c r="I962" s="2"/>
      <c r="J962" s="2"/>
      <c r="K962" s="2"/>
      <c r="L962" s="2"/>
      <c r="M962" s="2"/>
      <c r="N962" s="2"/>
      <c r="O962" s="2"/>
      <c r="P962" s="2"/>
      <c r="Q962" s="2"/>
      <c r="R962" s="2"/>
      <c r="S962" s="2"/>
      <c r="T962" s="2"/>
      <c r="U962" s="2"/>
      <c r="V962" s="2"/>
      <c r="W962" s="2"/>
      <c r="X962" s="2"/>
    </row>
    <row r="963">
      <c r="A963" s="116"/>
      <c r="B963" s="44"/>
      <c r="C963" s="2"/>
      <c r="D963" s="2"/>
      <c r="E963" s="2"/>
      <c r="F963" s="2"/>
      <c r="G963" s="2"/>
      <c r="H963" s="2"/>
      <c r="I963" s="2"/>
      <c r="J963" s="2"/>
      <c r="K963" s="2"/>
      <c r="L963" s="2"/>
      <c r="M963" s="2"/>
      <c r="N963" s="2"/>
      <c r="O963" s="2"/>
      <c r="P963" s="2"/>
      <c r="Q963" s="2"/>
      <c r="R963" s="2"/>
      <c r="S963" s="2"/>
      <c r="T963" s="2"/>
      <c r="U963" s="2"/>
      <c r="V963" s="2"/>
      <c r="W963" s="2"/>
      <c r="X963" s="2"/>
    </row>
    <row r="964">
      <c r="A964" s="116"/>
      <c r="B964" s="44"/>
      <c r="C964" s="2"/>
      <c r="D964" s="2"/>
      <c r="E964" s="2"/>
      <c r="F964" s="2"/>
      <c r="G964" s="2"/>
      <c r="H964" s="2"/>
      <c r="I964" s="2"/>
      <c r="J964" s="2"/>
      <c r="K964" s="2"/>
      <c r="L964" s="2"/>
      <c r="M964" s="2"/>
      <c r="N964" s="2"/>
      <c r="O964" s="2"/>
      <c r="P964" s="2"/>
      <c r="Q964" s="2"/>
      <c r="R964" s="2"/>
      <c r="S964" s="2"/>
      <c r="T964" s="2"/>
      <c r="U964" s="2"/>
      <c r="V964" s="2"/>
      <c r="W964" s="2"/>
      <c r="X964" s="2"/>
    </row>
    <row r="965">
      <c r="A965" s="116"/>
      <c r="B965" s="44"/>
      <c r="C965" s="2"/>
      <c r="D965" s="2"/>
      <c r="E965" s="2"/>
      <c r="F965" s="2"/>
      <c r="G965" s="2"/>
      <c r="H965" s="2"/>
      <c r="I965" s="2"/>
      <c r="J965" s="2"/>
      <c r="K965" s="2"/>
      <c r="L965" s="2"/>
      <c r="M965" s="2"/>
      <c r="N965" s="2"/>
      <c r="O965" s="2"/>
      <c r="P965" s="2"/>
      <c r="Q965" s="2"/>
      <c r="R965" s="2"/>
      <c r="S965" s="2"/>
      <c r="T965" s="2"/>
      <c r="U965" s="2"/>
      <c r="V965" s="2"/>
      <c r="W965" s="2"/>
      <c r="X965" s="2"/>
    </row>
    <row r="966">
      <c r="A966" s="116"/>
      <c r="B966" s="44"/>
      <c r="C966" s="2"/>
      <c r="D966" s="2"/>
      <c r="E966" s="2"/>
      <c r="F966" s="2"/>
      <c r="G966" s="2"/>
      <c r="H966" s="2"/>
      <c r="I966" s="2"/>
      <c r="J966" s="2"/>
      <c r="K966" s="2"/>
      <c r="L966" s="2"/>
      <c r="M966" s="2"/>
      <c r="N966" s="2"/>
      <c r="O966" s="2"/>
      <c r="P966" s="2"/>
      <c r="Q966" s="2"/>
      <c r="R966" s="2"/>
      <c r="S966" s="2"/>
      <c r="T966" s="2"/>
      <c r="U966" s="2"/>
      <c r="V966" s="2"/>
      <c r="W966" s="2"/>
      <c r="X966" s="2"/>
    </row>
    <row r="967">
      <c r="A967" s="116"/>
      <c r="B967" s="44"/>
      <c r="C967" s="2"/>
      <c r="D967" s="2"/>
      <c r="E967" s="2"/>
      <c r="F967" s="2"/>
      <c r="G967" s="2"/>
      <c r="H967" s="2"/>
      <c r="I967" s="2"/>
      <c r="J967" s="2"/>
      <c r="K967" s="2"/>
      <c r="L967" s="2"/>
      <c r="M967" s="2"/>
      <c r="N967" s="2"/>
      <c r="O967" s="2"/>
      <c r="P967" s="2"/>
      <c r="Q967" s="2"/>
      <c r="R967" s="2"/>
      <c r="S967" s="2"/>
      <c r="T967" s="2"/>
      <c r="U967" s="2"/>
      <c r="V967" s="2"/>
      <c r="W967" s="2"/>
      <c r="X967" s="2"/>
    </row>
    <row r="968">
      <c r="A968" s="116"/>
      <c r="B968" s="44"/>
      <c r="C968" s="2"/>
      <c r="D968" s="2"/>
      <c r="E968" s="2"/>
      <c r="F968" s="2"/>
      <c r="G968" s="2"/>
      <c r="H968" s="2"/>
      <c r="I968" s="2"/>
      <c r="J968" s="2"/>
      <c r="K968" s="2"/>
      <c r="L968" s="2"/>
      <c r="M968" s="2"/>
      <c r="N968" s="2"/>
      <c r="O968" s="2"/>
      <c r="P968" s="2"/>
      <c r="Q968" s="2"/>
      <c r="R968" s="2"/>
      <c r="S968" s="2"/>
      <c r="T968" s="2"/>
      <c r="U968" s="2"/>
      <c r="V968" s="2"/>
      <c r="W968" s="2"/>
      <c r="X968" s="2"/>
    </row>
    <row r="969">
      <c r="A969" s="116"/>
      <c r="B969" s="44"/>
      <c r="C969" s="2"/>
      <c r="D969" s="2"/>
      <c r="E969" s="2"/>
      <c r="F969" s="2"/>
      <c r="G969" s="2"/>
      <c r="H969" s="2"/>
      <c r="I969" s="2"/>
      <c r="J969" s="2"/>
      <c r="K969" s="2"/>
      <c r="L969" s="2"/>
      <c r="M969" s="2"/>
      <c r="N969" s="2"/>
      <c r="O969" s="2"/>
      <c r="P969" s="2"/>
      <c r="Q969" s="2"/>
      <c r="R969" s="2"/>
      <c r="S969" s="2"/>
      <c r="T969" s="2"/>
      <c r="U969" s="2"/>
      <c r="V969" s="2"/>
      <c r="W969" s="2"/>
      <c r="X969" s="2"/>
    </row>
    <row r="970">
      <c r="A970" s="116"/>
      <c r="B970" s="44"/>
      <c r="C970" s="2"/>
      <c r="D970" s="2"/>
      <c r="E970" s="2"/>
      <c r="F970" s="2"/>
      <c r="G970" s="2"/>
      <c r="H970" s="2"/>
      <c r="I970" s="2"/>
      <c r="J970" s="2"/>
      <c r="K970" s="2"/>
      <c r="L970" s="2"/>
      <c r="M970" s="2"/>
      <c r="N970" s="2"/>
      <c r="O970" s="2"/>
      <c r="P970" s="2"/>
      <c r="Q970" s="2"/>
      <c r="R970" s="2"/>
      <c r="S970" s="2"/>
      <c r="T970" s="2"/>
      <c r="U970" s="2"/>
      <c r="V970" s="2"/>
      <c r="W970" s="2"/>
      <c r="X970" s="2"/>
    </row>
    <row r="971">
      <c r="A971" s="116"/>
      <c r="B971" s="44"/>
      <c r="C971" s="2"/>
      <c r="D971" s="2"/>
      <c r="E971" s="2"/>
      <c r="F971" s="2"/>
      <c r="G971" s="2"/>
      <c r="H971" s="2"/>
      <c r="I971" s="2"/>
      <c r="J971" s="2"/>
      <c r="K971" s="2"/>
      <c r="L971" s="2"/>
      <c r="M971" s="2"/>
      <c r="N971" s="2"/>
      <c r="O971" s="2"/>
      <c r="P971" s="2"/>
      <c r="Q971" s="2"/>
      <c r="R971" s="2"/>
      <c r="S971" s="2"/>
      <c r="T971" s="2"/>
      <c r="U971" s="2"/>
      <c r="V971" s="2"/>
      <c r="W971" s="2"/>
      <c r="X971" s="2"/>
    </row>
    <row r="972">
      <c r="A972" s="116"/>
      <c r="B972" s="44"/>
      <c r="C972" s="2"/>
      <c r="D972" s="2"/>
      <c r="E972" s="2"/>
      <c r="F972" s="2"/>
      <c r="G972" s="2"/>
      <c r="H972" s="2"/>
      <c r="I972" s="2"/>
      <c r="J972" s="2"/>
      <c r="K972" s="2"/>
      <c r="L972" s="2"/>
      <c r="M972" s="2"/>
      <c r="N972" s="2"/>
      <c r="O972" s="2"/>
      <c r="P972" s="2"/>
      <c r="Q972" s="2"/>
      <c r="R972" s="2"/>
      <c r="S972" s="2"/>
      <c r="T972" s="2"/>
      <c r="U972" s="2"/>
      <c r="V972" s="2"/>
      <c r="W972" s="2"/>
      <c r="X972" s="2"/>
    </row>
    <row r="973">
      <c r="A973" s="116"/>
      <c r="B973" s="44"/>
      <c r="C973" s="2"/>
      <c r="D973" s="2"/>
      <c r="E973" s="2"/>
      <c r="F973" s="2"/>
      <c r="G973" s="2"/>
      <c r="H973" s="2"/>
      <c r="I973" s="2"/>
      <c r="J973" s="2"/>
      <c r="K973" s="2"/>
      <c r="L973" s="2"/>
      <c r="M973" s="2"/>
      <c r="N973" s="2"/>
      <c r="O973" s="2"/>
      <c r="P973" s="2"/>
      <c r="Q973" s="2"/>
      <c r="R973" s="2"/>
      <c r="S973" s="2"/>
      <c r="T973" s="2"/>
      <c r="U973" s="2"/>
      <c r="V973" s="2"/>
      <c r="W973" s="2"/>
      <c r="X973" s="2"/>
    </row>
    <row r="974">
      <c r="A974" s="116"/>
      <c r="B974" s="44"/>
      <c r="C974" s="2"/>
      <c r="D974" s="2"/>
      <c r="E974" s="2"/>
      <c r="F974" s="2"/>
      <c r="G974" s="2"/>
      <c r="H974" s="2"/>
      <c r="I974" s="2"/>
      <c r="J974" s="2"/>
      <c r="K974" s="2"/>
      <c r="L974" s="2"/>
      <c r="M974" s="2"/>
      <c r="N974" s="2"/>
      <c r="O974" s="2"/>
      <c r="P974" s="2"/>
      <c r="Q974" s="2"/>
      <c r="R974" s="2"/>
      <c r="S974" s="2"/>
      <c r="T974" s="2"/>
      <c r="U974" s="2"/>
      <c r="V974" s="2"/>
      <c r="W974" s="2"/>
      <c r="X974" s="2"/>
    </row>
    <row r="975">
      <c r="A975" s="116"/>
      <c r="B975" s="44"/>
      <c r="C975" s="2"/>
      <c r="D975" s="2"/>
      <c r="E975" s="2"/>
      <c r="F975" s="2"/>
      <c r="G975" s="2"/>
      <c r="H975" s="2"/>
      <c r="I975" s="2"/>
      <c r="J975" s="2"/>
      <c r="K975" s="2"/>
      <c r="L975" s="2"/>
      <c r="M975" s="2"/>
      <c r="N975" s="2"/>
      <c r="O975" s="2"/>
      <c r="P975" s="2"/>
      <c r="Q975" s="2"/>
      <c r="R975" s="2"/>
      <c r="S975" s="2"/>
      <c r="T975" s="2"/>
      <c r="U975" s="2"/>
      <c r="V975" s="2"/>
      <c r="W975" s="2"/>
      <c r="X975" s="2"/>
    </row>
    <row r="976">
      <c r="A976" s="116"/>
      <c r="B976" s="44"/>
      <c r="C976" s="2"/>
      <c r="D976" s="2"/>
      <c r="E976" s="2"/>
      <c r="F976" s="2"/>
      <c r="G976" s="2"/>
      <c r="H976" s="2"/>
      <c r="I976" s="2"/>
      <c r="J976" s="2"/>
      <c r="K976" s="2"/>
      <c r="L976" s="2"/>
      <c r="M976" s="2"/>
      <c r="N976" s="2"/>
      <c r="O976" s="2"/>
      <c r="P976" s="2"/>
      <c r="Q976" s="2"/>
      <c r="R976" s="2"/>
      <c r="S976" s="2"/>
      <c r="T976" s="2"/>
      <c r="U976" s="2"/>
      <c r="V976" s="2"/>
      <c r="W976" s="2"/>
      <c r="X976" s="2"/>
    </row>
    <row r="977">
      <c r="A977" s="116"/>
      <c r="B977" s="44"/>
      <c r="C977" s="2"/>
      <c r="D977" s="2"/>
      <c r="E977" s="2"/>
      <c r="F977" s="2"/>
      <c r="G977" s="2"/>
      <c r="H977" s="2"/>
      <c r="I977" s="2"/>
      <c r="J977" s="2"/>
      <c r="K977" s="2"/>
      <c r="L977" s="2"/>
      <c r="M977" s="2"/>
      <c r="N977" s="2"/>
      <c r="O977" s="2"/>
      <c r="P977" s="2"/>
      <c r="Q977" s="2"/>
      <c r="R977" s="2"/>
      <c r="S977" s="2"/>
      <c r="T977" s="2"/>
      <c r="U977" s="2"/>
      <c r="V977" s="2"/>
      <c r="W977" s="2"/>
      <c r="X977" s="2"/>
    </row>
    <row r="978">
      <c r="A978" s="116"/>
      <c r="B978" s="44"/>
      <c r="C978" s="2"/>
      <c r="D978" s="2"/>
      <c r="E978" s="2"/>
      <c r="F978" s="2"/>
      <c r="G978" s="2"/>
      <c r="H978" s="2"/>
      <c r="I978" s="2"/>
      <c r="J978" s="2"/>
      <c r="K978" s="2"/>
      <c r="L978" s="2"/>
      <c r="M978" s="2"/>
      <c r="N978" s="2"/>
      <c r="O978" s="2"/>
      <c r="P978" s="2"/>
      <c r="Q978" s="2"/>
      <c r="R978" s="2"/>
      <c r="S978" s="2"/>
      <c r="T978" s="2"/>
      <c r="U978" s="2"/>
      <c r="V978" s="2"/>
      <c r="W978" s="2"/>
      <c r="X978" s="2"/>
    </row>
    <row r="979">
      <c r="A979" s="116"/>
      <c r="B979" s="44"/>
      <c r="C979" s="2"/>
      <c r="D979" s="2"/>
      <c r="E979" s="2"/>
      <c r="F979" s="2"/>
      <c r="G979" s="2"/>
      <c r="H979" s="2"/>
      <c r="I979" s="2"/>
      <c r="J979" s="2"/>
      <c r="K979" s="2"/>
      <c r="L979" s="2"/>
      <c r="M979" s="2"/>
      <c r="N979" s="2"/>
      <c r="O979" s="2"/>
      <c r="P979" s="2"/>
      <c r="Q979" s="2"/>
      <c r="R979" s="2"/>
      <c r="S979" s="2"/>
      <c r="T979" s="2"/>
      <c r="U979" s="2"/>
      <c r="V979" s="2"/>
      <c r="W979" s="2"/>
      <c r="X979" s="2"/>
    </row>
    <row r="980">
      <c r="A980" s="116"/>
      <c r="B980" s="44"/>
      <c r="C980" s="2"/>
      <c r="D980" s="2"/>
      <c r="E980" s="2"/>
      <c r="F980" s="2"/>
      <c r="G980" s="2"/>
      <c r="H980" s="2"/>
      <c r="I980" s="2"/>
      <c r="J980" s="2"/>
      <c r="K980" s="2"/>
      <c r="L980" s="2"/>
      <c r="M980" s="2"/>
      <c r="N980" s="2"/>
      <c r="O980" s="2"/>
      <c r="P980" s="2"/>
      <c r="Q980" s="2"/>
      <c r="R980" s="2"/>
      <c r="S980" s="2"/>
      <c r="T980" s="2"/>
      <c r="U980" s="2"/>
      <c r="V980" s="2"/>
      <c r="W980" s="2"/>
      <c r="X980" s="2"/>
    </row>
    <row r="981">
      <c r="A981" s="116"/>
      <c r="B981" s="44"/>
      <c r="C981" s="2"/>
      <c r="D981" s="2"/>
      <c r="E981" s="2"/>
      <c r="F981" s="2"/>
      <c r="G981" s="2"/>
      <c r="H981" s="2"/>
      <c r="I981" s="2"/>
      <c r="J981" s="2"/>
      <c r="K981" s="2"/>
      <c r="L981" s="2"/>
      <c r="M981" s="2"/>
      <c r="N981" s="2"/>
      <c r="O981" s="2"/>
      <c r="P981" s="2"/>
      <c r="Q981" s="2"/>
      <c r="R981" s="2"/>
      <c r="S981" s="2"/>
      <c r="T981" s="2"/>
      <c r="U981" s="2"/>
      <c r="V981" s="2"/>
      <c r="W981" s="2"/>
      <c r="X981" s="2"/>
    </row>
    <row r="982">
      <c r="A982" s="116"/>
      <c r="B982" s="44"/>
      <c r="C982" s="2"/>
      <c r="D982" s="2"/>
      <c r="E982" s="2"/>
      <c r="F982" s="2"/>
      <c r="G982" s="2"/>
      <c r="H982" s="2"/>
      <c r="I982" s="2"/>
      <c r="J982" s="2"/>
      <c r="K982" s="2"/>
      <c r="L982" s="2"/>
      <c r="M982" s="2"/>
      <c r="N982" s="2"/>
      <c r="O982" s="2"/>
      <c r="P982" s="2"/>
      <c r="Q982" s="2"/>
      <c r="R982" s="2"/>
      <c r="S982" s="2"/>
      <c r="T982" s="2"/>
      <c r="U982" s="2"/>
      <c r="V982" s="2"/>
      <c r="W982" s="2"/>
      <c r="X982" s="2"/>
    </row>
    <row r="983">
      <c r="A983" s="116"/>
      <c r="B983" s="44"/>
      <c r="C983" s="2"/>
      <c r="D983" s="2"/>
      <c r="E983" s="2"/>
      <c r="F983" s="2"/>
      <c r="G983" s="2"/>
      <c r="H983" s="2"/>
      <c r="I983" s="2"/>
      <c r="J983" s="2"/>
      <c r="K983" s="2"/>
      <c r="L983" s="2"/>
      <c r="M983" s="2"/>
      <c r="N983" s="2"/>
      <c r="O983" s="2"/>
      <c r="P983" s="2"/>
      <c r="Q983" s="2"/>
      <c r="R983" s="2"/>
      <c r="S983" s="2"/>
      <c r="T983" s="2"/>
      <c r="U983" s="2"/>
      <c r="V983" s="2"/>
      <c r="W983" s="2"/>
      <c r="X983" s="2"/>
    </row>
    <row r="984">
      <c r="A984" s="116"/>
      <c r="B984" s="44"/>
      <c r="C984" s="2"/>
      <c r="D984" s="2"/>
      <c r="E984" s="2"/>
      <c r="F984" s="2"/>
      <c r="G984" s="2"/>
      <c r="H984" s="2"/>
      <c r="I984" s="2"/>
      <c r="J984" s="2"/>
      <c r="K984" s="2"/>
      <c r="L984" s="2"/>
      <c r="M984" s="2"/>
      <c r="N984" s="2"/>
      <c r="O984" s="2"/>
      <c r="P984" s="2"/>
      <c r="Q984" s="2"/>
      <c r="R984" s="2"/>
      <c r="S984" s="2"/>
      <c r="T984" s="2"/>
      <c r="U984" s="2"/>
      <c r="V984" s="2"/>
      <c r="W984" s="2"/>
      <c r="X984" s="2"/>
    </row>
    <row r="985">
      <c r="A985" s="116"/>
      <c r="B985" s="44"/>
      <c r="C985" s="2"/>
      <c r="D985" s="2"/>
      <c r="E985" s="2"/>
      <c r="F985" s="2"/>
      <c r="G985" s="2"/>
      <c r="H985" s="2"/>
      <c r="I985" s="2"/>
      <c r="J985" s="2"/>
      <c r="K985" s="2"/>
      <c r="L985" s="2"/>
      <c r="M985" s="2"/>
      <c r="N985" s="2"/>
      <c r="O985" s="2"/>
      <c r="P985" s="2"/>
      <c r="Q985" s="2"/>
      <c r="R985" s="2"/>
      <c r="S985" s="2"/>
      <c r="T985" s="2"/>
      <c r="U985" s="2"/>
      <c r="V985" s="2"/>
      <c r="W985" s="2"/>
      <c r="X985" s="2"/>
    </row>
    <row r="986">
      <c r="A986" s="116"/>
      <c r="B986" s="44"/>
      <c r="C986" s="2"/>
      <c r="D986" s="2"/>
      <c r="E986" s="2"/>
      <c r="F986" s="2"/>
      <c r="G986" s="2"/>
      <c r="H986" s="2"/>
      <c r="I986" s="2"/>
      <c r="J986" s="2"/>
      <c r="K986" s="2"/>
      <c r="L986" s="2"/>
      <c r="M986" s="2"/>
      <c r="N986" s="2"/>
      <c r="O986" s="2"/>
      <c r="P986" s="2"/>
      <c r="Q986" s="2"/>
      <c r="R986" s="2"/>
      <c r="S986" s="2"/>
      <c r="T986" s="2"/>
      <c r="U986" s="2"/>
      <c r="V986" s="2"/>
      <c r="W986" s="2"/>
      <c r="X986" s="2"/>
    </row>
    <row r="987">
      <c r="A987" s="116"/>
      <c r="B987" s="44"/>
      <c r="C987" s="2"/>
      <c r="D987" s="2"/>
      <c r="E987" s="2"/>
      <c r="F987" s="2"/>
      <c r="G987" s="2"/>
      <c r="H987" s="2"/>
      <c r="I987" s="2"/>
      <c r="J987" s="2"/>
      <c r="K987" s="2"/>
      <c r="L987" s="2"/>
      <c r="M987" s="2"/>
      <c r="N987" s="2"/>
      <c r="O987" s="2"/>
      <c r="P987" s="2"/>
      <c r="Q987" s="2"/>
      <c r="R987" s="2"/>
      <c r="S987" s="2"/>
      <c r="T987" s="2"/>
      <c r="U987" s="2"/>
      <c r="V987" s="2"/>
      <c r="W987" s="2"/>
      <c r="X987" s="2"/>
    </row>
    <row r="988">
      <c r="A988" s="116"/>
      <c r="B988" s="44"/>
      <c r="C988" s="2"/>
      <c r="D988" s="2"/>
      <c r="E988" s="2"/>
      <c r="F988" s="2"/>
      <c r="G988" s="2"/>
      <c r="H988" s="2"/>
      <c r="I988" s="2"/>
      <c r="J988" s="2"/>
      <c r="K988" s="2"/>
      <c r="L988" s="2"/>
      <c r="M988" s="2"/>
      <c r="N988" s="2"/>
      <c r="O988" s="2"/>
      <c r="P988" s="2"/>
      <c r="Q988" s="2"/>
      <c r="R988" s="2"/>
      <c r="S988" s="2"/>
      <c r="T988" s="2"/>
      <c r="U988" s="2"/>
      <c r="V988" s="2"/>
      <c r="W988" s="2"/>
      <c r="X988" s="2"/>
    </row>
    <row r="989">
      <c r="A989" s="116"/>
      <c r="B989" s="44"/>
      <c r="C989" s="2"/>
      <c r="D989" s="2"/>
      <c r="E989" s="2"/>
      <c r="F989" s="2"/>
      <c r="G989" s="2"/>
      <c r="H989" s="2"/>
      <c r="I989" s="2"/>
      <c r="J989" s="2"/>
      <c r="K989" s="2"/>
      <c r="L989" s="2"/>
      <c r="M989" s="2"/>
      <c r="N989" s="2"/>
      <c r="O989" s="2"/>
      <c r="P989" s="2"/>
      <c r="Q989" s="2"/>
      <c r="R989" s="2"/>
      <c r="S989" s="2"/>
      <c r="T989" s="2"/>
      <c r="U989" s="2"/>
      <c r="V989" s="2"/>
      <c r="W989" s="2"/>
      <c r="X989" s="2"/>
    </row>
    <row r="990">
      <c r="A990" s="116"/>
      <c r="B990" s="44"/>
      <c r="C990" s="2"/>
      <c r="D990" s="2"/>
      <c r="E990" s="2"/>
      <c r="F990" s="2"/>
      <c r="G990" s="2"/>
      <c r="H990" s="2"/>
      <c r="I990" s="2"/>
      <c r="J990" s="2"/>
      <c r="K990" s="2"/>
      <c r="L990" s="2"/>
      <c r="M990" s="2"/>
      <c r="N990" s="2"/>
      <c r="O990" s="2"/>
      <c r="P990" s="2"/>
      <c r="Q990" s="2"/>
      <c r="R990" s="2"/>
      <c r="S990" s="2"/>
      <c r="T990" s="2"/>
      <c r="U990" s="2"/>
      <c r="V990" s="2"/>
      <c r="W990" s="2"/>
      <c r="X990" s="2"/>
    </row>
    <row r="991">
      <c r="A991" s="116"/>
      <c r="B991" s="44"/>
      <c r="C991" s="2"/>
      <c r="D991" s="2"/>
      <c r="E991" s="2"/>
      <c r="F991" s="2"/>
      <c r="G991" s="2"/>
      <c r="H991" s="2"/>
      <c r="I991" s="2"/>
      <c r="J991" s="2"/>
      <c r="K991" s="2"/>
      <c r="L991" s="2"/>
      <c r="M991" s="2"/>
      <c r="N991" s="2"/>
      <c r="O991" s="2"/>
      <c r="P991" s="2"/>
      <c r="Q991" s="2"/>
      <c r="R991" s="2"/>
      <c r="S991" s="2"/>
      <c r="T991" s="2"/>
      <c r="U991" s="2"/>
      <c r="V991" s="2"/>
      <c r="W991" s="2"/>
      <c r="X991" s="2"/>
    </row>
    <row r="992">
      <c r="A992" s="116"/>
      <c r="B992" s="44"/>
      <c r="C992" s="2"/>
      <c r="D992" s="2"/>
      <c r="E992" s="2"/>
      <c r="F992" s="2"/>
      <c r="G992" s="2"/>
      <c r="H992" s="2"/>
      <c r="I992" s="2"/>
      <c r="J992" s="2"/>
      <c r="K992" s="2"/>
      <c r="L992" s="2"/>
      <c r="M992" s="2"/>
      <c r="N992" s="2"/>
      <c r="O992" s="2"/>
      <c r="P992" s="2"/>
      <c r="Q992" s="2"/>
      <c r="R992" s="2"/>
      <c r="S992" s="2"/>
      <c r="T992" s="2"/>
      <c r="U992" s="2"/>
      <c r="V992" s="2"/>
      <c r="W992" s="2"/>
      <c r="X992" s="2"/>
    </row>
    <row r="993">
      <c r="A993" s="116"/>
      <c r="B993" s="44"/>
      <c r="C993" s="2"/>
      <c r="D993" s="2"/>
      <c r="E993" s="2"/>
      <c r="F993" s="2"/>
      <c r="G993" s="2"/>
      <c r="H993" s="2"/>
      <c r="I993" s="2"/>
      <c r="J993" s="2"/>
      <c r="K993" s="2"/>
      <c r="L993" s="2"/>
      <c r="M993" s="2"/>
      <c r="N993" s="2"/>
      <c r="O993" s="2"/>
      <c r="P993" s="2"/>
      <c r="Q993" s="2"/>
      <c r="R993" s="2"/>
      <c r="S993" s="2"/>
      <c r="T993" s="2"/>
      <c r="U993" s="2"/>
      <c r="V993" s="2"/>
      <c r="W993" s="2"/>
      <c r="X993" s="2"/>
    </row>
    <row r="994">
      <c r="A994" s="116"/>
      <c r="B994" s="44"/>
      <c r="C994" s="2"/>
      <c r="D994" s="2"/>
      <c r="E994" s="2"/>
      <c r="F994" s="2"/>
      <c r="G994" s="2"/>
      <c r="H994" s="2"/>
      <c r="I994" s="2"/>
      <c r="J994" s="2"/>
      <c r="K994" s="2"/>
      <c r="L994" s="2"/>
      <c r="M994" s="2"/>
      <c r="N994" s="2"/>
      <c r="O994" s="2"/>
      <c r="P994" s="2"/>
      <c r="Q994" s="2"/>
      <c r="R994" s="2"/>
      <c r="S994" s="2"/>
      <c r="T994" s="2"/>
      <c r="U994" s="2"/>
      <c r="V994" s="2"/>
      <c r="W994" s="2"/>
      <c r="X994" s="2"/>
    </row>
    <row r="995">
      <c r="A995" s="116"/>
      <c r="B995" s="44"/>
      <c r="C995" s="2"/>
      <c r="D995" s="2"/>
      <c r="E995" s="2"/>
      <c r="F995" s="2"/>
      <c r="G995" s="2"/>
      <c r="H995" s="2"/>
      <c r="I995" s="2"/>
      <c r="J995" s="2"/>
      <c r="K995" s="2"/>
      <c r="L995" s="2"/>
      <c r="M995" s="2"/>
      <c r="N995" s="2"/>
      <c r="O995" s="2"/>
      <c r="P995" s="2"/>
      <c r="Q995" s="2"/>
      <c r="R995" s="2"/>
      <c r="S995" s="2"/>
      <c r="T995" s="2"/>
      <c r="U995" s="2"/>
      <c r="V995" s="2"/>
      <c r="W995" s="2"/>
      <c r="X995" s="2"/>
    </row>
    <row r="996">
      <c r="A996" s="116"/>
      <c r="B996" s="44"/>
      <c r="C996" s="2"/>
      <c r="D996" s="2"/>
      <c r="E996" s="2"/>
      <c r="F996" s="2"/>
      <c r="G996" s="2"/>
      <c r="H996" s="2"/>
      <c r="I996" s="2"/>
      <c r="J996" s="2"/>
      <c r="K996" s="2"/>
      <c r="L996" s="2"/>
      <c r="M996" s="2"/>
      <c r="N996" s="2"/>
      <c r="O996" s="2"/>
      <c r="P996" s="2"/>
      <c r="Q996" s="2"/>
      <c r="R996" s="2"/>
      <c r="S996" s="2"/>
      <c r="T996" s="2"/>
      <c r="U996" s="2"/>
      <c r="V996" s="2"/>
      <c r="W996" s="2"/>
      <c r="X996" s="2"/>
    </row>
    <row r="997">
      <c r="A997" s="116"/>
      <c r="B997" s="44"/>
      <c r="C997" s="2"/>
      <c r="D997" s="2"/>
      <c r="E997" s="2"/>
      <c r="F997" s="2"/>
      <c r="G997" s="2"/>
      <c r="H997" s="2"/>
      <c r="I997" s="2"/>
      <c r="J997" s="2"/>
      <c r="K997" s="2"/>
      <c r="L997" s="2"/>
      <c r="M997" s="2"/>
      <c r="N997" s="2"/>
      <c r="O997" s="2"/>
      <c r="P997" s="2"/>
      <c r="Q997" s="2"/>
      <c r="R997" s="2"/>
      <c r="S997" s="2"/>
      <c r="T997" s="2"/>
      <c r="U997" s="2"/>
      <c r="V997" s="2"/>
      <c r="W997" s="2"/>
      <c r="X997" s="2"/>
    </row>
    <row r="998">
      <c r="A998" s="116"/>
      <c r="B998" s="44"/>
      <c r="C998" s="2"/>
      <c r="D998" s="2"/>
      <c r="E998" s="2"/>
      <c r="F998" s="2"/>
      <c r="G998" s="2"/>
      <c r="H998" s="2"/>
      <c r="I998" s="2"/>
      <c r="J998" s="2"/>
      <c r="K998" s="2"/>
      <c r="L998" s="2"/>
      <c r="M998" s="2"/>
      <c r="N998" s="2"/>
      <c r="O998" s="2"/>
      <c r="P998" s="2"/>
      <c r="Q998" s="2"/>
      <c r="R998" s="2"/>
      <c r="S998" s="2"/>
      <c r="T998" s="2"/>
      <c r="U998" s="2"/>
      <c r="V998" s="2"/>
      <c r="W998" s="2"/>
      <c r="X998" s="2"/>
    </row>
    <row r="999">
      <c r="A999" s="116"/>
      <c r="B999" s="44"/>
      <c r="C999" s="2"/>
      <c r="D999" s="2"/>
      <c r="E999" s="2"/>
      <c r="F999" s="2"/>
      <c r="G999" s="2"/>
      <c r="H999" s="2"/>
      <c r="I999" s="2"/>
      <c r="J999" s="2"/>
      <c r="K999" s="2"/>
      <c r="L999" s="2"/>
      <c r="M999" s="2"/>
      <c r="N999" s="2"/>
      <c r="O999" s="2"/>
      <c r="P999" s="2"/>
      <c r="Q999" s="2"/>
      <c r="R999" s="2"/>
      <c r="S999" s="2"/>
      <c r="T999" s="2"/>
      <c r="U999" s="2"/>
      <c r="V999" s="2"/>
      <c r="W999" s="2"/>
      <c r="X999" s="2"/>
    </row>
    <row r="1000">
      <c r="A1000" s="116"/>
      <c r="B1000" s="44"/>
      <c r="C1000" s="2"/>
      <c r="D1000" s="2"/>
      <c r="E1000" s="2"/>
      <c r="F1000" s="2"/>
      <c r="G1000" s="2"/>
      <c r="H1000" s="2"/>
      <c r="I1000" s="2"/>
      <c r="J1000" s="2"/>
      <c r="K1000" s="2"/>
      <c r="L1000" s="2"/>
      <c r="M1000" s="2"/>
      <c r="N1000" s="2"/>
      <c r="O1000" s="2"/>
      <c r="P1000" s="2"/>
      <c r="Q1000" s="2"/>
      <c r="R1000" s="2"/>
      <c r="S1000" s="2"/>
      <c r="T1000" s="2"/>
      <c r="U1000" s="2"/>
      <c r="V1000" s="2"/>
      <c r="W1000" s="2"/>
      <c r="X1000" s="2"/>
    </row>
  </sheetData>
  <hyperlinks>
    <hyperlink r:id="rId1" ref="Q301"/>
    <hyperlink r:id="rId2" ref="Q302"/>
  </hyperlinks>
  <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16.63"/>
    <col customWidth="1" min="2" max="2" width="10.88"/>
    <col customWidth="1" min="3" max="3" width="13.88"/>
    <col customWidth="1" min="4" max="4" width="12.25"/>
    <col customWidth="1" min="5" max="5" width="12.88"/>
    <col customWidth="1" min="6" max="6" width="11.88"/>
    <col customWidth="1" min="7" max="7" width="17.25"/>
    <col customWidth="1" min="8" max="8" width="14.25"/>
    <col customWidth="1" min="9" max="9" width="14.88"/>
  </cols>
  <sheetData>
    <row r="1">
      <c r="A1" s="117" t="s">
        <v>2</v>
      </c>
      <c r="B1" s="117" t="s">
        <v>4295</v>
      </c>
      <c r="C1" s="117" t="s">
        <v>4296</v>
      </c>
      <c r="D1" s="117" t="s">
        <v>4297</v>
      </c>
      <c r="E1" s="117" t="s">
        <v>4298</v>
      </c>
      <c r="F1" s="117" t="s">
        <v>3930</v>
      </c>
      <c r="G1" s="117" t="s">
        <v>4299</v>
      </c>
      <c r="H1" s="117"/>
      <c r="I1" s="117"/>
    </row>
    <row r="2">
      <c r="A2" s="118"/>
      <c r="B2" s="118"/>
      <c r="C2" s="118"/>
      <c r="D2" s="118"/>
      <c r="E2" s="118"/>
      <c r="F2" s="118"/>
      <c r="G2" s="118"/>
      <c r="H2" s="118"/>
      <c r="I2" s="118"/>
    </row>
    <row r="3">
      <c r="A3" s="118"/>
      <c r="B3" s="118"/>
      <c r="C3" s="118"/>
      <c r="D3" s="118"/>
      <c r="E3" s="118"/>
      <c r="F3" s="118"/>
      <c r="G3" s="118"/>
      <c r="H3" s="118"/>
      <c r="I3" s="118"/>
    </row>
    <row r="4">
      <c r="A4" s="118"/>
      <c r="B4" s="118"/>
      <c r="C4" s="118"/>
      <c r="D4" s="118"/>
      <c r="E4" s="118"/>
      <c r="F4" s="118"/>
      <c r="G4" s="118"/>
      <c r="H4" s="118"/>
      <c r="I4" s="118"/>
    </row>
    <row r="5">
      <c r="A5" s="118"/>
      <c r="B5" s="118"/>
      <c r="C5" s="118"/>
      <c r="D5" s="118"/>
      <c r="E5" s="118"/>
      <c r="F5" s="118"/>
      <c r="G5" s="118"/>
      <c r="H5" s="118"/>
      <c r="I5" s="118"/>
    </row>
    <row r="6">
      <c r="A6" s="118"/>
      <c r="B6" s="118"/>
      <c r="C6" s="118"/>
      <c r="D6" s="118"/>
      <c r="E6" s="118"/>
      <c r="F6" s="118"/>
      <c r="G6" s="118"/>
      <c r="H6" s="118"/>
      <c r="I6" s="118"/>
    </row>
    <row r="7">
      <c r="A7" s="118"/>
      <c r="B7" s="118"/>
      <c r="C7" s="118"/>
      <c r="D7" s="118"/>
      <c r="E7" s="118"/>
      <c r="F7" s="118"/>
      <c r="G7" s="118"/>
      <c r="H7" s="118"/>
      <c r="I7" s="118"/>
    </row>
    <row r="8">
      <c r="A8" s="118"/>
      <c r="B8" s="118"/>
      <c r="C8" s="118"/>
      <c r="D8" s="118"/>
      <c r="E8" s="118"/>
      <c r="F8" s="118"/>
      <c r="G8" s="118"/>
      <c r="H8" s="118"/>
      <c r="I8" s="118"/>
    </row>
    <row r="9">
      <c r="A9" s="118"/>
      <c r="B9" s="118"/>
      <c r="C9" s="118"/>
      <c r="D9" s="118"/>
      <c r="E9" s="118"/>
      <c r="F9" s="118"/>
      <c r="G9" s="118"/>
      <c r="H9" s="118"/>
      <c r="I9" s="118"/>
    </row>
    <row r="10">
      <c r="A10" s="118"/>
      <c r="B10" s="118"/>
      <c r="C10" s="118"/>
      <c r="D10" s="118"/>
      <c r="E10" s="118"/>
      <c r="F10" s="118"/>
      <c r="G10" s="118"/>
      <c r="H10" s="118"/>
      <c r="I10" s="118"/>
    </row>
    <row r="11">
      <c r="A11" s="118"/>
      <c r="B11" s="118"/>
      <c r="C11" s="118"/>
      <c r="D11" s="118"/>
      <c r="E11" s="118"/>
      <c r="F11" s="118"/>
      <c r="G11" s="118"/>
      <c r="H11" s="118"/>
      <c r="I11" s="118"/>
    </row>
    <row r="12">
      <c r="A12" s="118"/>
      <c r="B12" s="118"/>
      <c r="C12" s="118"/>
      <c r="D12" s="118"/>
      <c r="E12" s="118"/>
      <c r="F12" s="118"/>
      <c r="G12" s="118"/>
      <c r="H12" s="118"/>
      <c r="I12" s="118"/>
    </row>
    <row r="13">
      <c r="A13" s="118"/>
      <c r="B13" s="118"/>
      <c r="C13" s="118"/>
      <c r="D13" s="118"/>
      <c r="E13" s="118"/>
      <c r="F13" s="118"/>
      <c r="G13" s="118"/>
      <c r="H13" s="118"/>
      <c r="I13" s="118"/>
    </row>
    <row r="14">
      <c r="A14" s="118"/>
      <c r="B14" s="118"/>
      <c r="C14" s="118"/>
      <c r="D14" s="118"/>
      <c r="E14" s="118"/>
      <c r="F14" s="118"/>
      <c r="G14" s="118"/>
      <c r="H14" s="118"/>
      <c r="I14" s="118"/>
    </row>
    <row r="15">
      <c r="A15" s="118"/>
      <c r="B15" s="118"/>
      <c r="C15" s="118"/>
      <c r="D15" s="118"/>
      <c r="E15" s="118"/>
      <c r="F15" s="118"/>
      <c r="G15" s="118"/>
      <c r="H15" s="118"/>
      <c r="I15" s="118"/>
    </row>
    <row r="16">
      <c r="A16" s="118"/>
      <c r="B16" s="118"/>
      <c r="C16" s="118"/>
      <c r="D16" s="118"/>
      <c r="E16" s="118"/>
      <c r="F16" s="118"/>
      <c r="G16" s="118"/>
      <c r="H16" s="118"/>
      <c r="I16" s="118"/>
    </row>
    <row r="17">
      <c r="A17" s="118"/>
      <c r="B17" s="118"/>
      <c r="C17" s="118"/>
      <c r="D17" s="118"/>
      <c r="E17" s="118"/>
      <c r="F17" s="118"/>
      <c r="G17" s="118"/>
      <c r="H17" s="118"/>
      <c r="I17" s="118"/>
    </row>
    <row r="18">
      <c r="A18" s="118"/>
      <c r="B18" s="118"/>
      <c r="C18" s="118"/>
      <c r="D18" s="118"/>
      <c r="E18" s="118"/>
      <c r="F18" s="118"/>
      <c r="G18" s="118"/>
      <c r="H18" s="118"/>
      <c r="I18" s="118"/>
    </row>
    <row r="19">
      <c r="A19" s="118"/>
      <c r="B19" s="118"/>
      <c r="C19" s="118"/>
      <c r="D19" s="118"/>
      <c r="E19" s="118"/>
      <c r="F19" s="118"/>
      <c r="G19" s="118"/>
      <c r="H19" s="118"/>
      <c r="I19" s="118"/>
    </row>
    <row r="20">
      <c r="A20" s="118"/>
      <c r="B20" s="118"/>
      <c r="C20" s="118"/>
      <c r="D20" s="118"/>
      <c r="E20" s="118"/>
      <c r="F20" s="118"/>
      <c r="G20" s="118"/>
      <c r="H20" s="118"/>
      <c r="I20" s="118"/>
    </row>
    <row r="21">
      <c r="A21" s="118"/>
      <c r="B21" s="118"/>
      <c r="C21" s="118"/>
      <c r="D21" s="118"/>
      <c r="E21" s="118"/>
      <c r="F21" s="118"/>
      <c r="G21" s="118"/>
      <c r="H21" s="118"/>
      <c r="I21" s="118"/>
    </row>
    <row r="22">
      <c r="A22" s="118"/>
      <c r="B22" s="118"/>
      <c r="C22" s="118"/>
      <c r="D22" s="118"/>
      <c r="E22" s="118"/>
      <c r="F22" s="118"/>
      <c r="G22" s="118"/>
      <c r="H22" s="118"/>
      <c r="I22" s="118"/>
    </row>
    <row r="23">
      <c r="A23" s="118"/>
      <c r="B23" s="118"/>
      <c r="C23" s="118"/>
      <c r="D23" s="118"/>
      <c r="E23" s="118"/>
      <c r="F23" s="118"/>
      <c r="G23" s="118"/>
      <c r="H23" s="118"/>
      <c r="I23" s="118"/>
    </row>
    <row r="24">
      <c r="A24" s="118"/>
      <c r="B24" s="118"/>
      <c r="C24" s="118"/>
      <c r="D24" s="118"/>
      <c r="E24" s="118"/>
      <c r="F24" s="118"/>
      <c r="G24" s="118"/>
      <c r="H24" s="118"/>
      <c r="I24" s="118"/>
    </row>
    <row r="25">
      <c r="A25" s="118"/>
      <c r="B25" s="118"/>
      <c r="C25" s="118"/>
      <c r="D25" s="118"/>
      <c r="E25" s="118"/>
      <c r="F25" s="118"/>
      <c r="G25" s="118"/>
      <c r="H25" s="118"/>
      <c r="I25" s="118"/>
    </row>
    <row r="26">
      <c r="A26" s="118"/>
      <c r="B26" s="118"/>
      <c r="C26" s="118"/>
      <c r="D26" s="118"/>
      <c r="E26" s="118"/>
      <c r="F26" s="118"/>
      <c r="G26" s="118"/>
      <c r="H26" s="118"/>
      <c r="I26" s="118"/>
    </row>
    <row r="27">
      <c r="A27" s="118"/>
      <c r="B27" s="118"/>
      <c r="C27" s="118"/>
      <c r="D27" s="118"/>
      <c r="E27" s="118"/>
      <c r="F27" s="118"/>
      <c r="G27" s="118"/>
      <c r="H27" s="118"/>
      <c r="I27" s="118"/>
    </row>
    <row r="28">
      <c r="A28" s="118"/>
      <c r="B28" s="118"/>
      <c r="C28" s="118"/>
      <c r="D28" s="118"/>
      <c r="E28" s="118"/>
      <c r="F28" s="118"/>
      <c r="G28" s="118"/>
      <c r="H28" s="118"/>
      <c r="I28" s="118"/>
    </row>
    <row r="29">
      <c r="A29" s="118"/>
      <c r="B29" s="118"/>
      <c r="C29" s="118"/>
      <c r="D29" s="118"/>
      <c r="E29" s="118"/>
      <c r="F29" s="118"/>
      <c r="G29" s="118"/>
      <c r="H29" s="118"/>
      <c r="I29" s="118"/>
    </row>
    <row r="30">
      <c r="A30" s="118"/>
      <c r="B30" s="118"/>
      <c r="C30" s="118"/>
      <c r="D30" s="118"/>
      <c r="E30" s="118"/>
      <c r="F30" s="118"/>
      <c r="G30" s="118"/>
      <c r="H30" s="118"/>
      <c r="I30" s="118"/>
    </row>
    <row r="31">
      <c r="A31" s="118"/>
      <c r="B31" s="118"/>
      <c r="C31" s="118"/>
      <c r="D31" s="118"/>
      <c r="E31" s="118"/>
      <c r="F31" s="118"/>
      <c r="G31" s="118"/>
      <c r="H31" s="118"/>
      <c r="I31" s="118"/>
    </row>
    <row r="32">
      <c r="A32" s="118"/>
      <c r="B32" s="118"/>
      <c r="C32" s="118"/>
      <c r="D32" s="118"/>
      <c r="E32" s="118"/>
      <c r="F32" s="118"/>
      <c r="G32" s="118"/>
      <c r="H32" s="118"/>
      <c r="I32" s="118"/>
    </row>
    <row r="33">
      <c r="A33" s="118"/>
      <c r="B33" s="118"/>
      <c r="C33" s="118"/>
      <c r="D33" s="118"/>
      <c r="E33" s="118"/>
      <c r="F33" s="118"/>
      <c r="G33" s="118"/>
      <c r="H33" s="118"/>
      <c r="I33" s="118"/>
    </row>
    <row r="34">
      <c r="A34" s="118"/>
      <c r="B34" s="118"/>
      <c r="C34" s="118"/>
      <c r="D34" s="118"/>
      <c r="E34" s="118"/>
      <c r="F34" s="118"/>
      <c r="G34" s="118"/>
      <c r="H34" s="118"/>
      <c r="I34" s="118"/>
    </row>
    <row r="35">
      <c r="A35" s="118"/>
      <c r="B35" s="118"/>
      <c r="C35" s="118"/>
      <c r="D35" s="118"/>
      <c r="E35" s="118"/>
      <c r="F35" s="118"/>
      <c r="G35" s="118"/>
      <c r="H35" s="118"/>
      <c r="I35" s="118"/>
    </row>
    <row r="36">
      <c r="A36" s="118"/>
      <c r="B36" s="118"/>
      <c r="C36" s="118"/>
      <c r="D36" s="118"/>
      <c r="E36" s="118"/>
      <c r="F36" s="118"/>
      <c r="G36" s="118"/>
      <c r="H36" s="118"/>
      <c r="I36" s="118"/>
    </row>
    <row r="37">
      <c r="A37" s="118"/>
      <c r="B37" s="118"/>
      <c r="C37" s="118"/>
      <c r="D37" s="118"/>
      <c r="E37" s="118"/>
      <c r="F37" s="118"/>
      <c r="G37" s="118"/>
      <c r="H37" s="118"/>
      <c r="I37" s="118"/>
    </row>
    <row r="38">
      <c r="A38" s="118"/>
      <c r="B38" s="118"/>
      <c r="C38" s="118"/>
      <c r="D38" s="118"/>
      <c r="E38" s="118"/>
      <c r="F38" s="118"/>
      <c r="G38" s="118"/>
      <c r="H38" s="118"/>
      <c r="I38" s="118"/>
    </row>
    <row r="39">
      <c r="A39" s="118"/>
      <c r="B39" s="118"/>
      <c r="C39" s="118"/>
      <c r="D39" s="118"/>
      <c r="E39" s="118"/>
      <c r="F39" s="118"/>
      <c r="G39" s="118"/>
      <c r="H39" s="118"/>
      <c r="I39" s="118"/>
    </row>
    <row r="40">
      <c r="A40" s="118"/>
      <c r="B40" s="118"/>
      <c r="C40" s="118"/>
      <c r="D40" s="118"/>
      <c r="E40" s="118"/>
      <c r="F40" s="118"/>
      <c r="G40" s="118"/>
      <c r="H40" s="118"/>
      <c r="I40" s="118"/>
    </row>
  </sheetData>
  <printOptions gridLines="1" horizontalCentered="1"/>
  <pageMargins bottom="0.75" footer="0.0" header="0.0" left="0.25" right="0.25" top="0.75"/>
  <pageSetup scale="130" orientation="landscape"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5"/>
    <col customWidth="1" min="2" max="2" width="29.75"/>
    <col customWidth="1" min="3" max="3" width="49.25"/>
    <col customWidth="1" min="4" max="4" width="34.0"/>
    <col customWidth="1" min="5" max="5" width="35.88"/>
    <col customWidth="1" min="7" max="7" width="28.88"/>
    <col customWidth="1" min="8" max="8" width="38.75"/>
    <col customWidth="1" min="9" max="9" width="89.5"/>
    <col customWidth="1" min="10" max="10" width="35.5"/>
    <col customWidth="1" min="11" max="11" width="45.0"/>
  </cols>
  <sheetData>
    <row r="1">
      <c r="A1" s="52" t="s">
        <v>4300</v>
      </c>
    </row>
    <row r="2">
      <c r="A2" s="52" t="s">
        <v>4301</v>
      </c>
    </row>
    <row r="3">
      <c r="A3" s="52" t="s">
        <v>4302</v>
      </c>
      <c r="B3" s="52" t="s">
        <v>4303</v>
      </c>
      <c r="C3" s="52" t="s">
        <v>4304</v>
      </c>
      <c r="D3" s="52" t="s">
        <v>4305</v>
      </c>
      <c r="E3" s="52" t="s">
        <v>4306</v>
      </c>
    </row>
    <row r="4">
      <c r="A4" s="52" t="s">
        <v>4307</v>
      </c>
      <c r="B4" s="52" t="s">
        <v>4308</v>
      </c>
      <c r="C4" s="52" t="s">
        <v>4309</v>
      </c>
      <c r="D4" s="52" t="s">
        <v>4310</v>
      </c>
      <c r="E4" s="52" t="s">
        <v>4311</v>
      </c>
    </row>
    <row r="5">
      <c r="A5" s="52" t="s">
        <v>4312</v>
      </c>
      <c r="B5" s="52" t="s">
        <v>4313</v>
      </c>
      <c r="C5" s="52" t="s">
        <v>4314</v>
      </c>
      <c r="D5" s="52" t="s">
        <v>4315</v>
      </c>
      <c r="E5" s="52" t="s">
        <v>4316</v>
      </c>
    </row>
    <row r="6">
      <c r="A6" s="52" t="s">
        <v>4317</v>
      </c>
      <c r="B6" s="52" t="s">
        <v>4318</v>
      </c>
      <c r="C6" s="52" t="s">
        <v>4319</v>
      </c>
      <c r="D6" s="52" t="s">
        <v>4320</v>
      </c>
      <c r="E6" s="52" t="s">
        <v>4321</v>
      </c>
    </row>
    <row r="7">
      <c r="A7" s="52" t="s">
        <v>4322</v>
      </c>
      <c r="B7" s="52" t="s">
        <v>4323</v>
      </c>
      <c r="C7" s="52" t="s">
        <v>4324</v>
      </c>
      <c r="D7" s="52" t="s">
        <v>4325</v>
      </c>
      <c r="E7" s="52" t="s">
        <v>4326</v>
      </c>
    </row>
    <row r="8">
      <c r="A8" s="52"/>
    </row>
    <row r="9">
      <c r="A9" s="52" t="s">
        <v>4327</v>
      </c>
    </row>
    <row r="10">
      <c r="A10" s="52" t="s">
        <v>4302</v>
      </c>
      <c r="B10" s="52" t="s">
        <v>4303</v>
      </c>
      <c r="C10" s="52" t="s">
        <v>4304</v>
      </c>
      <c r="D10" s="52" t="s">
        <v>4305</v>
      </c>
      <c r="E10" s="52" t="s">
        <v>4306</v>
      </c>
    </row>
    <row r="11">
      <c r="A11" s="52" t="s">
        <v>4328</v>
      </c>
      <c r="B11" s="52" t="s">
        <v>4329</v>
      </c>
      <c r="C11" s="52" t="s">
        <v>4330</v>
      </c>
      <c r="D11" s="52" t="s">
        <v>4331</v>
      </c>
      <c r="E11" s="52" t="s">
        <v>4332</v>
      </c>
    </row>
    <row r="12">
      <c r="A12" s="52" t="s">
        <v>4333</v>
      </c>
      <c r="B12" s="52" t="s">
        <v>4334</v>
      </c>
      <c r="C12" s="52" t="s">
        <v>4335</v>
      </c>
      <c r="D12" s="52" t="s">
        <v>4336</v>
      </c>
      <c r="E12" s="52" t="s">
        <v>4337</v>
      </c>
    </row>
    <row r="13">
      <c r="A13" s="52" t="s">
        <v>4338</v>
      </c>
      <c r="B13" s="52" t="s">
        <v>4339</v>
      </c>
      <c r="C13" s="52" t="s">
        <v>4340</v>
      </c>
      <c r="D13" s="52" t="s">
        <v>4341</v>
      </c>
      <c r="E13" s="52" t="s">
        <v>4342</v>
      </c>
    </row>
    <row r="14">
      <c r="A14" s="52" t="s">
        <v>4343</v>
      </c>
      <c r="B14" s="52" t="s">
        <v>4344</v>
      </c>
      <c r="C14" s="52" t="s">
        <v>4345</v>
      </c>
      <c r="D14" s="52" t="s">
        <v>4346</v>
      </c>
      <c r="E14" s="52" t="s">
        <v>4347</v>
      </c>
    </row>
    <row r="15">
      <c r="A15" s="52"/>
    </row>
    <row r="16">
      <c r="A16" s="52" t="s">
        <v>4348</v>
      </c>
    </row>
    <row r="17">
      <c r="A17" s="52" t="s">
        <v>4302</v>
      </c>
      <c r="B17" s="52" t="s">
        <v>4303</v>
      </c>
      <c r="C17" s="52" t="s">
        <v>4304</v>
      </c>
      <c r="D17" s="52" t="s">
        <v>4305</v>
      </c>
      <c r="E17" s="52" t="s">
        <v>4306</v>
      </c>
    </row>
    <row r="18">
      <c r="A18" s="52" t="s">
        <v>4349</v>
      </c>
      <c r="B18" s="52" t="s">
        <v>4350</v>
      </c>
      <c r="C18" s="52" t="s">
        <v>4351</v>
      </c>
      <c r="D18" s="52" t="s">
        <v>4352</v>
      </c>
      <c r="E18" s="52" t="s">
        <v>4353</v>
      </c>
    </row>
    <row r="19">
      <c r="A19" s="52" t="s">
        <v>4354</v>
      </c>
      <c r="B19" s="52" t="s">
        <v>4355</v>
      </c>
      <c r="C19" s="52" t="s">
        <v>4356</v>
      </c>
      <c r="D19" s="52" t="s">
        <v>4357</v>
      </c>
      <c r="E19" s="52" t="s">
        <v>4358</v>
      </c>
    </row>
    <row r="20">
      <c r="A20" s="52" t="s">
        <v>4359</v>
      </c>
      <c r="B20" s="52" t="s">
        <v>4360</v>
      </c>
      <c r="C20" s="52" t="s">
        <v>4361</v>
      </c>
      <c r="D20" s="52" t="s">
        <v>4362</v>
      </c>
      <c r="E20" s="52" t="s">
        <v>4363</v>
      </c>
    </row>
    <row r="21">
      <c r="A21" s="52" t="s">
        <v>4364</v>
      </c>
      <c r="B21" s="52" t="s">
        <v>4365</v>
      </c>
      <c r="C21" s="52" t="s">
        <v>4366</v>
      </c>
      <c r="D21" s="52" t="s">
        <v>4367</v>
      </c>
      <c r="E21" s="52" t="s">
        <v>4368</v>
      </c>
    </row>
    <row r="22">
      <c r="A22" s="52" t="s">
        <v>4369</v>
      </c>
      <c r="B22" s="52" t="s">
        <v>4370</v>
      </c>
      <c r="C22" s="52" t="s">
        <v>4371</v>
      </c>
      <c r="D22" s="52" t="s">
        <v>4372</v>
      </c>
      <c r="E22" s="52" t="s">
        <v>4373</v>
      </c>
    </row>
    <row r="23">
      <c r="A23" s="52"/>
    </row>
    <row r="24">
      <c r="A24" s="52" t="s">
        <v>4374</v>
      </c>
    </row>
    <row r="25">
      <c r="A25" s="52" t="s">
        <v>4302</v>
      </c>
      <c r="B25" s="52" t="s">
        <v>4303</v>
      </c>
      <c r="C25" s="52" t="s">
        <v>4304</v>
      </c>
      <c r="D25" s="52" t="s">
        <v>4305</v>
      </c>
      <c r="E25" s="52" t="s">
        <v>4306</v>
      </c>
    </row>
    <row r="26">
      <c r="A26" s="52" t="s">
        <v>4375</v>
      </c>
      <c r="B26" s="52" t="s">
        <v>4376</v>
      </c>
      <c r="C26" s="52" t="s">
        <v>4377</v>
      </c>
      <c r="D26" s="52" t="s">
        <v>4378</v>
      </c>
      <c r="E26" s="52" t="s">
        <v>4379</v>
      </c>
    </row>
    <row r="27">
      <c r="A27" s="52" t="s">
        <v>4380</v>
      </c>
      <c r="B27" s="52" t="s">
        <v>4381</v>
      </c>
      <c r="C27" s="52" t="s">
        <v>4382</v>
      </c>
      <c r="D27" s="52" t="s">
        <v>4383</v>
      </c>
      <c r="E27" s="52" t="s">
        <v>4384</v>
      </c>
    </row>
    <row r="28">
      <c r="A28" s="52" t="s">
        <v>4385</v>
      </c>
      <c r="B28" s="52" t="s">
        <v>4386</v>
      </c>
      <c r="C28" s="52" t="s">
        <v>4387</v>
      </c>
      <c r="D28" s="52" t="s">
        <v>4388</v>
      </c>
      <c r="E28" s="52" t="s">
        <v>4389</v>
      </c>
    </row>
    <row r="29">
      <c r="A29" s="52"/>
    </row>
    <row r="30">
      <c r="A30" s="52" t="s">
        <v>4390</v>
      </c>
    </row>
    <row r="31">
      <c r="A31" s="52" t="s">
        <v>4302</v>
      </c>
      <c r="B31" s="52" t="s">
        <v>4303</v>
      </c>
      <c r="C31" s="52" t="s">
        <v>4304</v>
      </c>
      <c r="D31" s="52" t="s">
        <v>4305</v>
      </c>
      <c r="E31" s="52" t="s">
        <v>4306</v>
      </c>
    </row>
    <row r="32">
      <c r="A32" s="52" t="s">
        <v>4391</v>
      </c>
      <c r="B32" s="52" t="s">
        <v>4392</v>
      </c>
      <c r="C32" s="52" t="s">
        <v>4393</v>
      </c>
      <c r="D32" s="52" t="s">
        <v>4394</v>
      </c>
      <c r="E32" s="52" t="s">
        <v>4395</v>
      </c>
    </row>
    <row r="33">
      <c r="A33" s="52" t="s">
        <v>4396</v>
      </c>
      <c r="B33" s="52" t="s">
        <v>4397</v>
      </c>
      <c r="C33" s="52" t="s">
        <v>4398</v>
      </c>
      <c r="D33" s="52" t="s">
        <v>4399</v>
      </c>
      <c r="E33" s="52" t="s">
        <v>4400</v>
      </c>
    </row>
    <row r="34">
      <c r="A34" s="52" t="s">
        <v>4401</v>
      </c>
      <c r="B34" s="52" t="s">
        <v>4402</v>
      </c>
      <c r="C34" s="52" t="s">
        <v>4403</v>
      </c>
      <c r="D34" s="52" t="s">
        <v>4404</v>
      </c>
      <c r="E34" s="52" t="s">
        <v>4405</v>
      </c>
    </row>
    <row r="52">
      <c r="G52" s="119" t="s">
        <v>4302</v>
      </c>
      <c r="H52" s="119" t="s">
        <v>4303</v>
      </c>
      <c r="I52" s="119" t="s">
        <v>4304</v>
      </c>
      <c r="J52" s="119" t="s">
        <v>4305</v>
      </c>
      <c r="K52" s="119" t="s">
        <v>4306</v>
      </c>
    </row>
    <row r="53">
      <c r="G53" s="52" t="s">
        <v>4406</v>
      </c>
      <c r="H53" s="52" t="s">
        <v>4407</v>
      </c>
      <c r="I53" s="52" t="s">
        <v>4408</v>
      </c>
      <c r="J53" s="52" t="s">
        <v>4409</v>
      </c>
      <c r="K53" s="52" t="s">
        <v>4410</v>
      </c>
    </row>
    <row r="54">
      <c r="G54" s="52" t="s">
        <v>4411</v>
      </c>
      <c r="H54" s="52" t="s">
        <v>4412</v>
      </c>
      <c r="I54" s="52" t="s">
        <v>4413</v>
      </c>
      <c r="J54" s="52" t="s">
        <v>4414</v>
      </c>
      <c r="K54" s="52" t="s">
        <v>4415</v>
      </c>
    </row>
    <row r="55">
      <c r="G55" s="52" t="s">
        <v>4416</v>
      </c>
      <c r="H55" s="52" t="s">
        <v>4417</v>
      </c>
      <c r="I55" s="52" t="s">
        <v>4418</v>
      </c>
      <c r="J55" s="52" t="s">
        <v>4419</v>
      </c>
      <c r="K55" s="52" t="s">
        <v>4420</v>
      </c>
    </row>
    <row r="56">
      <c r="G56" s="52" t="s">
        <v>4421</v>
      </c>
      <c r="H56" s="52" t="s">
        <v>4422</v>
      </c>
      <c r="I56" s="52" t="s">
        <v>4423</v>
      </c>
      <c r="J56" s="52" t="s">
        <v>4424</v>
      </c>
      <c r="K56" s="52" t="s">
        <v>4425</v>
      </c>
    </row>
    <row r="57">
      <c r="G57" s="52" t="s">
        <v>4426</v>
      </c>
      <c r="H57" s="52" t="s">
        <v>4427</v>
      </c>
      <c r="I57" s="52" t="s">
        <v>4428</v>
      </c>
      <c r="J57" s="52" t="s">
        <v>4429</v>
      </c>
      <c r="K57" s="52" t="s">
        <v>4430</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8"/>
  </cols>
  <sheetData>
    <row r="1">
      <c r="A1" s="52" t="s">
        <v>3940</v>
      </c>
      <c r="B1" s="52" t="s">
        <v>4431</v>
      </c>
      <c r="C1" s="52" t="s">
        <v>4432</v>
      </c>
      <c r="D1" s="52" t="s">
        <v>4433</v>
      </c>
      <c r="E1" s="52" t="s">
        <v>4434</v>
      </c>
      <c r="F1" s="52" t="s">
        <v>4435</v>
      </c>
      <c r="G1" s="52" t="s">
        <v>4436</v>
      </c>
      <c r="H1" s="52" t="s">
        <v>4437</v>
      </c>
      <c r="I1" s="52" t="s">
        <v>4438</v>
      </c>
    </row>
    <row r="2">
      <c r="A2" s="81" t="str">
        <f>IFERROR(__xludf.DUMMYFUNCTION("UNIQUE(FILTER('Enhanced Jobs Data'!AA2:AA1000, 'Enhanced Jobs Data'!AA2:AA1000&lt;&gt;""""))
"),"2025-W44")</f>
        <v>2025-W44</v>
      </c>
      <c r="B2" s="89">
        <f t="array" ref="B2:B1000">IF(A2:A1000="",,COUNTIFS('Enhanced Jobs Data'!AA:AA, A2:A1000, WEEKDAY('Enhanced Jobs Data'!Z:Z, 2), 1))</f>
        <v>0</v>
      </c>
      <c r="C2" s="89">
        <f t="array" ref="C2:C1000">IF(A2:A1000="",,COUNTIFS('Enhanced Jobs Data'!AA:AA, A2:A1000, WEEKDAY('Enhanced Jobs Data'!Z:Z, 2), 2))</f>
        <v>0</v>
      </c>
      <c r="D2" s="89">
        <f t="array" ref="D2:D1000">IF(A2:A1000="",,COUNTIFS('Enhanced Jobs Data'!AA:AA, A2:A1000, WEEKDAY('Enhanced Jobs Data'!Z:Z, 2), 3))</f>
        <v>0</v>
      </c>
      <c r="E2" s="89">
        <f t="array" ref="E2:E1000">IF(A2:A1000="",,COUNTIFS('Enhanced Jobs Data'!AA:AA, A2:A1000, WEEKDAY('Enhanced Jobs Data'!Z:Z, 2), 4))</f>
        <v>0</v>
      </c>
      <c r="F2" s="89">
        <f t="array" ref="F2:F1000">IF(A2:A1000="",,COUNTIFS('Enhanced Jobs Data'!AA:AA, A2:A1000, WEEKDAY('Enhanced Jobs Data'!Z:Z, 2), 5))</f>
        <v>8</v>
      </c>
      <c r="G2" s="89">
        <f t="array" ref="G2:G1000">IF(A2:A1000="",,COUNTIFS('Enhanced Jobs Data'!AA:AA, A2:A1000, WEEKDAY('Enhanced Jobs Data'!Z:Z, 2), 6))</f>
        <v>1</v>
      </c>
      <c r="H2" s="89">
        <f t="array" ref="H2:H1000">IF(A2:A1000="",,COUNTIFS('Enhanced Jobs Data'!AA:AA, A2:A1000, WEEKDAY('Enhanced Jobs Data'!Z:Z, 2), 7))</f>
        <v>8</v>
      </c>
      <c r="I2" s="89">
        <f t="array" ref="I2:I1000">IF(A2:A1000="",,B2:B1000 + C2:C1000 + D2:D1000 + E2:E1000 + F2:F1000 + G2:G1000 + H2:H1000)</f>
        <v>17</v>
      </c>
    </row>
    <row r="3">
      <c r="A3" s="81" t="str">
        <f>IFERROR(__xludf.DUMMYFUNCTION("""COMPUTED_VALUE"""),"2025-W45")</f>
        <v>2025-W45</v>
      </c>
      <c r="B3" s="89">
        <v>12.0</v>
      </c>
      <c r="C3" s="89">
        <v>21.0</v>
      </c>
      <c r="D3" s="89">
        <v>1.0</v>
      </c>
      <c r="E3" s="89">
        <v>11.0</v>
      </c>
      <c r="F3" s="89">
        <v>3.0</v>
      </c>
      <c r="G3" s="89">
        <v>1.0</v>
      </c>
      <c r="H3" s="89">
        <v>0.0</v>
      </c>
      <c r="I3" s="89">
        <v>49.0</v>
      </c>
    </row>
    <row r="4">
      <c r="A4" s="81" t="str">
        <f>IFERROR(__xludf.DUMMYFUNCTION("""COMPUTED_VALUE"""),"2025-W46")</f>
        <v>2025-W46</v>
      </c>
      <c r="B4" s="89">
        <v>0.0</v>
      </c>
      <c r="C4" s="89">
        <v>0.0</v>
      </c>
      <c r="D4" s="89">
        <v>0.0</v>
      </c>
      <c r="E4" s="89">
        <v>1.0</v>
      </c>
      <c r="F4" s="89">
        <v>8.0</v>
      </c>
      <c r="G4" s="89">
        <v>2.0</v>
      </c>
      <c r="H4" s="89">
        <v>2.0</v>
      </c>
      <c r="I4" s="89">
        <v>13.0</v>
      </c>
    </row>
    <row r="5">
      <c r="A5" s="81" t="str">
        <f>IFERROR(__xludf.DUMMYFUNCTION("""COMPUTED_VALUE"""),"2025-W47")</f>
        <v>2025-W47</v>
      </c>
      <c r="B5" s="89">
        <v>14.0</v>
      </c>
      <c r="C5" s="89">
        <v>9.0</v>
      </c>
      <c r="D5" s="89">
        <v>10.0</v>
      </c>
      <c r="E5" s="89">
        <v>8.0</v>
      </c>
      <c r="F5" s="89">
        <v>19.0</v>
      </c>
      <c r="G5" s="89">
        <v>0.0</v>
      </c>
      <c r="H5" s="89">
        <v>1.0</v>
      </c>
      <c r="I5" s="89">
        <v>61.0</v>
      </c>
    </row>
    <row r="6">
      <c r="A6" s="81" t="str">
        <f>IFERROR(__xludf.DUMMYFUNCTION("""COMPUTED_VALUE"""),"2025-W48")</f>
        <v>2025-W48</v>
      </c>
      <c r="B6" s="89">
        <v>5.0</v>
      </c>
      <c r="C6" s="89">
        <v>1.0</v>
      </c>
      <c r="D6" s="89">
        <v>0.0</v>
      </c>
      <c r="E6" s="89">
        <v>0.0</v>
      </c>
      <c r="F6" s="89">
        <v>0.0</v>
      </c>
      <c r="G6" s="89">
        <v>2.0</v>
      </c>
      <c r="H6" s="89">
        <v>14.0</v>
      </c>
      <c r="I6" s="89">
        <v>22.0</v>
      </c>
    </row>
    <row r="7">
      <c r="A7" s="81" t="str">
        <f>IFERROR(__xludf.DUMMYFUNCTION("""COMPUTED_VALUE"""),"2025-W49")</f>
        <v>2025-W49</v>
      </c>
      <c r="B7" s="89">
        <v>1.0</v>
      </c>
      <c r="C7" s="89">
        <v>0.0</v>
      </c>
      <c r="D7" s="89">
        <v>0.0</v>
      </c>
      <c r="E7" s="89">
        <v>0.0</v>
      </c>
      <c r="F7" s="89">
        <v>0.0</v>
      </c>
      <c r="G7" s="89">
        <v>0.0</v>
      </c>
      <c r="H7" s="89">
        <v>2.0</v>
      </c>
      <c r="I7" s="89">
        <v>3.0</v>
      </c>
    </row>
    <row r="8">
      <c r="A8" s="81" t="str">
        <f>IFERROR(__xludf.DUMMYFUNCTION("""COMPUTED_VALUE"""),"2025-W50")</f>
        <v>2025-W50</v>
      </c>
      <c r="B8" s="89">
        <v>0.0</v>
      </c>
      <c r="C8" s="89">
        <v>24.0</v>
      </c>
      <c r="D8" s="89">
        <v>15.0</v>
      </c>
      <c r="E8" s="89">
        <v>0.0</v>
      </c>
      <c r="F8" s="89">
        <v>0.0</v>
      </c>
      <c r="G8" s="89">
        <v>0.0</v>
      </c>
      <c r="H8" s="89">
        <v>0.0</v>
      </c>
      <c r="I8" s="89">
        <v>39.0</v>
      </c>
    </row>
    <row r="9">
      <c r="A9" s="81" t="str">
        <f>IFERROR(__xludf.DUMMYFUNCTION("""COMPUTED_VALUE"""),"2025-W51")</f>
        <v>2025-W51</v>
      </c>
      <c r="B9" s="89">
        <v>0.0</v>
      </c>
      <c r="C9" s="89">
        <v>0.0</v>
      </c>
      <c r="D9" s="89">
        <v>0.0</v>
      </c>
      <c r="E9" s="89">
        <v>0.0</v>
      </c>
      <c r="F9" s="89">
        <v>1.0</v>
      </c>
      <c r="G9" s="89">
        <v>1.0</v>
      </c>
      <c r="H9" s="89">
        <v>1.0</v>
      </c>
      <c r="I9" s="89">
        <v>3.0</v>
      </c>
    </row>
    <row r="10">
      <c r="A10" s="81" t="str">
        <f>IFERROR(__xludf.DUMMYFUNCTION("""COMPUTED_VALUE"""),"2025-W52")</f>
        <v>2025-W52</v>
      </c>
      <c r="B10" s="89">
        <v>0.0</v>
      </c>
      <c r="C10" s="89">
        <v>0.0</v>
      </c>
      <c r="D10" s="89">
        <v>1.0</v>
      </c>
      <c r="E10" s="89">
        <v>0.0</v>
      </c>
      <c r="F10" s="89">
        <v>0.0</v>
      </c>
      <c r="G10" s="89">
        <v>0.0</v>
      </c>
      <c r="H10" s="89">
        <v>0.0</v>
      </c>
      <c r="I10" s="89">
        <v>1.0</v>
      </c>
    </row>
    <row r="11">
      <c r="A11" s="81" t="str">
        <f>IFERROR(__xludf.DUMMYFUNCTION("""COMPUTED_VALUE"""),"2026-W01")</f>
        <v>2026-W01</v>
      </c>
      <c r="B11" s="89">
        <v>0.0</v>
      </c>
      <c r="C11" s="89">
        <v>0.0</v>
      </c>
      <c r="D11" s="89">
        <v>0.0</v>
      </c>
      <c r="E11" s="89">
        <v>6.0</v>
      </c>
      <c r="F11" s="89">
        <v>0.0</v>
      </c>
      <c r="G11" s="89">
        <v>1.0</v>
      </c>
      <c r="H11" s="89">
        <v>3.0</v>
      </c>
      <c r="I11" s="89">
        <v>10.0</v>
      </c>
    </row>
    <row r="12">
      <c r="A12" s="81" t="str">
        <f>IFERROR(__xludf.DUMMYFUNCTION("""COMPUTED_VALUE"""),"2026-W02")</f>
        <v>2026-W02</v>
      </c>
      <c r="B12" s="89">
        <v>34.0</v>
      </c>
      <c r="C12" s="89">
        <v>7.0</v>
      </c>
      <c r="D12" s="89">
        <v>16.0</v>
      </c>
      <c r="E12" s="89">
        <v>1.0</v>
      </c>
      <c r="F12" s="89">
        <v>0.0</v>
      </c>
      <c r="G12" s="89">
        <v>0.0</v>
      </c>
      <c r="H12" s="89">
        <v>0.0</v>
      </c>
      <c r="I12" s="89">
        <v>58.0</v>
      </c>
    </row>
    <row r="13">
      <c r="A13" s="81" t="str">
        <f>IFERROR(__xludf.DUMMYFUNCTION("""COMPUTED_VALUE"""),"2026-W03")</f>
        <v>2026-W03</v>
      </c>
      <c r="B13" s="89">
        <v>0.0</v>
      </c>
      <c r="C13" s="89">
        <v>1.0</v>
      </c>
      <c r="D13" s="89">
        <v>0.0</v>
      </c>
      <c r="E13" s="89">
        <v>0.0</v>
      </c>
      <c r="F13" s="89">
        <v>0.0</v>
      </c>
      <c r="G13" s="89">
        <v>0.0</v>
      </c>
      <c r="H13" s="89">
        <v>1.0</v>
      </c>
      <c r="I13" s="89">
        <v>2.0</v>
      </c>
    </row>
    <row r="14">
      <c r="A14" s="81" t="str">
        <f>IFERROR(__xludf.DUMMYFUNCTION("""COMPUTED_VALUE"""),"2026-W04")</f>
        <v>2026-W04</v>
      </c>
      <c r="B14" s="89">
        <v>0.0</v>
      </c>
      <c r="C14" s="89">
        <v>1.0</v>
      </c>
      <c r="D14" s="89">
        <v>0.0</v>
      </c>
      <c r="E14" s="89">
        <v>0.0</v>
      </c>
      <c r="F14" s="89">
        <v>0.0</v>
      </c>
      <c r="G14" s="89">
        <v>0.0</v>
      </c>
      <c r="H14" s="89">
        <v>0.0</v>
      </c>
      <c r="I14" s="89">
        <v>1.0</v>
      </c>
    </row>
    <row r="15">
      <c r="A15" s="81" t="str">
        <f>IFERROR(__xludf.DUMMYFUNCTION("""COMPUTED_VALUE"""),"2026-W05")</f>
        <v>2026-W05</v>
      </c>
      <c r="B15" s="89">
        <v>4.0</v>
      </c>
      <c r="C15" s="89">
        <v>4.0</v>
      </c>
      <c r="D15" s="89">
        <v>0.0</v>
      </c>
      <c r="E15" s="89">
        <v>19.0</v>
      </c>
      <c r="F15" s="89">
        <v>11.0</v>
      </c>
      <c r="G15" s="89">
        <v>1.0</v>
      </c>
      <c r="H15" s="89">
        <v>1.0</v>
      </c>
      <c r="I15" s="89">
        <v>40.0</v>
      </c>
    </row>
    <row r="16">
      <c r="A16" s="81" t="str">
        <f>IFERROR(__xludf.DUMMYFUNCTION("""COMPUTED_VALUE"""),"2026-W06")</f>
        <v>2026-W06</v>
      </c>
      <c r="B16" s="89">
        <v>2.0</v>
      </c>
      <c r="C16" s="89">
        <v>4.0</v>
      </c>
      <c r="D16" s="89">
        <v>10.0</v>
      </c>
      <c r="E16" s="89">
        <v>19.0</v>
      </c>
      <c r="F16" s="89">
        <v>16.0</v>
      </c>
      <c r="G16" s="89">
        <v>3.0</v>
      </c>
      <c r="H16" s="89">
        <v>3.0</v>
      </c>
      <c r="I16" s="89">
        <v>57.0</v>
      </c>
    </row>
    <row r="17">
      <c r="A17" s="81" t="str">
        <f>IFERROR(__xludf.DUMMYFUNCTION("""COMPUTED_VALUE"""),"2026-W07")</f>
        <v>2026-W07</v>
      </c>
      <c r="B17" s="89">
        <v>9.0</v>
      </c>
      <c r="C17" s="89">
        <v>24.0</v>
      </c>
      <c r="D17" s="89">
        <v>20.0</v>
      </c>
      <c r="E17" s="89">
        <v>6.0</v>
      </c>
      <c r="F17" s="89">
        <v>13.0</v>
      </c>
      <c r="G17" s="89">
        <v>13.0</v>
      </c>
      <c r="H17" s="89">
        <v>14.0</v>
      </c>
      <c r="I17" s="89">
        <v>99.0</v>
      </c>
    </row>
    <row r="18">
      <c r="A18" s="81" t="str">
        <f>IFERROR(__xludf.DUMMYFUNCTION("""COMPUTED_VALUE"""),"2026-W08")</f>
        <v>2026-W08</v>
      </c>
      <c r="B18" s="89">
        <v>20.0</v>
      </c>
      <c r="C18" s="89">
        <v>39.0</v>
      </c>
      <c r="D18" s="89">
        <v>0.0</v>
      </c>
      <c r="E18" s="89">
        <v>6.0</v>
      </c>
      <c r="F18" s="89">
        <v>0.0</v>
      </c>
      <c r="G18" s="89">
        <v>4.0</v>
      </c>
      <c r="H18" s="89">
        <v>0.0</v>
      </c>
      <c r="I18" s="89">
        <v>69.0</v>
      </c>
    </row>
    <row r="19">
      <c r="B19" s="89"/>
      <c r="C19" s="89"/>
      <c r="D19" s="89"/>
      <c r="E19" s="89"/>
      <c r="F19" s="89"/>
      <c r="G19" s="89"/>
      <c r="H19" s="89"/>
      <c r="I19" s="89"/>
    </row>
    <row r="20">
      <c r="B20" s="89"/>
      <c r="C20" s="89"/>
      <c r="D20" s="89"/>
      <c r="E20" s="89"/>
      <c r="F20" s="89"/>
      <c r="G20" s="89"/>
      <c r="H20" s="89"/>
      <c r="I20" s="89"/>
    </row>
    <row r="21">
      <c r="B21" s="89"/>
      <c r="C21" s="89"/>
      <c r="D21" s="89"/>
      <c r="E21" s="89"/>
      <c r="F21" s="89"/>
      <c r="G21" s="89"/>
      <c r="H21" s="89"/>
      <c r="I21" s="89"/>
    </row>
    <row r="22">
      <c r="B22" s="89"/>
      <c r="C22" s="89"/>
      <c r="D22" s="89"/>
      <c r="E22" s="89"/>
      <c r="F22" s="89"/>
      <c r="G22" s="89"/>
      <c r="H22" s="89"/>
      <c r="I22" s="89"/>
    </row>
    <row r="23">
      <c r="B23" s="89"/>
      <c r="C23" s="89"/>
      <c r="D23" s="89"/>
      <c r="E23" s="89"/>
      <c r="F23" s="89"/>
      <c r="G23" s="89"/>
      <c r="H23" s="89"/>
      <c r="I23" s="89"/>
    </row>
    <row r="24">
      <c r="B24" s="89"/>
      <c r="C24" s="89"/>
      <c r="D24" s="89"/>
      <c r="E24" s="89"/>
      <c r="F24" s="89"/>
      <c r="G24" s="89"/>
      <c r="H24" s="89"/>
      <c r="I24" s="89"/>
      <c r="M24" s="52" t="s">
        <v>4439</v>
      </c>
    </row>
    <row r="25">
      <c r="B25" s="89"/>
      <c r="C25" s="89"/>
      <c r="D25" s="89"/>
      <c r="E25" s="89"/>
      <c r="F25" s="89"/>
      <c r="G25" s="89"/>
      <c r="H25" s="89"/>
      <c r="I25" s="89"/>
      <c r="M25" s="52" t="s">
        <v>4440</v>
      </c>
    </row>
    <row r="26">
      <c r="B26" s="89"/>
      <c r="C26" s="89"/>
      <c r="D26" s="89"/>
      <c r="E26" s="89"/>
      <c r="F26" s="89"/>
      <c r="G26" s="89"/>
      <c r="H26" s="89"/>
      <c r="I26" s="89"/>
      <c r="M26" s="52" t="s">
        <v>4441</v>
      </c>
    </row>
    <row r="27">
      <c r="B27" s="89"/>
      <c r="C27" s="89"/>
      <c r="D27" s="89"/>
      <c r="E27" s="89"/>
      <c r="F27" s="89"/>
      <c r="G27" s="89"/>
      <c r="H27" s="89"/>
      <c r="I27" s="89"/>
      <c r="M27" s="52" t="s">
        <v>4442</v>
      </c>
    </row>
    <row r="28">
      <c r="B28" s="89"/>
      <c r="C28" s="89"/>
      <c r="D28" s="89"/>
      <c r="E28" s="89"/>
      <c r="F28" s="89"/>
      <c r="G28" s="89"/>
      <c r="H28" s="89"/>
      <c r="I28" s="89"/>
      <c r="M28" s="52" t="s">
        <v>4443</v>
      </c>
    </row>
    <row r="29">
      <c r="B29" s="89"/>
      <c r="C29" s="89"/>
      <c r="D29" s="89"/>
      <c r="E29" s="89"/>
      <c r="F29" s="89"/>
      <c r="G29" s="89"/>
      <c r="H29" s="89"/>
      <c r="I29" s="89"/>
      <c r="M29" s="52" t="s">
        <v>4444</v>
      </c>
    </row>
    <row r="30">
      <c r="B30" s="89"/>
      <c r="C30" s="89"/>
      <c r="D30" s="89"/>
      <c r="E30" s="89"/>
      <c r="F30" s="89"/>
      <c r="G30" s="89"/>
      <c r="H30" s="89"/>
      <c r="I30" s="89"/>
      <c r="M30" s="52" t="s">
        <v>4445</v>
      </c>
    </row>
    <row r="31">
      <c r="B31" s="89"/>
      <c r="C31" s="89"/>
      <c r="D31" s="89"/>
      <c r="E31" s="89"/>
      <c r="F31" s="89"/>
      <c r="G31" s="89"/>
      <c r="H31" s="89"/>
      <c r="I31" s="89"/>
      <c r="M31" s="52" t="s">
        <v>4446</v>
      </c>
    </row>
    <row r="32">
      <c r="B32" s="89"/>
      <c r="C32" s="89"/>
      <c r="D32" s="89"/>
      <c r="E32" s="89"/>
      <c r="F32" s="89"/>
      <c r="G32" s="89"/>
      <c r="H32" s="89"/>
      <c r="I32" s="89"/>
      <c r="M32" s="52" t="s">
        <v>4447</v>
      </c>
    </row>
    <row r="33">
      <c r="B33" s="89"/>
      <c r="C33" s="89"/>
      <c r="D33" s="89"/>
      <c r="E33" s="89"/>
      <c r="F33" s="89"/>
      <c r="G33" s="89"/>
      <c r="H33" s="89"/>
      <c r="I33" s="89"/>
      <c r="M33" s="52" t="s">
        <v>4448</v>
      </c>
    </row>
    <row r="34">
      <c r="B34" s="89"/>
      <c r="C34" s="89"/>
      <c r="D34" s="89"/>
      <c r="E34" s="89"/>
      <c r="F34" s="89"/>
      <c r="G34" s="89"/>
      <c r="H34" s="89"/>
      <c r="I34" s="89"/>
      <c r="M34" s="52" t="s">
        <v>4449</v>
      </c>
    </row>
    <row r="35">
      <c r="B35" s="89"/>
      <c r="C35" s="89"/>
      <c r="D35" s="89"/>
      <c r="E35" s="89"/>
      <c r="F35" s="89"/>
      <c r="G35" s="89"/>
      <c r="H35" s="89"/>
      <c r="I35" s="89"/>
    </row>
    <row r="36">
      <c r="B36" s="89"/>
      <c r="C36" s="89"/>
      <c r="D36" s="89"/>
      <c r="E36" s="89"/>
      <c r="F36" s="89"/>
      <c r="G36" s="89"/>
      <c r="H36" s="89"/>
      <c r="I36" s="89"/>
    </row>
    <row r="37">
      <c r="B37" s="89"/>
      <c r="C37" s="89"/>
      <c r="D37" s="89"/>
      <c r="E37" s="89"/>
      <c r="F37" s="89"/>
      <c r="G37" s="89"/>
      <c r="H37" s="89"/>
      <c r="I37" s="89"/>
    </row>
    <row r="38">
      <c r="B38" s="89"/>
      <c r="C38" s="89"/>
      <c r="D38" s="89"/>
      <c r="E38" s="89"/>
      <c r="F38" s="89"/>
      <c r="G38" s="89"/>
      <c r="H38" s="89"/>
      <c r="I38" s="89"/>
    </row>
    <row r="39">
      <c r="B39" s="89"/>
      <c r="C39" s="89"/>
      <c r="D39" s="89"/>
      <c r="E39" s="89"/>
      <c r="F39" s="89"/>
      <c r="G39" s="89"/>
      <c r="H39" s="89"/>
      <c r="I39" s="89"/>
    </row>
    <row r="40">
      <c r="B40" s="89"/>
      <c r="C40" s="89"/>
      <c r="D40" s="89"/>
      <c r="E40" s="89"/>
      <c r="F40" s="89"/>
      <c r="G40" s="89"/>
      <c r="H40" s="89"/>
      <c r="I40" s="89"/>
    </row>
    <row r="41">
      <c r="B41" s="89"/>
      <c r="C41" s="89"/>
      <c r="D41" s="89"/>
      <c r="E41" s="89"/>
      <c r="F41" s="89"/>
      <c r="G41" s="89"/>
      <c r="H41" s="89"/>
      <c r="I41" s="89"/>
    </row>
    <row r="42">
      <c r="B42" s="89"/>
      <c r="C42" s="89"/>
      <c r="D42" s="89"/>
      <c r="E42" s="89"/>
      <c r="F42" s="89"/>
      <c r="G42" s="89"/>
      <c r="H42" s="89"/>
      <c r="I42" s="89"/>
    </row>
    <row r="43">
      <c r="B43" s="89"/>
      <c r="C43" s="89"/>
      <c r="D43" s="89"/>
      <c r="E43" s="89"/>
      <c r="F43" s="89"/>
      <c r="G43" s="89"/>
      <c r="H43" s="89"/>
      <c r="I43" s="89"/>
    </row>
    <row r="44">
      <c r="B44" s="89"/>
      <c r="C44" s="89"/>
      <c r="D44" s="89"/>
      <c r="E44" s="89"/>
      <c r="F44" s="89"/>
      <c r="G44" s="89"/>
      <c r="H44" s="89"/>
      <c r="I44" s="89"/>
    </row>
    <row r="45">
      <c r="B45" s="89"/>
      <c r="C45" s="89"/>
      <c r="D45" s="89"/>
      <c r="E45" s="89"/>
      <c r="F45" s="89"/>
      <c r="G45" s="89"/>
      <c r="H45" s="89"/>
      <c r="I45" s="89"/>
    </row>
    <row r="46">
      <c r="B46" s="89"/>
      <c r="C46" s="89"/>
      <c r="D46" s="89"/>
      <c r="E46" s="89"/>
      <c r="F46" s="89"/>
      <c r="G46" s="89"/>
      <c r="H46" s="89"/>
      <c r="I46" s="89"/>
    </row>
    <row r="47">
      <c r="B47" s="89"/>
      <c r="C47" s="89"/>
      <c r="D47" s="89"/>
      <c r="E47" s="89"/>
      <c r="F47" s="89"/>
      <c r="G47" s="89"/>
      <c r="H47" s="89"/>
      <c r="I47" s="89"/>
    </row>
    <row r="48">
      <c r="B48" s="89"/>
      <c r="C48" s="89"/>
      <c r="D48" s="89"/>
      <c r="E48" s="89"/>
      <c r="F48" s="89"/>
      <c r="G48" s="89"/>
      <c r="H48" s="89"/>
      <c r="I48" s="89"/>
    </row>
    <row r="49">
      <c r="B49" s="89"/>
      <c r="C49" s="89"/>
      <c r="D49" s="89"/>
      <c r="E49" s="89"/>
      <c r="F49" s="89"/>
      <c r="G49" s="89"/>
      <c r="H49" s="89"/>
      <c r="I49" s="89"/>
    </row>
    <row r="50">
      <c r="B50" s="89"/>
      <c r="C50" s="89"/>
      <c r="D50" s="89"/>
      <c r="E50" s="89"/>
      <c r="F50" s="89"/>
      <c r="G50" s="89"/>
      <c r="H50" s="89"/>
      <c r="I50" s="89"/>
    </row>
    <row r="51">
      <c r="B51" s="89"/>
      <c r="C51" s="89"/>
      <c r="D51" s="89"/>
      <c r="E51" s="89"/>
      <c r="F51" s="89"/>
      <c r="G51" s="89"/>
      <c r="H51" s="89"/>
      <c r="I51" s="89"/>
    </row>
    <row r="52">
      <c r="B52" s="89"/>
      <c r="C52" s="89"/>
      <c r="D52" s="89"/>
      <c r="E52" s="89"/>
      <c r="F52" s="89"/>
      <c r="G52" s="89"/>
      <c r="H52" s="89"/>
      <c r="I52" s="89"/>
    </row>
    <row r="53">
      <c r="B53" s="89"/>
      <c r="C53" s="89"/>
      <c r="D53" s="89"/>
      <c r="E53" s="89"/>
      <c r="F53" s="89"/>
      <c r="G53" s="89"/>
      <c r="H53" s="89"/>
      <c r="I53" s="89"/>
    </row>
    <row r="54">
      <c r="B54" s="89"/>
      <c r="C54" s="89"/>
      <c r="D54" s="89"/>
      <c r="E54" s="89"/>
      <c r="F54" s="89"/>
      <c r="G54" s="89"/>
      <c r="H54" s="89"/>
      <c r="I54" s="89"/>
    </row>
    <row r="55">
      <c r="B55" s="89"/>
      <c r="C55" s="89"/>
      <c r="D55" s="89"/>
      <c r="E55" s="89"/>
      <c r="F55" s="89"/>
      <c r="G55" s="89"/>
      <c r="H55" s="89"/>
      <c r="I55" s="89"/>
    </row>
    <row r="56">
      <c r="B56" s="89"/>
      <c r="C56" s="89"/>
      <c r="D56" s="89"/>
      <c r="E56" s="89"/>
      <c r="F56" s="89"/>
      <c r="G56" s="89"/>
      <c r="H56" s="89"/>
      <c r="I56" s="89"/>
    </row>
    <row r="57">
      <c r="B57" s="89"/>
      <c r="C57" s="89"/>
      <c r="D57" s="89"/>
      <c r="E57" s="89"/>
      <c r="F57" s="89"/>
      <c r="G57" s="89"/>
      <c r="H57" s="89"/>
      <c r="I57" s="89"/>
    </row>
    <row r="58">
      <c r="B58" s="89"/>
      <c r="C58" s="89"/>
      <c r="D58" s="89"/>
      <c r="E58" s="89"/>
      <c r="F58" s="89"/>
      <c r="G58" s="89"/>
      <c r="H58" s="89"/>
      <c r="I58" s="89"/>
    </row>
    <row r="59">
      <c r="B59" s="89"/>
      <c r="C59" s="89"/>
      <c r="D59" s="89"/>
      <c r="E59" s="89"/>
      <c r="F59" s="89"/>
      <c r="G59" s="89"/>
      <c r="H59" s="89"/>
      <c r="I59" s="89"/>
    </row>
    <row r="60">
      <c r="B60" s="89"/>
      <c r="C60" s="89"/>
      <c r="D60" s="89"/>
      <c r="E60" s="89"/>
      <c r="F60" s="89"/>
      <c r="G60" s="89"/>
      <c r="H60" s="89"/>
      <c r="I60" s="89"/>
    </row>
    <row r="61">
      <c r="B61" s="89"/>
      <c r="C61" s="89"/>
      <c r="D61" s="89"/>
      <c r="E61" s="89"/>
      <c r="F61" s="89"/>
      <c r="G61" s="89"/>
      <c r="H61" s="89"/>
      <c r="I61" s="89"/>
    </row>
    <row r="62">
      <c r="B62" s="89"/>
      <c r="C62" s="89"/>
      <c r="D62" s="89"/>
      <c r="E62" s="89"/>
      <c r="F62" s="89"/>
      <c r="G62" s="89"/>
      <c r="H62" s="89"/>
      <c r="I62" s="89"/>
    </row>
    <row r="63">
      <c r="B63" s="89"/>
      <c r="C63" s="89"/>
      <c r="D63" s="89"/>
      <c r="E63" s="89"/>
      <c r="F63" s="89"/>
      <c r="G63" s="89"/>
      <c r="H63" s="89"/>
      <c r="I63" s="89"/>
    </row>
    <row r="64">
      <c r="B64" s="89"/>
      <c r="C64" s="89"/>
      <c r="D64" s="89"/>
      <c r="E64" s="89"/>
      <c r="F64" s="89"/>
      <c r="G64" s="89"/>
      <c r="H64" s="89"/>
      <c r="I64" s="89"/>
    </row>
    <row r="65">
      <c r="B65" s="89"/>
      <c r="C65" s="89"/>
      <c r="D65" s="89"/>
      <c r="E65" s="89"/>
      <c r="F65" s="89"/>
      <c r="G65" s="89"/>
      <c r="H65" s="89"/>
      <c r="I65" s="89"/>
    </row>
    <row r="66">
      <c r="B66" s="89"/>
      <c r="C66" s="89"/>
      <c r="D66" s="89"/>
      <c r="E66" s="89"/>
      <c r="F66" s="89"/>
      <c r="G66" s="89"/>
      <c r="H66" s="89"/>
      <c r="I66" s="89"/>
    </row>
    <row r="67">
      <c r="B67" s="89"/>
      <c r="C67" s="89"/>
      <c r="D67" s="89"/>
      <c r="E67" s="89"/>
      <c r="F67" s="89"/>
      <c r="G67" s="89"/>
      <c r="H67" s="89"/>
      <c r="I67" s="89"/>
    </row>
    <row r="68">
      <c r="B68" s="89"/>
      <c r="C68" s="89"/>
      <c r="D68" s="89"/>
      <c r="E68" s="89"/>
      <c r="F68" s="89"/>
      <c r="G68" s="89"/>
      <c r="H68" s="89"/>
      <c r="I68" s="89"/>
    </row>
    <row r="69">
      <c r="B69" s="89"/>
      <c r="C69" s="89"/>
      <c r="D69" s="89"/>
      <c r="E69" s="89"/>
      <c r="F69" s="89"/>
      <c r="G69" s="89"/>
      <c r="H69" s="89"/>
      <c r="I69" s="89"/>
    </row>
    <row r="70">
      <c r="B70" s="89"/>
      <c r="C70" s="89"/>
      <c r="D70" s="89"/>
      <c r="E70" s="89"/>
      <c r="F70" s="89"/>
      <c r="G70" s="89"/>
      <c r="H70" s="89"/>
      <c r="I70" s="89"/>
    </row>
    <row r="71">
      <c r="B71" s="89"/>
      <c r="C71" s="89"/>
      <c r="D71" s="89"/>
      <c r="E71" s="89"/>
      <c r="F71" s="89"/>
      <c r="G71" s="89"/>
      <c r="H71" s="89"/>
      <c r="I71" s="89"/>
    </row>
    <row r="72">
      <c r="B72" s="89"/>
      <c r="C72" s="89"/>
      <c r="D72" s="89"/>
      <c r="E72" s="89"/>
      <c r="F72" s="89"/>
      <c r="G72" s="89"/>
      <c r="H72" s="89"/>
      <c r="I72" s="89"/>
    </row>
    <row r="73">
      <c r="B73" s="89"/>
      <c r="C73" s="89"/>
      <c r="D73" s="89"/>
      <c r="E73" s="89"/>
      <c r="F73" s="89"/>
      <c r="G73" s="89"/>
      <c r="H73" s="89"/>
      <c r="I73" s="89"/>
    </row>
    <row r="74">
      <c r="B74" s="89"/>
      <c r="C74" s="89"/>
      <c r="D74" s="89"/>
      <c r="E74" s="89"/>
      <c r="F74" s="89"/>
      <c r="G74" s="89"/>
      <c r="H74" s="89"/>
      <c r="I74" s="89"/>
    </row>
    <row r="75">
      <c r="B75" s="89"/>
      <c r="C75" s="89"/>
      <c r="D75" s="89"/>
      <c r="E75" s="89"/>
      <c r="F75" s="89"/>
      <c r="G75" s="89"/>
      <c r="H75" s="89"/>
      <c r="I75" s="89"/>
    </row>
    <row r="76">
      <c r="B76" s="89"/>
      <c r="C76" s="89"/>
      <c r="D76" s="89"/>
      <c r="E76" s="89"/>
      <c r="F76" s="89"/>
      <c r="G76" s="89"/>
      <c r="H76" s="89"/>
      <c r="I76" s="89"/>
    </row>
    <row r="77">
      <c r="B77" s="89"/>
      <c r="C77" s="89"/>
      <c r="D77" s="89"/>
      <c r="E77" s="89"/>
      <c r="F77" s="89"/>
      <c r="G77" s="89"/>
      <c r="H77" s="89"/>
      <c r="I77" s="89"/>
    </row>
    <row r="78">
      <c r="B78" s="89"/>
      <c r="C78" s="89"/>
      <c r="D78" s="89"/>
      <c r="E78" s="89"/>
      <c r="F78" s="89"/>
      <c r="G78" s="89"/>
      <c r="H78" s="89"/>
      <c r="I78" s="89"/>
    </row>
    <row r="79">
      <c r="B79" s="89"/>
      <c r="C79" s="89"/>
      <c r="D79" s="89"/>
      <c r="E79" s="89"/>
      <c r="F79" s="89"/>
      <c r="G79" s="89"/>
      <c r="H79" s="89"/>
      <c r="I79" s="89"/>
    </row>
    <row r="80">
      <c r="B80" s="89"/>
      <c r="C80" s="89"/>
      <c r="D80" s="89"/>
      <c r="E80" s="89"/>
      <c r="F80" s="89"/>
      <c r="G80" s="89"/>
      <c r="H80" s="89"/>
      <c r="I80" s="89"/>
    </row>
    <row r="81">
      <c r="B81" s="89"/>
      <c r="C81" s="89"/>
      <c r="D81" s="89"/>
      <c r="E81" s="89"/>
      <c r="F81" s="89"/>
      <c r="G81" s="89"/>
      <c r="H81" s="89"/>
      <c r="I81" s="89"/>
    </row>
    <row r="82">
      <c r="B82" s="89"/>
      <c r="C82" s="89"/>
      <c r="D82" s="89"/>
      <c r="E82" s="89"/>
      <c r="F82" s="89"/>
      <c r="G82" s="89"/>
      <c r="H82" s="89"/>
      <c r="I82" s="89"/>
    </row>
    <row r="83">
      <c r="B83" s="89"/>
      <c r="C83" s="89"/>
      <c r="D83" s="89"/>
      <c r="E83" s="89"/>
      <c r="F83" s="89"/>
      <c r="G83" s="89"/>
      <c r="H83" s="89"/>
      <c r="I83" s="89"/>
    </row>
    <row r="84">
      <c r="B84" s="89"/>
      <c r="C84" s="89"/>
      <c r="D84" s="89"/>
      <c r="E84" s="89"/>
      <c r="F84" s="89"/>
      <c r="G84" s="89"/>
      <c r="H84" s="89"/>
      <c r="I84" s="89"/>
    </row>
    <row r="85">
      <c r="B85" s="89"/>
      <c r="C85" s="89"/>
      <c r="D85" s="89"/>
      <c r="E85" s="89"/>
      <c r="F85" s="89"/>
      <c r="G85" s="89"/>
      <c r="H85" s="89"/>
      <c r="I85" s="89"/>
    </row>
    <row r="86">
      <c r="B86" s="89"/>
      <c r="C86" s="89"/>
      <c r="D86" s="89"/>
      <c r="E86" s="89"/>
      <c r="F86" s="89"/>
      <c r="G86" s="89"/>
      <c r="H86" s="89"/>
      <c r="I86" s="89"/>
    </row>
    <row r="87">
      <c r="B87" s="89"/>
      <c r="C87" s="89"/>
      <c r="D87" s="89"/>
      <c r="E87" s="89"/>
      <c r="F87" s="89"/>
      <c r="G87" s="89"/>
      <c r="H87" s="89"/>
      <c r="I87" s="89"/>
    </row>
    <row r="88">
      <c r="B88" s="89"/>
      <c r="C88" s="89"/>
      <c r="D88" s="89"/>
      <c r="E88" s="89"/>
      <c r="F88" s="89"/>
      <c r="G88" s="89"/>
      <c r="H88" s="89"/>
      <c r="I88" s="89"/>
    </row>
    <row r="89">
      <c r="B89" s="89"/>
      <c r="C89" s="89"/>
      <c r="D89" s="89"/>
      <c r="E89" s="89"/>
      <c r="F89" s="89"/>
      <c r="G89" s="89"/>
      <c r="H89" s="89"/>
      <c r="I89" s="89"/>
    </row>
    <row r="90">
      <c r="B90" s="89"/>
      <c r="C90" s="89"/>
      <c r="D90" s="89"/>
      <c r="E90" s="89"/>
      <c r="F90" s="89"/>
      <c r="G90" s="89"/>
      <c r="H90" s="89"/>
      <c r="I90" s="89"/>
    </row>
    <row r="91">
      <c r="B91" s="89"/>
      <c r="C91" s="89"/>
      <c r="D91" s="89"/>
      <c r="E91" s="89"/>
      <c r="F91" s="89"/>
      <c r="G91" s="89"/>
      <c r="H91" s="89"/>
      <c r="I91" s="89"/>
    </row>
    <row r="92">
      <c r="B92" s="89"/>
      <c r="C92" s="89"/>
      <c r="D92" s="89"/>
      <c r="E92" s="89"/>
      <c r="F92" s="89"/>
      <c r="G92" s="89"/>
      <c r="H92" s="89"/>
      <c r="I92" s="89"/>
    </row>
    <row r="93">
      <c r="B93" s="89"/>
      <c r="C93" s="89"/>
      <c r="D93" s="89"/>
      <c r="E93" s="89"/>
      <c r="F93" s="89"/>
      <c r="G93" s="89"/>
      <c r="H93" s="89"/>
      <c r="I93" s="89"/>
    </row>
    <row r="94">
      <c r="B94" s="89"/>
      <c r="C94" s="89"/>
      <c r="D94" s="89"/>
      <c r="E94" s="89"/>
      <c r="F94" s="89"/>
      <c r="G94" s="89"/>
      <c r="H94" s="89"/>
      <c r="I94" s="89"/>
    </row>
    <row r="95">
      <c r="B95" s="89"/>
      <c r="C95" s="89"/>
      <c r="D95" s="89"/>
      <c r="E95" s="89"/>
      <c r="F95" s="89"/>
      <c r="G95" s="89"/>
      <c r="H95" s="89"/>
      <c r="I95" s="89"/>
    </row>
    <row r="96">
      <c r="B96" s="89"/>
      <c r="C96" s="89"/>
      <c r="D96" s="89"/>
      <c r="E96" s="89"/>
      <c r="F96" s="89"/>
      <c r="G96" s="89"/>
      <c r="H96" s="89"/>
      <c r="I96" s="89"/>
    </row>
    <row r="97">
      <c r="B97" s="89"/>
      <c r="C97" s="89"/>
      <c r="D97" s="89"/>
      <c r="E97" s="89"/>
      <c r="F97" s="89"/>
      <c r="G97" s="89"/>
      <c r="H97" s="89"/>
      <c r="I97" s="89"/>
    </row>
    <row r="98">
      <c r="B98" s="89"/>
      <c r="C98" s="89"/>
      <c r="D98" s="89"/>
      <c r="E98" s="89"/>
      <c r="F98" s="89"/>
      <c r="G98" s="89"/>
      <c r="H98" s="89"/>
      <c r="I98" s="89"/>
    </row>
    <row r="99">
      <c r="B99" s="89"/>
      <c r="C99" s="89"/>
      <c r="D99" s="89"/>
      <c r="E99" s="89"/>
      <c r="F99" s="89"/>
      <c r="G99" s="89"/>
      <c r="H99" s="89"/>
      <c r="I99" s="89"/>
    </row>
    <row r="100">
      <c r="B100" s="89"/>
      <c r="C100" s="89"/>
      <c r="D100" s="89"/>
      <c r="E100" s="89"/>
      <c r="F100" s="89"/>
      <c r="G100" s="89"/>
      <c r="H100" s="89"/>
      <c r="I100" s="89"/>
    </row>
    <row r="101">
      <c r="B101" s="89"/>
      <c r="C101" s="89"/>
      <c r="D101" s="89"/>
      <c r="E101" s="89"/>
      <c r="F101" s="89"/>
      <c r="G101" s="89"/>
      <c r="H101" s="89"/>
      <c r="I101" s="89"/>
    </row>
    <row r="102">
      <c r="B102" s="89"/>
      <c r="C102" s="89"/>
      <c r="D102" s="89"/>
      <c r="E102" s="89"/>
      <c r="F102" s="89"/>
      <c r="G102" s="89"/>
      <c r="H102" s="89"/>
      <c r="I102" s="89"/>
    </row>
    <row r="103">
      <c r="B103" s="89"/>
      <c r="C103" s="89"/>
      <c r="D103" s="89"/>
      <c r="E103" s="89"/>
      <c r="F103" s="89"/>
      <c r="G103" s="89"/>
      <c r="H103" s="89"/>
      <c r="I103" s="89"/>
    </row>
    <row r="104">
      <c r="B104" s="89"/>
      <c r="C104" s="89"/>
      <c r="D104" s="89"/>
      <c r="E104" s="89"/>
      <c r="F104" s="89"/>
      <c r="G104" s="89"/>
      <c r="H104" s="89"/>
      <c r="I104" s="89"/>
    </row>
    <row r="105">
      <c r="B105" s="89"/>
      <c r="C105" s="89"/>
      <c r="D105" s="89"/>
      <c r="E105" s="89"/>
      <c r="F105" s="89"/>
      <c r="G105" s="89"/>
      <c r="H105" s="89"/>
      <c r="I105" s="89"/>
    </row>
    <row r="106">
      <c r="B106" s="89"/>
      <c r="C106" s="89"/>
      <c r="D106" s="89"/>
      <c r="E106" s="89"/>
      <c r="F106" s="89"/>
      <c r="G106" s="89"/>
      <c r="H106" s="89"/>
      <c r="I106" s="89"/>
    </row>
    <row r="107">
      <c r="B107" s="89"/>
      <c r="C107" s="89"/>
      <c r="D107" s="89"/>
      <c r="E107" s="89"/>
      <c r="F107" s="89"/>
      <c r="G107" s="89"/>
      <c r="H107" s="89"/>
      <c r="I107" s="89"/>
    </row>
    <row r="108">
      <c r="B108" s="89"/>
      <c r="C108" s="89"/>
      <c r="D108" s="89"/>
      <c r="E108" s="89"/>
      <c r="F108" s="89"/>
      <c r="G108" s="89"/>
      <c r="H108" s="89"/>
      <c r="I108" s="89"/>
    </row>
    <row r="109">
      <c r="B109" s="89"/>
      <c r="C109" s="89"/>
      <c r="D109" s="89"/>
      <c r="E109" s="89"/>
      <c r="F109" s="89"/>
      <c r="G109" s="89"/>
      <c r="H109" s="89"/>
      <c r="I109" s="89"/>
    </row>
    <row r="110">
      <c r="B110" s="89"/>
      <c r="C110" s="89"/>
      <c r="D110" s="89"/>
      <c r="E110" s="89"/>
      <c r="F110" s="89"/>
      <c r="G110" s="89"/>
      <c r="H110" s="89"/>
      <c r="I110" s="89"/>
    </row>
    <row r="111">
      <c r="B111" s="89"/>
      <c r="C111" s="89"/>
      <c r="D111" s="89"/>
      <c r="E111" s="89"/>
      <c r="F111" s="89"/>
      <c r="G111" s="89"/>
      <c r="H111" s="89"/>
      <c r="I111" s="89"/>
    </row>
    <row r="112">
      <c r="B112" s="89"/>
      <c r="C112" s="89"/>
      <c r="D112" s="89"/>
      <c r="E112" s="89"/>
      <c r="F112" s="89"/>
      <c r="G112" s="89"/>
      <c r="H112" s="89"/>
      <c r="I112" s="89"/>
    </row>
    <row r="113">
      <c r="B113" s="89"/>
      <c r="C113" s="89"/>
      <c r="D113" s="89"/>
      <c r="E113" s="89"/>
      <c r="F113" s="89"/>
      <c r="G113" s="89"/>
      <c r="H113" s="89"/>
      <c r="I113" s="89"/>
    </row>
    <row r="114">
      <c r="B114" s="89"/>
      <c r="C114" s="89"/>
      <c r="D114" s="89"/>
      <c r="E114" s="89"/>
      <c r="F114" s="89"/>
      <c r="G114" s="89"/>
      <c r="H114" s="89"/>
      <c r="I114" s="89"/>
    </row>
    <row r="115">
      <c r="B115" s="89"/>
      <c r="C115" s="89"/>
      <c r="D115" s="89"/>
      <c r="E115" s="89"/>
      <c r="F115" s="89"/>
      <c r="G115" s="89"/>
      <c r="H115" s="89"/>
      <c r="I115" s="89"/>
    </row>
    <row r="116">
      <c r="B116" s="89"/>
      <c r="C116" s="89"/>
      <c r="D116" s="89"/>
      <c r="E116" s="89"/>
      <c r="F116" s="89"/>
      <c r="G116" s="89"/>
      <c r="H116" s="89"/>
      <c r="I116" s="89"/>
    </row>
    <row r="117">
      <c r="B117" s="89"/>
      <c r="C117" s="89"/>
      <c r="D117" s="89"/>
      <c r="E117" s="89"/>
      <c r="F117" s="89"/>
      <c r="G117" s="89"/>
      <c r="H117" s="89"/>
      <c r="I117" s="89"/>
    </row>
    <row r="118">
      <c r="B118" s="89"/>
      <c r="C118" s="89"/>
      <c r="D118" s="89"/>
      <c r="E118" s="89"/>
      <c r="F118" s="89"/>
      <c r="G118" s="89"/>
      <c r="H118" s="89"/>
      <c r="I118" s="89"/>
    </row>
    <row r="119">
      <c r="B119" s="89"/>
      <c r="C119" s="89"/>
      <c r="D119" s="89"/>
      <c r="E119" s="89"/>
      <c r="F119" s="89"/>
      <c r="G119" s="89"/>
      <c r="H119" s="89"/>
      <c r="I119" s="89"/>
    </row>
    <row r="120">
      <c r="B120" s="89"/>
      <c r="C120" s="89"/>
      <c r="D120" s="89"/>
      <c r="E120" s="89"/>
      <c r="F120" s="89"/>
      <c r="G120" s="89"/>
      <c r="H120" s="89"/>
      <c r="I120" s="89"/>
    </row>
    <row r="121">
      <c r="B121" s="89"/>
      <c r="C121" s="89"/>
      <c r="D121" s="89"/>
      <c r="E121" s="89"/>
      <c r="F121" s="89"/>
      <c r="G121" s="89"/>
      <c r="H121" s="89"/>
      <c r="I121" s="89"/>
    </row>
    <row r="122">
      <c r="B122" s="89"/>
      <c r="C122" s="89"/>
      <c r="D122" s="89"/>
      <c r="E122" s="89"/>
      <c r="F122" s="89"/>
      <c r="G122" s="89"/>
      <c r="H122" s="89"/>
      <c r="I122" s="89"/>
    </row>
    <row r="123">
      <c r="B123" s="89"/>
      <c r="C123" s="89"/>
      <c r="D123" s="89"/>
      <c r="E123" s="89"/>
      <c r="F123" s="89"/>
      <c r="G123" s="89"/>
      <c r="H123" s="89"/>
      <c r="I123" s="89"/>
    </row>
    <row r="124">
      <c r="B124" s="89"/>
      <c r="C124" s="89"/>
      <c r="D124" s="89"/>
      <c r="E124" s="89"/>
      <c r="F124" s="89"/>
      <c r="G124" s="89"/>
      <c r="H124" s="89"/>
      <c r="I124" s="89"/>
    </row>
    <row r="125">
      <c r="B125" s="89"/>
      <c r="C125" s="89"/>
      <c r="D125" s="89"/>
      <c r="E125" s="89"/>
      <c r="F125" s="89"/>
      <c r="G125" s="89"/>
      <c r="H125" s="89"/>
      <c r="I125" s="89"/>
    </row>
    <row r="126">
      <c r="B126" s="89"/>
      <c r="C126" s="89"/>
      <c r="D126" s="89"/>
      <c r="E126" s="89"/>
      <c r="F126" s="89"/>
      <c r="G126" s="89"/>
      <c r="H126" s="89"/>
      <c r="I126" s="89"/>
    </row>
    <row r="127">
      <c r="B127" s="89"/>
      <c r="C127" s="89"/>
      <c r="D127" s="89"/>
      <c r="E127" s="89"/>
      <c r="F127" s="89"/>
      <c r="G127" s="89"/>
      <c r="H127" s="89"/>
      <c r="I127" s="89"/>
    </row>
    <row r="128">
      <c r="B128" s="89"/>
      <c r="C128" s="89"/>
      <c r="D128" s="89"/>
      <c r="E128" s="89"/>
      <c r="F128" s="89"/>
      <c r="G128" s="89"/>
      <c r="H128" s="89"/>
      <c r="I128" s="89"/>
    </row>
    <row r="129">
      <c r="B129" s="89"/>
      <c r="C129" s="89"/>
      <c r="D129" s="89"/>
      <c r="E129" s="89"/>
      <c r="F129" s="89"/>
      <c r="G129" s="89"/>
      <c r="H129" s="89"/>
      <c r="I129" s="89"/>
    </row>
    <row r="130">
      <c r="B130" s="89"/>
      <c r="C130" s="89"/>
      <c r="D130" s="89"/>
      <c r="E130" s="89"/>
      <c r="F130" s="89"/>
      <c r="G130" s="89"/>
      <c r="H130" s="89"/>
      <c r="I130" s="89"/>
    </row>
    <row r="131">
      <c r="B131" s="89"/>
      <c r="C131" s="89"/>
      <c r="D131" s="89"/>
      <c r="E131" s="89"/>
      <c r="F131" s="89"/>
      <c r="G131" s="89"/>
      <c r="H131" s="89"/>
      <c r="I131" s="89"/>
    </row>
    <row r="132">
      <c r="B132" s="89"/>
      <c r="C132" s="89"/>
      <c r="D132" s="89"/>
      <c r="E132" s="89"/>
      <c r="F132" s="89"/>
      <c r="G132" s="89"/>
      <c r="H132" s="89"/>
      <c r="I132" s="89"/>
    </row>
    <row r="133">
      <c r="B133" s="89"/>
      <c r="C133" s="89"/>
      <c r="D133" s="89"/>
      <c r="E133" s="89"/>
      <c r="F133" s="89"/>
      <c r="G133" s="89"/>
      <c r="H133" s="89"/>
      <c r="I133" s="89"/>
    </row>
    <row r="134">
      <c r="B134" s="89"/>
      <c r="C134" s="89"/>
      <c r="D134" s="89"/>
      <c r="E134" s="89"/>
      <c r="F134" s="89"/>
      <c r="G134" s="89"/>
      <c r="H134" s="89"/>
      <c r="I134" s="89"/>
    </row>
    <row r="135">
      <c r="B135" s="89"/>
      <c r="C135" s="89"/>
      <c r="D135" s="89"/>
      <c r="E135" s="89"/>
      <c r="F135" s="89"/>
      <c r="G135" s="89"/>
      <c r="H135" s="89"/>
      <c r="I135" s="89"/>
    </row>
    <row r="136">
      <c r="B136" s="89"/>
      <c r="C136" s="89"/>
      <c r="D136" s="89"/>
      <c r="E136" s="89"/>
      <c r="F136" s="89"/>
      <c r="G136" s="89"/>
      <c r="H136" s="89"/>
      <c r="I136" s="89"/>
    </row>
    <row r="137">
      <c r="B137" s="89"/>
      <c r="C137" s="89"/>
      <c r="D137" s="89"/>
      <c r="E137" s="89"/>
      <c r="F137" s="89"/>
      <c r="G137" s="89"/>
      <c r="H137" s="89"/>
      <c r="I137" s="89"/>
    </row>
    <row r="138">
      <c r="B138" s="89"/>
      <c r="C138" s="89"/>
      <c r="D138" s="89"/>
      <c r="E138" s="89"/>
      <c r="F138" s="89"/>
      <c r="G138" s="89"/>
      <c r="H138" s="89"/>
      <c r="I138" s="89"/>
    </row>
    <row r="139">
      <c r="B139" s="89"/>
      <c r="C139" s="89"/>
      <c r="D139" s="89"/>
      <c r="E139" s="89"/>
      <c r="F139" s="89"/>
      <c r="G139" s="89"/>
      <c r="H139" s="89"/>
      <c r="I139" s="89"/>
    </row>
    <row r="140">
      <c r="B140" s="89"/>
      <c r="C140" s="89"/>
      <c r="D140" s="89"/>
      <c r="E140" s="89"/>
      <c r="F140" s="89"/>
      <c r="G140" s="89"/>
      <c r="H140" s="89"/>
      <c r="I140" s="89"/>
    </row>
    <row r="141">
      <c r="B141" s="89"/>
      <c r="C141" s="89"/>
      <c r="D141" s="89"/>
      <c r="E141" s="89"/>
      <c r="F141" s="89"/>
      <c r="G141" s="89"/>
      <c r="H141" s="89"/>
      <c r="I141" s="89"/>
    </row>
    <row r="142">
      <c r="B142" s="89"/>
      <c r="C142" s="89"/>
      <c r="D142" s="89"/>
      <c r="E142" s="89"/>
      <c r="F142" s="89"/>
      <c r="G142" s="89"/>
      <c r="H142" s="89"/>
      <c r="I142" s="89"/>
    </row>
    <row r="143">
      <c r="B143" s="89"/>
      <c r="C143" s="89"/>
      <c r="D143" s="89"/>
      <c r="E143" s="89"/>
      <c r="F143" s="89"/>
      <c r="G143" s="89"/>
      <c r="H143" s="89"/>
      <c r="I143" s="89"/>
    </row>
    <row r="144">
      <c r="B144" s="89"/>
      <c r="C144" s="89"/>
      <c r="D144" s="89"/>
      <c r="E144" s="89"/>
      <c r="F144" s="89"/>
      <c r="G144" s="89"/>
      <c r="H144" s="89"/>
      <c r="I144" s="89"/>
    </row>
    <row r="145">
      <c r="B145" s="89"/>
      <c r="C145" s="89"/>
      <c r="D145" s="89"/>
      <c r="E145" s="89"/>
      <c r="F145" s="89"/>
      <c r="G145" s="89"/>
      <c r="H145" s="89"/>
      <c r="I145" s="89"/>
    </row>
    <row r="146">
      <c r="B146" s="89"/>
      <c r="C146" s="89"/>
      <c r="D146" s="89"/>
      <c r="E146" s="89"/>
      <c r="F146" s="89"/>
      <c r="G146" s="89"/>
      <c r="H146" s="89"/>
      <c r="I146" s="89"/>
    </row>
    <row r="147">
      <c r="B147" s="89"/>
      <c r="C147" s="89"/>
      <c r="D147" s="89"/>
      <c r="E147" s="89"/>
      <c r="F147" s="89"/>
      <c r="G147" s="89"/>
      <c r="H147" s="89"/>
      <c r="I147" s="89"/>
    </row>
    <row r="148">
      <c r="B148" s="89"/>
      <c r="C148" s="89"/>
      <c r="D148" s="89"/>
      <c r="E148" s="89"/>
      <c r="F148" s="89"/>
      <c r="G148" s="89"/>
      <c r="H148" s="89"/>
      <c r="I148" s="89"/>
    </row>
    <row r="149">
      <c r="B149" s="89"/>
      <c r="C149" s="89"/>
      <c r="D149" s="89"/>
      <c r="E149" s="89"/>
      <c r="F149" s="89"/>
      <c r="G149" s="89"/>
      <c r="H149" s="89"/>
      <c r="I149" s="89"/>
    </row>
    <row r="150">
      <c r="B150" s="89"/>
      <c r="C150" s="89"/>
      <c r="D150" s="89"/>
      <c r="E150" s="89"/>
      <c r="F150" s="89"/>
      <c r="G150" s="89"/>
      <c r="H150" s="89"/>
      <c r="I150" s="89"/>
    </row>
    <row r="151">
      <c r="B151" s="89"/>
      <c r="C151" s="89"/>
      <c r="D151" s="89"/>
      <c r="E151" s="89"/>
      <c r="F151" s="89"/>
      <c r="G151" s="89"/>
      <c r="H151" s="89"/>
      <c r="I151" s="89"/>
    </row>
    <row r="152">
      <c r="B152" s="89"/>
      <c r="C152" s="89"/>
      <c r="D152" s="89"/>
      <c r="E152" s="89"/>
      <c r="F152" s="89"/>
      <c r="G152" s="89"/>
      <c r="H152" s="89"/>
      <c r="I152" s="89"/>
    </row>
    <row r="153">
      <c r="B153" s="89"/>
      <c r="C153" s="89"/>
      <c r="D153" s="89"/>
      <c r="E153" s="89"/>
      <c r="F153" s="89"/>
      <c r="G153" s="89"/>
      <c r="H153" s="89"/>
      <c r="I153" s="89"/>
    </row>
    <row r="154">
      <c r="B154" s="89"/>
      <c r="C154" s="89"/>
      <c r="D154" s="89"/>
      <c r="E154" s="89"/>
      <c r="F154" s="89"/>
      <c r="G154" s="89"/>
      <c r="H154" s="89"/>
      <c r="I154" s="89"/>
    </row>
    <row r="155">
      <c r="B155" s="89"/>
      <c r="C155" s="89"/>
      <c r="D155" s="89"/>
      <c r="E155" s="89"/>
      <c r="F155" s="89"/>
      <c r="G155" s="89"/>
      <c r="H155" s="89"/>
      <c r="I155" s="89"/>
    </row>
    <row r="156">
      <c r="B156" s="89"/>
      <c r="C156" s="89"/>
      <c r="D156" s="89"/>
      <c r="E156" s="89"/>
      <c r="F156" s="89"/>
      <c r="G156" s="89"/>
      <c r="H156" s="89"/>
      <c r="I156" s="89"/>
    </row>
    <row r="157">
      <c r="B157" s="89"/>
      <c r="C157" s="89"/>
      <c r="D157" s="89"/>
      <c r="E157" s="89"/>
      <c r="F157" s="89"/>
      <c r="G157" s="89"/>
      <c r="H157" s="89"/>
      <c r="I157" s="89"/>
    </row>
    <row r="158">
      <c r="B158" s="89"/>
      <c r="C158" s="89"/>
      <c r="D158" s="89"/>
      <c r="E158" s="89"/>
      <c r="F158" s="89"/>
      <c r="G158" s="89"/>
      <c r="H158" s="89"/>
      <c r="I158" s="89"/>
    </row>
    <row r="159">
      <c r="B159" s="89"/>
      <c r="C159" s="89"/>
      <c r="D159" s="89"/>
      <c r="E159" s="89"/>
      <c r="F159" s="89"/>
      <c r="G159" s="89"/>
      <c r="H159" s="89"/>
      <c r="I159" s="89"/>
    </row>
    <row r="160">
      <c r="B160" s="89"/>
      <c r="C160" s="89"/>
      <c r="D160" s="89"/>
      <c r="E160" s="89"/>
      <c r="F160" s="89"/>
      <c r="G160" s="89"/>
      <c r="H160" s="89"/>
      <c r="I160" s="89"/>
    </row>
    <row r="161">
      <c r="B161" s="89"/>
      <c r="C161" s="89"/>
      <c r="D161" s="89"/>
      <c r="E161" s="89"/>
      <c r="F161" s="89"/>
      <c r="G161" s="89"/>
      <c r="H161" s="89"/>
      <c r="I161" s="89"/>
    </row>
    <row r="162">
      <c r="B162" s="89"/>
      <c r="C162" s="89"/>
      <c r="D162" s="89"/>
      <c r="E162" s="89"/>
      <c r="F162" s="89"/>
      <c r="G162" s="89"/>
      <c r="H162" s="89"/>
      <c r="I162" s="89"/>
    </row>
    <row r="163">
      <c r="B163" s="89"/>
      <c r="C163" s="89"/>
      <c r="D163" s="89"/>
      <c r="E163" s="89"/>
      <c r="F163" s="89"/>
      <c r="G163" s="89"/>
      <c r="H163" s="89"/>
      <c r="I163" s="89"/>
    </row>
    <row r="164">
      <c r="B164" s="89"/>
      <c r="C164" s="89"/>
      <c r="D164" s="89"/>
      <c r="E164" s="89"/>
      <c r="F164" s="89"/>
      <c r="G164" s="89"/>
      <c r="H164" s="89"/>
      <c r="I164" s="89"/>
    </row>
    <row r="165">
      <c r="B165" s="89"/>
      <c r="C165" s="89"/>
      <c r="D165" s="89"/>
      <c r="E165" s="89"/>
      <c r="F165" s="89"/>
      <c r="G165" s="89"/>
      <c r="H165" s="89"/>
      <c r="I165" s="89"/>
    </row>
    <row r="166">
      <c r="B166" s="89"/>
      <c r="C166" s="89"/>
      <c r="D166" s="89"/>
      <c r="E166" s="89"/>
      <c r="F166" s="89"/>
      <c r="G166" s="89"/>
      <c r="H166" s="89"/>
      <c r="I166" s="89"/>
    </row>
    <row r="167">
      <c r="B167" s="89"/>
      <c r="C167" s="89"/>
      <c r="D167" s="89"/>
      <c r="E167" s="89"/>
      <c r="F167" s="89"/>
      <c r="G167" s="89"/>
      <c r="H167" s="89"/>
      <c r="I167" s="89"/>
    </row>
    <row r="168">
      <c r="B168" s="89"/>
      <c r="C168" s="89"/>
      <c r="D168" s="89"/>
      <c r="E168" s="89"/>
      <c r="F168" s="89"/>
      <c r="G168" s="89"/>
      <c r="H168" s="89"/>
      <c r="I168" s="89"/>
    </row>
    <row r="169">
      <c r="B169" s="89"/>
      <c r="C169" s="89"/>
      <c r="D169" s="89"/>
      <c r="E169" s="89"/>
      <c r="F169" s="89"/>
      <c r="G169" s="89"/>
      <c r="H169" s="89"/>
      <c r="I169" s="89"/>
    </row>
    <row r="170">
      <c r="B170" s="89"/>
      <c r="C170" s="89"/>
      <c r="D170" s="89"/>
      <c r="E170" s="89"/>
      <c r="F170" s="89"/>
      <c r="G170" s="89"/>
      <c r="H170" s="89"/>
      <c r="I170" s="89"/>
    </row>
    <row r="171">
      <c r="B171" s="89"/>
      <c r="C171" s="89"/>
      <c r="D171" s="89"/>
      <c r="E171" s="89"/>
      <c r="F171" s="89"/>
      <c r="G171" s="89"/>
      <c r="H171" s="89"/>
      <c r="I171" s="89"/>
    </row>
    <row r="172">
      <c r="B172" s="89"/>
      <c r="C172" s="89"/>
      <c r="D172" s="89"/>
      <c r="E172" s="89"/>
      <c r="F172" s="89"/>
      <c r="G172" s="89"/>
      <c r="H172" s="89"/>
      <c r="I172" s="89"/>
    </row>
    <row r="173">
      <c r="B173" s="89"/>
      <c r="C173" s="89"/>
      <c r="D173" s="89"/>
      <c r="E173" s="89"/>
      <c r="F173" s="89"/>
      <c r="G173" s="89"/>
      <c r="H173" s="89"/>
      <c r="I173" s="89"/>
    </row>
    <row r="174">
      <c r="B174" s="89"/>
      <c r="C174" s="89"/>
      <c r="D174" s="89"/>
      <c r="E174" s="89"/>
      <c r="F174" s="89"/>
      <c r="G174" s="89"/>
      <c r="H174" s="89"/>
      <c r="I174" s="89"/>
    </row>
    <row r="175">
      <c r="B175" s="89"/>
      <c r="C175" s="89"/>
      <c r="D175" s="89"/>
      <c r="E175" s="89"/>
      <c r="F175" s="89"/>
      <c r="G175" s="89"/>
      <c r="H175" s="89"/>
      <c r="I175" s="89"/>
    </row>
    <row r="176">
      <c r="B176" s="89"/>
      <c r="C176" s="89"/>
      <c r="D176" s="89"/>
      <c r="E176" s="89"/>
      <c r="F176" s="89"/>
      <c r="G176" s="89"/>
      <c r="H176" s="89"/>
      <c r="I176" s="89"/>
    </row>
    <row r="177">
      <c r="B177" s="89"/>
      <c r="C177" s="89"/>
      <c r="D177" s="89"/>
      <c r="E177" s="89"/>
      <c r="F177" s="89"/>
      <c r="G177" s="89"/>
      <c r="H177" s="89"/>
      <c r="I177" s="89"/>
    </row>
    <row r="178">
      <c r="B178" s="89"/>
      <c r="C178" s="89"/>
      <c r="D178" s="89"/>
      <c r="E178" s="89"/>
      <c r="F178" s="89"/>
      <c r="G178" s="89"/>
      <c r="H178" s="89"/>
      <c r="I178" s="89"/>
    </row>
    <row r="179">
      <c r="B179" s="89"/>
      <c r="C179" s="89"/>
      <c r="D179" s="89"/>
      <c r="E179" s="89"/>
      <c r="F179" s="89"/>
      <c r="G179" s="89"/>
      <c r="H179" s="89"/>
      <c r="I179" s="89"/>
    </row>
    <row r="180">
      <c r="B180" s="89"/>
      <c r="C180" s="89"/>
      <c r="D180" s="89"/>
      <c r="E180" s="89"/>
      <c r="F180" s="89"/>
      <c r="G180" s="89"/>
      <c r="H180" s="89"/>
      <c r="I180" s="89"/>
    </row>
    <row r="181">
      <c r="B181" s="89"/>
      <c r="C181" s="89"/>
      <c r="D181" s="89"/>
      <c r="E181" s="89"/>
      <c r="F181" s="89"/>
      <c r="G181" s="89"/>
      <c r="H181" s="89"/>
      <c r="I181" s="89"/>
    </row>
    <row r="182">
      <c r="B182" s="89"/>
      <c r="C182" s="89"/>
      <c r="D182" s="89"/>
      <c r="E182" s="89"/>
      <c r="F182" s="89"/>
      <c r="G182" s="89"/>
      <c r="H182" s="89"/>
      <c r="I182" s="89"/>
    </row>
    <row r="183">
      <c r="B183" s="89"/>
      <c r="C183" s="89"/>
      <c r="D183" s="89"/>
      <c r="E183" s="89"/>
      <c r="F183" s="89"/>
      <c r="G183" s="89"/>
      <c r="H183" s="89"/>
      <c r="I183" s="89"/>
    </row>
    <row r="184">
      <c r="B184" s="89"/>
      <c r="C184" s="89"/>
      <c r="D184" s="89"/>
      <c r="E184" s="89"/>
      <c r="F184" s="89"/>
      <c r="G184" s="89"/>
      <c r="H184" s="89"/>
      <c r="I184" s="89"/>
    </row>
    <row r="185">
      <c r="B185" s="89"/>
      <c r="C185" s="89"/>
      <c r="D185" s="89"/>
      <c r="E185" s="89"/>
      <c r="F185" s="89"/>
      <c r="G185" s="89"/>
      <c r="H185" s="89"/>
      <c r="I185" s="89"/>
    </row>
    <row r="186">
      <c r="B186" s="89"/>
      <c r="C186" s="89"/>
      <c r="D186" s="89"/>
      <c r="E186" s="89"/>
      <c r="F186" s="89"/>
      <c r="G186" s="89"/>
      <c r="H186" s="89"/>
      <c r="I186" s="89"/>
    </row>
    <row r="187">
      <c r="B187" s="89"/>
      <c r="C187" s="89"/>
      <c r="D187" s="89"/>
      <c r="E187" s="89"/>
      <c r="F187" s="89"/>
      <c r="G187" s="89"/>
      <c r="H187" s="89"/>
      <c r="I187" s="89"/>
    </row>
    <row r="188">
      <c r="B188" s="89"/>
      <c r="C188" s="89"/>
      <c r="D188" s="89"/>
      <c r="E188" s="89"/>
      <c r="F188" s="89"/>
      <c r="G188" s="89"/>
      <c r="H188" s="89"/>
      <c r="I188" s="89"/>
    </row>
    <row r="189">
      <c r="B189" s="89"/>
      <c r="C189" s="89"/>
      <c r="D189" s="89"/>
      <c r="E189" s="89"/>
      <c r="F189" s="89"/>
      <c r="G189" s="89"/>
      <c r="H189" s="89"/>
      <c r="I189" s="89"/>
    </row>
    <row r="190">
      <c r="B190" s="89"/>
      <c r="C190" s="89"/>
      <c r="D190" s="89"/>
      <c r="E190" s="89"/>
      <c r="F190" s="89"/>
      <c r="G190" s="89"/>
      <c r="H190" s="89"/>
      <c r="I190" s="89"/>
    </row>
    <row r="191">
      <c r="B191" s="89"/>
      <c r="C191" s="89"/>
      <c r="D191" s="89"/>
      <c r="E191" s="89"/>
      <c r="F191" s="89"/>
      <c r="G191" s="89"/>
      <c r="H191" s="89"/>
      <c r="I191" s="89"/>
    </row>
    <row r="192">
      <c r="B192" s="89"/>
      <c r="C192" s="89"/>
      <c r="D192" s="89"/>
      <c r="E192" s="89"/>
      <c r="F192" s="89"/>
      <c r="G192" s="89"/>
      <c r="H192" s="89"/>
      <c r="I192" s="89"/>
    </row>
    <row r="193">
      <c r="B193" s="89"/>
      <c r="C193" s="89"/>
      <c r="D193" s="89"/>
      <c r="E193" s="89"/>
      <c r="F193" s="89"/>
      <c r="G193" s="89"/>
      <c r="H193" s="89"/>
      <c r="I193" s="89"/>
    </row>
    <row r="194">
      <c r="B194" s="89"/>
      <c r="C194" s="89"/>
      <c r="D194" s="89"/>
      <c r="E194" s="89"/>
      <c r="F194" s="89"/>
      <c r="G194" s="89"/>
      <c r="H194" s="89"/>
      <c r="I194" s="89"/>
    </row>
    <row r="195">
      <c r="B195" s="89"/>
      <c r="C195" s="89"/>
      <c r="D195" s="89"/>
      <c r="E195" s="89"/>
      <c r="F195" s="89"/>
      <c r="G195" s="89"/>
      <c r="H195" s="89"/>
      <c r="I195" s="89"/>
    </row>
    <row r="196">
      <c r="B196" s="89"/>
      <c r="C196" s="89"/>
      <c r="D196" s="89"/>
      <c r="E196" s="89"/>
      <c r="F196" s="89"/>
      <c r="G196" s="89"/>
      <c r="H196" s="89"/>
      <c r="I196" s="89"/>
    </row>
    <row r="197">
      <c r="B197" s="89"/>
      <c r="C197" s="89"/>
      <c r="D197" s="89"/>
      <c r="E197" s="89"/>
      <c r="F197" s="89"/>
      <c r="G197" s="89"/>
      <c r="H197" s="89"/>
      <c r="I197" s="89"/>
    </row>
    <row r="198">
      <c r="B198" s="89"/>
      <c r="C198" s="89"/>
      <c r="D198" s="89"/>
      <c r="E198" s="89"/>
      <c r="F198" s="89"/>
      <c r="G198" s="89"/>
      <c r="H198" s="89"/>
      <c r="I198" s="89"/>
    </row>
    <row r="199">
      <c r="B199" s="89"/>
      <c r="C199" s="89"/>
      <c r="D199" s="89"/>
      <c r="E199" s="89"/>
      <c r="F199" s="89"/>
      <c r="G199" s="89"/>
      <c r="H199" s="89"/>
      <c r="I199" s="89"/>
    </row>
    <row r="200">
      <c r="B200" s="89"/>
      <c r="C200" s="89"/>
      <c r="D200" s="89"/>
      <c r="E200" s="89"/>
      <c r="F200" s="89"/>
      <c r="G200" s="89"/>
      <c r="H200" s="89"/>
      <c r="I200" s="89"/>
    </row>
    <row r="201">
      <c r="B201" s="89"/>
      <c r="C201" s="89"/>
      <c r="D201" s="89"/>
      <c r="E201" s="89"/>
      <c r="F201" s="89"/>
      <c r="G201" s="89"/>
      <c r="H201" s="89"/>
      <c r="I201" s="89"/>
    </row>
    <row r="202">
      <c r="B202" s="89"/>
      <c r="C202" s="89"/>
      <c r="D202" s="89"/>
      <c r="E202" s="89"/>
      <c r="F202" s="89"/>
      <c r="G202" s="89"/>
      <c r="H202" s="89"/>
      <c r="I202" s="89"/>
    </row>
    <row r="203">
      <c r="B203" s="89"/>
      <c r="C203" s="89"/>
      <c r="D203" s="89"/>
      <c r="E203" s="89"/>
      <c r="F203" s="89"/>
      <c r="G203" s="89"/>
      <c r="H203" s="89"/>
      <c r="I203" s="89"/>
    </row>
    <row r="204">
      <c r="B204" s="89"/>
      <c r="C204" s="89"/>
      <c r="D204" s="89"/>
      <c r="E204" s="89"/>
      <c r="F204" s="89"/>
      <c r="G204" s="89"/>
      <c r="H204" s="89"/>
      <c r="I204" s="89"/>
    </row>
    <row r="205">
      <c r="B205" s="89"/>
      <c r="C205" s="89"/>
      <c r="D205" s="89"/>
      <c r="E205" s="89"/>
      <c r="F205" s="89"/>
      <c r="G205" s="89"/>
      <c r="H205" s="89"/>
      <c r="I205" s="89"/>
    </row>
    <row r="206">
      <c r="B206" s="89"/>
      <c r="C206" s="89"/>
      <c r="D206" s="89"/>
      <c r="E206" s="89"/>
      <c r="F206" s="89"/>
      <c r="G206" s="89"/>
      <c r="H206" s="89"/>
      <c r="I206" s="89"/>
    </row>
    <row r="207">
      <c r="B207" s="89"/>
      <c r="C207" s="89"/>
      <c r="D207" s="89"/>
      <c r="E207" s="89"/>
      <c r="F207" s="89"/>
      <c r="G207" s="89"/>
      <c r="H207" s="89"/>
      <c r="I207" s="89"/>
    </row>
    <row r="208">
      <c r="B208" s="89"/>
      <c r="C208" s="89"/>
      <c r="D208" s="89"/>
      <c r="E208" s="89"/>
      <c r="F208" s="89"/>
      <c r="G208" s="89"/>
      <c r="H208" s="89"/>
      <c r="I208" s="89"/>
    </row>
    <row r="209">
      <c r="B209" s="89"/>
      <c r="C209" s="89"/>
      <c r="D209" s="89"/>
      <c r="E209" s="89"/>
      <c r="F209" s="89"/>
      <c r="G209" s="89"/>
      <c r="H209" s="89"/>
      <c r="I209" s="89"/>
    </row>
    <row r="210">
      <c r="B210" s="89"/>
      <c r="C210" s="89"/>
      <c r="D210" s="89"/>
      <c r="E210" s="89"/>
      <c r="F210" s="89"/>
      <c r="G210" s="89"/>
      <c r="H210" s="89"/>
      <c r="I210" s="89"/>
    </row>
    <row r="211">
      <c r="B211" s="89"/>
      <c r="C211" s="89"/>
      <c r="D211" s="89"/>
      <c r="E211" s="89"/>
      <c r="F211" s="89"/>
      <c r="G211" s="89"/>
      <c r="H211" s="89"/>
      <c r="I211" s="89"/>
    </row>
    <row r="212">
      <c r="B212" s="89"/>
      <c r="C212" s="89"/>
      <c r="D212" s="89"/>
      <c r="E212" s="89"/>
      <c r="F212" s="89"/>
      <c r="G212" s="89"/>
      <c r="H212" s="89"/>
      <c r="I212" s="89"/>
    </row>
    <row r="213">
      <c r="B213" s="89"/>
      <c r="C213" s="89"/>
      <c r="D213" s="89"/>
      <c r="E213" s="89"/>
      <c r="F213" s="89"/>
      <c r="G213" s="89"/>
      <c r="H213" s="89"/>
      <c r="I213" s="89"/>
    </row>
    <row r="214">
      <c r="B214" s="89"/>
      <c r="C214" s="89"/>
      <c r="D214" s="89"/>
      <c r="E214" s="89"/>
      <c r="F214" s="89"/>
      <c r="G214" s="89"/>
      <c r="H214" s="89"/>
      <c r="I214" s="89"/>
    </row>
    <row r="215">
      <c r="B215" s="89"/>
      <c r="C215" s="89"/>
      <c r="D215" s="89"/>
      <c r="E215" s="89"/>
      <c r="F215" s="89"/>
      <c r="G215" s="89"/>
      <c r="H215" s="89"/>
      <c r="I215" s="89"/>
    </row>
    <row r="216">
      <c r="B216" s="89"/>
      <c r="C216" s="89"/>
      <c r="D216" s="89"/>
      <c r="E216" s="89"/>
      <c r="F216" s="89"/>
      <c r="G216" s="89"/>
      <c r="H216" s="89"/>
      <c r="I216" s="89"/>
    </row>
    <row r="217">
      <c r="B217" s="89"/>
      <c r="C217" s="89"/>
      <c r="D217" s="89"/>
      <c r="E217" s="89"/>
      <c r="F217" s="89"/>
      <c r="G217" s="89"/>
      <c r="H217" s="89"/>
      <c r="I217" s="89"/>
    </row>
    <row r="218">
      <c r="B218" s="89"/>
      <c r="C218" s="89"/>
      <c r="D218" s="89"/>
      <c r="E218" s="89"/>
      <c r="F218" s="89"/>
      <c r="G218" s="89"/>
      <c r="H218" s="89"/>
      <c r="I218" s="89"/>
    </row>
    <row r="219">
      <c r="B219" s="89"/>
      <c r="C219" s="89"/>
      <c r="D219" s="89"/>
      <c r="E219" s="89"/>
      <c r="F219" s="89"/>
      <c r="G219" s="89"/>
      <c r="H219" s="89"/>
      <c r="I219" s="89"/>
    </row>
    <row r="220">
      <c r="B220" s="89"/>
      <c r="C220" s="89"/>
      <c r="D220" s="89"/>
      <c r="E220" s="89"/>
      <c r="F220" s="89"/>
      <c r="G220" s="89"/>
      <c r="H220" s="89"/>
      <c r="I220" s="89"/>
    </row>
    <row r="221">
      <c r="B221" s="89"/>
      <c r="C221" s="89"/>
      <c r="D221" s="89"/>
      <c r="E221" s="89"/>
      <c r="F221" s="89"/>
      <c r="G221" s="89"/>
      <c r="H221" s="89"/>
      <c r="I221" s="89"/>
    </row>
    <row r="222">
      <c r="B222" s="89"/>
      <c r="C222" s="89"/>
      <c r="D222" s="89"/>
      <c r="E222" s="89"/>
      <c r="F222" s="89"/>
      <c r="G222" s="89"/>
      <c r="H222" s="89"/>
      <c r="I222" s="89"/>
    </row>
    <row r="223">
      <c r="B223" s="89"/>
      <c r="C223" s="89"/>
      <c r="D223" s="89"/>
      <c r="E223" s="89"/>
      <c r="F223" s="89"/>
      <c r="G223" s="89"/>
      <c r="H223" s="89"/>
      <c r="I223" s="89"/>
    </row>
    <row r="224">
      <c r="B224" s="89"/>
      <c r="C224" s="89"/>
      <c r="D224" s="89"/>
      <c r="E224" s="89"/>
      <c r="F224" s="89"/>
      <c r="G224" s="89"/>
      <c r="H224" s="89"/>
      <c r="I224" s="89"/>
    </row>
    <row r="225">
      <c r="B225" s="89"/>
      <c r="C225" s="89"/>
      <c r="D225" s="89"/>
      <c r="E225" s="89"/>
      <c r="F225" s="89"/>
      <c r="G225" s="89"/>
      <c r="H225" s="89"/>
      <c r="I225" s="89"/>
    </row>
    <row r="226">
      <c r="B226" s="89"/>
      <c r="C226" s="89"/>
      <c r="D226" s="89"/>
      <c r="E226" s="89"/>
      <c r="F226" s="89"/>
      <c r="G226" s="89"/>
      <c r="H226" s="89"/>
      <c r="I226" s="89"/>
    </row>
    <row r="227">
      <c r="B227" s="89"/>
      <c r="C227" s="89"/>
      <c r="D227" s="89"/>
      <c r="E227" s="89"/>
      <c r="F227" s="89"/>
      <c r="G227" s="89"/>
      <c r="H227" s="89"/>
      <c r="I227" s="89"/>
    </row>
    <row r="228">
      <c r="B228" s="89"/>
      <c r="C228" s="89"/>
      <c r="D228" s="89"/>
      <c r="E228" s="89"/>
      <c r="F228" s="89"/>
      <c r="G228" s="89"/>
      <c r="H228" s="89"/>
      <c r="I228" s="89"/>
    </row>
    <row r="229">
      <c r="B229" s="89"/>
      <c r="C229" s="89"/>
      <c r="D229" s="89"/>
      <c r="E229" s="89"/>
      <c r="F229" s="89"/>
      <c r="G229" s="89"/>
      <c r="H229" s="89"/>
      <c r="I229" s="89"/>
    </row>
    <row r="230">
      <c r="B230" s="89"/>
      <c r="C230" s="89"/>
      <c r="D230" s="89"/>
      <c r="E230" s="89"/>
      <c r="F230" s="89"/>
      <c r="G230" s="89"/>
      <c r="H230" s="89"/>
      <c r="I230" s="89"/>
    </row>
    <row r="231">
      <c r="B231" s="89"/>
      <c r="C231" s="89"/>
      <c r="D231" s="89"/>
      <c r="E231" s="89"/>
      <c r="F231" s="89"/>
      <c r="G231" s="89"/>
      <c r="H231" s="89"/>
      <c r="I231" s="89"/>
    </row>
    <row r="232">
      <c r="B232" s="89"/>
      <c r="C232" s="89"/>
      <c r="D232" s="89"/>
      <c r="E232" s="89"/>
      <c r="F232" s="89"/>
      <c r="G232" s="89"/>
      <c r="H232" s="89"/>
      <c r="I232" s="89"/>
    </row>
    <row r="233">
      <c r="B233" s="89"/>
      <c r="C233" s="89"/>
      <c r="D233" s="89"/>
      <c r="E233" s="89"/>
      <c r="F233" s="89"/>
      <c r="G233" s="89"/>
      <c r="H233" s="89"/>
      <c r="I233" s="89"/>
    </row>
    <row r="234">
      <c r="B234" s="89"/>
      <c r="C234" s="89"/>
      <c r="D234" s="89"/>
      <c r="E234" s="89"/>
      <c r="F234" s="89"/>
      <c r="G234" s="89"/>
      <c r="H234" s="89"/>
      <c r="I234" s="89"/>
    </row>
    <row r="235">
      <c r="B235" s="89"/>
      <c r="C235" s="89"/>
      <c r="D235" s="89"/>
      <c r="E235" s="89"/>
      <c r="F235" s="89"/>
      <c r="G235" s="89"/>
      <c r="H235" s="89"/>
      <c r="I235" s="89"/>
    </row>
    <row r="236">
      <c r="B236" s="89"/>
      <c r="C236" s="89"/>
      <c r="D236" s="89"/>
      <c r="E236" s="89"/>
      <c r="F236" s="89"/>
      <c r="G236" s="89"/>
      <c r="H236" s="89"/>
      <c r="I236" s="89"/>
    </row>
    <row r="237">
      <c r="B237" s="89"/>
      <c r="C237" s="89"/>
      <c r="D237" s="89"/>
      <c r="E237" s="89"/>
      <c r="F237" s="89"/>
      <c r="G237" s="89"/>
      <c r="H237" s="89"/>
      <c r="I237" s="89"/>
    </row>
    <row r="238">
      <c r="B238" s="89"/>
      <c r="C238" s="89"/>
      <c r="D238" s="89"/>
      <c r="E238" s="89"/>
      <c r="F238" s="89"/>
      <c r="G238" s="89"/>
      <c r="H238" s="89"/>
      <c r="I238" s="89"/>
    </row>
    <row r="239">
      <c r="B239" s="89"/>
      <c r="C239" s="89"/>
      <c r="D239" s="89"/>
      <c r="E239" s="89"/>
      <c r="F239" s="89"/>
      <c r="G239" s="89"/>
      <c r="H239" s="89"/>
      <c r="I239" s="89"/>
    </row>
    <row r="240">
      <c r="B240" s="89"/>
      <c r="C240" s="89"/>
      <c r="D240" s="89"/>
      <c r="E240" s="89"/>
      <c r="F240" s="89"/>
      <c r="G240" s="89"/>
      <c r="H240" s="89"/>
      <c r="I240" s="89"/>
    </row>
    <row r="241">
      <c r="B241" s="89"/>
      <c r="C241" s="89"/>
      <c r="D241" s="89"/>
      <c r="E241" s="89"/>
      <c r="F241" s="89"/>
      <c r="G241" s="89"/>
      <c r="H241" s="89"/>
      <c r="I241" s="89"/>
    </row>
    <row r="242">
      <c r="B242" s="89"/>
      <c r="C242" s="89"/>
      <c r="D242" s="89"/>
      <c r="E242" s="89"/>
      <c r="F242" s="89"/>
      <c r="G242" s="89"/>
      <c r="H242" s="89"/>
      <c r="I242" s="89"/>
    </row>
    <row r="243">
      <c r="B243" s="89"/>
      <c r="C243" s="89"/>
      <c r="D243" s="89"/>
      <c r="E243" s="89"/>
      <c r="F243" s="89"/>
      <c r="G243" s="89"/>
      <c r="H243" s="89"/>
      <c r="I243" s="89"/>
    </row>
    <row r="244">
      <c r="B244" s="89"/>
      <c r="C244" s="89"/>
      <c r="D244" s="89"/>
      <c r="E244" s="89"/>
      <c r="F244" s="89"/>
      <c r="G244" s="89"/>
      <c r="H244" s="89"/>
      <c r="I244" s="89"/>
    </row>
    <row r="245">
      <c r="B245" s="89"/>
      <c r="C245" s="89"/>
      <c r="D245" s="89"/>
      <c r="E245" s="89"/>
      <c r="F245" s="89"/>
      <c r="G245" s="89"/>
      <c r="H245" s="89"/>
      <c r="I245" s="89"/>
    </row>
    <row r="246">
      <c r="B246" s="89"/>
      <c r="C246" s="89"/>
      <c r="D246" s="89"/>
      <c r="E246" s="89"/>
      <c r="F246" s="89"/>
      <c r="G246" s="89"/>
      <c r="H246" s="89"/>
      <c r="I246" s="89"/>
    </row>
    <row r="247">
      <c r="B247" s="89"/>
      <c r="C247" s="89"/>
      <c r="D247" s="89"/>
      <c r="E247" s="89"/>
      <c r="F247" s="89"/>
      <c r="G247" s="89"/>
      <c r="H247" s="89"/>
      <c r="I247" s="89"/>
    </row>
    <row r="248">
      <c r="B248" s="89"/>
      <c r="C248" s="89"/>
      <c r="D248" s="89"/>
      <c r="E248" s="89"/>
      <c r="F248" s="89"/>
      <c r="G248" s="89"/>
      <c r="H248" s="89"/>
      <c r="I248" s="89"/>
    </row>
    <row r="249">
      <c r="B249" s="89"/>
      <c r="C249" s="89"/>
      <c r="D249" s="89"/>
      <c r="E249" s="89"/>
      <c r="F249" s="89"/>
      <c r="G249" s="89"/>
      <c r="H249" s="89"/>
      <c r="I249" s="89"/>
    </row>
    <row r="250">
      <c r="B250" s="89"/>
      <c r="C250" s="89"/>
      <c r="D250" s="89"/>
      <c r="E250" s="89"/>
      <c r="F250" s="89"/>
      <c r="G250" s="89"/>
      <c r="H250" s="89"/>
      <c r="I250" s="89"/>
    </row>
    <row r="251">
      <c r="B251" s="89"/>
      <c r="C251" s="89"/>
      <c r="D251" s="89"/>
      <c r="E251" s="89"/>
      <c r="F251" s="89"/>
      <c r="G251" s="89"/>
      <c r="H251" s="89"/>
      <c r="I251" s="89"/>
    </row>
    <row r="252">
      <c r="B252" s="89"/>
      <c r="C252" s="89"/>
      <c r="D252" s="89"/>
      <c r="E252" s="89"/>
      <c r="F252" s="89"/>
      <c r="G252" s="89"/>
      <c r="H252" s="89"/>
      <c r="I252" s="89"/>
    </row>
    <row r="253">
      <c r="B253" s="89"/>
      <c r="C253" s="89"/>
      <c r="D253" s="89"/>
      <c r="E253" s="89"/>
      <c r="F253" s="89"/>
      <c r="G253" s="89"/>
      <c r="H253" s="89"/>
      <c r="I253" s="89"/>
    </row>
    <row r="254">
      <c r="B254" s="89"/>
      <c r="C254" s="89"/>
      <c r="D254" s="89"/>
      <c r="E254" s="89"/>
      <c r="F254" s="89"/>
      <c r="G254" s="89"/>
      <c r="H254" s="89"/>
      <c r="I254" s="89"/>
    </row>
    <row r="255">
      <c r="B255" s="89"/>
      <c r="C255" s="89"/>
      <c r="D255" s="89"/>
      <c r="E255" s="89"/>
      <c r="F255" s="89"/>
      <c r="G255" s="89"/>
      <c r="H255" s="89"/>
      <c r="I255" s="89"/>
    </row>
    <row r="256">
      <c r="B256" s="89"/>
      <c r="C256" s="89"/>
      <c r="D256" s="89"/>
      <c r="E256" s="89"/>
      <c r="F256" s="89"/>
      <c r="G256" s="89"/>
      <c r="H256" s="89"/>
      <c r="I256" s="89"/>
    </row>
    <row r="257">
      <c r="B257" s="89"/>
      <c r="C257" s="89"/>
      <c r="D257" s="89"/>
      <c r="E257" s="89"/>
      <c r="F257" s="89"/>
      <c r="G257" s="89"/>
      <c r="H257" s="89"/>
      <c r="I257" s="89"/>
    </row>
    <row r="258">
      <c r="B258" s="89"/>
      <c r="C258" s="89"/>
      <c r="D258" s="89"/>
      <c r="E258" s="89"/>
      <c r="F258" s="89"/>
      <c r="G258" s="89"/>
      <c r="H258" s="89"/>
      <c r="I258" s="89"/>
    </row>
    <row r="259">
      <c r="B259" s="89"/>
      <c r="C259" s="89"/>
      <c r="D259" s="89"/>
      <c r="E259" s="89"/>
      <c r="F259" s="89"/>
      <c r="G259" s="89"/>
      <c r="H259" s="89"/>
      <c r="I259" s="89"/>
    </row>
    <row r="260">
      <c r="B260" s="89"/>
      <c r="C260" s="89"/>
      <c r="D260" s="89"/>
      <c r="E260" s="89"/>
      <c r="F260" s="89"/>
      <c r="G260" s="89"/>
      <c r="H260" s="89"/>
      <c r="I260" s="89"/>
    </row>
    <row r="261">
      <c r="B261" s="89"/>
      <c r="C261" s="89"/>
      <c r="D261" s="89"/>
      <c r="E261" s="89"/>
      <c r="F261" s="89"/>
      <c r="G261" s="89"/>
      <c r="H261" s="89"/>
      <c r="I261" s="89"/>
    </row>
    <row r="262">
      <c r="B262" s="89"/>
      <c r="C262" s="89"/>
      <c r="D262" s="89"/>
      <c r="E262" s="89"/>
      <c r="F262" s="89"/>
      <c r="G262" s="89"/>
      <c r="H262" s="89"/>
      <c r="I262" s="89"/>
    </row>
    <row r="263">
      <c r="B263" s="89"/>
      <c r="C263" s="89"/>
      <c r="D263" s="89"/>
      <c r="E263" s="89"/>
      <c r="F263" s="89"/>
      <c r="G263" s="89"/>
      <c r="H263" s="89"/>
      <c r="I263" s="89"/>
    </row>
    <row r="264">
      <c r="B264" s="89"/>
      <c r="C264" s="89"/>
      <c r="D264" s="89"/>
      <c r="E264" s="89"/>
      <c r="F264" s="89"/>
      <c r="G264" s="89"/>
      <c r="H264" s="89"/>
      <c r="I264" s="89"/>
    </row>
    <row r="265">
      <c r="B265" s="89"/>
      <c r="C265" s="89"/>
      <c r="D265" s="89"/>
      <c r="E265" s="89"/>
      <c r="F265" s="89"/>
      <c r="G265" s="89"/>
      <c r="H265" s="89"/>
      <c r="I265" s="89"/>
    </row>
    <row r="266">
      <c r="B266" s="89"/>
      <c r="C266" s="89"/>
      <c r="D266" s="89"/>
      <c r="E266" s="89"/>
      <c r="F266" s="89"/>
      <c r="G266" s="89"/>
      <c r="H266" s="89"/>
      <c r="I266" s="89"/>
    </row>
    <row r="267">
      <c r="B267" s="89"/>
      <c r="C267" s="89"/>
      <c r="D267" s="89"/>
      <c r="E267" s="89"/>
      <c r="F267" s="89"/>
      <c r="G267" s="89"/>
      <c r="H267" s="89"/>
      <c r="I267" s="89"/>
    </row>
    <row r="268">
      <c r="B268" s="89"/>
      <c r="C268" s="89"/>
      <c r="D268" s="89"/>
      <c r="E268" s="89"/>
      <c r="F268" s="89"/>
      <c r="G268" s="89"/>
      <c r="H268" s="89"/>
      <c r="I268" s="89"/>
    </row>
    <row r="269">
      <c r="B269" s="89"/>
      <c r="C269" s="89"/>
      <c r="D269" s="89"/>
      <c r="E269" s="89"/>
      <c r="F269" s="89"/>
      <c r="G269" s="89"/>
      <c r="H269" s="89"/>
      <c r="I269" s="89"/>
    </row>
    <row r="270">
      <c r="B270" s="89"/>
      <c r="C270" s="89"/>
      <c r="D270" s="89"/>
      <c r="E270" s="89"/>
      <c r="F270" s="89"/>
      <c r="G270" s="89"/>
      <c r="H270" s="89"/>
      <c r="I270" s="89"/>
    </row>
    <row r="271">
      <c r="B271" s="89"/>
      <c r="C271" s="89"/>
      <c r="D271" s="89"/>
      <c r="E271" s="89"/>
      <c r="F271" s="89"/>
      <c r="G271" s="89"/>
      <c r="H271" s="89"/>
      <c r="I271" s="89"/>
    </row>
    <row r="272">
      <c r="B272" s="89"/>
      <c r="C272" s="89"/>
      <c r="D272" s="89"/>
      <c r="E272" s="89"/>
      <c r="F272" s="89"/>
      <c r="G272" s="89"/>
      <c r="H272" s="89"/>
      <c r="I272" s="89"/>
    </row>
    <row r="273">
      <c r="B273" s="89"/>
      <c r="C273" s="89"/>
      <c r="D273" s="89"/>
      <c r="E273" s="89"/>
      <c r="F273" s="89"/>
      <c r="G273" s="89"/>
      <c r="H273" s="89"/>
      <c r="I273" s="89"/>
    </row>
    <row r="274">
      <c r="B274" s="89"/>
      <c r="C274" s="89"/>
      <c r="D274" s="89"/>
      <c r="E274" s="89"/>
      <c r="F274" s="89"/>
      <c r="G274" s="89"/>
      <c r="H274" s="89"/>
      <c r="I274" s="89"/>
    </row>
    <row r="275">
      <c r="B275" s="89"/>
      <c r="C275" s="89"/>
      <c r="D275" s="89"/>
      <c r="E275" s="89"/>
      <c r="F275" s="89"/>
      <c r="G275" s="89"/>
      <c r="H275" s="89"/>
      <c r="I275" s="89"/>
    </row>
    <row r="276">
      <c r="B276" s="89"/>
      <c r="C276" s="89"/>
      <c r="D276" s="89"/>
      <c r="E276" s="89"/>
      <c r="F276" s="89"/>
      <c r="G276" s="89"/>
      <c r="H276" s="89"/>
      <c r="I276" s="89"/>
    </row>
    <row r="277">
      <c r="B277" s="89"/>
      <c r="C277" s="89"/>
      <c r="D277" s="89"/>
      <c r="E277" s="89"/>
      <c r="F277" s="89"/>
      <c r="G277" s="89"/>
      <c r="H277" s="89"/>
      <c r="I277" s="89"/>
    </row>
    <row r="278">
      <c r="B278" s="89"/>
      <c r="C278" s="89"/>
      <c r="D278" s="89"/>
      <c r="E278" s="89"/>
      <c r="F278" s="89"/>
      <c r="G278" s="89"/>
      <c r="H278" s="89"/>
      <c r="I278" s="89"/>
    </row>
    <row r="279">
      <c r="B279" s="89"/>
      <c r="C279" s="89"/>
      <c r="D279" s="89"/>
      <c r="E279" s="89"/>
      <c r="F279" s="89"/>
      <c r="G279" s="89"/>
      <c r="H279" s="89"/>
      <c r="I279" s="89"/>
    </row>
    <row r="280">
      <c r="B280" s="89"/>
      <c r="C280" s="89"/>
      <c r="D280" s="89"/>
      <c r="E280" s="89"/>
      <c r="F280" s="89"/>
      <c r="G280" s="89"/>
      <c r="H280" s="89"/>
      <c r="I280" s="89"/>
    </row>
    <row r="281">
      <c r="B281" s="89"/>
      <c r="C281" s="89"/>
      <c r="D281" s="89"/>
      <c r="E281" s="89"/>
      <c r="F281" s="89"/>
      <c r="G281" s="89"/>
      <c r="H281" s="89"/>
      <c r="I281" s="89"/>
    </row>
    <row r="282">
      <c r="B282" s="89"/>
      <c r="C282" s="89"/>
      <c r="D282" s="89"/>
      <c r="E282" s="89"/>
      <c r="F282" s="89"/>
      <c r="G282" s="89"/>
      <c r="H282" s="89"/>
      <c r="I282" s="89"/>
    </row>
    <row r="283">
      <c r="B283" s="89"/>
      <c r="C283" s="89"/>
      <c r="D283" s="89"/>
      <c r="E283" s="89"/>
      <c r="F283" s="89"/>
      <c r="G283" s="89"/>
      <c r="H283" s="89"/>
      <c r="I283" s="89"/>
    </row>
    <row r="284">
      <c r="B284" s="89"/>
      <c r="C284" s="89"/>
      <c r="D284" s="89"/>
      <c r="E284" s="89"/>
      <c r="F284" s="89"/>
      <c r="G284" s="89"/>
      <c r="H284" s="89"/>
      <c r="I284" s="89"/>
    </row>
    <row r="285">
      <c r="B285" s="89"/>
      <c r="C285" s="89"/>
      <c r="D285" s="89"/>
      <c r="E285" s="89"/>
      <c r="F285" s="89"/>
      <c r="G285" s="89"/>
      <c r="H285" s="89"/>
      <c r="I285" s="89"/>
    </row>
    <row r="286">
      <c r="B286" s="89"/>
      <c r="C286" s="89"/>
      <c r="D286" s="89"/>
      <c r="E286" s="89"/>
      <c r="F286" s="89"/>
      <c r="G286" s="89"/>
      <c r="H286" s="89"/>
      <c r="I286" s="89"/>
    </row>
    <row r="287">
      <c r="B287" s="89"/>
      <c r="C287" s="89"/>
      <c r="D287" s="89"/>
      <c r="E287" s="89"/>
      <c r="F287" s="89"/>
      <c r="G287" s="89"/>
      <c r="H287" s="89"/>
      <c r="I287" s="89"/>
    </row>
    <row r="288">
      <c r="B288" s="89"/>
      <c r="C288" s="89"/>
      <c r="D288" s="89"/>
      <c r="E288" s="89"/>
      <c r="F288" s="89"/>
      <c r="G288" s="89"/>
      <c r="H288" s="89"/>
      <c r="I288" s="89"/>
    </row>
    <row r="289">
      <c r="B289" s="89"/>
      <c r="C289" s="89"/>
      <c r="D289" s="89"/>
      <c r="E289" s="89"/>
      <c r="F289" s="89"/>
      <c r="G289" s="89"/>
      <c r="H289" s="89"/>
      <c r="I289" s="89"/>
    </row>
    <row r="290">
      <c r="B290" s="89"/>
      <c r="C290" s="89"/>
      <c r="D290" s="89"/>
      <c r="E290" s="89"/>
      <c r="F290" s="89"/>
      <c r="G290" s="89"/>
      <c r="H290" s="89"/>
      <c r="I290" s="89"/>
    </row>
    <row r="291">
      <c r="B291" s="89"/>
      <c r="C291" s="89"/>
      <c r="D291" s="89"/>
      <c r="E291" s="89"/>
      <c r="F291" s="89"/>
      <c r="G291" s="89"/>
      <c r="H291" s="89"/>
      <c r="I291" s="89"/>
    </row>
    <row r="292">
      <c r="B292" s="89"/>
      <c r="C292" s="89"/>
      <c r="D292" s="89"/>
      <c r="E292" s="89"/>
      <c r="F292" s="89"/>
      <c r="G292" s="89"/>
      <c r="H292" s="89"/>
      <c r="I292" s="89"/>
    </row>
    <row r="293">
      <c r="B293" s="89"/>
      <c r="C293" s="89"/>
      <c r="D293" s="89"/>
      <c r="E293" s="89"/>
      <c r="F293" s="89"/>
      <c r="G293" s="89"/>
      <c r="H293" s="89"/>
      <c r="I293" s="89"/>
    </row>
    <row r="294">
      <c r="B294" s="89"/>
      <c r="C294" s="89"/>
      <c r="D294" s="89"/>
      <c r="E294" s="89"/>
      <c r="F294" s="89"/>
      <c r="G294" s="89"/>
      <c r="H294" s="89"/>
      <c r="I294" s="89"/>
    </row>
    <row r="295">
      <c r="B295" s="89"/>
      <c r="C295" s="89"/>
      <c r="D295" s="89"/>
      <c r="E295" s="89"/>
      <c r="F295" s="89"/>
      <c r="G295" s="89"/>
      <c r="H295" s="89"/>
      <c r="I295" s="89"/>
    </row>
    <row r="296">
      <c r="B296" s="89"/>
      <c r="C296" s="89"/>
      <c r="D296" s="89"/>
      <c r="E296" s="89"/>
      <c r="F296" s="89"/>
      <c r="G296" s="89"/>
      <c r="H296" s="89"/>
      <c r="I296" s="89"/>
    </row>
    <row r="297">
      <c r="B297" s="89"/>
      <c r="C297" s="89"/>
      <c r="D297" s="89"/>
      <c r="E297" s="89"/>
      <c r="F297" s="89"/>
      <c r="G297" s="89"/>
      <c r="H297" s="89"/>
      <c r="I297" s="89"/>
    </row>
    <row r="298">
      <c r="B298" s="89"/>
      <c r="C298" s="89"/>
      <c r="D298" s="89"/>
      <c r="E298" s="89"/>
      <c r="F298" s="89"/>
      <c r="G298" s="89"/>
      <c r="H298" s="89"/>
      <c r="I298" s="89"/>
    </row>
    <row r="299">
      <c r="B299" s="89"/>
      <c r="C299" s="89"/>
      <c r="D299" s="89"/>
      <c r="E299" s="89"/>
      <c r="F299" s="89"/>
      <c r="G299" s="89"/>
      <c r="H299" s="89"/>
      <c r="I299" s="89"/>
    </row>
    <row r="300">
      <c r="B300" s="89"/>
      <c r="C300" s="89"/>
      <c r="D300" s="89"/>
      <c r="E300" s="89"/>
      <c r="F300" s="89"/>
      <c r="G300" s="89"/>
      <c r="H300" s="89"/>
      <c r="I300" s="89"/>
    </row>
    <row r="301">
      <c r="B301" s="89"/>
      <c r="C301" s="89"/>
      <c r="D301" s="89"/>
      <c r="E301" s="89"/>
      <c r="F301" s="89"/>
      <c r="G301" s="89"/>
      <c r="H301" s="89"/>
      <c r="I301" s="89"/>
    </row>
    <row r="302">
      <c r="B302" s="89"/>
      <c r="C302" s="89"/>
      <c r="D302" s="89"/>
      <c r="E302" s="89"/>
      <c r="F302" s="89"/>
      <c r="G302" s="89"/>
      <c r="H302" s="89"/>
      <c r="I302" s="89"/>
    </row>
    <row r="303">
      <c r="B303" s="89"/>
      <c r="C303" s="89"/>
      <c r="D303" s="89"/>
      <c r="E303" s="89"/>
      <c r="F303" s="89"/>
      <c r="G303" s="89"/>
      <c r="H303" s="89"/>
      <c r="I303" s="89"/>
    </row>
    <row r="304">
      <c r="B304" s="89"/>
      <c r="C304" s="89"/>
      <c r="D304" s="89"/>
      <c r="E304" s="89"/>
      <c r="F304" s="89"/>
      <c r="G304" s="89"/>
      <c r="H304" s="89"/>
      <c r="I304" s="89"/>
    </row>
    <row r="305">
      <c r="B305" s="89"/>
      <c r="C305" s="89"/>
      <c r="D305" s="89"/>
      <c r="E305" s="89"/>
      <c r="F305" s="89"/>
      <c r="G305" s="89"/>
      <c r="H305" s="89"/>
      <c r="I305" s="89"/>
    </row>
    <row r="306">
      <c r="B306" s="89"/>
      <c r="C306" s="89"/>
      <c r="D306" s="89"/>
      <c r="E306" s="89"/>
      <c r="F306" s="89"/>
      <c r="G306" s="89"/>
      <c r="H306" s="89"/>
      <c r="I306" s="89"/>
    </row>
    <row r="307">
      <c r="B307" s="89"/>
      <c r="C307" s="89"/>
      <c r="D307" s="89"/>
      <c r="E307" s="89"/>
      <c r="F307" s="89"/>
      <c r="G307" s="89"/>
      <c r="H307" s="89"/>
      <c r="I307" s="89"/>
    </row>
    <row r="308">
      <c r="B308" s="89"/>
      <c r="C308" s="89"/>
      <c r="D308" s="89"/>
      <c r="E308" s="89"/>
      <c r="F308" s="89"/>
      <c r="G308" s="89"/>
      <c r="H308" s="89"/>
      <c r="I308" s="89"/>
    </row>
    <row r="309">
      <c r="B309" s="89"/>
      <c r="C309" s="89"/>
      <c r="D309" s="89"/>
      <c r="E309" s="89"/>
      <c r="F309" s="89"/>
      <c r="G309" s="89"/>
      <c r="H309" s="89"/>
      <c r="I309" s="89"/>
    </row>
    <row r="310">
      <c r="B310" s="89"/>
      <c r="C310" s="89"/>
      <c r="D310" s="89"/>
      <c r="E310" s="89"/>
      <c r="F310" s="89"/>
      <c r="G310" s="89"/>
      <c r="H310" s="89"/>
      <c r="I310" s="89"/>
    </row>
    <row r="311">
      <c r="B311" s="89"/>
      <c r="C311" s="89"/>
      <c r="D311" s="89"/>
      <c r="E311" s="89"/>
      <c r="F311" s="89"/>
      <c r="G311" s="89"/>
      <c r="H311" s="89"/>
      <c r="I311" s="89"/>
    </row>
    <row r="312">
      <c r="B312" s="89"/>
      <c r="C312" s="89"/>
      <c r="D312" s="89"/>
      <c r="E312" s="89"/>
      <c r="F312" s="89"/>
      <c r="G312" s="89"/>
      <c r="H312" s="89"/>
      <c r="I312" s="89"/>
    </row>
    <row r="313">
      <c r="B313" s="89"/>
      <c r="C313" s="89"/>
      <c r="D313" s="89"/>
      <c r="E313" s="89"/>
      <c r="F313" s="89"/>
      <c r="G313" s="89"/>
      <c r="H313" s="89"/>
      <c r="I313" s="89"/>
    </row>
    <row r="314">
      <c r="B314" s="89"/>
      <c r="C314" s="89"/>
      <c r="D314" s="89"/>
      <c r="E314" s="89"/>
      <c r="F314" s="89"/>
      <c r="G314" s="89"/>
      <c r="H314" s="89"/>
      <c r="I314" s="89"/>
    </row>
    <row r="315">
      <c r="B315" s="89"/>
      <c r="C315" s="89"/>
      <c r="D315" s="89"/>
      <c r="E315" s="89"/>
      <c r="F315" s="89"/>
      <c r="G315" s="89"/>
      <c r="H315" s="89"/>
      <c r="I315" s="89"/>
    </row>
    <row r="316">
      <c r="B316" s="89"/>
      <c r="C316" s="89"/>
      <c r="D316" s="89"/>
      <c r="E316" s="89"/>
      <c r="F316" s="89"/>
      <c r="G316" s="89"/>
      <c r="H316" s="89"/>
      <c r="I316" s="89"/>
    </row>
    <row r="317">
      <c r="B317" s="89"/>
      <c r="C317" s="89"/>
      <c r="D317" s="89"/>
      <c r="E317" s="89"/>
      <c r="F317" s="89"/>
      <c r="G317" s="89"/>
      <c r="H317" s="89"/>
      <c r="I317" s="89"/>
    </row>
    <row r="318">
      <c r="B318" s="89"/>
      <c r="C318" s="89"/>
      <c r="D318" s="89"/>
      <c r="E318" s="89"/>
      <c r="F318" s="89"/>
      <c r="G318" s="89"/>
      <c r="H318" s="89"/>
      <c r="I318" s="89"/>
    </row>
    <row r="319">
      <c r="B319" s="89"/>
      <c r="C319" s="89"/>
      <c r="D319" s="89"/>
      <c r="E319" s="89"/>
      <c r="F319" s="89"/>
      <c r="G319" s="89"/>
      <c r="H319" s="89"/>
      <c r="I319" s="89"/>
    </row>
    <row r="320">
      <c r="B320" s="89"/>
      <c r="C320" s="89"/>
      <c r="D320" s="89"/>
      <c r="E320" s="89"/>
      <c r="F320" s="89"/>
      <c r="G320" s="89"/>
      <c r="H320" s="89"/>
      <c r="I320" s="89"/>
    </row>
    <row r="321">
      <c r="B321" s="89"/>
      <c r="C321" s="89"/>
      <c r="D321" s="89"/>
      <c r="E321" s="89"/>
      <c r="F321" s="89"/>
      <c r="G321" s="89"/>
      <c r="H321" s="89"/>
      <c r="I321" s="89"/>
    </row>
    <row r="322">
      <c r="B322" s="89"/>
      <c r="C322" s="89"/>
      <c r="D322" s="89"/>
      <c r="E322" s="89"/>
      <c r="F322" s="89"/>
      <c r="G322" s="89"/>
      <c r="H322" s="89"/>
      <c r="I322" s="89"/>
    </row>
    <row r="323">
      <c r="B323" s="89"/>
      <c r="C323" s="89"/>
      <c r="D323" s="89"/>
      <c r="E323" s="89"/>
      <c r="F323" s="89"/>
      <c r="G323" s="89"/>
      <c r="H323" s="89"/>
      <c r="I323" s="89"/>
    </row>
    <row r="324">
      <c r="B324" s="89"/>
      <c r="C324" s="89"/>
      <c r="D324" s="89"/>
      <c r="E324" s="89"/>
      <c r="F324" s="89"/>
      <c r="G324" s="89"/>
      <c r="H324" s="89"/>
      <c r="I324" s="89"/>
    </row>
    <row r="325">
      <c r="B325" s="89"/>
      <c r="C325" s="89"/>
      <c r="D325" s="89"/>
      <c r="E325" s="89"/>
      <c r="F325" s="89"/>
      <c r="G325" s="89"/>
      <c r="H325" s="89"/>
      <c r="I325" s="89"/>
    </row>
    <row r="326">
      <c r="B326" s="89"/>
      <c r="C326" s="89"/>
      <c r="D326" s="89"/>
      <c r="E326" s="89"/>
      <c r="F326" s="89"/>
      <c r="G326" s="89"/>
      <c r="H326" s="89"/>
      <c r="I326" s="89"/>
    </row>
    <row r="327">
      <c r="B327" s="89"/>
      <c r="C327" s="89"/>
      <c r="D327" s="89"/>
      <c r="E327" s="89"/>
      <c r="F327" s="89"/>
      <c r="G327" s="89"/>
      <c r="H327" s="89"/>
      <c r="I327" s="89"/>
    </row>
    <row r="328">
      <c r="B328" s="89"/>
      <c r="C328" s="89"/>
      <c r="D328" s="89"/>
      <c r="E328" s="89"/>
      <c r="F328" s="89"/>
      <c r="G328" s="89"/>
      <c r="H328" s="89"/>
      <c r="I328" s="89"/>
    </row>
    <row r="329">
      <c r="B329" s="89"/>
      <c r="C329" s="89"/>
      <c r="D329" s="89"/>
      <c r="E329" s="89"/>
      <c r="F329" s="89"/>
      <c r="G329" s="89"/>
      <c r="H329" s="89"/>
      <c r="I329" s="89"/>
    </row>
    <row r="330">
      <c r="B330" s="89"/>
      <c r="C330" s="89"/>
      <c r="D330" s="89"/>
      <c r="E330" s="89"/>
      <c r="F330" s="89"/>
      <c r="G330" s="89"/>
      <c r="H330" s="89"/>
      <c r="I330" s="89"/>
    </row>
    <row r="331">
      <c r="B331" s="89"/>
      <c r="C331" s="89"/>
      <c r="D331" s="89"/>
      <c r="E331" s="89"/>
      <c r="F331" s="89"/>
      <c r="G331" s="89"/>
      <c r="H331" s="89"/>
      <c r="I331" s="89"/>
    </row>
    <row r="332">
      <c r="B332" s="89"/>
      <c r="C332" s="89"/>
      <c r="D332" s="89"/>
      <c r="E332" s="89"/>
      <c r="F332" s="89"/>
      <c r="G332" s="89"/>
      <c r="H332" s="89"/>
      <c r="I332" s="89"/>
    </row>
    <row r="333">
      <c r="B333" s="89"/>
      <c r="C333" s="89"/>
      <c r="D333" s="89"/>
      <c r="E333" s="89"/>
      <c r="F333" s="89"/>
      <c r="G333" s="89"/>
      <c r="H333" s="89"/>
      <c r="I333" s="89"/>
    </row>
    <row r="334">
      <c r="B334" s="89"/>
      <c r="C334" s="89"/>
      <c r="D334" s="89"/>
      <c r="E334" s="89"/>
      <c r="F334" s="89"/>
      <c r="G334" s="89"/>
      <c r="H334" s="89"/>
      <c r="I334" s="89"/>
    </row>
    <row r="335">
      <c r="B335" s="89"/>
      <c r="C335" s="89"/>
      <c r="D335" s="89"/>
      <c r="E335" s="89"/>
      <c r="F335" s="89"/>
      <c r="G335" s="89"/>
      <c r="H335" s="89"/>
      <c r="I335" s="89"/>
    </row>
    <row r="336">
      <c r="B336" s="89"/>
      <c r="C336" s="89"/>
      <c r="D336" s="89"/>
      <c r="E336" s="89"/>
      <c r="F336" s="89"/>
      <c r="G336" s="89"/>
      <c r="H336" s="89"/>
      <c r="I336" s="89"/>
    </row>
    <row r="337">
      <c r="B337" s="89"/>
      <c r="C337" s="89"/>
      <c r="D337" s="89"/>
      <c r="E337" s="89"/>
      <c r="F337" s="89"/>
      <c r="G337" s="89"/>
      <c r="H337" s="89"/>
      <c r="I337" s="89"/>
    </row>
    <row r="338">
      <c r="B338" s="89"/>
      <c r="C338" s="89"/>
      <c r="D338" s="89"/>
      <c r="E338" s="89"/>
      <c r="F338" s="89"/>
      <c r="G338" s="89"/>
      <c r="H338" s="89"/>
      <c r="I338" s="89"/>
    </row>
    <row r="339">
      <c r="B339" s="89"/>
      <c r="C339" s="89"/>
      <c r="D339" s="89"/>
      <c r="E339" s="89"/>
      <c r="F339" s="89"/>
      <c r="G339" s="89"/>
      <c r="H339" s="89"/>
      <c r="I339" s="89"/>
    </row>
    <row r="340">
      <c r="B340" s="89"/>
      <c r="C340" s="89"/>
      <c r="D340" s="89"/>
      <c r="E340" s="89"/>
      <c r="F340" s="89"/>
      <c r="G340" s="89"/>
      <c r="H340" s="89"/>
      <c r="I340" s="89"/>
    </row>
    <row r="341">
      <c r="B341" s="89"/>
      <c r="C341" s="89"/>
      <c r="D341" s="89"/>
      <c r="E341" s="89"/>
      <c r="F341" s="89"/>
      <c r="G341" s="89"/>
      <c r="H341" s="89"/>
      <c r="I341" s="89"/>
    </row>
    <row r="342">
      <c r="B342" s="89"/>
      <c r="C342" s="89"/>
      <c r="D342" s="89"/>
      <c r="E342" s="89"/>
      <c r="F342" s="89"/>
      <c r="G342" s="89"/>
      <c r="H342" s="89"/>
      <c r="I342" s="89"/>
    </row>
    <row r="343">
      <c r="B343" s="89"/>
      <c r="C343" s="89"/>
      <c r="D343" s="89"/>
      <c r="E343" s="89"/>
      <c r="F343" s="89"/>
      <c r="G343" s="89"/>
      <c r="H343" s="89"/>
      <c r="I343" s="89"/>
    </row>
    <row r="344">
      <c r="B344" s="89"/>
      <c r="C344" s="89"/>
      <c r="D344" s="89"/>
      <c r="E344" s="89"/>
      <c r="F344" s="89"/>
      <c r="G344" s="89"/>
      <c r="H344" s="89"/>
      <c r="I344" s="89"/>
    </row>
    <row r="345">
      <c r="B345" s="89"/>
      <c r="C345" s="89"/>
      <c r="D345" s="89"/>
      <c r="E345" s="89"/>
      <c r="F345" s="89"/>
      <c r="G345" s="89"/>
      <c r="H345" s="89"/>
      <c r="I345" s="89"/>
    </row>
    <row r="346">
      <c r="B346" s="89"/>
      <c r="C346" s="89"/>
      <c r="D346" s="89"/>
      <c r="E346" s="89"/>
      <c r="F346" s="89"/>
      <c r="G346" s="89"/>
      <c r="H346" s="89"/>
      <c r="I346" s="89"/>
    </row>
    <row r="347">
      <c r="B347" s="89"/>
      <c r="C347" s="89"/>
      <c r="D347" s="89"/>
      <c r="E347" s="89"/>
      <c r="F347" s="89"/>
      <c r="G347" s="89"/>
      <c r="H347" s="89"/>
      <c r="I347" s="89"/>
    </row>
    <row r="348">
      <c r="B348" s="89"/>
      <c r="C348" s="89"/>
      <c r="D348" s="89"/>
      <c r="E348" s="89"/>
      <c r="F348" s="89"/>
      <c r="G348" s="89"/>
      <c r="H348" s="89"/>
      <c r="I348" s="89"/>
    </row>
    <row r="349">
      <c r="B349" s="89"/>
      <c r="C349" s="89"/>
      <c r="D349" s="89"/>
      <c r="E349" s="89"/>
      <c r="F349" s="89"/>
      <c r="G349" s="89"/>
      <c r="H349" s="89"/>
      <c r="I349" s="89"/>
    </row>
    <row r="350">
      <c r="B350" s="89"/>
      <c r="C350" s="89"/>
      <c r="D350" s="89"/>
      <c r="E350" s="89"/>
      <c r="F350" s="89"/>
      <c r="G350" s="89"/>
      <c r="H350" s="89"/>
      <c r="I350" s="89"/>
    </row>
    <row r="351">
      <c r="B351" s="89"/>
      <c r="C351" s="89"/>
      <c r="D351" s="89"/>
      <c r="E351" s="89"/>
      <c r="F351" s="89"/>
      <c r="G351" s="89"/>
      <c r="H351" s="89"/>
      <c r="I351" s="89"/>
    </row>
    <row r="352">
      <c r="B352" s="89"/>
      <c r="C352" s="89"/>
      <c r="D352" s="89"/>
      <c r="E352" s="89"/>
      <c r="F352" s="89"/>
      <c r="G352" s="89"/>
      <c r="H352" s="89"/>
      <c r="I352" s="89"/>
    </row>
    <row r="353">
      <c r="B353" s="89"/>
      <c r="C353" s="89"/>
      <c r="D353" s="89"/>
      <c r="E353" s="89"/>
      <c r="F353" s="89"/>
      <c r="G353" s="89"/>
      <c r="H353" s="89"/>
      <c r="I353" s="89"/>
    </row>
    <row r="354">
      <c r="B354" s="89"/>
      <c r="C354" s="89"/>
      <c r="D354" s="89"/>
      <c r="E354" s="89"/>
      <c r="F354" s="89"/>
      <c r="G354" s="89"/>
      <c r="H354" s="89"/>
      <c r="I354" s="89"/>
    </row>
    <row r="355">
      <c r="B355" s="89"/>
      <c r="C355" s="89"/>
      <c r="D355" s="89"/>
      <c r="E355" s="89"/>
      <c r="F355" s="89"/>
      <c r="G355" s="89"/>
      <c r="H355" s="89"/>
      <c r="I355" s="89"/>
    </row>
    <row r="356">
      <c r="B356" s="89"/>
      <c r="C356" s="89"/>
      <c r="D356" s="89"/>
      <c r="E356" s="89"/>
      <c r="F356" s="89"/>
      <c r="G356" s="89"/>
      <c r="H356" s="89"/>
      <c r="I356" s="89"/>
    </row>
    <row r="357">
      <c r="B357" s="89"/>
      <c r="C357" s="89"/>
      <c r="D357" s="89"/>
      <c r="E357" s="89"/>
      <c r="F357" s="89"/>
      <c r="G357" s="89"/>
      <c r="H357" s="89"/>
      <c r="I357" s="89"/>
    </row>
    <row r="358">
      <c r="B358" s="89"/>
      <c r="C358" s="89"/>
      <c r="D358" s="89"/>
      <c r="E358" s="89"/>
      <c r="F358" s="89"/>
      <c r="G358" s="89"/>
      <c r="H358" s="89"/>
      <c r="I358" s="89"/>
    </row>
    <row r="359">
      <c r="B359" s="89"/>
      <c r="C359" s="89"/>
      <c r="D359" s="89"/>
      <c r="E359" s="89"/>
      <c r="F359" s="89"/>
      <c r="G359" s="89"/>
      <c r="H359" s="89"/>
      <c r="I359" s="89"/>
    </row>
    <row r="360">
      <c r="B360" s="89"/>
      <c r="C360" s="89"/>
      <c r="D360" s="89"/>
      <c r="E360" s="89"/>
      <c r="F360" s="89"/>
      <c r="G360" s="89"/>
      <c r="H360" s="89"/>
      <c r="I360" s="89"/>
    </row>
    <row r="361">
      <c r="B361" s="89"/>
      <c r="C361" s="89"/>
      <c r="D361" s="89"/>
      <c r="E361" s="89"/>
      <c r="F361" s="89"/>
      <c r="G361" s="89"/>
      <c r="H361" s="89"/>
      <c r="I361" s="89"/>
    </row>
    <row r="362">
      <c r="B362" s="89"/>
      <c r="C362" s="89"/>
      <c r="D362" s="89"/>
      <c r="E362" s="89"/>
      <c r="F362" s="89"/>
      <c r="G362" s="89"/>
      <c r="H362" s="89"/>
      <c r="I362" s="89"/>
    </row>
    <row r="363">
      <c r="B363" s="89"/>
      <c r="C363" s="89"/>
      <c r="D363" s="89"/>
      <c r="E363" s="89"/>
      <c r="F363" s="89"/>
      <c r="G363" s="89"/>
      <c r="H363" s="89"/>
      <c r="I363" s="89"/>
    </row>
    <row r="364">
      <c r="B364" s="89"/>
      <c r="C364" s="89"/>
      <c r="D364" s="89"/>
      <c r="E364" s="89"/>
      <c r="F364" s="89"/>
      <c r="G364" s="89"/>
      <c r="H364" s="89"/>
      <c r="I364" s="89"/>
    </row>
    <row r="365">
      <c r="B365" s="89"/>
      <c r="C365" s="89"/>
      <c r="D365" s="89"/>
      <c r="E365" s="89"/>
      <c r="F365" s="89"/>
      <c r="G365" s="89"/>
      <c r="H365" s="89"/>
      <c r="I365" s="89"/>
    </row>
    <row r="366">
      <c r="B366" s="89"/>
      <c r="C366" s="89"/>
      <c r="D366" s="89"/>
      <c r="E366" s="89"/>
      <c r="F366" s="89"/>
      <c r="G366" s="89"/>
      <c r="H366" s="89"/>
      <c r="I366" s="89"/>
    </row>
    <row r="367">
      <c r="B367" s="89"/>
      <c r="C367" s="89"/>
      <c r="D367" s="89"/>
      <c r="E367" s="89"/>
      <c r="F367" s="89"/>
      <c r="G367" s="89"/>
      <c r="H367" s="89"/>
      <c r="I367" s="89"/>
    </row>
    <row r="368">
      <c r="B368" s="89"/>
      <c r="C368" s="89"/>
      <c r="D368" s="89"/>
      <c r="E368" s="89"/>
      <c r="F368" s="89"/>
      <c r="G368" s="89"/>
      <c r="H368" s="89"/>
      <c r="I368" s="89"/>
    </row>
    <row r="369">
      <c r="B369" s="89"/>
      <c r="C369" s="89"/>
      <c r="D369" s="89"/>
      <c r="E369" s="89"/>
      <c r="F369" s="89"/>
      <c r="G369" s="89"/>
      <c r="H369" s="89"/>
      <c r="I369" s="89"/>
    </row>
    <row r="370">
      <c r="B370" s="89"/>
      <c r="C370" s="89"/>
      <c r="D370" s="89"/>
      <c r="E370" s="89"/>
      <c r="F370" s="89"/>
      <c r="G370" s="89"/>
      <c r="H370" s="89"/>
      <c r="I370" s="89"/>
    </row>
    <row r="371">
      <c r="B371" s="89"/>
      <c r="C371" s="89"/>
      <c r="D371" s="89"/>
      <c r="E371" s="89"/>
      <c r="F371" s="89"/>
      <c r="G371" s="89"/>
      <c r="H371" s="89"/>
      <c r="I371" s="89"/>
    </row>
    <row r="372">
      <c r="B372" s="89"/>
      <c r="C372" s="89"/>
      <c r="D372" s="89"/>
      <c r="E372" s="89"/>
      <c r="F372" s="89"/>
      <c r="G372" s="89"/>
      <c r="H372" s="89"/>
      <c r="I372" s="89"/>
    </row>
    <row r="373">
      <c r="B373" s="89"/>
      <c r="C373" s="89"/>
      <c r="D373" s="89"/>
      <c r="E373" s="89"/>
      <c r="F373" s="89"/>
      <c r="G373" s="89"/>
      <c r="H373" s="89"/>
      <c r="I373" s="89"/>
    </row>
    <row r="374">
      <c r="B374" s="89"/>
      <c r="C374" s="89"/>
      <c r="D374" s="89"/>
      <c r="E374" s="89"/>
      <c r="F374" s="89"/>
      <c r="G374" s="89"/>
      <c r="H374" s="89"/>
      <c r="I374" s="89"/>
    </row>
    <row r="375">
      <c r="B375" s="89"/>
      <c r="C375" s="89"/>
      <c r="D375" s="89"/>
      <c r="E375" s="89"/>
      <c r="F375" s="89"/>
      <c r="G375" s="89"/>
      <c r="H375" s="89"/>
      <c r="I375" s="89"/>
    </row>
    <row r="376">
      <c r="B376" s="89"/>
      <c r="C376" s="89"/>
      <c r="D376" s="89"/>
      <c r="E376" s="89"/>
      <c r="F376" s="89"/>
      <c r="G376" s="89"/>
      <c r="H376" s="89"/>
      <c r="I376" s="89"/>
    </row>
    <row r="377">
      <c r="B377" s="89"/>
      <c r="C377" s="89"/>
      <c r="D377" s="89"/>
      <c r="E377" s="89"/>
      <c r="F377" s="89"/>
      <c r="G377" s="89"/>
      <c r="H377" s="89"/>
      <c r="I377" s="89"/>
    </row>
    <row r="378">
      <c r="B378" s="89"/>
      <c r="C378" s="89"/>
      <c r="D378" s="89"/>
      <c r="E378" s="89"/>
      <c r="F378" s="89"/>
      <c r="G378" s="89"/>
      <c r="H378" s="89"/>
      <c r="I378" s="89"/>
    </row>
    <row r="379">
      <c r="B379" s="89"/>
      <c r="C379" s="89"/>
      <c r="D379" s="89"/>
      <c r="E379" s="89"/>
      <c r="F379" s="89"/>
      <c r="G379" s="89"/>
      <c r="H379" s="89"/>
      <c r="I379" s="89"/>
    </row>
    <row r="380">
      <c r="B380" s="89"/>
      <c r="C380" s="89"/>
      <c r="D380" s="89"/>
      <c r="E380" s="89"/>
      <c r="F380" s="89"/>
      <c r="G380" s="89"/>
      <c r="H380" s="89"/>
      <c r="I380" s="89"/>
    </row>
    <row r="381">
      <c r="B381" s="89"/>
      <c r="C381" s="89"/>
      <c r="D381" s="89"/>
      <c r="E381" s="89"/>
      <c r="F381" s="89"/>
      <c r="G381" s="89"/>
      <c r="H381" s="89"/>
      <c r="I381" s="89"/>
    </row>
    <row r="382">
      <c r="B382" s="89"/>
      <c r="C382" s="89"/>
      <c r="D382" s="89"/>
      <c r="E382" s="89"/>
      <c r="F382" s="89"/>
      <c r="G382" s="89"/>
      <c r="H382" s="89"/>
      <c r="I382" s="89"/>
    </row>
    <row r="383">
      <c r="B383" s="89"/>
      <c r="C383" s="89"/>
      <c r="D383" s="89"/>
      <c r="E383" s="89"/>
      <c r="F383" s="89"/>
      <c r="G383" s="89"/>
      <c r="H383" s="89"/>
      <c r="I383" s="89"/>
    </row>
    <row r="384">
      <c r="B384" s="89"/>
      <c r="C384" s="89"/>
      <c r="D384" s="89"/>
      <c r="E384" s="89"/>
      <c r="F384" s="89"/>
      <c r="G384" s="89"/>
      <c r="H384" s="89"/>
      <c r="I384" s="89"/>
    </row>
    <row r="385">
      <c r="B385" s="89"/>
      <c r="C385" s="89"/>
      <c r="D385" s="89"/>
      <c r="E385" s="89"/>
      <c r="F385" s="89"/>
      <c r="G385" s="89"/>
      <c r="H385" s="89"/>
      <c r="I385" s="89"/>
    </row>
    <row r="386">
      <c r="B386" s="89"/>
      <c r="C386" s="89"/>
      <c r="D386" s="89"/>
      <c r="E386" s="89"/>
      <c r="F386" s="89"/>
      <c r="G386" s="89"/>
      <c r="H386" s="89"/>
      <c r="I386" s="89"/>
    </row>
    <row r="387">
      <c r="B387" s="89"/>
      <c r="C387" s="89"/>
      <c r="D387" s="89"/>
      <c r="E387" s="89"/>
      <c r="F387" s="89"/>
      <c r="G387" s="89"/>
      <c r="H387" s="89"/>
      <c r="I387" s="89"/>
    </row>
    <row r="388">
      <c r="B388" s="89"/>
      <c r="C388" s="89"/>
      <c r="D388" s="89"/>
      <c r="E388" s="89"/>
      <c r="F388" s="89"/>
      <c r="G388" s="89"/>
      <c r="H388" s="89"/>
      <c r="I388" s="89"/>
    </row>
    <row r="389">
      <c r="B389" s="89"/>
      <c r="C389" s="89"/>
      <c r="D389" s="89"/>
      <c r="E389" s="89"/>
      <c r="F389" s="89"/>
      <c r="G389" s="89"/>
      <c r="H389" s="89"/>
      <c r="I389" s="89"/>
    </row>
    <row r="390">
      <c r="B390" s="89"/>
      <c r="C390" s="89"/>
      <c r="D390" s="89"/>
      <c r="E390" s="89"/>
      <c r="F390" s="89"/>
      <c r="G390" s="89"/>
      <c r="H390" s="89"/>
      <c r="I390" s="89"/>
    </row>
    <row r="391">
      <c r="B391" s="89"/>
      <c r="C391" s="89"/>
      <c r="D391" s="89"/>
      <c r="E391" s="89"/>
      <c r="F391" s="89"/>
      <c r="G391" s="89"/>
      <c r="H391" s="89"/>
      <c r="I391" s="89"/>
    </row>
    <row r="392">
      <c r="B392" s="89"/>
      <c r="C392" s="89"/>
      <c r="D392" s="89"/>
      <c r="E392" s="89"/>
      <c r="F392" s="89"/>
      <c r="G392" s="89"/>
      <c r="H392" s="89"/>
      <c r="I392" s="89"/>
    </row>
    <row r="393">
      <c r="B393" s="89"/>
      <c r="C393" s="89"/>
      <c r="D393" s="89"/>
      <c r="E393" s="89"/>
      <c r="F393" s="89"/>
      <c r="G393" s="89"/>
      <c r="H393" s="89"/>
      <c r="I393" s="89"/>
    </row>
    <row r="394">
      <c r="B394" s="89"/>
      <c r="C394" s="89"/>
      <c r="D394" s="89"/>
      <c r="E394" s="89"/>
      <c r="F394" s="89"/>
      <c r="G394" s="89"/>
      <c r="H394" s="89"/>
      <c r="I394" s="89"/>
    </row>
    <row r="395">
      <c r="B395" s="89"/>
      <c r="C395" s="89"/>
      <c r="D395" s="89"/>
      <c r="E395" s="89"/>
      <c r="F395" s="89"/>
      <c r="G395" s="89"/>
      <c r="H395" s="89"/>
      <c r="I395" s="89"/>
    </row>
    <row r="396">
      <c r="B396" s="89"/>
      <c r="C396" s="89"/>
      <c r="D396" s="89"/>
      <c r="E396" s="89"/>
      <c r="F396" s="89"/>
      <c r="G396" s="89"/>
      <c r="H396" s="89"/>
      <c r="I396" s="89"/>
    </row>
    <row r="397">
      <c r="B397" s="89"/>
      <c r="C397" s="89"/>
      <c r="D397" s="89"/>
      <c r="E397" s="89"/>
      <c r="F397" s="89"/>
      <c r="G397" s="89"/>
      <c r="H397" s="89"/>
      <c r="I397" s="89"/>
    </row>
    <row r="398">
      <c r="B398" s="89"/>
      <c r="C398" s="89"/>
      <c r="D398" s="89"/>
      <c r="E398" s="89"/>
      <c r="F398" s="89"/>
      <c r="G398" s="89"/>
      <c r="H398" s="89"/>
      <c r="I398" s="89"/>
    </row>
    <row r="399">
      <c r="B399" s="89"/>
      <c r="C399" s="89"/>
      <c r="D399" s="89"/>
      <c r="E399" s="89"/>
      <c r="F399" s="89"/>
      <c r="G399" s="89"/>
      <c r="H399" s="89"/>
      <c r="I399" s="89"/>
    </row>
    <row r="400">
      <c r="B400" s="89"/>
      <c r="C400" s="89"/>
      <c r="D400" s="89"/>
      <c r="E400" s="89"/>
      <c r="F400" s="89"/>
      <c r="G400" s="89"/>
      <c r="H400" s="89"/>
      <c r="I400" s="89"/>
    </row>
    <row r="401">
      <c r="B401" s="89"/>
      <c r="C401" s="89"/>
      <c r="D401" s="89"/>
      <c r="E401" s="89"/>
      <c r="F401" s="89"/>
      <c r="G401" s="89"/>
      <c r="H401" s="89"/>
      <c r="I401" s="89"/>
    </row>
    <row r="402">
      <c r="B402" s="89"/>
      <c r="C402" s="89"/>
      <c r="D402" s="89"/>
      <c r="E402" s="89"/>
      <c r="F402" s="89"/>
      <c r="G402" s="89"/>
      <c r="H402" s="89"/>
      <c r="I402" s="89"/>
    </row>
    <row r="403">
      <c r="B403" s="89"/>
      <c r="C403" s="89"/>
      <c r="D403" s="89"/>
      <c r="E403" s="89"/>
      <c r="F403" s="89"/>
      <c r="G403" s="89"/>
      <c r="H403" s="89"/>
      <c r="I403" s="89"/>
    </row>
    <row r="404">
      <c r="B404" s="89"/>
      <c r="C404" s="89"/>
      <c r="D404" s="89"/>
      <c r="E404" s="89"/>
      <c r="F404" s="89"/>
      <c r="G404" s="89"/>
      <c r="H404" s="89"/>
      <c r="I404" s="89"/>
    </row>
    <row r="405">
      <c r="B405" s="89"/>
      <c r="C405" s="89"/>
      <c r="D405" s="89"/>
      <c r="E405" s="89"/>
      <c r="F405" s="89"/>
      <c r="G405" s="89"/>
      <c r="H405" s="89"/>
      <c r="I405" s="89"/>
    </row>
    <row r="406">
      <c r="B406" s="89"/>
      <c r="C406" s="89"/>
      <c r="D406" s="89"/>
      <c r="E406" s="89"/>
      <c r="F406" s="89"/>
      <c r="G406" s="89"/>
      <c r="H406" s="89"/>
      <c r="I406" s="89"/>
    </row>
    <row r="407">
      <c r="B407" s="89"/>
      <c r="C407" s="89"/>
      <c r="D407" s="89"/>
      <c r="E407" s="89"/>
      <c r="F407" s="89"/>
      <c r="G407" s="89"/>
      <c r="H407" s="89"/>
      <c r="I407" s="89"/>
    </row>
    <row r="408">
      <c r="B408" s="89"/>
      <c r="C408" s="89"/>
      <c r="D408" s="89"/>
      <c r="E408" s="89"/>
      <c r="F408" s="89"/>
      <c r="G408" s="89"/>
      <c r="H408" s="89"/>
      <c r="I408" s="89"/>
    </row>
    <row r="409">
      <c r="B409" s="89"/>
      <c r="C409" s="89"/>
      <c r="D409" s="89"/>
      <c r="E409" s="89"/>
      <c r="F409" s="89"/>
      <c r="G409" s="89"/>
      <c r="H409" s="89"/>
      <c r="I409" s="89"/>
    </row>
    <row r="410">
      <c r="B410" s="89"/>
      <c r="C410" s="89"/>
      <c r="D410" s="89"/>
      <c r="E410" s="89"/>
      <c r="F410" s="89"/>
      <c r="G410" s="89"/>
      <c r="H410" s="89"/>
      <c r="I410" s="89"/>
    </row>
    <row r="411">
      <c r="B411" s="89"/>
      <c r="C411" s="89"/>
      <c r="D411" s="89"/>
      <c r="E411" s="89"/>
      <c r="F411" s="89"/>
      <c r="G411" s="89"/>
      <c r="H411" s="89"/>
      <c r="I411" s="89"/>
    </row>
    <row r="412">
      <c r="B412" s="89"/>
      <c r="C412" s="89"/>
      <c r="D412" s="89"/>
      <c r="E412" s="89"/>
      <c r="F412" s="89"/>
      <c r="G412" s="89"/>
      <c r="H412" s="89"/>
      <c r="I412" s="89"/>
    </row>
    <row r="413">
      <c r="B413" s="89"/>
      <c r="C413" s="89"/>
      <c r="D413" s="89"/>
      <c r="E413" s="89"/>
      <c r="F413" s="89"/>
      <c r="G413" s="89"/>
      <c r="H413" s="89"/>
      <c r="I413" s="89"/>
    </row>
    <row r="414">
      <c r="B414" s="89"/>
      <c r="C414" s="89"/>
      <c r="D414" s="89"/>
      <c r="E414" s="89"/>
      <c r="F414" s="89"/>
      <c r="G414" s="89"/>
      <c r="H414" s="89"/>
      <c r="I414" s="89"/>
    </row>
    <row r="415">
      <c r="B415" s="89"/>
      <c r="C415" s="89"/>
      <c r="D415" s="89"/>
      <c r="E415" s="89"/>
      <c r="F415" s="89"/>
      <c r="G415" s="89"/>
      <c r="H415" s="89"/>
      <c r="I415" s="89"/>
    </row>
    <row r="416">
      <c r="B416" s="89"/>
      <c r="C416" s="89"/>
      <c r="D416" s="89"/>
      <c r="E416" s="89"/>
      <c r="F416" s="89"/>
      <c r="G416" s="89"/>
      <c r="H416" s="89"/>
      <c r="I416" s="89"/>
    </row>
    <row r="417">
      <c r="B417" s="89"/>
      <c r="C417" s="89"/>
      <c r="D417" s="89"/>
      <c r="E417" s="89"/>
      <c r="F417" s="89"/>
      <c r="G417" s="89"/>
      <c r="H417" s="89"/>
      <c r="I417" s="89"/>
    </row>
    <row r="418">
      <c r="B418" s="89"/>
      <c r="C418" s="89"/>
      <c r="D418" s="89"/>
      <c r="E418" s="89"/>
      <c r="F418" s="89"/>
      <c r="G418" s="89"/>
      <c r="H418" s="89"/>
      <c r="I418" s="89"/>
    </row>
    <row r="419">
      <c r="B419" s="89"/>
      <c r="C419" s="89"/>
      <c r="D419" s="89"/>
      <c r="E419" s="89"/>
      <c r="F419" s="89"/>
      <c r="G419" s="89"/>
      <c r="H419" s="89"/>
      <c r="I419" s="89"/>
    </row>
    <row r="420">
      <c r="B420" s="89"/>
      <c r="C420" s="89"/>
      <c r="D420" s="89"/>
      <c r="E420" s="89"/>
      <c r="F420" s="89"/>
      <c r="G420" s="89"/>
      <c r="H420" s="89"/>
      <c r="I420" s="89"/>
    </row>
    <row r="421">
      <c r="B421" s="89"/>
      <c r="C421" s="89"/>
      <c r="D421" s="89"/>
      <c r="E421" s="89"/>
      <c r="F421" s="89"/>
      <c r="G421" s="89"/>
      <c r="H421" s="89"/>
      <c r="I421" s="89"/>
    </row>
    <row r="422">
      <c r="B422" s="89"/>
      <c r="C422" s="89"/>
      <c r="D422" s="89"/>
      <c r="E422" s="89"/>
      <c r="F422" s="89"/>
      <c r="G422" s="89"/>
      <c r="H422" s="89"/>
      <c r="I422" s="89"/>
    </row>
    <row r="423">
      <c r="B423" s="89"/>
      <c r="C423" s="89"/>
      <c r="D423" s="89"/>
      <c r="E423" s="89"/>
      <c r="F423" s="89"/>
      <c r="G423" s="89"/>
      <c r="H423" s="89"/>
      <c r="I423" s="89"/>
    </row>
    <row r="424">
      <c r="B424" s="89"/>
      <c r="C424" s="89"/>
      <c r="D424" s="89"/>
      <c r="E424" s="89"/>
      <c r="F424" s="89"/>
      <c r="G424" s="89"/>
      <c r="H424" s="89"/>
      <c r="I424" s="89"/>
    </row>
    <row r="425">
      <c r="B425" s="89"/>
      <c r="C425" s="89"/>
      <c r="D425" s="89"/>
      <c r="E425" s="89"/>
      <c r="F425" s="89"/>
      <c r="G425" s="89"/>
      <c r="H425" s="89"/>
      <c r="I425" s="89"/>
    </row>
    <row r="426">
      <c r="B426" s="89"/>
      <c r="C426" s="89"/>
      <c r="D426" s="89"/>
      <c r="E426" s="89"/>
      <c r="F426" s="89"/>
      <c r="G426" s="89"/>
      <c r="H426" s="89"/>
      <c r="I426" s="89"/>
    </row>
    <row r="427">
      <c r="B427" s="89"/>
      <c r="C427" s="89"/>
      <c r="D427" s="89"/>
      <c r="E427" s="89"/>
      <c r="F427" s="89"/>
      <c r="G427" s="89"/>
      <c r="H427" s="89"/>
      <c r="I427" s="89"/>
    </row>
    <row r="428">
      <c r="B428" s="89"/>
      <c r="C428" s="89"/>
      <c r="D428" s="89"/>
      <c r="E428" s="89"/>
      <c r="F428" s="89"/>
      <c r="G428" s="89"/>
      <c r="H428" s="89"/>
      <c r="I428" s="89"/>
    </row>
    <row r="429">
      <c r="B429" s="89"/>
      <c r="C429" s="89"/>
      <c r="D429" s="89"/>
      <c r="E429" s="89"/>
      <c r="F429" s="89"/>
      <c r="G429" s="89"/>
      <c r="H429" s="89"/>
      <c r="I429" s="89"/>
    </row>
    <row r="430">
      <c r="B430" s="89"/>
      <c r="C430" s="89"/>
      <c r="D430" s="89"/>
      <c r="E430" s="89"/>
      <c r="F430" s="89"/>
      <c r="G430" s="89"/>
      <c r="H430" s="89"/>
      <c r="I430" s="89"/>
    </row>
    <row r="431">
      <c r="B431" s="89"/>
      <c r="C431" s="89"/>
      <c r="D431" s="89"/>
      <c r="E431" s="89"/>
      <c r="F431" s="89"/>
      <c r="G431" s="89"/>
      <c r="H431" s="89"/>
      <c r="I431" s="89"/>
    </row>
    <row r="432">
      <c r="B432" s="89"/>
      <c r="C432" s="89"/>
      <c r="D432" s="89"/>
      <c r="E432" s="89"/>
      <c r="F432" s="89"/>
      <c r="G432" s="89"/>
      <c r="H432" s="89"/>
      <c r="I432" s="89"/>
    </row>
    <row r="433">
      <c r="B433" s="89"/>
      <c r="C433" s="89"/>
      <c r="D433" s="89"/>
      <c r="E433" s="89"/>
      <c r="F433" s="89"/>
      <c r="G433" s="89"/>
      <c r="H433" s="89"/>
      <c r="I433" s="89"/>
    </row>
    <row r="434">
      <c r="B434" s="89"/>
      <c r="C434" s="89"/>
      <c r="D434" s="89"/>
      <c r="E434" s="89"/>
      <c r="F434" s="89"/>
      <c r="G434" s="89"/>
      <c r="H434" s="89"/>
      <c r="I434" s="89"/>
    </row>
    <row r="435">
      <c r="B435" s="89"/>
      <c r="C435" s="89"/>
      <c r="D435" s="89"/>
      <c r="E435" s="89"/>
      <c r="F435" s="89"/>
      <c r="G435" s="89"/>
      <c r="H435" s="89"/>
      <c r="I435" s="89"/>
    </row>
    <row r="436">
      <c r="B436" s="89"/>
      <c r="C436" s="89"/>
      <c r="D436" s="89"/>
      <c r="E436" s="89"/>
      <c r="F436" s="89"/>
      <c r="G436" s="89"/>
      <c r="H436" s="89"/>
      <c r="I436" s="89"/>
    </row>
    <row r="437">
      <c r="B437" s="89"/>
      <c r="C437" s="89"/>
      <c r="D437" s="89"/>
      <c r="E437" s="89"/>
      <c r="F437" s="89"/>
      <c r="G437" s="89"/>
      <c r="H437" s="89"/>
      <c r="I437" s="89"/>
    </row>
    <row r="438">
      <c r="B438" s="89"/>
      <c r="C438" s="89"/>
      <c r="D438" s="89"/>
      <c r="E438" s="89"/>
      <c r="F438" s="89"/>
      <c r="G438" s="89"/>
      <c r="H438" s="89"/>
      <c r="I438" s="89"/>
    </row>
    <row r="439">
      <c r="B439" s="89"/>
      <c r="C439" s="89"/>
      <c r="D439" s="89"/>
      <c r="E439" s="89"/>
      <c r="F439" s="89"/>
      <c r="G439" s="89"/>
      <c r="H439" s="89"/>
      <c r="I439" s="89"/>
    </row>
    <row r="440">
      <c r="B440" s="89"/>
      <c r="C440" s="89"/>
      <c r="D440" s="89"/>
      <c r="E440" s="89"/>
      <c r="F440" s="89"/>
      <c r="G440" s="89"/>
      <c r="H440" s="89"/>
      <c r="I440" s="89"/>
    </row>
    <row r="441">
      <c r="B441" s="89"/>
      <c r="C441" s="89"/>
      <c r="D441" s="89"/>
      <c r="E441" s="89"/>
      <c r="F441" s="89"/>
      <c r="G441" s="89"/>
      <c r="H441" s="89"/>
      <c r="I441" s="89"/>
    </row>
    <row r="442">
      <c r="B442" s="89"/>
      <c r="C442" s="89"/>
      <c r="D442" s="89"/>
      <c r="E442" s="89"/>
      <c r="F442" s="89"/>
      <c r="G442" s="89"/>
      <c r="H442" s="89"/>
      <c r="I442" s="89"/>
    </row>
    <row r="443">
      <c r="B443" s="89"/>
      <c r="C443" s="89"/>
      <c r="D443" s="89"/>
      <c r="E443" s="89"/>
      <c r="F443" s="89"/>
      <c r="G443" s="89"/>
      <c r="H443" s="89"/>
      <c r="I443" s="89"/>
    </row>
    <row r="444">
      <c r="B444" s="89"/>
      <c r="C444" s="89"/>
      <c r="D444" s="89"/>
      <c r="E444" s="89"/>
      <c r="F444" s="89"/>
      <c r="G444" s="89"/>
      <c r="H444" s="89"/>
      <c r="I444" s="89"/>
    </row>
    <row r="445">
      <c r="B445" s="89"/>
      <c r="C445" s="89"/>
      <c r="D445" s="89"/>
      <c r="E445" s="89"/>
      <c r="F445" s="89"/>
      <c r="G445" s="89"/>
      <c r="H445" s="89"/>
      <c r="I445" s="89"/>
    </row>
    <row r="446">
      <c r="B446" s="89"/>
      <c r="C446" s="89"/>
      <c r="D446" s="89"/>
      <c r="E446" s="89"/>
      <c r="F446" s="89"/>
      <c r="G446" s="89"/>
      <c r="H446" s="89"/>
      <c r="I446" s="89"/>
    </row>
    <row r="447">
      <c r="B447" s="89"/>
      <c r="C447" s="89"/>
      <c r="D447" s="89"/>
      <c r="E447" s="89"/>
      <c r="F447" s="89"/>
      <c r="G447" s="89"/>
      <c r="H447" s="89"/>
      <c r="I447" s="89"/>
    </row>
    <row r="448">
      <c r="B448" s="89"/>
      <c r="C448" s="89"/>
      <c r="D448" s="89"/>
      <c r="E448" s="89"/>
      <c r="F448" s="89"/>
      <c r="G448" s="89"/>
      <c r="H448" s="89"/>
      <c r="I448" s="89"/>
    </row>
    <row r="449">
      <c r="B449" s="89"/>
      <c r="C449" s="89"/>
      <c r="D449" s="89"/>
      <c r="E449" s="89"/>
      <c r="F449" s="89"/>
      <c r="G449" s="89"/>
      <c r="H449" s="89"/>
      <c r="I449" s="89"/>
    </row>
    <row r="450">
      <c r="B450" s="89"/>
      <c r="C450" s="89"/>
      <c r="D450" s="89"/>
      <c r="E450" s="89"/>
      <c r="F450" s="89"/>
      <c r="G450" s="89"/>
      <c r="H450" s="89"/>
      <c r="I450" s="89"/>
    </row>
    <row r="451">
      <c r="B451" s="89"/>
      <c r="C451" s="89"/>
      <c r="D451" s="89"/>
      <c r="E451" s="89"/>
      <c r="F451" s="89"/>
      <c r="G451" s="89"/>
      <c r="H451" s="89"/>
      <c r="I451" s="89"/>
    </row>
    <row r="452">
      <c r="B452" s="89"/>
      <c r="C452" s="89"/>
      <c r="D452" s="89"/>
      <c r="E452" s="89"/>
      <c r="F452" s="89"/>
      <c r="G452" s="89"/>
      <c r="H452" s="89"/>
      <c r="I452" s="89"/>
    </row>
    <row r="453">
      <c r="B453" s="89"/>
      <c r="C453" s="89"/>
      <c r="D453" s="89"/>
      <c r="E453" s="89"/>
      <c r="F453" s="89"/>
      <c r="G453" s="89"/>
      <c r="H453" s="89"/>
      <c r="I453" s="89"/>
    </row>
    <row r="454">
      <c r="B454" s="89"/>
      <c r="C454" s="89"/>
      <c r="D454" s="89"/>
      <c r="E454" s="89"/>
      <c r="F454" s="89"/>
      <c r="G454" s="89"/>
      <c r="H454" s="89"/>
      <c r="I454" s="89"/>
    </row>
    <row r="455">
      <c r="B455" s="89"/>
      <c r="C455" s="89"/>
      <c r="D455" s="89"/>
      <c r="E455" s="89"/>
      <c r="F455" s="89"/>
      <c r="G455" s="89"/>
      <c r="H455" s="89"/>
      <c r="I455" s="89"/>
    </row>
    <row r="456">
      <c r="B456" s="89"/>
      <c r="C456" s="89"/>
      <c r="D456" s="89"/>
      <c r="E456" s="89"/>
      <c r="F456" s="89"/>
      <c r="G456" s="89"/>
      <c r="H456" s="89"/>
      <c r="I456" s="89"/>
    </row>
    <row r="457">
      <c r="B457" s="89"/>
      <c r="C457" s="89"/>
      <c r="D457" s="89"/>
      <c r="E457" s="89"/>
      <c r="F457" s="89"/>
      <c r="G457" s="89"/>
      <c r="H457" s="89"/>
      <c r="I457" s="89"/>
    </row>
    <row r="458">
      <c r="B458" s="89"/>
      <c r="C458" s="89"/>
      <c r="D458" s="89"/>
      <c r="E458" s="89"/>
      <c r="F458" s="89"/>
      <c r="G458" s="89"/>
      <c r="H458" s="89"/>
      <c r="I458" s="89"/>
    </row>
    <row r="459">
      <c r="B459" s="89"/>
      <c r="C459" s="89"/>
      <c r="D459" s="89"/>
      <c r="E459" s="89"/>
      <c r="F459" s="89"/>
      <c r="G459" s="89"/>
      <c r="H459" s="89"/>
      <c r="I459" s="89"/>
    </row>
    <row r="460">
      <c r="B460" s="89"/>
      <c r="C460" s="89"/>
      <c r="D460" s="89"/>
      <c r="E460" s="89"/>
      <c r="F460" s="89"/>
      <c r="G460" s="89"/>
      <c r="H460" s="89"/>
      <c r="I460" s="89"/>
    </row>
    <row r="461">
      <c r="B461" s="89"/>
      <c r="C461" s="89"/>
      <c r="D461" s="89"/>
      <c r="E461" s="89"/>
      <c r="F461" s="89"/>
      <c r="G461" s="89"/>
      <c r="H461" s="89"/>
      <c r="I461" s="89"/>
    </row>
    <row r="462">
      <c r="B462" s="89"/>
      <c r="C462" s="89"/>
      <c r="D462" s="89"/>
      <c r="E462" s="89"/>
      <c r="F462" s="89"/>
      <c r="G462" s="89"/>
      <c r="H462" s="89"/>
      <c r="I462" s="89"/>
    </row>
    <row r="463">
      <c r="B463" s="89"/>
      <c r="C463" s="89"/>
      <c r="D463" s="89"/>
      <c r="E463" s="89"/>
      <c r="F463" s="89"/>
      <c r="G463" s="89"/>
      <c r="H463" s="89"/>
      <c r="I463" s="89"/>
    </row>
    <row r="464">
      <c r="B464" s="89"/>
      <c r="C464" s="89"/>
      <c r="D464" s="89"/>
      <c r="E464" s="89"/>
      <c r="F464" s="89"/>
      <c r="G464" s="89"/>
      <c r="H464" s="89"/>
      <c r="I464" s="89"/>
    </row>
    <row r="465">
      <c r="B465" s="89"/>
      <c r="C465" s="89"/>
      <c r="D465" s="89"/>
      <c r="E465" s="89"/>
      <c r="F465" s="89"/>
      <c r="G465" s="89"/>
      <c r="H465" s="89"/>
      <c r="I465" s="89"/>
    </row>
    <row r="466">
      <c r="B466" s="89"/>
      <c r="C466" s="89"/>
      <c r="D466" s="89"/>
      <c r="E466" s="89"/>
      <c r="F466" s="89"/>
      <c r="G466" s="89"/>
      <c r="H466" s="89"/>
      <c r="I466" s="89"/>
    </row>
    <row r="467">
      <c r="B467" s="89"/>
      <c r="C467" s="89"/>
      <c r="D467" s="89"/>
      <c r="E467" s="89"/>
      <c r="F467" s="89"/>
      <c r="G467" s="89"/>
      <c r="H467" s="89"/>
      <c r="I467" s="89"/>
    </row>
    <row r="468">
      <c r="B468" s="89"/>
      <c r="C468" s="89"/>
      <c r="D468" s="89"/>
      <c r="E468" s="89"/>
      <c r="F468" s="89"/>
      <c r="G468" s="89"/>
      <c r="H468" s="89"/>
      <c r="I468" s="89"/>
    </row>
    <row r="469">
      <c r="B469" s="89"/>
      <c r="C469" s="89"/>
      <c r="D469" s="89"/>
      <c r="E469" s="89"/>
      <c r="F469" s="89"/>
      <c r="G469" s="89"/>
      <c r="H469" s="89"/>
      <c r="I469" s="89"/>
    </row>
    <row r="470">
      <c r="B470" s="89"/>
      <c r="C470" s="89"/>
      <c r="D470" s="89"/>
      <c r="E470" s="89"/>
      <c r="F470" s="89"/>
      <c r="G470" s="89"/>
      <c r="H470" s="89"/>
      <c r="I470" s="89"/>
    </row>
    <row r="471">
      <c r="B471" s="89"/>
      <c r="C471" s="89"/>
      <c r="D471" s="89"/>
      <c r="E471" s="89"/>
      <c r="F471" s="89"/>
      <c r="G471" s="89"/>
      <c r="H471" s="89"/>
      <c r="I471" s="89"/>
    </row>
    <row r="472">
      <c r="B472" s="89"/>
      <c r="C472" s="89"/>
      <c r="D472" s="89"/>
      <c r="E472" s="89"/>
      <c r="F472" s="89"/>
      <c r="G472" s="89"/>
      <c r="H472" s="89"/>
      <c r="I472" s="89"/>
    </row>
    <row r="473">
      <c r="B473" s="89"/>
      <c r="C473" s="89"/>
      <c r="D473" s="89"/>
      <c r="E473" s="89"/>
      <c r="F473" s="89"/>
      <c r="G473" s="89"/>
      <c r="H473" s="89"/>
      <c r="I473" s="89"/>
    </row>
    <row r="474">
      <c r="B474" s="89"/>
      <c r="C474" s="89"/>
      <c r="D474" s="89"/>
      <c r="E474" s="89"/>
      <c r="F474" s="89"/>
      <c r="G474" s="89"/>
      <c r="H474" s="89"/>
      <c r="I474" s="89"/>
    </row>
    <row r="475">
      <c r="B475" s="89"/>
      <c r="C475" s="89"/>
      <c r="D475" s="89"/>
      <c r="E475" s="89"/>
      <c r="F475" s="89"/>
      <c r="G475" s="89"/>
      <c r="H475" s="89"/>
      <c r="I475" s="89"/>
    </row>
    <row r="476">
      <c r="B476" s="89"/>
      <c r="C476" s="89"/>
      <c r="D476" s="89"/>
      <c r="E476" s="89"/>
      <c r="F476" s="89"/>
      <c r="G476" s="89"/>
      <c r="H476" s="89"/>
      <c r="I476" s="89"/>
    </row>
    <row r="477">
      <c r="B477" s="89"/>
      <c r="C477" s="89"/>
      <c r="D477" s="89"/>
      <c r="E477" s="89"/>
      <c r="F477" s="89"/>
      <c r="G477" s="89"/>
      <c r="H477" s="89"/>
      <c r="I477" s="89"/>
    </row>
    <row r="478">
      <c r="B478" s="89"/>
      <c r="C478" s="89"/>
      <c r="D478" s="89"/>
      <c r="E478" s="89"/>
      <c r="F478" s="89"/>
      <c r="G478" s="89"/>
      <c r="H478" s="89"/>
      <c r="I478" s="89"/>
    </row>
    <row r="479">
      <c r="B479" s="89"/>
      <c r="C479" s="89"/>
      <c r="D479" s="89"/>
      <c r="E479" s="89"/>
      <c r="F479" s="89"/>
      <c r="G479" s="89"/>
      <c r="H479" s="89"/>
      <c r="I479" s="89"/>
    </row>
    <row r="480">
      <c r="B480" s="89"/>
      <c r="C480" s="89"/>
      <c r="D480" s="89"/>
      <c r="E480" s="89"/>
      <c r="F480" s="89"/>
      <c r="G480" s="89"/>
      <c r="H480" s="89"/>
      <c r="I480" s="89"/>
    </row>
    <row r="481">
      <c r="B481" s="89"/>
      <c r="C481" s="89"/>
      <c r="D481" s="89"/>
      <c r="E481" s="89"/>
      <c r="F481" s="89"/>
      <c r="G481" s="89"/>
      <c r="H481" s="89"/>
      <c r="I481" s="89"/>
    </row>
    <row r="482">
      <c r="B482" s="89"/>
      <c r="C482" s="89"/>
      <c r="D482" s="89"/>
      <c r="E482" s="89"/>
      <c r="F482" s="89"/>
      <c r="G482" s="89"/>
      <c r="H482" s="89"/>
      <c r="I482" s="89"/>
    </row>
    <row r="483">
      <c r="B483" s="89"/>
      <c r="C483" s="89"/>
      <c r="D483" s="89"/>
      <c r="E483" s="89"/>
      <c r="F483" s="89"/>
      <c r="G483" s="89"/>
      <c r="H483" s="89"/>
      <c r="I483" s="89"/>
    </row>
    <row r="484">
      <c r="B484" s="89"/>
      <c r="C484" s="89"/>
      <c r="D484" s="89"/>
      <c r="E484" s="89"/>
      <c r="F484" s="89"/>
      <c r="G484" s="89"/>
      <c r="H484" s="89"/>
      <c r="I484" s="89"/>
    </row>
    <row r="485">
      <c r="B485" s="89"/>
      <c r="C485" s="89"/>
      <c r="D485" s="89"/>
      <c r="E485" s="89"/>
      <c r="F485" s="89"/>
      <c r="G485" s="89"/>
      <c r="H485" s="89"/>
      <c r="I485" s="89"/>
    </row>
    <row r="486">
      <c r="B486" s="89"/>
      <c r="C486" s="89"/>
      <c r="D486" s="89"/>
      <c r="E486" s="89"/>
      <c r="F486" s="89"/>
      <c r="G486" s="89"/>
      <c r="H486" s="89"/>
      <c r="I486" s="89"/>
    </row>
    <row r="487">
      <c r="B487" s="89"/>
      <c r="C487" s="89"/>
      <c r="D487" s="89"/>
      <c r="E487" s="89"/>
      <c r="F487" s="89"/>
      <c r="G487" s="89"/>
      <c r="H487" s="89"/>
      <c r="I487" s="89"/>
    </row>
    <row r="488">
      <c r="B488" s="89"/>
      <c r="C488" s="89"/>
      <c r="D488" s="89"/>
      <c r="E488" s="89"/>
      <c r="F488" s="89"/>
      <c r="G488" s="89"/>
      <c r="H488" s="89"/>
      <c r="I488" s="89"/>
    </row>
    <row r="489">
      <c r="B489" s="89"/>
      <c r="C489" s="89"/>
      <c r="D489" s="89"/>
      <c r="E489" s="89"/>
      <c r="F489" s="89"/>
      <c r="G489" s="89"/>
      <c r="H489" s="89"/>
      <c r="I489" s="89"/>
    </row>
    <row r="490">
      <c r="B490" s="89"/>
      <c r="C490" s="89"/>
      <c r="D490" s="89"/>
      <c r="E490" s="89"/>
      <c r="F490" s="89"/>
      <c r="G490" s="89"/>
      <c r="H490" s="89"/>
      <c r="I490" s="89"/>
    </row>
    <row r="491">
      <c r="B491" s="89"/>
      <c r="C491" s="89"/>
      <c r="D491" s="89"/>
      <c r="E491" s="89"/>
      <c r="F491" s="89"/>
      <c r="G491" s="89"/>
      <c r="H491" s="89"/>
      <c r="I491" s="89"/>
    </row>
    <row r="492">
      <c r="B492" s="89"/>
      <c r="C492" s="89"/>
      <c r="D492" s="89"/>
      <c r="E492" s="89"/>
      <c r="F492" s="89"/>
      <c r="G492" s="89"/>
      <c r="H492" s="89"/>
      <c r="I492" s="89"/>
    </row>
    <row r="493">
      <c r="B493" s="89"/>
      <c r="C493" s="89"/>
      <c r="D493" s="89"/>
      <c r="E493" s="89"/>
      <c r="F493" s="89"/>
      <c r="G493" s="89"/>
      <c r="H493" s="89"/>
      <c r="I493" s="89"/>
    </row>
    <row r="494">
      <c r="B494" s="89"/>
      <c r="C494" s="89"/>
      <c r="D494" s="89"/>
      <c r="E494" s="89"/>
      <c r="F494" s="89"/>
      <c r="G494" s="89"/>
      <c r="H494" s="89"/>
      <c r="I494" s="89"/>
    </row>
    <row r="495">
      <c r="B495" s="89"/>
      <c r="C495" s="89"/>
      <c r="D495" s="89"/>
      <c r="E495" s="89"/>
      <c r="F495" s="89"/>
      <c r="G495" s="89"/>
      <c r="H495" s="89"/>
      <c r="I495" s="89"/>
    </row>
    <row r="496">
      <c r="B496" s="89"/>
      <c r="C496" s="89"/>
      <c r="D496" s="89"/>
      <c r="E496" s="89"/>
      <c r="F496" s="89"/>
      <c r="G496" s="89"/>
      <c r="H496" s="89"/>
      <c r="I496" s="89"/>
    </row>
    <row r="497">
      <c r="B497" s="89"/>
      <c r="C497" s="89"/>
      <c r="D497" s="89"/>
      <c r="E497" s="89"/>
      <c r="F497" s="89"/>
      <c r="G497" s="89"/>
      <c r="H497" s="89"/>
      <c r="I497" s="89"/>
    </row>
    <row r="498">
      <c r="B498" s="89"/>
      <c r="C498" s="89"/>
      <c r="D498" s="89"/>
      <c r="E498" s="89"/>
      <c r="F498" s="89"/>
      <c r="G498" s="89"/>
      <c r="H498" s="89"/>
      <c r="I498" s="89"/>
    </row>
    <row r="499">
      <c r="B499" s="89"/>
      <c r="C499" s="89"/>
      <c r="D499" s="89"/>
      <c r="E499" s="89"/>
      <c r="F499" s="89"/>
      <c r="G499" s="89"/>
      <c r="H499" s="89"/>
      <c r="I499" s="89"/>
    </row>
    <row r="500">
      <c r="B500" s="89"/>
      <c r="C500" s="89"/>
      <c r="D500" s="89"/>
      <c r="E500" s="89"/>
      <c r="F500" s="89"/>
      <c r="G500" s="89"/>
      <c r="H500" s="89"/>
      <c r="I500" s="89"/>
    </row>
    <row r="501">
      <c r="B501" s="89"/>
      <c r="C501" s="89"/>
      <c r="D501" s="89"/>
      <c r="E501" s="89"/>
      <c r="F501" s="89"/>
      <c r="G501" s="89"/>
      <c r="H501" s="89"/>
      <c r="I501" s="89"/>
    </row>
    <row r="502">
      <c r="B502" s="89"/>
      <c r="C502" s="89"/>
      <c r="D502" s="89"/>
      <c r="E502" s="89"/>
      <c r="F502" s="89"/>
      <c r="G502" s="89"/>
      <c r="H502" s="89"/>
      <c r="I502" s="89"/>
    </row>
    <row r="503">
      <c r="B503" s="89"/>
      <c r="C503" s="89"/>
      <c r="D503" s="89"/>
      <c r="E503" s="89"/>
      <c r="F503" s="89"/>
      <c r="G503" s="89"/>
      <c r="H503" s="89"/>
      <c r="I503" s="89"/>
    </row>
    <row r="504">
      <c r="B504" s="89"/>
      <c r="C504" s="89"/>
      <c r="D504" s="89"/>
      <c r="E504" s="89"/>
      <c r="F504" s="89"/>
      <c r="G504" s="89"/>
      <c r="H504" s="89"/>
      <c r="I504" s="89"/>
    </row>
    <row r="505">
      <c r="B505" s="89"/>
      <c r="C505" s="89"/>
      <c r="D505" s="89"/>
      <c r="E505" s="89"/>
      <c r="F505" s="89"/>
      <c r="G505" s="89"/>
      <c r="H505" s="89"/>
      <c r="I505" s="89"/>
    </row>
    <row r="506">
      <c r="B506" s="89"/>
      <c r="C506" s="89"/>
      <c r="D506" s="89"/>
      <c r="E506" s="89"/>
      <c r="F506" s="89"/>
      <c r="G506" s="89"/>
      <c r="H506" s="89"/>
      <c r="I506" s="89"/>
    </row>
    <row r="507">
      <c r="B507" s="89"/>
      <c r="C507" s="89"/>
      <c r="D507" s="89"/>
      <c r="E507" s="89"/>
      <c r="F507" s="89"/>
      <c r="G507" s="89"/>
      <c r="H507" s="89"/>
      <c r="I507" s="89"/>
    </row>
    <row r="508">
      <c r="B508" s="89"/>
      <c r="C508" s="89"/>
      <c r="D508" s="89"/>
      <c r="E508" s="89"/>
      <c r="F508" s="89"/>
      <c r="G508" s="89"/>
      <c r="H508" s="89"/>
      <c r="I508" s="89"/>
    </row>
    <row r="509">
      <c r="B509" s="89"/>
      <c r="C509" s="89"/>
      <c r="D509" s="89"/>
      <c r="E509" s="89"/>
      <c r="F509" s="89"/>
      <c r="G509" s="89"/>
      <c r="H509" s="89"/>
      <c r="I509" s="89"/>
    </row>
    <row r="510">
      <c r="B510" s="89"/>
      <c r="C510" s="89"/>
      <c r="D510" s="89"/>
      <c r="E510" s="89"/>
      <c r="F510" s="89"/>
      <c r="G510" s="89"/>
      <c r="H510" s="89"/>
      <c r="I510" s="89"/>
    </row>
    <row r="511">
      <c r="B511" s="89"/>
      <c r="C511" s="89"/>
      <c r="D511" s="89"/>
      <c r="E511" s="89"/>
      <c r="F511" s="89"/>
      <c r="G511" s="89"/>
      <c r="H511" s="89"/>
      <c r="I511" s="89"/>
    </row>
    <row r="512">
      <c r="B512" s="89"/>
      <c r="C512" s="89"/>
      <c r="D512" s="89"/>
      <c r="E512" s="89"/>
      <c r="F512" s="89"/>
      <c r="G512" s="89"/>
      <c r="H512" s="89"/>
      <c r="I512" s="89"/>
    </row>
    <row r="513">
      <c r="B513" s="89"/>
      <c r="C513" s="89"/>
      <c r="D513" s="89"/>
      <c r="E513" s="89"/>
      <c r="F513" s="89"/>
      <c r="G513" s="89"/>
      <c r="H513" s="89"/>
      <c r="I513" s="89"/>
    </row>
    <row r="514">
      <c r="B514" s="89"/>
      <c r="C514" s="89"/>
      <c r="D514" s="89"/>
      <c r="E514" s="89"/>
      <c r="F514" s="89"/>
      <c r="G514" s="89"/>
      <c r="H514" s="89"/>
      <c r="I514" s="89"/>
    </row>
    <row r="515">
      <c r="B515" s="89"/>
      <c r="C515" s="89"/>
      <c r="D515" s="89"/>
      <c r="E515" s="89"/>
      <c r="F515" s="89"/>
      <c r="G515" s="89"/>
      <c r="H515" s="89"/>
      <c r="I515" s="89"/>
    </row>
    <row r="516">
      <c r="B516" s="89"/>
      <c r="C516" s="89"/>
      <c r="D516" s="89"/>
      <c r="E516" s="89"/>
      <c r="F516" s="89"/>
      <c r="G516" s="89"/>
      <c r="H516" s="89"/>
      <c r="I516" s="89"/>
    </row>
    <row r="517">
      <c r="B517" s="89"/>
      <c r="C517" s="89"/>
      <c r="D517" s="89"/>
      <c r="E517" s="89"/>
      <c r="F517" s="89"/>
      <c r="G517" s="89"/>
      <c r="H517" s="89"/>
      <c r="I517" s="89"/>
    </row>
    <row r="518">
      <c r="B518" s="89"/>
      <c r="C518" s="89"/>
      <c r="D518" s="89"/>
      <c r="E518" s="89"/>
      <c r="F518" s="89"/>
      <c r="G518" s="89"/>
      <c r="H518" s="89"/>
      <c r="I518" s="89"/>
    </row>
    <row r="519">
      <c r="B519" s="89"/>
      <c r="C519" s="89"/>
      <c r="D519" s="89"/>
      <c r="E519" s="89"/>
      <c r="F519" s="89"/>
      <c r="G519" s="89"/>
      <c r="H519" s="89"/>
      <c r="I519" s="89"/>
    </row>
    <row r="520">
      <c r="B520" s="89"/>
      <c r="C520" s="89"/>
      <c r="D520" s="89"/>
      <c r="E520" s="89"/>
      <c r="F520" s="89"/>
      <c r="G520" s="89"/>
      <c r="H520" s="89"/>
      <c r="I520" s="89"/>
    </row>
    <row r="521">
      <c r="B521" s="89"/>
      <c r="C521" s="89"/>
      <c r="D521" s="89"/>
      <c r="E521" s="89"/>
      <c r="F521" s="89"/>
      <c r="G521" s="89"/>
      <c r="H521" s="89"/>
      <c r="I521" s="89"/>
    </row>
    <row r="522">
      <c r="B522" s="89"/>
      <c r="C522" s="89"/>
      <c r="D522" s="89"/>
      <c r="E522" s="89"/>
      <c r="F522" s="89"/>
      <c r="G522" s="89"/>
      <c r="H522" s="89"/>
      <c r="I522" s="89"/>
    </row>
    <row r="523">
      <c r="B523" s="89"/>
      <c r="C523" s="89"/>
      <c r="D523" s="89"/>
      <c r="E523" s="89"/>
      <c r="F523" s="89"/>
      <c r="G523" s="89"/>
      <c r="H523" s="89"/>
      <c r="I523" s="89"/>
    </row>
    <row r="524">
      <c r="B524" s="89"/>
      <c r="C524" s="89"/>
      <c r="D524" s="89"/>
      <c r="E524" s="89"/>
      <c r="F524" s="89"/>
      <c r="G524" s="89"/>
      <c r="H524" s="89"/>
      <c r="I524" s="89"/>
    </row>
    <row r="525">
      <c r="B525" s="89"/>
      <c r="C525" s="89"/>
      <c r="D525" s="89"/>
      <c r="E525" s="89"/>
      <c r="F525" s="89"/>
      <c r="G525" s="89"/>
      <c r="H525" s="89"/>
      <c r="I525" s="89"/>
    </row>
    <row r="526">
      <c r="B526" s="89"/>
      <c r="C526" s="89"/>
      <c r="D526" s="89"/>
      <c r="E526" s="89"/>
      <c r="F526" s="89"/>
      <c r="G526" s="89"/>
      <c r="H526" s="89"/>
      <c r="I526" s="89"/>
    </row>
    <row r="527">
      <c r="B527" s="89"/>
      <c r="C527" s="89"/>
      <c r="D527" s="89"/>
      <c r="E527" s="89"/>
      <c r="F527" s="89"/>
      <c r="G527" s="89"/>
      <c r="H527" s="89"/>
      <c r="I527" s="89"/>
    </row>
    <row r="528">
      <c r="B528" s="89"/>
      <c r="C528" s="89"/>
      <c r="D528" s="89"/>
      <c r="E528" s="89"/>
      <c r="F528" s="89"/>
      <c r="G528" s="89"/>
      <c r="H528" s="89"/>
      <c r="I528" s="89"/>
    </row>
    <row r="529">
      <c r="B529" s="89"/>
      <c r="C529" s="89"/>
      <c r="D529" s="89"/>
      <c r="E529" s="89"/>
      <c r="F529" s="89"/>
      <c r="G529" s="89"/>
      <c r="H529" s="89"/>
      <c r="I529" s="89"/>
    </row>
    <row r="530">
      <c r="B530" s="89"/>
      <c r="C530" s="89"/>
      <c r="D530" s="89"/>
      <c r="E530" s="89"/>
      <c r="F530" s="89"/>
      <c r="G530" s="89"/>
      <c r="H530" s="89"/>
      <c r="I530" s="89"/>
    </row>
    <row r="531">
      <c r="B531" s="89"/>
      <c r="C531" s="89"/>
      <c r="D531" s="89"/>
      <c r="E531" s="89"/>
      <c r="F531" s="89"/>
      <c r="G531" s="89"/>
      <c r="H531" s="89"/>
      <c r="I531" s="89"/>
    </row>
    <row r="532">
      <c r="B532" s="89"/>
      <c r="C532" s="89"/>
      <c r="D532" s="89"/>
      <c r="E532" s="89"/>
      <c r="F532" s="89"/>
      <c r="G532" s="89"/>
      <c r="H532" s="89"/>
      <c r="I532" s="89"/>
    </row>
    <row r="533">
      <c r="B533" s="89"/>
      <c r="C533" s="89"/>
      <c r="D533" s="89"/>
      <c r="E533" s="89"/>
      <c r="F533" s="89"/>
      <c r="G533" s="89"/>
      <c r="H533" s="89"/>
      <c r="I533" s="89"/>
    </row>
    <row r="534">
      <c r="B534" s="89"/>
      <c r="C534" s="89"/>
      <c r="D534" s="89"/>
      <c r="E534" s="89"/>
      <c r="F534" s="89"/>
      <c r="G534" s="89"/>
      <c r="H534" s="89"/>
      <c r="I534" s="89"/>
    </row>
    <row r="535">
      <c r="B535" s="89"/>
      <c r="C535" s="89"/>
      <c r="D535" s="89"/>
      <c r="E535" s="89"/>
      <c r="F535" s="89"/>
      <c r="G535" s="89"/>
      <c r="H535" s="89"/>
      <c r="I535" s="89"/>
    </row>
    <row r="536">
      <c r="B536" s="89"/>
      <c r="C536" s="89"/>
      <c r="D536" s="89"/>
      <c r="E536" s="89"/>
      <c r="F536" s="89"/>
      <c r="G536" s="89"/>
      <c r="H536" s="89"/>
      <c r="I536" s="89"/>
    </row>
    <row r="537">
      <c r="B537" s="89"/>
      <c r="C537" s="89"/>
      <c r="D537" s="89"/>
      <c r="E537" s="89"/>
      <c r="F537" s="89"/>
      <c r="G537" s="89"/>
      <c r="H537" s="89"/>
      <c r="I537" s="89"/>
    </row>
    <row r="538">
      <c r="B538" s="89"/>
      <c r="C538" s="89"/>
      <c r="D538" s="89"/>
      <c r="E538" s="89"/>
      <c r="F538" s="89"/>
      <c r="G538" s="89"/>
      <c r="H538" s="89"/>
      <c r="I538" s="89"/>
    </row>
    <row r="539">
      <c r="B539" s="89"/>
      <c r="C539" s="89"/>
      <c r="D539" s="89"/>
      <c r="E539" s="89"/>
      <c r="F539" s="89"/>
      <c r="G539" s="89"/>
      <c r="H539" s="89"/>
      <c r="I539" s="89"/>
    </row>
    <row r="540">
      <c r="B540" s="89"/>
      <c r="C540" s="89"/>
      <c r="D540" s="89"/>
      <c r="E540" s="89"/>
      <c r="F540" s="89"/>
      <c r="G540" s="89"/>
      <c r="H540" s="89"/>
      <c r="I540" s="89"/>
    </row>
    <row r="541">
      <c r="B541" s="89"/>
      <c r="C541" s="89"/>
      <c r="D541" s="89"/>
      <c r="E541" s="89"/>
      <c r="F541" s="89"/>
      <c r="G541" s="89"/>
      <c r="H541" s="89"/>
      <c r="I541" s="89"/>
    </row>
    <row r="542">
      <c r="B542" s="89"/>
      <c r="C542" s="89"/>
      <c r="D542" s="89"/>
      <c r="E542" s="89"/>
      <c r="F542" s="89"/>
      <c r="G542" s="89"/>
      <c r="H542" s="89"/>
      <c r="I542" s="89"/>
    </row>
    <row r="543">
      <c r="B543" s="89"/>
      <c r="C543" s="89"/>
      <c r="D543" s="89"/>
      <c r="E543" s="89"/>
      <c r="F543" s="89"/>
      <c r="G543" s="89"/>
      <c r="H543" s="89"/>
      <c r="I543" s="89"/>
    </row>
    <row r="544">
      <c r="B544" s="89"/>
      <c r="C544" s="89"/>
      <c r="D544" s="89"/>
      <c r="E544" s="89"/>
      <c r="F544" s="89"/>
      <c r="G544" s="89"/>
      <c r="H544" s="89"/>
      <c r="I544" s="89"/>
    </row>
    <row r="545">
      <c r="B545" s="89"/>
      <c r="C545" s="89"/>
      <c r="D545" s="89"/>
      <c r="E545" s="89"/>
      <c r="F545" s="89"/>
      <c r="G545" s="89"/>
      <c r="H545" s="89"/>
      <c r="I545" s="89"/>
    </row>
    <row r="546">
      <c r="B546" s="89"/>
      <c r="C546" s="89"/>
      <c r="D546" s="89"/>
      <c r="E546" s="89"/>
      <c r="F546" s="89"/>
      <c r="G546" s="89"/>
      <c r="H546" s="89"/>
      <c r="I546" s="89"/>
    </row>
    <row r="547">
      <c r="B547" s="89"/>
      <c r="C547" s="89"/>
      <c r="D547" s="89"/>
      <c r="E547" s="89"/>
      <c r="F547" s="89"/>
      <c r="G547" s="89"/>
      <c r="H547" s="89"/>
      <c r="I547" s="89"/>
    </row>
    <row r="548">
      <c r="B548" s="89"/>
      <c r="C548" s="89"/>
      <c r="D548" s="89"/>
      <c r="E548" s="89"/>
      <c r="F548" s="89"/>
      <c r="G548" s="89"/>
      <c r="H548" s="89"/>
      <c r="I548" s="89"/>
    </row>
    <row r="549">
      <c r="B549" s="89"/>
      <c r="C549" s="89"/>
      <c r="D549" s="89"/>
      <c r="E549" s="89"/>
      <c r="F549" s="89"/>
      <c r="G549" s="89"/>
      <c r="H549" s="89"/>
      <c r="I549" s="89"/>
    </row>
    <row r="550">
      <c r="B550" s="89"/>
      <c r="C550" s="89"/>
      <c r="D550" s="89"/>
      <c r="E550" s="89"/>
      <c r="F550" s="89"/>
      <c r="G550" s="89"/>
      <c r="H550" s="89"/>
      <c r="I550" s="89"/>
    </row>
    <row r="551">
      <c r="B551" s="89"/>
      <c r="C551" s="89"/>
      <c r="D551" s="89"/>
      <c r="E551" s="89"/>
      <c r="F551" s="89"/>
      <c r="G551" s="89"/>
      <c r="H551" s="89"/>
      <c r="I551" s="89"/>
    </row>
    <row r="552">
      <c r="B552" s="89"/>
      <c r="C552" s="89"/>
      <c r="D552" s="89"/>
      <c r="E552" s="89"/>
      <c r="F552" s="89"/>
      <c r="G552" s="89"/>
      <c r="H552" s="89"/>
      <c r="I552" s="89"/>
    </row>
    <row r="553">
      <c r="B553" s="89"/>
      <c r="C553" s="89"/>
      <c r="D553" s="89"/>
      <c r="E553" s="89"/>
      <c r="F553" s="89"/>
      <c r="G553" s="89"/>
      <c r="H553" s="89"/>
      <c r="I553" s="89"/>
    </row>
    <row r="554">
      <c r="B554" s="89"/>
      <c r="C554" s="89"/>
      <c r="D554" s="89"/>
      <c r="E554" s="89"/>
      <c r="F554" s="89"/>
      <c r="G554" s="89"/>
      <c r="H554" s="89"/>
      <c r="I554" s="89"/>
    </row>
    <row r="555">
      <c r="B555" s="89"/>
      <c r="C555" s="89"/>
      <c r="D555" s="89"/>
      <c r="E555" s="89"/>
      <c r="F555" s="89"/>
      <c r="G555" s="89"/>
      <c r="H555" s="89"/>
      <c r="I555" s="89"/>
    </row>
    <row r="556">
      <c r="B556" s="89"/>
      <c r="C556" s="89"/>
      <c r="D556" s="89"/>
      <c r="E556" s="89"/>
      <c r="F556" s="89"/>
      <c r="G556" s="89"/>
      <c r="H556" s="89"/>
      <c r="I556" s="89"/>
    </row>
    <row r="557">
      <c r="B557" s="89"/>
      <c r="C557" s="89"/>
      <c r="D557" s="89"/>
      <c r="E557" s="89"/>
      <c r="F557" s="89"/>
      <c r="G557" s="89"/>
      <c r="H557" s="89"/>
      <c r="I557" s="89"/>
    </row>
    <row r="558">
      <c r="B558" s="89"/>
      <c r="C558" s="89"/>
      <c r="D558" s="89"/>
      <c r="E558" s="89"/>
      <c r="F558" s="89"/>
      <c r="G558" s="89"/>
      <c r="H558" s="89"/>
      <c r="I558" s="89"/>
    </row>
    <row r="559">
      <c r="B559" s="89"/>
      <c r="C559" s="89"/>
      <c r="D559" s="89"/>
      <c r="E559" s="89"/>
      <c r="F559" s="89"/>
      <c r="G559" s="89"/>
      <c r="H559" s="89"/>
      <c r="I559" s="89"/>
    </row>
    <row r="560">
      <c r="B560" s="89"/>
      <c r="C560" s="89"/>
      <c r="D560" s="89"/>
      <c r="E560" s="89"/>
      <c r="F560" s="89"/>
      <c r="G560" s="89"/>
      <c r="H560" s="89"/>
      <c r="I560" s="89"/>
    </row>
    <row r="561">
      <c r="B561" s="89"/>
      <c r="C561" s="89"/>
      <c r="D561" s="89"/>
      <c r="E561" s="89"/>
      <c r="F561" s="89"/>
      <c r="G561" s="89"/>
      <c r="H561" s="89"/>
      <c r="I561" s="89"/>
    </row>
    <row r="562">
      <c r="B562" s="89"/>
      <c r="C562" s="89"/>
      <c r="D562" s="89"/>
      <c r="E562" s="89"/>
      <c r="F562" s="89"/>
      <c r="G562" s="89"/>
      <c r="H562" s="89"/>
      <c r="I562" s="89"/>
    </row>
    <row r="563">
      <c r="B563" s="89"/>
      <c r="C563" s="89"/>
      <c r="D563" s="89"/>
      <c r="E563" s="89"/>
      <c r="F563" s="89"/>
      <c r="G563" s="89"/>
      <c r="H563" s="89"/>
      <c r="I563" s="89"/>
    </row>
    <row r="564">
      <c r="B564" s="89"/>
      <c r="C564" s="89"/>
      <c r="D564" s="89"/>
      <c r="E564" s="89"/>
      <c r="F564" s="89"/>
      <c r="G564" s="89"/>
      <c r="H564" s="89"/>
      <c r="I564" s="89"/>
    </row>
    <row r="565">
      <c r="B565" s="89"/>
      <c r="C565" s="89"/>
      <c r="D565" s="89"/>
      <c r="E565" s="89"/>
      <c r="F565" s="89"/>
      <c r="G565" s="89"/>
      <c r="H565" s="89"/>
      <c r="I565" s="89"/>
    </row>
    <row r="566">
      <c r="B566" s="89"/>
      <c r="C566" s="89"/>
      <c r="D566" s="89"/>
      <c r="E566" s="89"/>
      <c r="F566" s="89"/>
      <c r="G566" s="89"/>
      <c r="H566" s="89"/>
      <c r="I566" s="89"/>
    </row>
    <row r="567">
      <c r="B567" s="89"/>
      <c r="C567" s="89"/>
      <c r="D567" s="89"/>
      <c r="E567" s="89"/>
      <c r="F567" s="89"/>
      <c r="G567" s="89"/>
      <c r="H567" s="89"/>
      <c r="I567" s="89"/>
    </row>
    <row r="568">
      <c r="B568" s="89"/>
      <c r="C568" s="89"/>
      <c r="D568" s="89"/>
      <c r="E568" s="89"/>
      <c r="F568" s="89"/>
      <c r="G568" s="89"/>
      <c r="H568" s="89"/>
      <c r="I568" s="89"/>
    </row>
    <row r="569">
      <c r="B569" s="89"/>
      <c r="C569" s="89"/>
      <c r="D569" s="89"/>
      <c r="E569" s="89"/>
      <c r="F569" s="89"/>
      <c r="G569" s="89"/>
      <c r="H569" s="89"/>
      <c r="I569" s="89"/>
    </row>
    <row r="570">
      <c r="B570" s="89"/>
      <c r="C570" s="89"/>
      <c r="D570" s="89"/>
      <c r="E570" s="89"/>
      <c r="F570" s="89"/>
      <c r="G570" s="89"/>
      <c r="H570" s="89"/>
      <c r="I570" s="89"/>
    </row>
    <row r="571">
      <c r="B571" s="89"/>
      <c r="C571" s="89"/>
      <c r="D571" s="89"/>
      <c r="E571" s="89"/>
      <c r="F571" s="89"/>
      <c r="G571" s="89"/>
      <c r="H571" s="89"/>
      <c r="I571" s="89"/>
    </row>
    <row r="572">
      <c r="B572" s="89"/>
      <c r="C572" s="89"/>
      <c r="D572" s="89"/>
      <c r="E572" s="89"/>
      <c r="F572" s="89"/>
      <c r="G572" s="89"/>
      <c r="H572" s="89"/>
      <c r="I572" s="89"/>
    </row>
    <row r="573">
      <c r="B573" s="89"/>
      <c r="C573" s="89"/>
      <c r="D573" s="89"/>
      <c r="E573" s="89"/>
      <c r="F573" s="89"/>
      <c r="G573" s="89"/>
      <c r="H573" s="89"/>
      <c r="I573" s="89"/>
    </row>
    <row r="574">
      <c r="B574" s="89"/>
      <c r="C574" s="89"/>
      <c r="D574" s="89"/>
      <c r="E574" s="89"/>
      <c r="F574" s="89"/>
      <c r="G574" s="89"/>
      <c r="H574" s="89"/>
      <c r="I574" s="89"/>
    </row>
    <row r="575">
      <c r="B575" s="89"/>
      <c r="C575" s="89"/>
      <c r="D575" s="89"/>
      <c r="E575" s="89"/>
      <c r="F575" s="89"/>
      <c r="G575" s="89"/>
      <c r="H575" s="89"/>
      <c r="I575" s="89"/>
    </row>
    <row r="576">
      <c r="B576" s="89"/>
      <c r="C576" s="89"/>
      <c r="D576" s="89"/>
      <c r="E576" s="89"/>
      <c r="F576" s="89"/>
      <c r="G576" s="89"/>
      <c r="H576" s="89"/>
      <c r="I576" s="89"/>
    </row>
    <row r="577">
      <c r="B577" s="89"/>
      <c r="C577" s="89"/>
      <c r="D577" s="89"/>
      <c r="E577" s="89"/>
      <c r="F577" s="89"/>
      <c r="G577" s="89"/>
      <c r="H577" s="89"/>
      <c r="I577" s="89"/>
    </row>
    <row r="578">
      <c r="B578" s="89"/>
      <c r="C578" s="89"/>
      <c r="D578" s="89"/>
      <c r="E578" s="89"/>
      <c r="F578" s="89"/>
      <c r="G578" s="89"/>
      <c r="H578" s="89"/>
      <c r="I578" s="89"/>
    </row>
    <row r="579">
      <c r="B579" s="89"/>
      <c r="C579" s="89"/>
      <c r="D579" s="89"/>
      <c r="E579" s="89"/>
      <c r="F579" s="89"/>
      <c r="G579" s="89"/>
      <c r="H579" s="89"/>
      <c r="I579" s="89"/>
    </row>
    <row r="580">
      <c r="B580" s="89"/>
      <c r="C580" s="89"/>
      <c r="D580" s="89"/>
      <c r="E580" s="89"/>
      <c r="F580" s="89"/>
      <c r="G580" s="89"/>
      <c r="H580" s="89"/>
      <c r="I580" s="89"/>
    </row>
    <row r="581">
      <c r="B581" s="89"/>
      <c r="C581" s="89"/>
      <c r="D581" s="89"/>
      <c r="E581" s="89"/>
      <c r="F581" s="89"/>
      <c r="G581" s="89"/>
      <c r="H581" s="89"/>
      <c r="I581" s="89"/>
    </row>
    <row r="582">
      <c r="B582" s="89"/>
      <c r="C582" s="89"/>
      <c r="D582" s="89"/>
      <c r="E582" s="89"/>
      <c r="F582" s="89"/>
      <c r="G582" s="89"/>
      <c r="H582" s="89"/>
      <c r="I582" s="89"/>
    </row>
    <row r="583">
      <c r="B583" s="89"/>
      <c r="C583" s="89"/>
      <c r="D583" s="89"/>
      <c r="E583" s="89"/>
      <c r="F583" s="89"/>
      <c r="G583" s="89"/>
      <c r="H583" s="89"/>
      <c r="I583" s="89"/>
    </row>
    <row r="584">
      <c r="B584" s="89"/>
      <c r="C584" s="89"/>
      <c r="D584" s="89"/>
      <c r="E584" s="89"/>
      <c r="F584" s="89"/>
      <c r="G584" s="89"/>
      <c r="H584" s="89"/>
      <c r="I584" s="89"/>
    </row>
    <row r="585">
      <c r="B585" s="89"/>
      <c r="C585" s="89"/>
      <c r="D585" s="89"/>
      <c r="E585" s="89"/>
      <c r="F585" s="89"/>
      <c r="G585" s="89"/>
      <c r="H585" s="89"/>
      <c r="I585" s="89"/>
    </row>
    <row r="586">
      <c r="B586" s="89"/>
      <c r="C586" s="89"/>
      <c r="D586" s="89"/>
      <c r="E586" s="89"/>
      <c r="F586" s="89"/>
      <c r="G586" s="89"/>
      <c r="H586" s="89"/>
      <c r="I586" s="89"/>
    </row>
    <row r="587">
      <c r="B587" s="89"/>
      <c r="C587" s="89"/>
      <c r="D587" s="89"/>
      <c r="E587" s="89"/>
      <c r="F587" s="89"/>
      <c r="G587" s="89"/>
      <c r="H587" s="89"/>
      <c r="I587" s="89"/>
    </row>
    <row r="588">
      <c r="B588" s="89"/>
      <c r="C588" s="89"/>
      <c r="D588" s="89"/>
      <c r="E588" s="89"/>
      <c r="F588" s="89"/>
      <c r="G588" s="89"/>
      <c r="H588" s="89"/>
      <c r="I588" s="89"/>
    </row>
    <row r="589">
      <c r="B589" s="89"/>
      <c r="C589" s="89"/>
      <c r="D589" s="89"/>
      <c r="E589" s="89"/>
      <c r="F589" s="89"/>
      <c r="G589" s="89"/>
      <c r="H589" s="89"/>
      <c r="I589" s="89"/>
    </row>
    <row r="590">
      <c r="B590" s="89"/>
      <c r="C590" s="89"/>
      <c r="D590" s="89"/>
      <c r="E590" s="89"/>
      <c r="F590" s="89"/>
      <c r="G590" s="89"/>
      <c r="H590" s="89"/>
      <c r="I590" s="89"/>
    </row>
    <row r="591">
      <c r="B591" s="89"/>
      <c r="C591" s="89"/>
      <c r="D591" s="89"/>
      <c r="E591" s="89"/>
      <c r="F591" s="89"/>
      <c r="G591" s="89"/>
      <c r="H591" s="89"/>
      <c r="I591" s="89"/>
    </row>
    <row r="592">
      <c r="B592" s="89"/>
      <c r="C592" s="89"/>
      <c r="D592" s="89"/>
      <c r="E592" s="89"/>
      <c r="F592" s="89"/>
      <c r="G592" s="89"/>
      <c r="H592" s="89"/>
      <c r="I592" s="89"/>
    </row>
    <row r="593">
      <c r="B593" s="89"/>
      <c r="C593" s="89"/>
      <c r="D593" s="89"/>
      <c r="E593" s="89"/>
      <c r="F593" s="89"/>
      <c r="G593" s="89"/>
      <c r="H593" s="89"/>
      <c r="I593" s="89"/>
    </row>
    <row r="594">
      <c r="B594" s="89"/>
      <c r="C594" s="89"/>
      <c r="D594" s="89"/>
      <c r="E594" s="89"/>
      <c r="F594" s="89"/>
      <c r="G594" s="89"/>
      <c r="H594" s="89"/>
      <c r="I594" s="89"/>
    </row>
    <row r="595">
      <c r="B595" s="89"/>
      <c r="C595" s="89"/>
      <c r="D595" s="89"/>
      <c r="E595" s="89"/>
      <c r="F595" s="89"/>
      <c r="G595" s="89"/>
      <c r="H595" s="89"/>
      <c r="I595" s="89"/>
    </row>
    <row r="596">
      <c r="B596" s="89"/>
      <c r="C596" s="89"/>
      <c r="D596" s="89"/>
      <c r="E596" s="89"/>
      <c r="F596" s="89"/>
      <c r="G596" s="89"/>
      <c r="H596" s="89"/>
      <c r="I596" s="89"/>
    </row>
    <row r="597">
      <c r="B597" s="89"/>
      <c r="C597" s="89"/>
      <c r="D597" s="89"/>
      <c r="E597" s="89"/>
      <c r="F597" s="89"/>
      <c r="G597" s="89"/>
      <c r="H597" s="89"/>
      <c r="I597" s="89"/>
    </row>
    <row r="598">
      <c r="B598" s="89"/>
      <c r="C598" s="89"/>
      <c r="D598" s="89"/>
      <c r="E598" s="89"/>
      <c r="F598" s="89"/>
      <c r="G598" s="89"/>
      <c r="H598" s="89"/>
      <c r="I598" s="89"/>
    </row>
    <row r="599">
      <c r="B599" s="89"/>
      <c r="C599" s="89"/>
      <c r="D599" s="89"/>
      <c r="E599" s="89"/>
      <c r="F599" s="89"/>
      <c r="G599" s="89"/>
      <c r="H599" s="89"/>
      <c r="I599" s="89"/>
    </row>
    <row r="600">
      <c r="B600" s="89"/>
      <c r="C600" s="89"/>
      <c r="D600" s="89"/>
      <c r="E600" s="89"/>
      <c r="F600" s="89"/>
      <c r="G600" s="89"/>
      <c r="H600" s="89"/>
      <c r="I600" s="89"/>
    </row>
    <row r="601">
      <c r="B601" s="89"/>
      <c r="C601" s="89"/>
      <c r="D601" s="89"/>
      <c r="E601" s="89"/>
      <c r="F601" s="89"/>
      <c r="G601" s="89"/>
      <c r="H601" s="89"/>
      <c r="I601" s="89"/>
    </row>
    <row r="602">
      <c r="B602" s="89"/>
      <c r="C602" s="89"/>
      <c r="D602" s="89"/>
      <c r="E602" s="89"/>
      <c r="F602" s="89"/>
      <c r="G602" s="89"/>
      <c r="H602" s="89"/>
      <c r="I602" s="89"/>
    </row>
    <row r="603">
      <c r="B603" s="89"/>
      <c r="C603" s="89"/>
      <c r="D603" s="89"/>
      <c r="E603" s="89"/>
      <c r="F603" s="89"/>
      <c r="G603" s="89"/>
      <c r="H603" s="89"/>
      <c r="I603" s="89"/>
    </row>
    <row r="604">
      <c r="B604" s="89"/>
      <c r="C604" s="89"/>
      <c r="D604" s="89"/>
      <c r="E604" s="89"/>
      <c r="F604" s="89"/>
      <c r="G604" s="89"/>
      <c r="H604" s="89"/>
      <c r="I604" s="89"/>
    </row>
    <row r="605">
      <c r="B605" s="89"/>
      <c r="C605" s="89"/>
      <c r="D605" s="89"/>
      <c r="E605" s="89"/>
      <c r="F605" s="89"/>
      <c r="G605" s="89"/>
      <c r="H605" s="89"/>
      <c r="I605" s="89"/>
    </row>
    <row r="606">
      <c r="B606" s="89"/>
      <c r="C606" s="89"/>
      <c r="D606" s="89"/>
      <c r="E606" s="89"/>
      <c r="F606" s="89"/>
      <c r="G606" s="89"/>
      <c r="H606" s="89"/>
      <c r="I606" s="89"/>
    </row>
    <row r="607">
      <c r="B607" s="89"/>
      <c r="C607" s="89"/>
      <c r="D607" s="89"/>
      <c r="E607" s="89"/>
      <c r="F607" s="89"/>
      <c r="G607" s="89"/>
      <c r="H607" s="89"/>
      <c r="I607" s="89"/>
    </row>
    <row r="608">
      <c r="B608" s="89"/>
      <c r="C608" s="89"/>
      <c r="D608" s="89"/>
      <c r="E608" s="89"/>
      <c r="F608" s="89"/>
      <c r="G608" s="89"/>
      <c r="H608" s="89"/>
      <c r="I608" s="89"/>
    </row>
    <row r="609">
      <c r="B609" s="89"/>
      <c r="C609" s="89"/>
      <c r="D609" s="89"/>
      <c r="E609" s="89"/>
      <c r="F609" s="89"/>
      <c r="G609" s="89"/>
      <c r="H609" s="89"/>
      <c r="I609" s="89"/>
    </row>
    <row r="610">
      <c r="B610" s="89"/>
      <c r="C610" s="89"/>
      <c r="D610" s="89"/>
      <c r="E610" s="89"/>
      <c r="F610" s="89"/>
      <c r="G610" s="89"/>
      <c r="H610" s="89"/>
      <c r="I610" s="89"/>
    </row>
    <row r="611">
      <c r="B611" s="89"/>
      <c r="C611" s="89"/>
      <c r="D611" s="89"/>
      <c r="E611" s="89"/>
      <c r="F611" s="89"/>
      <c r="G611" s="89"/>
      <c r="H611" s="89"/>
      <c r="I611" s="89"/>
    </row>
    <row r="612">
      <c r="B612" s="89"/>
      <c r="C612" s="89"/>
      <c r="D612" s="89"/>
      <c r="E612" s="89"/>
      <c r="F612" s="89"/>
      <c r="G612" s="89"/>
      <c r="H612" s="89"/>
      <c r="I612" s="89"/>
    </row>
    <row r="613">
      <c r="B613" s="89"/>
      <c r="C613" s="89"/>
      <c r="D613" s="89"/>
      <c r="E613" s="89"/>
      <c r="F613" s="89"/>
      <c r="G613" s="89"/>
      <c r="H613" s="89"/>
      <c r="I613" s="89"/>
    </row>
    <row r="614">
      <c r="B614" s="89"/>
      <c r="C614" s="89"/>
      <c r="D614" s="89"/>
      <c r="E614" s="89"/>
      <c r="F614" s="89"/>
      <c r="G614" s="89"/>
      <c r="H614" s="89"/>
      <c r="I614" s="89"/>
    </row>
    <row r="615">
      <c r="B615" s="89"/>
      <c r="C615" s="89"/>
      <c r="D615" s="89"/>
      <c r="E615" s="89"/>
      <c r="F615" s="89"/>
      <c r="G615" s="89"/>
      <c r="H615" s="89"/>
      <c r="I615" s="89"/>
    </row>
    <row r="616">
      <c r="B616" s="89"/>
      <c r="C616" s="89"/>
      <c r="D616" s="89"/>
      <c r="E616" s="89"/>
      <c r="F616" s="89"/>
      <c r="G616" s="89"/>
      <c r="H616" s="89"/>
      <c r="I616" s="89"/>
    </row>
    <row r="617">
      <c r="B617" s="89"/>
      <c r="C617" s="89"/>
      <c r="D617" s="89"/>
      <c r="E617" s="89"/>
      <c r="F617" s="89"/>
      <c r="G617" s="89"/>
      <c r="H617" s="89"/>
      <c r="I617" s="89"/>
    </row>
    <row r="618">
      <c r="B618" s="89"/>
      <c r="C618" s="89"/>
      <c r="D618" s="89"/>
      <c r="E618" s="89"/>
      <c r="F618" s="89"/>
      <c r="G618" s="89"/>
      <c r="H618" s="89"/>
      <c r="I618" s="89"/>
    </row>
    <row r="619">
      <c r="B619" s="89"/>
      <c r="C619" s="89"/>
      <c r="D619" s="89"/>
      <c r="E619" s="89"/>
      <c r="F619" s="89"/>
      <c r="G619" s="89"/>
      <c r="H619" s="89"/>
      <c r="I619" s="89"/>
    </row>
    <row r="620">
      <c r="B620" s="89"/>
      <c r="C620" s="89"/>
      <c r="D620" s="89"/>
      <c r="E620" s="89"/>
      <c r="F620" s="89"/>
      <c r="G620" s="89"/>
      <c r="H620" s="89"/>
      <c r="I620" s="89"/>
    </row>
    <row r="621">
      <c r="B621" s="89"/>
      <c r="C621" s="89"/>
      <c r="D621" s="89"/>
      <c r="E621" s="89"/>
      <c r="F621" s="89"/>
      <c r="G621" s="89"/>
      <c r="H621" s="89"/>
      <c r="I621" s="89"/>
    </row>
    <row r="622">
      <c r="B622" s="89"/>
      <c r="C622" s="89"/>
      <c r="D622" s="89"/>
      <c r="E622" s="89"/>
      <c r="F622" s="89"/>
      <c r="G622" s="89"/>
      <c r="H622" s="89"/>
      <c r="I622" s="89"/>
    </row>
    <row r="623">
      <c r="B623" s="89"/>
      <c r="C623" s="89"/>
      <c r="D623" s="89"/>
      <c r="E623" s="89"/>
      <c r="F623" s="89"/>
      <c r="G623" s="89"/>
      <c r="H623" s="89"/>
      <c r="I623" s="89"/>
    </row>
    <row r="624">
      <c r="B624" s="89"/>
      <c r="C624" s="89"/>
      <c r="D624" s="89"/>
      <c r="E624" s="89"/>
      <c r="F624" s="89"/>
      <c r="G624" s="89"/>
      <c r="H624" s="89"/>
      <c r="I624" s="89"/>
    </row>
    <row r="625">
      <c r="B625" s="89"/>
      <c r="C625" s="89"/>
      <c r="D625" s="89"/>
      <c r="E625" s="89"/>
      <c r="F625" s="89"/>
      <c r="G625" s="89"/>
      <c r="H625" s="89"/>
      <c r="I625" s="89"/>
    </row>
    <row r="626">
      <c r="B626" s="89"/>
      <c r="C626" s="89"/>
      <c r="D626" s="89"/>
      <c r="E626" s="89"/>
      <c r="F626" s="89"/>
      <c r="G626" s="89"/>
      <c r="H626" s="89"/>
      <c r="I626" s="89"/>
    </row>
    <row r="627">
      <c r="B627" s="89"/>
      <c r="C627" s="89"/>
      <c r="D627" s="89"/>
      <c r="E627" s="89"/>
      <c r="F627" s="89"/>
      <c r="G627" s="89"/>
      <c r="H627" s="89"/>
      <c r="I627" s="89"/>
    </row>
    <row r="628">
      <c r="B628" s="89"/>
      <c r="C628" s="89"/>
      <c r="D628" s="89"/>
      <c r="E628" s="89"/>
      <c r="F628" s="89"/>
      <c r="G628" s="89"/>
      <c r="H628" s="89"/>
      <c r="I628" s="89"/>
    </row>
    <row r="629">
      <c r="B629" s="89"/>
      <c r="C629" s="89"/>
      <c r="D629" s="89"/>
      <c r="E629" s="89"/>
      <c r="F629" s="89"/>
      <c r="G629" s="89"/>
      <c r="H629" s="89"/>
      <c r="I629" s="89"/>
    </row>
    <row r="630">
      <c r="B630" s="89"/>
      <c r="C630" s="89"/>
      <c r="D630" s="89"/>
      <c r="E630" s="89"/>
      <c r="F630" s="89"/>
      <c r="G630" s="89"/>
      <c r="H630" s="89"/>
      <c r="I630" s="89"/>
    </row>
    <row r="631">
      <c r="B631" s="89"/>
      <c r="C631" s="89"/>
      <c r="D631" s="89"/>
      <c r="E631" s="89"/>
      <c r="F631" s="89"/>
      <c r="G631" s="89"/>
      <c r="H631" s="89"/>
      <c r="I631" s="89"/>
    </row>
    <row r="632">
      <c r="B632" s="89"/>
      <c r="C632" s="89"/>
      <c r="D632" s="89"/>
      <c r="E632" s="89"/>
      <c r="F632" s="89"/>
      <c r="G632" s="89"/>
      <c r="H632" s="89"/>
      <c r="I632" s="89"/>
    </row>
    <row r="633">
      <c r="B633" s="89"/>
      <c r="C633" s="89"/>
      <c r="D633" s="89"/>
      <c r="E633" s="89"/>
      <c r="F633" s="89"/>
      <c r="G633" s="89"/>
      <c r="H633" s="89"/>
      <c r="I633" s="89"/>
    </row>
    <row r="634">
      <c r="B634" s="89"/>
      <c r="C634" s="89"/>
      <c r="D634" s="89"/>
      <c r="E634" s="89"/>
      <c r="F634" s="89"/>
      <c r="G634" s="89"/>
      <c r="H634" s="89"/>
      <c r="I634" s="89"/>
    </row>
    <row r="635">
      <c r="B635" s="89"/>
      <c r="C635" s="89"/>
      <c r="D635" s="89"/>
      <c r="E635" s="89"/>
      <c r="F635" s="89"/>
      <c r="G635" s="89"/>
      <c r="H635" s="89"/>
      <c r="I635" s="89"/>
    </row>
    <row r="636">
      <c r="B636" s="89"/>
      <c r="C636" s="89"/>
      <c r="D636" s="89"/>
      <c r="E636" s="89"/>
      <c r="F636" s="89"/>
      <c r="G636" s="89"/>
      <c r="H636" s="89"/>
      <c r="I636" s="89"/>
    </row>
    <row r="637">
      <c r="B637" s="89"/>
      <c r="C637" s="89"/>
      <c r="D637" s="89"/>
      <c r="E637" s="89"/>
      <c r="F637" s="89"/>
      <c r="G637" s="89"/>
      <c r="H637" s="89"/>
      <c r="I637" s="89"/>
    </row>
    <row r="638">
      <c r="B638" s="89"/>
      <c r="C638" s="89"/>
      <c r="D638" s="89"/>
      <c r="E638" s="89"/>
      <c r="F638" s="89"/>
      <c r="G638" s="89"/>
      <c r="H638" s="89"/>
      <c r="I638" s="89"/>
    </row>
    <row r="639">
      <c r="B639" s="89"/>
      <c r="C639" s="89"/>
      <c r="D639" s="89"/>
      <c r="E639" s="89"/>
      <c r="F639" s="89"/>
      <c r="G639" s="89"/>
      <c r="H639" s="89"/>
      <c r="I639" s="89"/>
    </row>
    <row r="640">
      <c r="B640" s="89"/>
      <c r="C640" s="89"/>
      <c r="D640" s="89"/>
      <c r="E640" s="89"/>
      <c r="F640" s="89"/>
      <c r="G640" s="89"/>
      <c r="H640" s="89"/>
      <c r="I640" s="89"/>
    </row>
    <row r="641">
      <c r="B641" s="89"/>
      <c r="C641" s="89"/>
      <c r="D641" s="89"/>
      <c r="E641" s="89"/>
      <c r="F641" s="89"/>
      <c r="G641" s="89"/>
      <c r="H641" s="89"/>
      <c r="I641" s="89"/>
    </row>
    <row r="642">
      <c r="B642" s="89"/>
      <c r="C642" s="89"/>
      <c r="D642" s="89"/>
      <c r="E642" s="89"/>
      <c r="F642" s="89"/>
      <c r="G642" s="89"/>
      <c r="H642" s="89"/>
      <c r="I642" s="89"/>
    </row>
    <row r="643">
      <c r="B643" s="89"/>
      <c r="C643" s="89"/>
      <c r="D643" s="89"/>
      <c r="E643" s="89"/>
      <c r="F643" s="89"/>
      <c r="G643" s="89"/>
      <c r="H643" s="89"/>
      <c r="I643" s="89"/>
    </row>
    <row r="644">
      <c r="B644" s="89"/>
      <c r="C644" s="89"/>
      <c r="D644" s="89"/>
      <c r="E644" s="89"/>
      <c r="F644" s="89"/>
      <c r="G644" s="89"/>
      <c r="H644" s="89"/>
      <c r="I644" s="89"/>
    </row>
    <row r="645">
      <c r="B645" s="89"/>
      <c r="C645" s="89"/>
      <c r="D645" s="89"/>
      <c r="E645" s="89"/>
      <c r="F645" s="89"/>
      <c r="G645" s="89"/>
      <c r="H645" s="89"/>
      <c r="I645" s="89"/>
    </row>
    <row r="646">
      <c r="B646" s="89"/>
      <c r="C646" s="89"/>
      <c r="D646" s="89"/>
      <c r="E646" s="89"/>
      <c r="F646" s="89"/>
      <c r="G646" s="89"/>
      <c r="H646" s="89"/>
      <c r="I646" s="89"/>
    </row>
    <row r="647">
      <c r="B647" s="89"/>
      <c r="C647" s="89"/>
      <c r="D647" s="89"/>
      <c r="E647" s="89"/>
      <c r="F647" s="89"/>
      <c r="G647" s="89"/>
      <c r="H647" s="89"/>
      <c r="I647" s="89"/>
    </row>
    <row r="648">
      <c r="B648" s="89"/>
      <c r="C648" s="89"/>
      <c r="D648" s="89"/>
      <c r="E648" s="89"/>
      <c r="F648" s="89"/>
      <c r="G648" s="89"/>
      <c r="H648" s="89"/>
      <c r="I648" s="89"/>
    </row>
    <row r="649">
      <c r="B649" s="89"/>
      <c r="C649" s="89"/>
      <c r="D649" s="89"/>
      <c r="E649" s="89"/>
      <c r="F649" s="89"/>
      <c r="G649" s="89"/>
      <c r="H649" s="89"/>
      <c r="I649" s="89"/>
    </row>
    <row r="650">
      <c r="B650" s="89"/>
      <c r="C650" s="89"/>
      <c r="D650" s="89"/>
      <c r="E650" s="89"/>
      <c r="F650" s="89"/>
      <c r="G650" s="89"/>
      <c r="H650" s="89"/>
      <c r="I650" s="89"/>
    </row>
    <row r="651">
      <c r="B651" s="89"/>
      <c r="C651" s="89"/>
      <c r="D651" s="89"/>
      <c r="E651" s="89"/>
      <c r="F651" s="89"/>
      <c r="G651" s="89"/>
      <c r="H651" s="89"/>
      <c r="I651" s="89"/>
    </row>
    <row r="652">
      <c r="B652" s="89"/>
      <c r="C652" s="89"/>
      <c r="D652" s="89"/>
      <c r="E652" s="89"/>
      <c r="F652" s="89"/>
      <c r="G652" s="89"/>
      <c r="H652" s="89"/>
      <c r="I652" s="89"/>
    </row>
    <row r="653">
      <c r="B653" s="89"/>
      <c r="C653" s="89"/>
      <c r="D653" s="89"/>
      <c r="E653" s="89"/>
      <c r="F653" s="89"/>
      <c r="G653" s="89"/>
      <c r="H653" s="89"/>
      <c r="I653" s="89"/>
    </row>
    <row r="654">
      <c r="B654" s="89"/>
      <c r="C654" s="89"/>
      <c r="D654" s="89"/>
      <c r="E654" s="89"/>
      <c r="F654" s="89"/>
      <c r="G654" s="89"/>
      <c r="H654" s="89"/>
      <c r="I654" s="89"/>
    </row>
    <row r="655">
      <c r="B655" s="89"/>
      <c r="C655" s="89"/>
      <c r="D655" s="89"/>
      <c r="E655" s="89"/>
      <c r="F655" s="89"/>
      <c r="G655" s="89"/>
      <c r="H655" s="89"/>
      <c r="I655" s="89"/>
    </row>
    <row r="656">
      <c r="B656" s="89"/>
      <c r="C656" s="89"/>
      <c r="D656" s="89"/>
      <c r="E656" s="89"/>
      <c r="F656" s="89"/>
      <c r="G656" s="89"/>
      <c r="H656" s="89"/>
      <c r="I656" s="89"/>
    </row>
    <row r="657">
      <c r="B657" s="89"/>
      <c r="C657" s="89"/>
      <c r="D657" s="89"/>
      <c r="E657" s="89"/>
      <c r="F657" s="89"/>
      <c r="G657" s="89"/>
      <c r="H657" s="89"/>
      <c r="I657" s="89"/>
    </row>
    <row r="658">
      <c r="B658" s="89"/>
      <c r="C658" s="89"/>
      <c r="D658" s="89"/>
      <c r="E658" s="89"/>
      <c r="F658" s="89"/>
      <c r="G658" s="89"/>
      <c r="H658" s="89"/>
      <c r="I658" s="89"/>
    </row>
    <row r="659">
      <c r="B659" s="89"/>
      <c r="C659" s="89"/>
      <c r="D659" s="89"/>
      <c r="E659" s="89"/>
      <c r="F659" s="89"/>
      <c r="G659" s="89"/>
      <c r="H659" s="89"/>
      <c r="I659" s="89"/>
    </row>
    <row r="660">
      <c r="B660" s="89"/>
      <c r="C660" s="89"/>
      <c r="D660" s="89"/>
      <c r="E660" s="89"/>
      <c r="F660" s="89"/>
      <c r="G660" s="89"/>
      <c r="H660" s="89"/>
      <c r="I660" s="89"/>
    </row>
    <row r="661">
      <c r="B661" s="89"/>
      <c r="C661" s="89"/>
      <c r="D661" s="89"/>
      <c r="E661" s="89"/>
      <c r="F661" s="89"/>
      <c r="G661" s="89"/>
      <c r="H661" s="89"/>
      <c r="I661" s="89"/>
    </row>
    <row r="662">
      <c r="B662" s="89"/>
      <c r="C662" s="89"/>
      <c r="D662" s="89"/>
      <c r="E662" s="89"/>
      <c r="F662" s="89"/>
      <c r="G662" s="89"/>
      <c r="H662" s="89"/>
      <c r="I662" s="89"/>
    </row>
    <row r="663">
      <c r="B663" s="89"/>
      <c r="C663" s="89"/>
      <c r="D663" s="89"/>
      <c r="E663" s="89"/>
      <c r="F663" s="89"/>
      <c r="G663" s="89"/>
      <c r="H663" s="89"/>
      <c r="I663" s="89"/>
    </row>
    <row r="664">
      <c r="B664" s="89"/>
      <c r="C664" s="89"/>
      <c r="D664" s="89"/>
      <c r="E664" s="89"/>
      <c r="F664" s="89"/>
      <c r="G664" s="89"/>
      <c r="H664" s="89"/>
      <c r="I664" s="89"/>
    </row>
    <row r="665">
      <c r="B665" s="89"/>
      <c r="C665" s="89"/>
      <c r="D665" s="89"/>
      <c r="E665" s="89"/>
      <c r="F665" s="89"/>
      <c r="G665" s="89"/>
      <c r="H665" s="89"/>
      <c r="I665" s="89"/>
    </row>
    <row r="666">
      <c r="B666" s="89"/>
      <c r="C666" s="89"/>
      <c r="D666" s="89"/>
      <c r="E666" s="89"/>
      <c r="F666" s="89"/>
      <c r="G666" s="89"/>
      <c r="H666" s="89"/>
      <c r="I666" s="89"/>
    </row>
    <row r="667">
      <c r="B667" s="89"/>
      <c r="C667" s="89"/>
      <c r="D667" s="89"/>
      <c r="E667" s="89"/>
      <c r="F667" s="89"/>
      <c r="G667" s="89"/>
      <c r="H667" s="89"/>
      <c r="I667" s="89"/>
    </row>
    <row r="668">
      <c r="B668" s="89"/>
      <c r="C668" s="89"/>
      <c r="D668" s="89"/>
      <c r="E668" s="89"/>
      <c r="F668" s="89"/>
      <c r="G668" s="89"/>
      <c r="H668" s="89"/>
      <c r="I668" s="89"/>
    </row>
    <row r="669">
      <c r="B669" s="89"/>
      <c r="C669" s="89"/>
      <c r="D669" s="89"/>
      <c r="E669" s="89"/>
      <c r="F669" s="89"/>
      <c r="G669" s="89"/>
      <c r="H669" s="89"/>
      <c r="I669" s="89"/>
    </row>
    <row r="670">
      <c r="B670" s="89"/>
      <c r="C670" s="89"/>
      <c r="D670" s="89"/>
      <c r="E670" s="89"/>
      <c r="F670" s="89"/>
      <c r="G670" s="89"/>
      <c r="H670" s="89"/>
      <c r="I670" s="89"/>
    </row>
    <row r="671">
      <c r="B671" s="89"/>
      <c r="C671" s="89"/>
      <c r="D671" s="89"/>
      <c r="E671" s="89"/>
      <c r="F671" s="89"/>
      <c r="G671" s="89"/>
      <c r="H671" s="89"/>
      <c r="I671" s="89"/>
    </row>
    <row r="672">
      <c r="B672" s="89"/>
      <c r="C672" s="89"/>
      <c r="D672" s="89"/>
      <c r="E672" s="89"/>
      <c r="F672" s="89"/>
      <c r="G672" s="89"/>
      <c r="H672" s="89"/>
      <c r="I672" s="89"/>
    </row>
    <row r="673">
      <c r="B673" s="89"/>
      <c r="C673" s="89"/>
      <c r="D673" s="89"/>
      <c r="E673" s="89"/>
      <c r="F673" s="89"/>
      <c r="G673" s="89"/>
      <c r="H673" s="89"/>
      <c r="I673" s="89"/>
    </row>
    <row r="674">
      <c r="B674" s="89"/>
      <c r="C674" s="89"/>
      <c r="D674" s="89"/>
      <c r="E674" s="89"/>
      <c r="F674" s="89"/>
      <c r="G674" s="89"/>
      <c r="H674" s="89"/>
      <c r="I674" s="89"/>
    </row>
    <row r="675">
      <c r="B675" s="89"/>
      <c r="C675" s="89"/>
      <c r="D675" s="89"/>
      <c r="E675" s="89"/>
      <c r="F675" s="89"/>
      <c r="G675" s="89"/>
      <c r="H675" s="89"/>
      <c r="I675" s="89"/>
    </row>
    <row r="676">
      <c r="B676" s="89"/>
      <c r="C676" s="89"/>
      <c r="D676" s="89"/>
      <c r="E676" s="89"/>
      <c r="F676" s="89"/>
      <c r="G676" s="89"/>
      <c r="H676" s="89"/>
      <c r="I676" s="89"/>
    </row>
    <row r="677">
      <c r="B677" s="89"/>
      <c r="C677" s="89"/>
      <c r="D677" s="89"/>
      <c r="E677" s="89"/>
      <c r="F677" s="89"/>
      <c r="G677" s="89"/>
      <c r="H677" s="89"/>
      <c r="I677" s="89"/>
    </row>
    <row r="678">
      <c r="B678" s="89"/>
      <c r="C678" s="89"/>
      <c r="D678" s="89"/>
      <c r="E678" s="89"/>
      <c r="F678" s="89"/>
      <c r="G678" s="89"/>
      <c r="H678" s="89"/>
      <c r="I678" s="89"/>
    </row>
    <row r="679">
      <c r="B679" s="89"/>
      <c r="C679" s="89"/>
      <c r="D679" s="89"/>
      <c r="E679" s="89"/>
      <c r="F679" s="89"/>
      <c r="G679" s="89"/>
      <c r="H679" s="89"/>
      <c r="I679" s="89"/>
    </row>
    <row r="680">
      <c r="B680" s="89"/>
      <c r="C680" s="89"/>
      <c r="D680" s="89"/>
      <c r="E680" s="89"/>
      <c r="F680" s="89"/>
      <c r="G680" s="89"/>
      <c r="H680" s="89"/>
      <c r="I680" s="89"/>
    </row>
    <row r="681">
      <c r="B681" s="89"/>
      <c r="C681" s="89"/>
      <c r="D681" s="89"/>
      <c r="E681" s="89"/>
      <c r="F681" s="89"/>
      <c r="G681" s="89"/>
      <c r="H681" s="89"/>
      <c r="I681" s="89"/>
    </row>
    <row r="682">
      <c r="B682" s="89"/>
      <c r="C682" s="89"/>
      <c r="D682" s="89"/>
      <c r="E682" s="89"/>
      <c r="F682" s="89"/>
      <c r="G682" s="89"/>
      <c r="H682" s="89"/>
      <c r="I682" s="89"/>
    </row>
    <row r="683">
      <c r="B683" s="89"/>
      <c r="C683" s="89"/>
      <c r="D683" s="89"/>
      <c r="E683" s="89"/>
      <c r="F683" s="89"/>
      <c r="G683" s="89"/>
      <c r="H683" s="89"/>
      <c r="I683" s="89"/>
    </row>
    <row r="684">
      <c r="B684" s="89"/>
      <c r="C684" s="89"/>
      <c r="D684" s="89"/>
      <c r="E684" s="89"/>
      <c r="F684" s="89"/>
      <c r="G684" s="89"/>
      <c r="H684" s="89"/>
      <c r="I684" s="89"/>
    </row>
    <row r="685">
      <c r="B685" s="89"/>
      <c r="C685" s="89"/>
      <c r="D685" s="89"/>
      <c r="E685" s="89"/>
      <c r="F685" s="89"/>
      <c r="G685" s="89"/>
      <c r="H685" s="89"/>
      <c r="I685" s="89"/>
    </row>
    <row r="686">
      <c r="B686" s="89"/>
      <c r="C686" s="89"/>
      <c r="D686" s="89"/>
      <c r="E686" s="89"/>
      <c r="F686" s="89"/>
      <c r="G686" s="89"/>
      <c r="H686" s="89"/>
      <c r="I686" s="89"/>
    </row>
    <row r="687">
      <c r="B687" s="89"/>
      <c r="C687" s="89"/>
      <c r="D687" s="89"/>
      <c r="E687" s="89"/>
      <c r="F687" s="89"/>
      <c r="G687" s="89"/>
      <c r="H687" s="89"/>
      <c r="I687" s="89"/>
    </row>
    <row r="688">
      <c r="B688" s="89"/>
      <c r="C688" s="89"/>
      <c r="D688" s="89"/>
      <c r="E688" s="89"/>
      <c r="F688" s="89"/>
      <c r="G688" s="89"/>
      <c r="H688" s="89"/>
      <c r="I688" s="89"/>
    </row>
    <row r="689">
      <c r="B689" s="89"/>
      <c r="C689" s="89"/>
      <c r="D689" s="89"/>
      <c r="E689" s="89"/>
      <c r="F689" s="89"/>
      <c r="G689" s="89"/>
      <c r="H689" s="89"/>
      <c r="I689" s="89"/>
    </row>
    <row r="690">
      <c r="B690" s="89"/>
      <c r="C690" s="89"/>
      <c r="D690" s="89"/>
      <c r="E690" s="89"/>
      <c r="F690" s="89"/>
      <c r="G690" s="89"/>
      <c r="H690" s="89"/>
      <c r="I690" s="89"/>
    </row>
    <row r="691">
      <c r="B691" s="89"/>
      <c r="C691" s="89"/>
      <c r="D691" s="89"/>
      <c r="E691" s="89"/>
      <c r="F691" s="89"/>
      <c r="G691" s="89"/>
      <c r="H691" s="89"/>
      <c r="I691" s="89"/>
    </row>
    <row r="692">
      <c r="B692" s="89"/>
      <c r="C692" s="89"/>
      <c r="D692" s="89"/>
      <c r="E692" s="89"/>
      <c r="F692" s="89"/>
      <c r="G692" s="89"/>
      <c r="H692" s="89"/>
      <c r="I692" s="89"/>
    </row>
    <row r="693">
      <c r="B693" s="89"/>
      <c r="C693" s="89"/>
      <c r="D693" s="89"/>
      <c r="E693" s="89"/>
      <c r="F693" s="89"/>
      <c r="G693" s="89"/>
      <c r="H693" s="89"/>
      <c r="I693" s="89"/>
    </row>
    <row r="694">
      <c r="B694" s="89"/>
      <c r="C694" s="89"/>
      <c r="D694" s="89"/>
      <c r="E694" s="89"/>
      <c r="F694" s="89"/>
      <c r="G694" s="89"/>
      <c r="H694" s="89"/>
      <c r="I694" s="89"/>
    </row>
    <row r="695">
      <c r="B695" s="89"/>
      <c r="C695" s="89"/>
      <c r="D695" s="89"/>
      <c r="E695" s="89"/>
      <c r="F695" s="89"/>
      <c r="G695" s="89"/>
      <c r="H695" s="89"/>
      <c r="I695" s="89"/>
    </row>
    <row r="696">
      <c r="B696" s="89"/>
      <c r="C696" s="89"/>
      <c r="D696" s="89"/>
      <c r="E696" s="89"/>
      <c r="F696" s="89"/>
      <c r="G696" s="89"/>
      <c r="H696" s="89"/>
      <c r="I696" s="89"/>
    </row>
    <row r="697">
      <c r="B697" s="89"/>
      <c r="C697" s="89"/>
      <c r="D697" s="89"/>
      <c r="E697" s="89"/>
      <c r="F697" s="89"/>
      <c r="G697" s="89"/>
      <c r="H697" s="89"/>
      <c r="I697" s="89"/>
    </row>
    <row r="698">
      <c r="B698" s="89"/>
      <c r="C698" s="89"/>
      <c r="D698" s="89"/>
      <c r="E698" s="89"/>
      <c r="F698" s="89"/>
      <c r="G698" s="89"/>
      <c r="H698" s="89"/>
      <c r="I698" s="89"/>
    </row>
    <row r="699">
      <c r="B699" s="89"/>
      <c r="C699" s="89"/>
      <c r="D699" s="89"/>
      <c r="E699" s="89"/>
      <c r="F699" s="89"/>
      <c r="G699" s="89"/>
      <c r="H699" s="89"/>
      <c r="I699" s="89"/>
    </row>
    <row r="700">
      <c r="B700" s="89"/>
      <c r="C700" s="89"/>
      <c r="D700" s="89"/>
      <c r="E700" s="89"/>
      <c r="F700" s="89"/>
      <c r="G700" s="89"/>
      <c r="H700" s="89"/>
      <c r="I700" s="89"/>
    </row>
    <row r="701">
      <c r="B701" s="89"/>
      <c r="C701" s="89"/>
      <c r="D701" s="89"/>
      <c r="E701" s="89"/>
      <c r="F701" s="89"/>
      <c r="G701" s="89"/>
      <c r="H701" s="89"/>
      <c r="I701" s="89"/>
    </row>
    <row r="702">
      <c r="B702" s="89"/>
      <c r="C702" s="89"/>
      <c r="D702" s="89"/>
      <c r="E702" s="89"/>
      <c r="F702" s="89"/>
      <c r="G702" s="89"/>
      <c r="H702" s="89"/>
      <c r="I702" s="89"/>
    </row>
    <row r="703">
      <c r="B703" s="89"/>
      <c r="C703" s="89"/>
      <c r="D703" s="89"/>
      <c r="E703" s="89"/>
      <c r="F703" s="89"/>
      <c r="G703" s="89"/>
      <c r="H703" s="89"/>
      <c r="I703" s="89"/>
    </row>
    <row r="704">
      <c r="B704" s="89"/>
      <c r="C704" s="89"/>
      <c r="D704" s="89"/>
      <c r="E704" s="89"/>
      <c r="F704" s="89"/>
      <c r="G704" s="89"/>
      <c r="H704" s="89"/>
      <c r="I704" s="89"/>
    </row>
    <row r="705">
      <c r="B705" s="89"/>
      <c r="C705" s="89"/>
      <c r="D705" s="89"/>
      <c r="E705" s="89"/>
      <c r="F705" s="89"/>
      <c r="G705" s="89"/>
      <c r="H705" s="89"/>
      <c r="I705" s="89"/>
    </row>
    <row r="706">
      <c r="B706" s="89"/>
      <c r="C706" s="89"/>
      <c r="D706" s="89"/>
      <c r="E706" s="89"/>
      <c r="F706" s="89"/>
      <c r="G706" s="89"/>
      <c r="H706" s="89"/>
      <c r="I706" s="89"/>
    </row>
    <row r="707">
      <c r="B707" s="89"/>
      <c r="C707" s="89"/>
      <c r="D707" s="89"/>
      <c r="E707" s="89"/>
      <c r="F707" s="89"/>
      <c r="G707" s="89"/>
      <c r="H707" s="89"/>
      <c r="I707" s="89"/>
    </row>
    <row r="708">
      <c r="B708" s="89"/>
      <c r="C708" s="89"/>
      <c r="D708" s="89"/>
      <c r="E708" s="89"/>
      <c r="F708" s="89"/>
      <c r="G708" s="89"/>
      <c r="H708" s="89"/>
      <c r="I708" s="89"/>
    </row>
    <row r="709">
      <c r="B709" s="89"/>
      <c r="C709" s="89"/>
      <c r="D709" s="89"/>
      <c r="E709" s="89"/>
      <c r="F709" s="89"/>
      <c r="G709" s="89"/>
      <c r="H709" s="89"/>
      <c r="I709" s="89"/>
    </row>
    <row r="710">
      <c r="B710" s="89"/>
      <c r="C710" s="89"/>
      <c r="D710" s="89"/>
      <c r="E710" s="89"/>
      <c r="F710" s="89"/>
      <c r="G710" s="89"/>
      <c r="H710" s="89"/>
      <c r="I710" s="89"/>
    </row>
    <row r="711">
      <c r="B711" s="89"/>
      <c r="C711" s="89"/>
      <c r="D711" s="89"/>
      <c r="E711" s="89"/>
      <c r="F711" s="89"/>
      <c r="G711" s="89"/>
      <c r="H711" s="89"/>
      <c r="I711" s="89"/>
    </row>
    <row r="712">
      <c r="B712" s="89"/>
      <c r="C712" s="89"/>
      <c r="D712" s="89"/>
      <c r="E712" s="89"/>
      <c r="F712" s="89"/>
      <c r="G712" s="89"/>
      <c r="H712" s="89"/>
      <c r="I712" s="89"/>
    </row>
    <row r="713">
      <c r="B713" s="89"/>
      <c r="C713" s="89"/>
      <c r="D713" s="89"/>
      <c r="E713" s="89"/>
      <c r="F713" s="89"/>
      <c r="G713" s="89"/>
      <c r="H713" s="89"/>
      <c r="I713" s="89"/>
    </row>
    <row r="714">
      <c r="B714" s="89"/>
      <c r="C714" s="89"/>
      <c r="D714" s="89"/>
      <c r="E714" s="89"/>
      <c r="F714" s="89"/>
      <c r="G714" s="89"/>
      <c r="H714" s="89"/>
      <c r="I714" s="89"/>
    </row>
    <row r="715">
      <c r="B715" s="89"/>
      <c r="C715" s="89"/>
      <c r="D715" s="89"/>
      <c r="E715" s="89"/>
      <c r="F715" s="89"/>
      <c r="G715" s="89"/>
      <c r="H715" s="89"/>
      <c r="I715" s="89"/>
    </row>
    <row r="716">
      <c r="B716" s="89"/>
      <c r="C716" s="89"/>
      <c r="D716" s="89"/>
      <c r="E716" s="89"/>
      <c r="F716" s="89"/>
      <c r="G716" s="89"/>
      <c r="H716" s="89"/>
      <c r="I716" s="89"/>
    </row>
    <row r="717">
      <c r="B717" s="89"/>
      <c r="C717" s="89"/>
      <c r="D717" s="89"/>
      <c r="E717" s="89"/>
      <c r="F717" s="89"/>
      <c r="G717" s="89"/>
      <c r="H717" s="89"/>
      <c r="I717" s="89"/>
    </row>
    <row r="718">
      <c r="B718" s="89"/>
      <c r="C718" s="89"/>
      <c r="D718" s="89"/>
      <c r="E718" s="89"/>
      <c r="F718" s="89"/>
      <c r="G718" s="89"/>
      <c r="H718" s="89"/>
      <c r="I718" s="89"/>
    </row>
    <row r="719">
      <c r="B719" s="89"/>
      <c r="C719" s="89"/>
      <c r="D719" s="89"/>
      <c r="E719" s="89"/>
      <c r="F719" s="89"/>
      <c r="G719" s="89"/>
      <c r="H719" s="89"/>
      <c r="I719" s="89"/>
    </row>
    <row r="720">
      <c r="B720" s="89"/>
      <c r="C720" s="89"/>
      <c r="D720" s="89"/>
      <c r="E720" s="89"/>
      <c r="F720" s="89"/>
      <c r="G720" s="89"/>
      <c r="H720" s="89"/>
      <c r="I720" s="89"/>
    </row>
    <row r="721">
      <c r="B721" s="89"/>
      <c r="C721" s="89"/>
      <c r="D721" s="89"/>
      <c r="E721" s="89"/>
      <c r="F721" s="89"/>
      <c r="G721" s="89"/>
      <c r="H721" s="89"/>
      <c r="I721" s="89"/>
    </row>
    <row r="722">
      <c r="B722" s="89"/>
      <c r="C722" s="89"/>
      <c r="D722" s="89"/>
      <c r="E722" s="89"/>
      <c r="F722" s="89"/>
      <c r="G722" s="89"/>
      <c r="H722" s="89"/>
      <c r="I722" s="89"/>
    </row>
    <row r="723">
      <c r="B723" s="89"/>
      <c r="C723" s="89"/>
      <c r="D723" s="89"/>
      <c r="E723" s="89"/>
      <c r="F723" s="89"/>
      <c r="G723" s="89"/>
      <c r="H723" s="89"/>
      <c r="I723" s="89"/>
    </row>
    <row r="724">
      <c r="B724" s="89"/>
      <c r="C724" s="89"/>
      <c r="D724" s="89"/>
      <c r="E724" s="89"/>
      <c r="F724" s="89"/>
      <c r="G724" s="89"/>
      <c r="H724" s="89"/>
      <c r="I724" s="89"/>
    </row>
    <row r="725">
      <c r="B725" s="89"/>
      <c r="C725" s="89"/>
      <c r="D725" s="89"/>
      <c r="E725" s="89"/>
      <c r="F725" s="89"/>
      <c r="G725" s="89"/>
      <c r="H725" s="89"/>
      <c r="I725" s="89"/>
    </row>
    <row r="726">
      <c r="B726" s="89"/>
      <c r="C726" s="89"/>
      <c r="D726" s="89"/>
      <c r="E726" s="89"/>
      <c r="F726" s="89"/>
      <c r="G726" s="89"/>
      <c r="H726" s="89"/>
      <c r="I726" s="89"/>
    </row>
    <row r="727">
      <c r="B727" s="89"/>
      <c r="C727" s="89"/>
      <c r="D727" s="89"/>
      <c r="E727" s="89"/>
      <c r="F727" s="89"/>
      <c r="G727" s="89"/>
      <c r="H727" s="89"/>
      <c r="I727" s="89"/>
    </row>
    <row r="728">
      <c r="B728" s="89"/>
      <c r="C728" s="89"/>
      <c r="D728" s="89"/>
      <c r="E728" s="89"/>
      <c r="F728" s="89"/>
      <c r="G728" s="89"/>
      <c r="H728" s="89"/>
      <c r="I728" s="89"/>
    </row>
    <row r="729">
      <c r="B729" s="89"/>
      <c r="C729" s="89"/>
      <c r="D729" s="89"/>
      <c r="E729" s="89"/>
      <c r="F729" s="89"/>
      <c r="G729" s="89"/>
      <c r="H729" s="89"/>
      <c r="I729" s="89"/>
    </row>
    <row r="730">
      <c r="B730" s="89"/>
      <c r="C730" s="89"/>
      <c r="D730" s="89"/>
      <c r="E730" s="89"/>
      <c r="F730" s="89"/>
      <c r="G730" s="89"/>
      <c r="H730" s="89"/>
      <c r="I730" s="89"/>
    </row>
    <row r="731">
      <c r="B731" s="89"/>
      <c r="C731" s="89"/>
      <c r="D731" s="89"/>
      <c r="E731" s="89"/>
      <c r="F731" s="89"/>
      <c r="G731" s="89"/>
      <c r="H731" s="89"/>
      <c r="I731" s="89"/>
    </row>
    <row r="732">
      <c r="B732" s="89"/>
      <c r="C732" s="89"/>
      <c r="D732" s="89"/>
      <c r="E732" s="89"/>
      <c r="F732" s="89"/>
      <c r="G732" s="89"/>
      <c r="H732" s="89"/>
      <c r="I732" s="89"/>
    </row>
    <row r="733">
      <c r="B733" s="89"/>
      <c r="C733" s="89"/>
      <c r="D733" s="89"/>
      <c r="E733" s="89"/>
      <c r="F733" s="89"/>
      <c r="G733" s="89"/>
      <c r="H733" s="89"/>
      <c r="I733" s="89"/>
    </row>
    <row r="734">
      <c r="B734" s="89"/>
      <c r="C734" s="89"/>
      <c r="D734" s="89"/>
      <c r="E734" s="89"/>
      <c r="F734" s="89"/>
      <c r="G734" s="89"/>
      <c r="H734" s="89"/>
      <c r="I734" s="89"/>
    </row>
    <row r="735">
      <c r="B735" s="89"/>
      <c r="C735" s="89"/>
      <c r="D735" s="89"/>
      <c r="E735" s="89"/>
      <c r="F735" s="89"/>
      <c r="G735" s="89"/>
      <c r="H735" s="89"/>
      <c r="I735" s="89"/>
    </row>
    <row r="736">
      <c r="B736" s="89"/>
      <c r="C736" s="89"/>
      <c r="D736" s="89"/>
      <c r="E736" s="89"/>
      <c r="F736" s="89"/>
      <c r="G736" s="89"/>
      <c r="H736" s="89"/>
      <c r="I736" s="89"/>
    </row>
    <row r="737">
      <c r="B737" s="89"/>
      <c r="C737" s="89"/>
      <c r="D737" s="89"/>
      <c r="E737" s="89"/>
      <c r="F737" s="89"/>
      <c r="G737" s="89"/>
      <c r="H737" s="89"/>
      <c r="I737" s="89"/>
    </row>
    <row r="738">
      <c r="B738" s="89"/>
      <c r="C738" s="89"/>
      <c r="D738" s="89"/>
      <c r="E738" s="89"/>
      <c r="F738" s="89"/>
      <c r="G738" s="89"/>
      <c r="H738" s="89"/>
      <c r="I738" s="89"/>
    </row>
    <row r="739">
      <c r="B739" s="89"/>
      <c r="C739" s="89"/>
      <c r="D739" s="89"/>
      <c r="E739" s="89"/>
      <c r="F739" s="89"/>
      <c r="G739" s="89"/>
      <c r="H739" s="89"/>
      <c r="I739" s="89"/>
    </row>
    <row r="740">
      <c r="B740" s="89"/>
      <c r="C740" s="89"/>
      <c r="D740" s="89"/>
      <c r="E740" s="89"/>
      <c r="F740" s="89"/>
      <c r="G740" s="89"/>
      <c r="H740" s="89"/>
      <c r="I740" s="89"/>
    </row>
    <row r="741">
      <c r="B741" s="89"/>
      <c r="C741" s="89"/>
      <c r="D741" s="89"/>
      <c r="E741" s="89"/>
      <c r="F741" s="89"/>
      <c r="G741" s="89"/>
      <c r="H741" s="89"/>
      <c r="I741" s="89"/>
    </row>
    <row r="742">
      <c r="B742" s="89"/>
      <c r="C742" s="89"/>
      <c r="D742" s="89"/>
      <c r="E742" s="89"/>
      <c r="F742" s="89"/>
      <c r="G742" s="89"/>
      <c r="H742" s="89"/>
      <c r="I742" s="89"/>
    </row>
    <row r="743">
      <c r="B743" s="89"/>
      <c r="C743" s="89"/>
      <c r="D743" s="89"/>
      <c r="E743" s="89"/>
      <c r="F743" s="89"/>
      <c r="G743" s="89"/>
      <c r="H743" s="89"/>
      <c r="I743" s="89"/>
    </row>
    <row r="744">
      <c r="B744" s="89"/>
      <c r="C744" s="89"/>
      <c r="D744" s="89"/>
      <c r="E744" s="89"/>
      <c r="F744" s="89"/>
      <c r="G744" s="89"/>
      <c r="H744" s="89"/>
      <c r="I744" s="89"/>
    </row>
    <row r="745">
      <c r="B745" s="89"/>
      <c r="C745" s="89"/>
      <c r="D745" s="89"/>
      <c r="E745" s="89"/>
      <c r="F745" s="89"/>
      <c r="G745" s="89"/>
      <c r="H745" s="89"/>
      <c r="I745" s="89"/>
    </row>
    <row r="746">
      <c r="B746" s="89"/>
      <c r="C746" s="89"/>
      <c r="D746" s="89"/>
      <c r="E746" s="89"/>
      <c r="F746" s="89"/>
      <c r="G746" s="89"/>
      <c r="H746" s="89"/>
      <c r="I746" s="89"/>
    </row>
    <row r="747">
      <c r="B747" s="89"/>
      <c r="C747" s="89"/>
      <c r="D747" s="89"/>
      <c r="E747" s="89"/>
      <c r="F747" s="89"/>
      <c r="G747" s="89"/>
      <c r="H747" s="89"/>
      <c r="I747" s="89"/>
    </row>
    <row r="748">
      <c r="B748" s="89"/>
      <c r="C748" s="89"/>
      <c r="D748" s="89"/>
      <c r="E748" s="89"/>
      <c r="F748" s="89"/>
      <c r="G748" s="89"/>
      <c r="H748" s="89"/>
      <c r="I748" s="89"/>
    </row>
    <row r="749">
      <c r="B749" s="89"/>
      <c r="C749" s="89"/>
      <c r="D749" s="89"/>
      <c r="E749" s="89"/>
      <c r="F749" s="89"/>
      <c r="G749" s="89"/>
      <c r="H749" s="89"/>
      <c r="I749" s="89"/>
    </row>
    <row r="750">
      <c r="B750" s="89"/>
      <c r="C750" s="89"/>
      <c r="D750" s="89"/>
      <c r="E750" s="89"/>
      <c r="F750" s="89"/>
      <c r="G750" s="89"/>
      <c r="H750" s="89"/>
      <c r="I750" s="89"/>
    </row>
    <row r="751">
      <c r="B751" s="89"/>
      <c r="C751" s="89"/>
      <c r="D751" s="89"/>
      <c r="E751" s="89"/>
      <c r="F751" s="89"/>
      <c r="G751" s="89"/>
      <c r="H751" s="89"/>
      <c r="I751" s="89"/>
    </row>
    <row r="752">
      <c r="B752" s="89"/>
      <c r="C752" s="89"/>
      <c r="D752" s="89"/>
      <c r="E752" s="89"/>
      <c r="F752" s="89"/>
      <c r="G752" s="89"/>
      <c r="H752" s="89"/>
      <c r="I752" s="89"/>
    </row>
    <row r="753">
      <c r="B753" s="89"/>
      <c r="C753" s="89"/>
      <c r="D753" s="89"/>
      <c r="E753" s="89"/>
      <c r="F753" s="89"/>
      <c r="G753" s="89"/>
      <c r="H753" s="89"/>
      <c r="I753" s="89"/>
    </row>
    <row r="754">
      <c r="B754" s="89"/>
      <c r="C754" s="89"/>
      <c r="D754" s="89"/>
      <c r="E754" s="89"/>
      <c r="F754" s="89"/>
      <c r="G754" s="89"/>
      <c r="H754" s="89"/>
      <c r="I754" s="89"/>
    </row>
    <row r="755">
      <c r="B755" s="89"/>
      <c r="C755" s="89"/>
      <c r="D755" s="89"/>
      <c r="E755" s="89"/>
      <c r="F755" s="89"/>
      <c r="G755" s="89"/>
      <c r="H755" s="89"/>
      <c r="I755" s="89"/>
    </row>
    <row r="756">
      <c r="B756" s="89"/>
      <c r="C756" s="89"/>
      <c r="D756" s="89"/>
      <c r="E756" s="89"/>
      <c r="F756" s="89"/>
      <c r="G756" s="89"/>
      <c r="H756" s="89"/>
      <c r="I756" s="89"/>
    </row>
    <row r="757">
      <c r="B757" s="89"/>
      <c r="C757" s="89"/>
      <c r="D757" s="89"/>
      <c r="E757" s="89"/>
      <c r="F757" s="89"/>
      <c r="G757" s="89"/>
      <c r="H757" s="89"/>
      <c r="I757" s="89"/>
    </row>
    <row r="758">
      <c r="B758" s="89"/>
      <c r="C758" s="89"/>
      <c r="D758" s="89"/>
      <c r="E758" s="89"/>
      <c r="F758" s="89"/>
      <c r="G758" s="89"/>
      <c r="H758" s="89"/>
      <c r="I758" s="89"/>
    </row>
    <row r="759">
      <c r="B759" s="89"/>
      <c r="C759" s="89"/>
      <c r="D759" s="89"/>
      <c r="E759" s="89"/>
      <c r="F759" s="89"/>
      <c r="G759" s="89"/>
      <c r="H759" s="89"/>
      <c r="I759" s="89"/>
    </row>
    <row r="760">
      <c r="B760" s="89"/>
      <c r="C760" s="89"/>
      <c r="D760" s="89"/>
      <c r="E760" s="89"/>
      <c r="F760" s="89"/>
      <c r="G760" s="89"/>
      <c r="H760" s="89"/>
      <c r="I760" s="89"/>
    </row>
    <row r="761">
      <c r="B761" s="89"/>
      <c r="C761" s="89"/>
      <c r="D761" s="89"/>
      <c r="E761" s="89"/>
      <c r="F761" s="89"/>
      <c r="G761" s="89"/>
      <c r="H761" s="89"/>
      <c r="I761" s="89"/>
    </row>
    <row r="762">
      <c r="B762" s="89"/>
      <c r="C762" s="89"/>
      <c r="D762" s="89"/>
      <c r="E762" s="89"/>
      <c r="F762" s="89"/>
      <c r="G762" s="89"/>
      <c r="H762" s="89"/>
      <c r="I762" s="89"/>
    </row>
    <row r="763">
      <c r="B763" s="89"/>
      <c r="C763" s="89"/>
      <c r="D763" s="89"/>
      <c r="E763" s="89"/>
      <c r="F763" s="89"/>
      <c r="G763" s="89"/>
      <c r="H763" s="89"/>
      <c r="I763" s="89"/>
    </row>
    <row r="764">
      <c r="B764" s="89"/>
      <c r="C764" s="89"/>
      <c r="D764" s="89"/>
      <c r="E764" s="89"/>
      <c r="F764" s="89"/>
      <c r="G764" s="89"/>
      <c r="H764" s="89"/>
      <c r="I764" s="89"/>
    </row>
    <row r="765">
      <c r="B765" s="89"/>
      <c r="C765" s="89"/>
      <c r="D765" s="89"/>
      <c r="E765" s="89"/>
      <c r="F765" s="89"/>
      <c r="G765" s="89"/>
      <c r="H765" s="89"/>
      <c r="I765" s="89"/>
    </row>
    <row r="766">
      <c r="B766" s="89"/>
      <c r="C766" s="89"/>
      <c r="D766" s="89"/>
      <c r="E766" s="89"/>
      <c r="F766" s="89"/>
      <c r="G766" s="89"/>
      <c r="H766" s="89"/>
      <c r="I766" s="89"/>
    </row>
    <row r="767">
      <c r="B767" s="89"/>
      <c r="C767" s="89"/>
      <c r="D767" s="89"/>
      <c r="E767" s="89"/>
      <c r="F767" s="89"/>
      <c r="G767" s="89"/>
      <c r="H767" s="89"/>
      <c r="I767" s="89"/>
    </row>
    <row r="768">
      <c r="B768" s="89"/>
      <c r="C768" s="89"/>
      <c r="D768" s="89"/>
      <c r="E768" s="89"/>
      <c r="F768" s="89"/>
      <c r="G768" s="89"/>
      <c r="H768" s="89"/>
      <c r="I768" s="89"/>
    </row>
    <row r="769">
      <c r="B769" s="89"/>
      <c r="C769" s="89"/>
      <c r="D769" s="89"/>
      <c r="E769" s="89"/>
      <c r="F769" s="89"/>
      <c r="G769" s="89"/>
      <c r="H769" s="89"/>
      <c r="I769" s="89"/>
    </row>
    <row r="770">
      <c r="B770" s="89"/>
      <c r="C770" s="89"/>
      <c r="D770" s="89"/>
      <c r="E770" s="89"/>
      <c r="F770" s="89"/>
      <c r="G770" s="89"/>
      <c r="H770" s="89"/>
      <c r="I770" s="89"/>
    </row>
    <row r="771">
      <c r="B771" s="89"/>
      <c r="C771" s="89"/>
      <c r="D771" s="89"/>
      <c r="E771" s="89"/>
      <c r="F771" s="89"/>
      <c r="G771" s="89"/>
      <c r="H771" s="89"/>
      <c r="I771" s="89"/>
    </row>
    <row r="772">
      <c r="B772" s="89"/>
      <c r="C772" s="89"/>
      <c r="D772" s="89"/>
      <c r="E772" s="89"/>
      <c r="F772" s="89"/>
      <c r="G772" s="89"/>
      <c r="H772" s="89"/>
      <c r="I772" s="89"/>
    </row>
    <row r="773">
      <c r="B773" s="89"/>
      <c r="C773" s="89"/>
      <c r="D773" s="89"/>
      <c r="E773" s="89"/>
      <c r="F773" s="89"/>
      <c r="G773" s="89"/>
      <c r="H773" s="89"/>
      <c r="I773" s="89"/>
    </row>
    <row r="774">
      <c r="B774" s="89"/>
      <c r="C774" s="89"/>
      <c r="D774" s="89"/>
      <c r="E774" s="89"/>
      <c r="F774" s="89"/>
      <c r="G774" s="89"/>
      <c r="H774" s="89"/>
      <c r="I774" s="89"/>
    </row>
    <row r="775">
      <c r="B775" s="89"/>
      <c r="C775" s="89"/>
      <c r="D775" s="89"/>
      <c r="E775" s="89"/>
      <c r="F775" s="89"/>
      <c r="G775" s="89"/>
      <c r="H775" s="89"/>
      <c r="I775" s="89"/>
    </row>
    <row r="776">
      <c r="B776" s="89"/>
      <c r="C776" s="89"/>
      <c r="D776" s="89"/>
      <c r="E776" s="89"/>
      <c r="F776" s="89"/>
      <c r="G776" s="89"/>
      <c r="H776" s="89"/>
      <c r="I776" s="89"/>
    </row>
    <row r="777">
      <c r="B777" s="89"/>
      <c r="C777" s="89"/>
      <c r="D777" s="89"/>
      <c r="E777" s="89"/>
      <c r="F777" s="89"/>
      <c r="G777" s="89"/>
      <c r="H777" s="89"/>
      <c r="I777" s="89"/>
    </row>
    <row r="778">
      <c r="B778" s="89"/>
      <c r="C778" s="89"/>
      <c r="D778" s="89"/>
      <c r="E778" s="89"/>
      <c r="F778" s="89"/>
      <c r="G778" s="89"/>
      <c r="H778" s="89"/>
      <c r="I778" s="89"/>
    </row>
    <row r="779">
      <c r="B779" s="89"/>
      <c r="C779" s="89"/>
      <c r="D779" s="89"/>
      <c r="E779" s="89"/>
      <c r="F779" s="89"/>
      <c r="G779" s="89"/>
      <c r="H779" s="89"/>
      <c r="I779" s="89"/>
    </row>
    <row r="780">
      <c r="B780" s="89"/>
      <c r="C780" s="89"/>
      <c r="D780" s="89"/>
      <c r="E780" s="89"/>
      <c r="F780" s="89"/>
      <c r="G780" s="89"/>
      <c r="H780" s="89"/>
      <c r="I780" s="89"/>
    </row>
    <row r="781">
      <c r="B781" s="89"/>
      <c r="C781" s="89"/>
      <c r="D781" s="89"/>
      <c r="E781" s="89"/>
      <c r="F781" s="89"/>
      <c r="G781" s="89"/>
      <c r="H781" s="89"/>
      <c r="I781" s="89"/>
    </row>
    <row r="782">
      <c r="B782" s="89"/>
      <c r="C782" s="89"/>
      <c r="D782" s="89"/>
      <c r="E782" s="89"/>
      <c r="F782" s="89"/>
      <c r="G782" s="89"/>
      <c r="H782" s="89"/>
      <c r="I782" s="89"/>
    </row>
    <row r="783">
      <c r="B783" s="89"/>
      <c r="C783" s="89"/>
      <c r="D783" s="89"/>
      <c r="E783" s="89"/>
      <c r="F783" s="89"/>
      <c r="G783" s="89"/>
      <c r="H783" s="89"/>
      <c r="I783" s="89"/>
    </row>
    <row r="784">
      <c r="B784" s="89"/>
      <c r="C784" s="89"/>
      <c r="D784" s="89"/>
      <c r="E784" s="89"/>
      <c r="F784" s="89"/>
      <c r="G784" s="89"/>
      <c r="H784" s="89"/>
      <c r="I784" s="89"/>
    </row>
    <row r="785">
      <c r="B785" s="89"/>
      <c r="C785" s="89"/>
      <c r="D785" s="89"/>
      <c r="E785" s="89"/>
      <c r="F785" s="89"/>
      <c r="G785" s="89"/>
      <c r="H785" s="89"/>
      <c r="I785" s="89"/>
    </row>
    <row r="786">
      <c r="B786" s="89"/>
      <c r="C786" s="89"/>
      <c r="D786" s="89"/>
      <c r="E786" s="89"/>
      <c r="F786" s="89"/>
      <c r="G786" s="89"/>
      <c r="H786" s="89"/>
      <c r="I786" s="89"/>
    </row>
    <row r="787">
      <c r="B787" s="89"/>
      <c r="C787" s="89"/>
      <c r="D787" s="89"/>
      <c r="E787" s="89"/>
      <c r="F787" s="89"/>
      <c r="G787" s="89"/>
      <c r="H787" s="89"/>
      <c r="I787" s="89"/>
    </row>
    <row r="788">
      <c r="B788" s="89"/>
      <c r="C788" s="89"/>
      <c r="D788" s="89"/>
      <c r="E788" s="89"/>
      <c r="F788" s="89"/>
      <c r="G788" s="89"/>
      <c r="H788" s="89"/>
      <c r="I788" s="89"/>
    </row>
    <row r="789">
      <c r="B789" s="89"/>
      <c r="C789" s="89"/>
      <c r="D789" s="89"/>
      <c r="E789" s="89"/>
      <c r="F789" s="89"/>
      <c r="G789" s="89"/>
      <c r="H789" s="89"/>
      <c r="I789" s="89"/>
    </row>
    <row r="790">
      <c r="B790" s="89"/>
      <c r="C790" s="89"/>
      <c r="D790" s="89"/>
      <c r="E790" s="89"/>
      <c r="F790" s="89"/>
      <c r="G790" s="89"/>
      <c r="H790" s="89"/>
      <c r="I790" s="89"/>
    </row>
    <row r="791">
      <c r="B791" s="89"/>
      <c r="C791" s="89"/>
      <c r="D791" s="89"/>
      <c r="E791" s="89"/>
      <c r="F791" s="89"/>
      <c r="G791" s="89"/>
      <c r="H791" s="89"/>
      <c r="I791" s="89"/>
    </row>
    <row r="792">
      <c r="B792" s="89"/>
      <c r="C792" s="89"/>
      <c r="D792" s="89"/>
      <c r="E792" s="89"/>
      <c r="F792" s="89"/>
      <c r="G792" s="89"/>
      <c r="H792" s="89"/>
      <c r="I792" s="89"/>
    </row>
    <row r="793">
      <c r="B793" s="89"/>
      <c r="C793" s="89"/>
      <c r="D793" s="89"/>
      <c r="E793" s="89"/>
      <c r="F793" s="89"/>
      <c r="G793" s="89"/>
      <c r="H793" s="89"/>
      <c r="I793" s="89"/>
    </row>
    <row r="794">
      <c r="B794" s="89"/>
      <c r="C794" s="89"/>
      <c r="D794" s="89"/>
      <c r="E794" s="89"/>
      <c r="F794" s="89"/>
      <c r="G794" s="89"/>
      <c r="H794" s="89"/>
      <c r="I794" s="89"/>
    </row>
    <row r="795">
      <c r="B795" s="89"/>
      <c r="C795" s="89"/>
      <c r="D795" s="89"/>
      <c r="E795" s="89"/>
      <c r="F795" s="89"/>
      <c r="G795" s="89"/>
      <c r="H795" s="89"/>
      <c r="I795" s="89"/>
    </row>
    <row r="796">
      <c r="B796" s="89"/>
      <c r="C796" s="89"/>
      <c r="D796" s="89"/>
      <c r="E796" s="89"/>
      <c r="F796" s="89"/>
      <c r="G796" s="89"/>
      <c r="H796" s="89"/>
      <c r="I796" s="89"/>
    </row>
    <row r="797">
      <c r="B797" s="89"/>
      <c r="C797" s="89"/>
      <c r="D797" s="89"/>
      <c r="E797" s="89"/>
      <c r="F797" s="89"/>
      <c r="G797" s="89"/>
      <c r="H797" s="89"/>
      <c r="I797" s="89"/>
    </row>
    <row r="798">
      <c r="B798" s="89"/>
      <c r="C798" s="89"/>
      <c r="D798" s="89"/>
      <c r="E798" s="89"/>
      <c r="F798" s="89"/>
      <c r="G798" s="89"/>
      <c r="H798" s="89"/>
      <c r="I798" s="89"/>
    </row>
    <row r="799">
      <c r="B799" s="89"/>
      <c r="C799" s="89"/>
      <c r="D799" s="89"/>
      <c r="E799" s="89"/>
      <c r="F799" s="89"/>
      <c r="G799" s="89"/>
      <c r="H799" s="89"/>
      <c r="I799" s="89"/>
    </row>
    <row r="800">
      <c r="B800" s="89"/>
      <c r="C800" s="89"/>
      <c r="D800" s="89"/>
      <c r="E800" s="89"/>
      <c r="F800" s="89"/>
      <c r="G800" s="89"/>
      <c r="H800" s="89"/>
      <c r="I800" s="89"/>
    </row>
    <row r="801">
      <c r="B801" s="89"/>
      <c r="C801" s="89"/>
      <c r="D801" s="89"/>
      <c r="E801" s="89"/>
      <c r="F801" s="89"/>
      <c r="G801" s="89"/>
      <c r="H801" s="89"/>
      <c r="I801" s="89"/>
    </row>
    <row r="802">
      <c r="B802" s="89"/>
      <c r="C802" s="89"/>
      <c r="D802" s="89"/>
      <c r="E802" s="89"/>
      <c r="F802" s="89"/>
      <c r="G802" s="89"/>
      <c r="H802" s="89"/>
      <c r="I802" s="89"/>
    </row>
    <row r="803">
      <c r="B803" s="89"/>
      <c r="C803" s="89"/>
      <c r="D803" s="89"/>
      <c r="E803" s="89"/>
      <c r="F803" s="89"/>
      <c r="G803" s="89"/>
      <c r="H803" s="89"/>
      <c r="I803" s="89"/>
    </row>
    <row r="804">
      <c r="B804" s="89"/>
      <c r="C804" s="89"/>
      <c r="D804" s="89"/>
      <c r="E804" s="89"/>
      <c r="F804" s="89"/>
      <c r="G804" s="89"/>
      <c r="H804" s="89"/>
      <c r="I804" s="89"/>
    </row>
    <row r="805">
      <c r="B805" s="89"/>
      <c r="C805" s="89"/>
      <c r="D805" s="89"/>
      <c r="E805" s="89"/>
      <c r="F805" s="89"/>
      <c r="G805" s="89"/>
      <c r="H805" s="89"/>
      <c r="I805" s="89"/>
    </row>
    <row r="806">
      <c r="B806" s="89"/>
      <c r="C806" s="89"/>
      <c r="D806" s="89"/>
      <c r="E806" s="89"/>
      <c r="F806" s="89"/>
      <c r="G806" s="89"/>
      <c r="H806" s="89"/>
      <c r="I806" s="89"/>
    </row>
    <row r="807">
      <c r="B807" s="89"/>
      <c r="C807" s="89"/>
      <c r="D807" s="89"/>
      <c r="E807" s="89"/>
      <c r="F807" s="89"/>
      <c r="G807" s="89"/>
      <c r="H807" s="89"/>
      <c r="I807" s="89"/>
    </row>
    <row r="808">
      <c r="B808" s="89"/>
      <c r="C808" s="89"/>
      <c r="D808" s="89"/>
      <c r="E808" s="89"/>
      <c r="F808" s="89"/>
      <c r="G808" s="89"/>
      <c r="H808" s="89"/>
      <c r="I808" s="89"/>
    </row>
    <row r="809">
      <c r="B809" s="89"/>
      <c r="C809" s="89"/>
      <c r="D809" s="89"/>
      <c r="E809" s="89"/>
      <c r="F809" s="89"/>
      <c r="G809" s="89"/>
      <c r="H809" s="89"/>
      <c r="I809" s="89"/>
    </row>
    <row r="810">
      <c r="B810" s="89"/>
      <c r="C810" s="89"/>
      <c r="D810" s="89"/>
      <c r="E810" s="89"/>
      <c r="F810" s="89"/>
      <c r="G810" s="89"/>
      <c r="H810" s="89"/>
      <c r="I810" s="89"/>
    </row>
    <row r="811">
      <c r="B811" s="89"/>
      <c r="C811" s="89"/>
      <c r="D811" s="89"/>
      <c r="E811" s="89"/>
      <c r="F811" s="89"/>
      <c r="G811" s="89"/>
      <c r="H811" s="89"/>
      <c r="I811" s="89"/>
    </row>
    <row r="812">
      <c r="B812" s="89"/>
      <c r="C812" s="89"/>
      <c r="D812" s="89"/>
      <c r="E812" s="89"/>
      <c r="F812" s="89"/>
      <c r="G812" s="89"/>
      <c r="H812" s="89"/>
      <c r="I812" s="89"/>
    </row>
    <row r="813">
      <c r="B813" s="89"/>
      <c r="C813" s="89"/>
      <c r="D813" s="89"/>
      <c r="E813" s="89"/>
      <c r="F813" s="89"/>
      <c r="G813" s="89"/>
      <c r="H813" s="89"/>
      <c r="I813" s="89"/>
    </row>
    <row r="814">
      <c r="B814" s="89"/>
      <c r="C814" s="89"/>
      <c r="D814" s="89"/>
      <c r="E814" s="89"/>
      <c r="F814" s="89"/>
      <c r="G814" s="89"/>
      <c r="H814" s="89"/>
      <c r="I814" s="89"/>
    </row>
    <row r="815">
      <c r="B815" s="89"/>
      <c r="C815" s="89"/>
      <c r="D815" s="89"/>
      <c r="E815" s="89"/>
      <c r="F815" s="89"/>
      <c r="G815" s="89"/>
      <c r="H815" s="89"/>
      <c r="I815" s="89"/>
    </row>
    <row r="816">
      <c r="B816" s="89"/>
      <c r="C816" s="89"/>
      <c r="D816" s="89"/>
      <c r="E816" s="89"/>
      <c r="F816" s="89"/>
      <c r="G816" s="89"/>
      <c r="H816" s="89"/>
      <c r="I816" s="89"/>
    </row>
    <row r="817">
      <c r="B817" s="89"/>
      <c r="C817" s="89"/>
      <c r="D817" s="89"/>
      <c r="E817" s="89"/>
      <c r="F817" s="89"/>
      <c r="G817" s="89"/>
      <c r="H817" s="89"/>
      <c r="I817" s="89"/>
    </row>
    <row r="818">
      <c r="B818" s="89"/>
      <c r="C818" s="89"/>
      <c r="D818" s="89"/>
      <c r="E818" s="89"/>
      <c r="F818" s="89"/>
      <c r="G818" s="89"/>
      <c r="H818" s="89"/>
      <c r="I818" s="89"/>
    </row>
    <row r="819">
      <c r="B819" s="89"/>
      <c r="C819" s="89"/>
      <c r="D819" s="89"/>
      <c r="E819" s="89"/>
      <c r="F819" s="89"/>
      <c r="G819" s="89"/>
      <c r="H819" s="89"/>
      <c r="I819" s="89"/>
    </row>
    <row r="820">
      <c r="B820" s="89"/>
      <c r="C820" s="89"/>
      <c r="D820" s="89"/>
      <c r="E820" s="89"/>
      <c r="F820" s="89"/>
      <c r="G820" s="89"/>
      <c r="H820" s="89"/>
      <c r="I820" s="89"/>
    </row>
    <row r="821">
      <c r="B821" s="89"/>
      <c r="C821" s="89"/>
      <c r="D821" s="89"/>
      <c r="E821" s="89"/>
      <c r="F821" s="89"/>
      <c r="G821" s="89"/>
      <c r="H821" s="89"/>
      <c r="I821" s="89"/>
    </row>
    <row r="822">
      <c r="B822" s="89"/>
      <c r="C822" s="89"/>
      <c r="D822" s="89"/>
      <c r="E822" s="89"/>
      <c r="F822" s="89"/>
      <c r="G822" s="89"/>
      <c r="H822" s="89"/>
      <c r="I822" s="89"/>
    </row>
    <row r="823">
      <c r="B823" s="89"/>
      <c r="C823" s="89"/>
      <c r="D823" s="89"/>
      <c r="E823" s="89"/>
      <c r="F823" s="89"/>
      <c r="G823" s="89"/>
      <c r="H823" s="89"/>
      <c r="I823" s="89"/>
    </row>
    <row r="824">
      <c r="B824" s="89"/>
      <c r="C824" s="89"/>
      <c r="D824" s="89"/>
      <c r="E824" s="89"/>
      <c r="F824" s="89"/>
      <c r="G824" s="89"/>
      <c r="H824" s="89"/>
      <c r="I824" s="89"/>
    </row>
    <row r="825">
      <c r="B825" s="89"/>
      <c r="C825" s="89"/>
      <c r="D825" s="89"/>
      <c r="E825" s="89"/>
      <c r="F825" s="89"/>
      <c r="G825" s="89"/>
      <c r="H825" s="89"/>
      <c r="I825" s="89"/>
    </row>
    <row r="826">
      <c r="B826" s="89"/>
      <c r="C826" s="89"/>
      <c r="D826" s="89"/>
      <c r="E826" s="89"/>
      <c r="F826" s="89"/>
      <c r="G826" s="89"/>
      <c r="H826" s="89"/>
      <c r="I826" s="89"/>
    </row>
    <row r="827">
      <c r="B827" s="89"/>
      <c r="C827" s="89"/>
      <c r="D827" s="89"/>
      <c r="E827" s="89"/>
      <c r="F827" s="89"/>
      <c r="G827" s="89"/>
      <c r="H827" s="89"/>
      <c r="I827" s="89"/>
    </row>
    <row r="828">
      <c r="B828" s="89"/>
      <c r="C828" s="89"/>
      <c r="D828" s="89"/>
      <c r="E828" s="89"/>
      <c r="F828" s="89"/>
      <c r="G828" s="89"/>
      <c r="H828" s="89"/>
      <c r="I828" s="89"/>
    </row>
    <row r="829">
      <c r="B829" s="89"/>
      <c r="C829" s="89"/>
      <c r="D829" s="89"/>
      <c r="E829" s="89"/>
      <c r="F829" s="89"/>
      <c r="G829" s="89"/>
      <c r="H829" s="89"/>
      <c r="I829" s="89"/>
    </row>
    <row r="830">
      <c r="B830" s="89"/>
      <c r="C830" s="89"/>
      <c r="D830" s="89"/>
      <c r="E830" s="89"/>
      <c r="F830" s="89"/>
      <c r="G830" s="89"/>
      <c r="H830" s="89"/>
      <c r="I830" s="89"/>
    </row>
    <row r="831">
      <c r="B831" s="89"/>
      <c r="C831" s="89"/>
      <c r="D831" s="89"/>
      <c r="E831" s="89"/>
      <c r="F831" s="89"/>
      <c r="G831" s="89"/>
      <c r="H831" s="89"/>
      <c r="I831" s="89"/>
    </row>
    <row r="832">
      <c r="B832" s="89"/>
      <c r="C832" s="89"/>
      <c r="D832" s="89"/>
      <c r="E832" s="89"/>
      <c r="F832" s="89"/>
      <c r="G832" s="89"/>
      <c r="H832" s="89"/>
      <c r="I832" s="89"/>
    </row>
    <row r="833">
      <c r="B833" s="89"/>
      <c r="C833" s="89"/>
      <c r="D833" s="89"/>
      <c r="E833" s="89"/>
      <c r="F833" s="89"/>
      <c r="G833" s="89"/>
      <c r="H833" s="89"/>
      <c r="I833" s="89"/>
    </row>
    <row r="834">
      <c r="B834" s="89"/>
      <c r="C834" s="89"/>
      <c r="D834" s="89"/>
      <c r="E834" s="89"/>
      <c r="F834" s="89"/>
      <c r="G834" s="89"/>
      <c r="H834" s="89"/>
      <c r="I834" s="89"/>
    </row>
    <row r="835">
      <c r="B835" s="89"/>
      <c r="C835" s="89"/>
      <c r="D835" s="89"/>
      <c r="E835" s="89"/>
      <c r="F835" s="89"/>
      <c r="G835" s="89"/>
      <c r="H835" s="89"/>
      <c r="I835" s="89"/>
    </row>
    <row r="836">
      <c r="B836" s="89"/>
      <c r="C836" s="89"/>
      <c r="D836" s="89"/>
      <c r="E836" s="89"/>
      <c r="F836" s="89"/>
      <c r="G836" s="89"/>
      <c r="H836" s="89"/>
      <c r="I836" s="89"/>
    </row>
    <row r="837">
      <c r="B837" s="89"/>
      <c r="C837" s="89"/>
      <c r="D837" s="89"/>
      <c r="E837" s="89"/>
      <c r="F837" s="89"/>
      <c r="G837" s="89"/>
      <c r="H837" s="89"/>
      <c r="I837" s="89"/>
    </row>
    <row r="838">
      <c r="B838" s="89"/>
      <c r="C838" s="89"/>
      <c r="D838" s="89"/>
      <c r="E838" s="89"/>
      <c r="F838" s="89"/>
      <c r="G838" s="89"/>
      <c r="H838" s="89"/>
      <c r="I838" s="89"/>
    </row>
    <row r="839">
      <c r="B839" s="89"/>
      <c r="C839" s="89"/>
      <c r="D839" s="89"/>
      <c r="E839" s="89"/>
      <c r="F839" s="89"/>
      <c r="G839" s="89"/>
      <c r="H839" s="89"/>
      <c r="I839" s="89"/>
    </row>
    <row r="840">
      <c r="B840" s="89"/>
      <c r="C840" s="89"/>
      <c r="D840" s="89"/>
      <c r="E840" s="89"/>
      <c r="F840" s="89"/>
      <c r="G840" s="89"/>
      <c r="H840" s="89"/>
      <c r="I840" s="89"/>
    </row>
    <row r="841">
      <c r="B841" s="89"/>
      <c r="C841" s="89"/>
      <c r="D841" s="89"/>
      <c r="E841" s="89"/>
      <c r="F841" s="89"/>
      <c r="G841" s="89"/>
      <c r="H841" s="89"/>
      <c r="I841" s="89"/>
    </row>
    <row r="842">
      <c r="B842" s="89"/>
      <c r="C842" s="89"/>
      <c r="D842" s="89"/>
      <c r="E842" s="89"/>
      <c r="F842" s="89"/>
      <c r="G842" s="89"/>
      <c r="H842" s="89"/>
      <c r="I842" s="89"/>
    </row>
    <row r="843">
      <c r="B843" s="89"/>
      <c r="C843" s="89"/>
      <c r="D843" s="89"/>
      <c r="E843" s="89"/>
      <c r="F843" s="89"/>
      <c r="G843" s="89"/>
      <c r="H843" s="89"/>
      <c r="I843" s="89"/>
    </row>
    <row r="844">
      <c r="B844" s="89"/>
      <c r="C844" s="89"/>
      <c r="D844" s="89"/>
      <c r="E844" s="89"/>
      <c r="F844" s="89"/>
      <c r="G844" s="89"/>
      <c r="H844" s="89"/>
      <c r="I844" s="89"/>
    </row>
    <row r="845">
      <c r="B845" s="89"/>
      <c r="C845" s="89"/>
      <c r="D845" s="89"/>
      <c r="E845" s="89"/>
      <c r="F845" s="89"/>
      <c r="G845" s="89"/>
      <c r="H845" s="89"/>
      <c r="I845" s="89"/>
    </row>
    <row r="846">
      <c r="B846" s="89"/>
      <c r="C846" s="89"/>
      <c r="D846" s="89"/>
      <c r="E846" s="89"/>
      <c r="F846" s="89"/>
      <c r="G846" s="89"/>
      <c r="H846" s="89"/>
      <c r="I846" s="89"/>
    </row>
    <row r="847">
      <c r="B847" s="89"/>
      <c r="C847" s="89"/>
      <c r="D847" s="89"/>
      <c r="E847" s="89"/>
      <c r="F847" s="89"/>
      <c r="G847" s="89"/>
      <c r="H847" s="89"/>
      <c r="I847" s="89"/>
    </row>
    <row r="848">
      <c r="B848" s="89"/>
      <c r="C848" s="89"/>
      <c r="D848" s="89"/>
      <c r="E848" s="89"/>
      <c r="F848" s="89"/>
      <c r="G848" s="89"/>
      <c r="H848" s="89"/>
      <c r="I848" s="89"/>
    </row>
    <row r="849">
      <c r="B849" s="89"/>
      <c r="C849" s="89"/>
      <c r="D849" s="89"/>
      <c r="E849" s="89"/>
      <c r="F849" s="89"/>
      <c r="G849" s="89"/>
      <c r="H849" s="89"/>
      <c r="I849" s="89"/>
    </row>
    <row r="850">
      <c r="B850" s="89"/>
      <c r="C850" s="89"/>
      <c r="D850" s="89"/>
      <c r="E850" s="89"/>
      <c r="F850" s="89"/>
      <c r="G850" s="89"/>
      <c r="H850" s="89"/>
      <c r="I850" s="89"/>
    </row>
    <row r="851">
      <c r="B851" s="89"/>
      <c r="C851" s="89"/>
      <c r="D851" s="89"/>
      <c r="E851" s="89"/>
      <c r="F851" s="89"/>
      <c r="G851" s="89"/>
      <c r="H851" s="89"/>
      <c r="I851" s="89"/>
    </row>
    <row r="852">
      <c r="B852" s="89"/>
      <c r="C852" s="89"/>
      <c r="D852" s="89"/>
      <c r="E852" s="89"/>
      <c r="F852" s="89"/>
      <c r="G852" s="89"/>
      <c r="H852" s="89"/>
      <c r="I852" s="89"/>
    </row>
    <row r="853">
      <c r="B853" s="89"/>
      <c r="C853" s="89"/>
      <c r="D853" s="89"/>
      <c r="E853" s="89"/>
      <c r="F853" s="89"/>
      <c r="G853" s="89"/>
      <c r="H853" s="89"/>
      <c r="I853" s="89"/>
    </row>
    <row r="854">
      <c r="B854" s="89"/>
      <c r="C854" s="89"/>
      <c r="D854" s="89"/>
      <c r="E854" s="89"/>
      <c r="F854" s="89"/>
      <c r="G854" s="89"/>
      <c r="H854" s="89"/>
      <c r="I854" s="89"/>
    </row>
    <row r="855">
      <c r="B855" s="89"/>
      <c r="C855" s="89"/>
      <c r="D855" s="89"/>
      <c r="E855" s="89"/>
      <c r="F855" s="89"/>
      <c r="G855" s="89"/>
      <c r="H855" s="89"/>
      <c r="I855" s="89"/>
    </row>
    <row r="856">
      <c r="B856" s="89"/>
      <c r="C856" s="89"/>
      <c r="D856" s="89"/>
      <c r="E856" s="89"/>
      <c r="F856" s="89"/>
      <c r="G856" s="89"/>
      <c r="H856" s="89"/>
      <c r="I856" s="89"/>
    </row>
    <row r="857">
      <c r="B857" s="89"/>
      <c r="C857" s="89"/>
      <c r="D857" s="89"/>
      <c r="E857" s="89"/>
      <c r="F857" s="89"/>
      <c r="G857" s="89"/>
      <c r="H857" s="89"/>
      <c r="I857" s="89"/>
    </row>
    <row r="858">
      <c r="B858" s="89"/>
      <c r="C858" s="89"/>
      <c r="D858" s="89"/>
      <c r="E858" s="89"/>
      <c r="F858" s="89"/>
      <c r="G858" s="89"/>
      <c r="H858" s="89"/>
      <c r="I858" s="89"/>
    </row>
    <row r="859">
      <c r="B859" s="89"/>
      <c r="C859" s="89"/>
      <c r="D859" s="89"/>
      <c r="E859" s="89"/>
      <c r="F859" s="89"/>
      <c r="G859" s="89"/>
      <c r="H859" s="89"/>
      <c r="I859" s="89"/>
    </row>
    <row r="860">
      <c r="B860" s="89"/>
      <c r="C860" s="89"/>
      <c r="D860" s="89"/>
      <c r="E860" s="89"/>
      <c r="F860" s="89"/>
      <c r="G860" s="89"/>
      <c r="H860" s="89"/>
      <c r="I860" s="89"/>
    </row>
    <row r="861">
      <c r="B861" s="89"/>
      <c r="C861" s="89"/>
      <c r="D861" s="89"/>
      <c r="E861" s="89"/>
      <c r="F861" s="89"/>
      <c r="G861" s="89"/>
      <c r="H861" s="89"/>
      <c r="I861" s="89"/>
    </row>
    <row r="862">
      <c r="B862" s="89"/>
      <c r="C862" s="89"/>
      <c r="D862" s="89"/>
      <c r="E862" s="89"/>
      <c r="F862" s="89"/>
      <c r="G862" s="89"/>
      <c r="H862" s="89"/>
      <c r="I862" s="89"/>
    </row>
    <row r="863">
      <c r="B863" s="89"/>
      <c r="C863" s="89"/>
      <c r="D863" s="89"/>
      <c r="E863" s="89"/>
      <c r="F863" s="89"/>
      <c r="G863" s="89"/>
      <c r="H863" s="89"/>
      <c r="I863" s="89"/>
    </row>
    <row r="864">
      <c r="B864" s="89"/>
      <c r="C864" s="89"/>
      <c r="D864" s="89"/>
      <c r="E864" s="89"/>
      <c r="F864" s="89"/>
      <c r="G864" s="89"/>
      <c r="H864" s="89"/>
      <c r="I864" s="89"/>
    </row>
    <row r="865">
      <c r="B865" s="89"/>
      <c r="C865" s="89"/>
      <c r="D865" s="89"/>
      <c r="E865" s="89"/>
      <c r="F865" s="89"/>
      <c r="G865" s="89"/>
      <c r="H865" s="89"/>
      <c r="I865" s="89"/>
    </row>
    <row r="866">
      <c r="B866" s="89"/>
      <c r="C866" s="89"/>
      <c r="D866" s="89"/>
      <c r="E866" s="89"/>
      <c r="F866" s="89"/>
      <c r="G866" s="89"/>
      <c r="H866" s="89"/>
      <c r="I866" s="89"/>
    </row>
    <row r="867">
      <c r="B867" s="89"/>
      <c r="C867" s="89"/>
      <c r="D867" s="89"/>
      <c r="E867" s="89"/>
      <c r="F867" s="89"/>
      <c r="G867" s="89"/>
      <c r="H867" s="89"/>
      <c r="I867" s="89"/>
    </row>
    <row r="868">
      <c r="B868" s="89"/>
      <c r="C868" s="89"/>
      <c r="D868" s="89"/>
      <c r="E868" s="89"/>
      <c r="F868" s="89"/>
      <c r="G868" s="89"/>
      <c r="H868" s="89"/>
      <c r="I868" s="89"/>
    </row>
    <row r="869">
      <c r="B869" s="89"/>
      <c r="C869" s="89"/>
      <c r="D869" s="89"/>
      <c r="E869" s="89"/>
      <c r="F869" s="89"/>
      <c r="G869" s="89"/>
      <c r="H869" s="89"/>
      <c r="I869" s="89"/>
    </row>
    <row r="870">
      <c r="B870" s="89"/>
      <c r="C870" s="89"/>
      <c r="D870" s="89"/>
      <c r="E870" s="89"/>
      <c r="F870" s="89"/>
      <c r="G870" s="89"/>
      <c r="H870" s="89"/>
      <c r="I870" s="89"/>
    </row>
    <row r="871">
      <c r="B871" s="89"/>
      <c r="C871" s="89"/>
      <c r="D871" s="89"/>
      <c r="E871" s="89"/>
      <c r="F871" s="89"/>
      <c r="G871" s="89"/>
      <c r="H871" s="89"/>
      <c r="I871" s="89"/>
    </row>
    <row r="872">
      <c r="B872" s="89"/>
      <c r="C872" s="89"/>
      <c r="D872" s="89"/>
      <c r="E872" s="89"/>
      <c r="F872" s="89"/>
      <c r="G872" s="89"/>
      <c r="H872" s="89"/>
      <c r="I872" s="89"/>
    </row>
    <row r="873">
      <c r="B873" s="89"/>
      <c r="C873" s="89"/>
      <c r="D873" s="89"/>
      <c r="E873" s="89"/>
      <c r="F873" s="89"/>
      <c r="G873" s="89"/>
      <c r="H873" s="89"/>
      <c r="I873" s="89"/>
    </row>
    <row r="874">
      <c r="B874" s="89"/>
      <c r="C874" s="89"/>
      <c r="D874" s="89"/>
      <c r="E874" s="89"/>
      <c r="F874" s="89"/>
      <c r="G874" s="89"/>
      <c r="H874" s="89"/>
      <c r="I874" s="89"/>
    </row>
    <row r="875">
      <c r="B875" s="89"/>
      <c r="C875" s="89"/>
      <c r="D875" s="89"/>
      <c r="E875" s="89"/>
      <c r="F875" s="89"/>
      <c r="G875" s="89"/>
      <c r="H875" s="89"/>
      <c r="I875" s="89"/>
    </row>
    <row r="876">
      <c r="B876" s="89"/>
      <c r="C876" s="89"/>
      <c r="D876" s="89"/>
      <c r="E876" s="89"/>
      <c r="F876" s="89"/>
      <c r="G876" s="89"/>
      <c r="H876" s="89"/>
      <c r="I876" s="89"/>
    </row>
    <row r="877">
      <c r="B877" s="89"/>
      <c r="C877" s="89"/>
      <c r="D877" s="89"/>
      <c r="E877" s="89"/>
      <c r="F877" s="89"/>
      <c r="G877" s="89"/>
      <c r="H877" s="89"/>
      <c r="I877" s="89"/>
    </row>
    <row r="878">
      <c r="B878" s="89"/>
      <c r="C878" s="89"/>
      <c r="D878" s="89"/>
      <c r="E878" s="89"/>
      <c r="F878" s="89"/>
      <c r="G878" s="89"/>
      <c r="H878" s="89"/>
      <c r="I878" s="89"/>
    </row>
    <row r="879">
      <c r="B879" s="89"/>
      <c r="C879" s="89"/>
      <c r="D879" s="89"/>
      <c r="E879" s="89"/>
      <c r="F879" s="89"/>
      <c r="G879" s="89"/>
      <c r="H879" s="89"/>
      <c r="I879" s="89"/>
    </row>
    <row r="880">
      <c r="B880" s="89"/>
      <c r="C880" s="89"/>
      <c r="D880" s="89"/>
      <c r="E880" s="89"/>
      <c r="F880" s="89"/>
      <c r="G880" s="89"/>
      <c r="H880" s="89"/>
      <c r="I880" s="89"/>
    </row>
    <row r="881">
      <c r="B881" s="89"/>
      <c r="C881" s="89"/>
      <c r="D881" s="89"/>
      <c r="E881" s="89"/>
      <c r="F881" s="89"/>
      <c r="G881" s="89"/>
      <c r="H881" s="89"/>
      <c r="I881" s="89"/>
    </row>
    <row r="882">
      <c r="B882" s="89"/>
      <c r="C882" s="89"/>
      <c r="D882" s="89"/>
      <c r="E882" s="89"/>
      <c r="F882" s="89"/>
      <c r="G882" s="89"/>
      <c r="H882" s="89"/>
      <c r="I882" s="89"/>
    </row>
    <row r="883">
      <c r="B883" s="89"/>
      <c r="C883" s="89"/>
      <c r="D883" s="89"/>
      <c r="E883" s="89"/>
      <c r="F883" s="89"/>
      <c r="G883" s="89"/>
      <c r="H883" s="89"/>
      <c r="I883" s="89"/>
    </row>
    <row r="884">
      <c r="B884" s="89"/>
      <c r="C884" s="89"/>
      <c r="D884" s="89"/>
      <c r="E884" s="89"/>
      <c r="F884" s="89"/>
      <c r="G884" s="89"/>
      <c r="H884" s="89"/>
      <c r="I884" s="89"/>
    </row>
    <row r="885">
      <c r="B885" s="89"/>
      <c r="C885" s="89"/>
      <c r="D885" s="89"/>
      <c r="E885" s="89"/>
      <c r="F885" s="89"/>
      <c r="G885" s="89"/>
      <c r="H885" s="89"/>
      <c r="I885" s="89"/>
    </row>
    <row r="886">
      <c r="B886" s="89"/>
      <c r="C886" s="89"/>
      <c r="D886" s="89"/>
      <c r="E886" s="89"/>
      <c r="F886" s="89"/>
      <c r="G886" s="89"/>
      <c r="H886" s="89"/>
      <c r="I886" s="89"/>
    </row>
    <row r="887">
      <c r="B887" s="89"/>
      <c r="C887" s="89"/>
      <c r="D887" s="89"/>
      <c r="E887" s="89"/>
      <c r="F887" s="89"/>
      <c r="G887" s="89"/>
      <c r="H887" s="89"/>
      <c r="I887" s="89"/>
    </row>
    <row r="888">
      <c r="B888" s="89"/>
      <c r="C888" s="89"/>
      <c r="D888" s="89"/>
      <c r="E888" s="89"/>
      <c r="F888" s="89"/>
      <c r="G888" s="89"/>
      <c r="H888" s="89"/>
      <c r="I888" s="89"/>
    </row>
    <row r="889">
      <c r="B889" s="89"/>
      <c r="C889" s="89"/>
      <c r="D889" s="89"/>
      <c r="E889" s="89"/>
      <c r="F889" s="89"/>
      <c r="G889" s="89"/>
      <c r="H889" s="89"/>
      <c r="I889" s="89"/>
    </row>
    <row r="890">
      <c r="B890" s="89"/>
      <c r="C890" s="89"/>
      <c r="D890" s="89"/>
      <c r="E890" s="89"/>
      <c r="F890" s="89"/>
      <c r="G890" s="89"/>
      <c r="H890" s="89"/>
      <c r="I890" s="89"/>
    </row>
    <row r="891">
      <c r="B891" s="89"/>
      <c r="C891" s="89"/>
      <c r="D891" s="89"/>
      <c r="E891" s="89"/>
      <c r="F891" s="89"/>
      <c r="G891" s="89"/>
      <c r="H891" s="89"/>
      <c r="I891" s="89"/>
    </row>
    <row r="892">
      <c r="B892" s="89"/>
      <c r="C892" s="89"/>
      <c r="D892" s="89"/>
      <c r="E892" s="89"/>
      <c r="F892" s="89"/>
      <c r="G892" s="89"/>
      <c r="H892" s="89"/>
      <c r="I892" s="89"/>
    </row>
    <row r="893">
      <c r="B893" s="89"/>
      <c r="C893" s="89"/>
      <c r="D893" s="89"/>
      <c r="E893" s="89"/>
      <c r="F893" s="89"/>
      <c r="G893" s="89"/>
      <c r="H893" s="89"/>
      <c r="I893" s="89"/>
    </row>
    <row r="894">
      <c r="B894" s="89"/>
      <c r="C894" s="89"/>
      <c r="D894" s="89"/>
      <c r="E894" s="89"/>
      <c r="F894" s="89"/>
      <c r="G894" s="89"/>
      <c r="H894" s="89"/>
      <c r="I894" s="89"/>
    </row>
    <row r="895">
      <c r="B895" s="89"/>
      <c r="C895" s="89"/>
      <c r="D895" s="89"/>
      <c r="E895" s="89"/>
      <c r="F895" s="89"/>
      <c r="G895" s="89"/>
      <c r="H895" s="89"/>
      <c r="I895" s="89"/>
    </row>
    <row r="896">
      <c r="B896" s="89"/>
      <c r="C896" s="89"/>
      <c r="D896" s="89"/>
      <c r="E896" s="89"/>
      <c r="F896" s="89"/>
      <c r="G896" s="89"/>
      <c r="H896" s="89"/>
      <c r="I896" s="89"/>
    </row>
    <row r="897">
      <c r="B897" s="89"/>
      <c r="C897" s="89"/>
      <c r="D897" s="89"/>
      <c r="E897" s="89"/>
      <c r="F897" s="89"/>
      <c r="G897" s="89"/>
      <c r="H897" s="89"/>
      <c r="I897" s="89"/>
    </row>
    <row r="898">
      <c r="B898" s="89"/>
      <c r="C898" s="89"/>
      <c r="D898" s="89"/>
      <c r="E898" s="89"/>
      <c r="F898" s="89"/>
      <c r="G898" s="89"/>
      <c r="H898" s="89"/>
      <c r="I898" s="89"/>
    </row>
    <row r="899">
      <c r="B899" s="89"/>
      <c r="C899" s="89"/>
      <c r="D899" s="89"/>
      <c r="E899" s="89"/>
      <c r="F899" s="89"/>
      <c r="G899" s="89"/>
      <c r="H899" s="89"/>
      <c r="I899" s="89"/>
    </row>
    <row r="900">
      <c r="B900" s="89"/>
      <c r="C900" s="89"/>
      <c r="D900" s="89"/>
      <c r="E900" s="89"/>
      <c r="F900" s="89"/>
      <c r="G900" s="89"/>
      <c r="H900" s="89"/>
      <c r="I900" s="89"/>
    </row>
    <row r="901">
      <c r="B901" s="89"/>
      <c r="C901" s="89"/>
      <c r="D901" s="89"/>
      <c r="E901" s="89"/>
      <c r="F901" s="89"/>
      <c r="G901" s="89"/>
      <c r="H901" s="89"/>
      <c r="I901" s="89"/>
    </row>
    <row r="902">
      <c r="B902" s="89"/>
      <c r="C902" s="89"/>
      <c r="D902" s="89"/>
      <c r="E902" s="89"/>
      <c r="F902" s="89"/>
      <c r="G902" s="89"/>
      <c r="H902" s="89"/>
      <c r="I902" s="89"/>
    </row>
    <row r="903">
      <c r="B903" s="89"/>
      <c r="C903" s="89"/>
      <c r="D903" s="89"/>
      <c r="E903" s="89"/>
      <c r="F903" s="89"/>
      <c r="G903" s="89"/>
      <c r="H903" s="89"/>
      <c r="I903" s="89"/>
    </row>
    <row r="904">
      <c r="B904" s="89"/>
      <c r="C904" s="89"/>
      <c r="D904" s="89"/>
      <c r="E904" s="89"/>
      <c r="F904" s="89"/>
      <c r="G904" s="89"/>
      <c r="H904" s="89"/>
      <c r="I904" s="89"/>
    </row>
    <row r="905">
      <c r="B905" s="89"/>
      <c r="C905" s="89"/>
      <c r="D905" s="89"/>
      <c r="E905" s="89"/>
      <c r="F905" s="89"/>
      <c r="G905" s="89"/>
      <c r="H905" s="89"/>
      <c r="I905" s="89"/>
    </row>
    <row r="906">
      <c r="B906" s="89"/>
      <c r="C906" s="89"/>
      <c r="D906" s="89"/>
      <c r="E906" s="89"/>
      <c r="F906" s="89"/>
      <c r="G906" s="89"/>
      <c r="H906" s="89"/>
      <c r="I906" s="89"/>
    </row>
    <row r="907">
      <c r="B907" s="89"/>
      <c r="C907" s="89"/>
      <c r="D907" s="89"/>
      <c r="E907" s="89"/>
      <c r="F907" s="89"/>
      <c r="G907" s="89"/>
      <c r="H907" s="89"/>
      <c r="I907" s="89"/>
    </row>
    <row r="908">
      <c r="B908" s="89"/>
      <c r="C908" s="89"/>
      <c r="D908" s="89"/>
      <c r="E908" s="89"/>
      <c r="F908" s="89"/>
      <c r="G908" s="89"/>
      <c r="H908" s="89"/>
      <c r="I908" s="89"/>
    </row>
    <row r="909">
      <c r="B909" s="89"/>
      <c r="C909" s="89"/>
      <c r="D909" s="89"/>
      <c r="E909" s="89"/>
      <c r="F909" s="89"/>
      <c r="G909" s="89"/>
      <c r="H909" s="89"/>
      <c r="I909" s="89"/>
    </row>
    <row r="910">
      <c r="B910" s="89"/>
      <c r="C910" s="89"/>
      <c r="D910" s="89"/>
      <c r="E910" s="89"/>
      <c r="F910" s="89"/>
      <c r="G910" s="89"/>
      <c r="H910" s="89"/>
      <c r="I910" s="89"/>
    </row>
    <row r="911">
      <c r="B911" s="89"/>
      <c r="C911" s="89"/>
      <c r="D911" s="89"/>
      <c r="E911" s="89"/>
      <c r="F911" s="89"/>
      <c r="G911" s="89"/>
      <c r="H911" s="89"/>
      <c r="I911" s="89"/>
    </row>
    <row r="912">
      <c r="B912" s="89"/>
      <c r="C912" s="89"/>
      <c r="D912" s="89"/>
      <c r="E912" s="89"/>
      <c r="F912" s="89"/>
      <c r="G912" s="89"/>
      <c r="H912" s="89"/>
      <c r="I912" s="89"/>
    </row>
    <row r="913">
      <c r="B913" s="89"/>
      <c r="C913" s="89"/>
      <c r="D913" s="89"/>
      <c r="E913" s="89"/>
      <c r="F913" s="89"/>
      <c r="G913" s="89"/>
      <c r="H913" s="89"/>
      <c r="I913" s="89"/>
    </row>
    <row r="914">
      <c r="B914" s="89"/>
      <c r="C914" s="89"/>
      <c r="D914" s="89"/>
      <c r="E914" s="89"/>
      <c r="F914" s="89"/>
      <c r="G914" s="89"/>
      <c r="H914" s="89"/>
      <c r="I914" s="89"/>
    </row>
    <row r="915">
      <c r="B915" s="89"/>
      <c r="C915" s="89"/>
      <c r="D915" s="89"/>
      <c r="E915" s="89"/>
      <c r="F915" s="89"/>
      <c r="G915" s="89"/>
      <c r="H915" s="89"/>
      <c r="I915" s="89"/>
    </row>
    <row r="916">
      <c r="B916" s="89"/>
      <c r="C916" s="89"/>
      <c r="D916" s="89"/>
      <c r="E916" s="89"/>
      <c r="F916" s="89"/>
      <c r="G916" s="89"/>
      <c r="H916" s="89"/>
      <c r="I916" s="89"/>
    </row>
    <row r="917">
      <c r="B917" s="89"/>
      <c r="C917" s="89"/>
      <c r="D917" s="89"/>
      <c r="E917" s="89"/>
      <c r="F917" s="89"/>
      <c r="G917" s="89"/>
      <c r="H917" s="89"/>
      <c r="I917" s="89"/>
    </row>
    <row r="918">
      <c r="B918" s="89"/>
      <c r="C918" s="89"/>
      <c r="D918" s="89"/>
      <c r="E918" s="89"/>
      <c r="F918" s="89"/>
      <c r="G918" s="89"/>
      <c r="H918" s="89"/>
      <c r="I918" s="89"/>
    </row>
    <row r="919">
      <c r="B919" s="89"/>
      <c r="C919" s="89"/>
      <c r="D919" s="89"/>
      <c r="E919" s="89"/>
      <c r="F919" s="89"/>
      <c r="G919" s="89"/>
      <c r="H919" s="89"/>
      <c r="I919" s="89"/>
    </row>
    <row r="920">
      <c r="B920" s="89"/>
      <c r="C920" s="89"/>
      <c r="D920" s="89"/>
      <c r="E920" s="89"/>
      <c r="F920" s="89"/>
      <c r="G920" s="89"/>
      <c r="H920" s="89"/>
      <c r="I920" s="89"/>
    </row>
    <row r="921">
      <c r="B921" s="89"/>
      <c r="C921" s="89"/>
      <c r="D921" s="89"/>
      <c r="E921" s="89"/>
      <c r="F921" s="89"/>
      <c r="G921" s="89"/>
      <c r="H921" s="89"/>
      <c r="I921" s="89"/>
    </row>
    <row r="922">
      <c r="B922" s="89"/>
      <c r="C922" s="89"/>
      <c r="D922" s="89"/>
      <c r="E922" s="89"/>
      <c r="F922" s="89"/>
      <c r="G922" s="89"/>
      <c r="H922" s="89"/>
      <c r="I922" s="89"/>
    </row>
    <row r="923">
      <c r="B923" s="89"/>
      <c r="C923" s="89"/>
      <c r="D923" s="89"/>
      <c r="E923" s="89"/>
      <c r="F923" s="89"/>
      <c r="G923" s="89"/>
      <c r="H923" s="89"/>
      <c r="I923" s="89"/>
    </row>
    <row r="924">
      <c r="B924" s="89"/>
      <c r="C924" s="89"/>
      <c r="D924" s="89"/>
      <c r="E924" s="89"/>
      <c r="F924" s="89"/>
      <c r="G924" s="89"/>
      <c r="H924" s="89"/>
      <c r="I924" s="89"/>
    </row>
    <row r="925">
      <c r="B925" s="89"/>
      <c r="C925" s="89"/>
      <c r="D925" s="89"/>
      <c r="E925" s="89"/>
      <c r="F925" s="89"/>
      <c r="G925" s="89"/>
      <c r="H925" s="89"/>
      <c r="I925" s="89"/>
    </row>
    <row r="926">
      <c r="B926" s="89"/>
      <c r="C926" s="89"/>
      <c r="D926" s="89"/>
      <c r="E926" s="89"/>
      <c r="F926" s="89"/>
      <c r="G926" s="89"/>
      <c r="H926" s="89"/>
      <c r="I926" s="89"/>
    </row>
    <row r="927">
      <c r="B927" s="89"/>
      <c r="C927" s="89"/>
      <c r="D927" s="89"/>
      <c r="E927" s="89"/>
      <c r="F927" s="89"/>
      <c r="G927" s="89"/>
      <c r="H927" s="89"/>
      <c r="I927" s="89"/>
    </row>
    <row r="928">
      <c r="B928" s="89"/>
      <c r="C928" s="89"/>
      <c r="D928" s="89"/>
      <c r="E928" s="89"/>
      <c r="F928" s="89"/>
      <c r="G928" s="89"/>
      <c r="H928" s="89"/>
      <c r="I928" s="89"/>
    </row>
    <row r="929">
      <c r="B929" s="89"/>
      <c r="C929" s="89"/>
      <c r="D929" s="89"/>
      <c r="E929" s="89"/>
      <c r="F929" s="89"/>
      <c r="G929" s="89"/>
      <c r="H929" s="89"/>
      <c r="I929" s="89"/>
    </row>
    <row r="930">
      <c r="B930" s="89"/>
      <c r="C930" s="89"/>
      <c r="D930" s="89"/>
      <c r="E930" s="89"/>
      <c r="F930" s="89"/>
      <c r="G930" s="89"/>
      <c r="H930" s="89"/>
      <c r="I930" s="89"/>
    </row>
    <row r="931">
      <c r="B931" s="89"/>
      <c r="C931" s="89"/>
      <c r="D931" s="89"/>
      <c r="E931" s="89"/>
      <c r="F931" s="89"/>
      <c r="G931" s="89"/>
      <c r="H931" s="89"/>
      <c r="I931" s="89"/>
    </row>
    <row r="932">
      <c r="B932" s="89"/>
      <c r="C932" s="89"/>
      <c r="D932" s="89"/>
      <c r="E932" s="89"/>
      <c r="F932" s="89"/>
      <c r="G932" s="89"/>
      <c r="H932" s="89"/>
      <c r="I932" s="89"/>
    </row>
    <row r="933">
      <c r="B933" s="89"/>
      <c r="C933" s="89"/>
      <c r="D933" s="89"/>
      <c r="E933" s="89"/>
      <c r="F933" s="89"/>
      <c r="G933" s="89"/>
      <c r="H933" s="89"/>
      <c r="I933" s="89"/>
    </row>
    <row r="934">
      <c r="B934" s="89"/>
      <c r="C934" s="89"/>
      <c r="D934" s="89"/>
      <c r="E934" s="89"/>
      <c r="F934" s="89"/>
      <c r="G934" s="89"/>
      <c r="H934" s="89"/>
      <c r="I934" s="89"/>
    </row>
    <row r="935">
      <c r="B935" s="89"/>
      <c r="C935" s="89"/>
      <c r="D935" s="89"/>
      <c r="E935" s="89"/>
      <c r="F935" s="89"/>
      <c r="G935" s="89"/>
      <c r="H935" s="89"/>
      <c r="I935" s="89"/>
    </row>
    <row r="936">
      <c r="B936" s="89"/>
      <c r="C936" s="89"/>
      <c r="D936" s="89"/>
      <c r="E936" s="89"/>
      <c r="F936" s="89"/>
      <c r="G936" s="89"/>
      <c r="H936" s="89"/>
      <c r="I936" s="89"/>
    </row>
    <row r="937">
      <c r="B937" s="89"/>
      <c r="C937" s="89"/>
      <c r="D937" s="89"/>
      <c r="E937" s="89"/>
      <c r="F937" s="89"/>
      <c r="G937" s="89"/>
      <c r="H937" s="89"/>
      <c r="I937" s="89"/>
    </row>
    <row r="938">
      <c r="B938" s="89"/>
      <c r="C938" s="89"/>
      <c r="D938" s="89"/>
      <c r="E938" s="89"/>
      <c r="F938" s="89"/>
      <c r="G938" s="89"/>
      <c r="H938" s="89"/>
      <c r="I938" s="89"/>
    </row>
    <row r="939">
      <c r="B939" s="89"/>
      <c r="C939" s="89"/>
      <c r="D939" s="89"/>
      <c r="E939" s="89"/>
      <c r="F939" s="89"/>
      <c r="G939" s="89"/>
      <c r="H939" s="89"/>
      <c r="I939" s="89"/>
    </row>
    <row r="940">
      <c r="B940" s="89"/>
      <c r="C940" s="89"/>
      <c r="D940" s="89"/>
      <c r="E940" s="89"/>
      <c r="F940" s="89"/>
      <c r="G940" s="89"/>
      <c r="H940" s="89"/>
      <c r="I940" s="89"/>
    </row>
    <row r="941">
      <c r="B941" s="89"/>
      <c r="C941" s="89"/>
      <c r="D941" s="89"/>
      <c r="E941" s="89"/>
      <c r="F941" s="89"/>
      <c r="G941" s="89"/>
      <c r="H941" s="89"/>
      <c r="I941" s="89"/>
    </row>
    <row r="942">
      <c r="B942" s="89"/>
      <c r="C942" s="89"/>
      <c r="D942" s="89"/>
      <c r="E942" s="89"/>
      <c r="F942" s="89"/>
      <c r="G942" s="89"/>
      <c r="H942" s="89"/>
      <c r="I942" s="89"/>
    </row>
    <row r="943">
      <c r="B943" s="89"/>
      <c r="C943" s="89"/>
      <c r="D943" s="89"/>
      <c r="E943" s="89"/>
      <c r="F943" s="89"/>
      <c r="G943" s="89"/>
      <c r="H943" s="89"/>
      <c r="I943" s="89"/>
    </row>
    <row r="944">
      <c r="B944" s="89"/>
      <c r="C944" s="89"/>
      <c r="D944" s="89"/>
      <c r="E944" s="89"/>
      <c r="F944" s="89"/>
      <c r="G944" s="89"/>
      <c r="H944" s="89"/>
      <c r="I944" s="89"/>
    </row>
    <row r="945">
      <c r="B945" s="89"/>
      <c r="C945" s="89"/>
      <c r="D945" s="89"/>
      <c r="E945" s="89"/>
      <c r="F945" s="89"/>
      <c r="G945" s="89"/>
      <c r="H945" s="89"/>
      <c r="I945" s="89"/>
    </row>
    <row r="946">
      <c r="B946" s="89"/>
      <c r="C946" s="89"/>
      <c r="D946" s="89"/>
      <c r="E946" s="89"/>
      <c r="F946" s="89"/>
      <c r="G946" s="89"/>
      <c r="H946" s="89"/>
      <c r="I946" s="89"/>
    </row>
    <row r="947">
      <c r="B947" s="89"/>
      <c r="C947" s="89"/>
      <c r="D947" s="89"/>
      <c r="E947" s="89"/>
      <c r="F947" s="89"/>
      <c r="G947" s="89"/>
      <c r="H947" s="89"/>
      <c r="I947" s="89"/>
    </row>
    <row r="948">
      <c r="B948" s="89"/>
      <c r="C948" s="89"/>
      <c r="D948" s="89"/>
      <c r="E948" s="89"/>
      <c r="F948" s="89"/>
      <c r="G948" s="89"/>
      <c r="H948" s="89"/>
      <c r="I948" s="89"/>
    </row>
    <row r="949">
      <c r="B949" s="89"/>
      <c r="C949" s="89"/>
      <c r="D949" s="89"/>
      <c r="E949" s="89"/>
      <c r="F949" s="89"/>
      <c r="G949" s="89"/>
      <c r="H949" s="89"/>
      <c r="I949" s="89"/>
    </row>
    <row r="950">
      <c r="B950" s="89"/>
      <c r="C950" s="89"/>
      <c r="D950" s="89"/>
      <c r="E950" s="89"/>
      <c r="F950" s="89"/>
      <c r="G950" s="89"/>
      <c r="H950" s="89"/>
      <c r="I950" s="89"/>
    </row>
    <row r="951">
      <c r="B951" s="89"/>
      <c r="C951" s="89"/>
      <c r="D951" s="89"/>
      <c r="E951" s="89"/>
      <c r="F951" s="89"/>
      <c r="G951" s="89"/>
      <c r="H951" s="89"/>
      <c r="I951" s="89"/>
    </row>
    <row r="952">
      <c r="B952" s="89"/>
      <c r="C952" s="89"/>
      <c r="D952" s="89"/>
      <c r="E952" s="89"/>
      <c r="F952" s="89"/>
      <c r="G952" s="89"/>
      <c r="H952" s="89"/>
      <c r="I952" s="89"/>
    </row>
    <row r="953">
      <c r="B953" s="89"/>
      <c r="C953" s="89"/>
      <c r="D953" s="89"/>
      <c r="E953" s="89"/>
      <c r="F953" s="89"/>
      <c r="G953" s="89"/>
      <c r="H953" s="89"/>
      <c r="I953" s="89"/>
    </row>
    <row r="954">
      <c r="B954" s="89"/>
      <c r="C954" s="89"/>
      <c r="D954" s="89"/>
      <c r="E954" s="89"/>
      <c r="F954" s="89"/>
      <c r="G954" s="89"/>
      <c r="H954" s="89"/>
      <c r="I954" s="89"/>
    </row>
    <row r="955">
      <c r="B955" s="89"/>
      <c r="C955" s="89"/>
      <c r="D955" s="89"/>
      <c r="E955" s="89"/>
      <c r="F955" s="89"/>
      <c r="G955" s="89"/>
      <c r="H955" s="89"/>
      <c r="I955" s="89"/>
    </row>
    <row r="956">
      <c r="B956" s="89"/>
      <c r="C956" s="89"/>
      <c r="D956" s="89"/>
      <c r="E956" s="89"/>
      <c r="F956" s="89"/>
      <c r="G956" s="89"/>
      <c r="H956" s="89"/>
      <c r="I956" s="89"/>
    </row>
    <row r="957">
      <c r="B957" s="89"/>
      <c r="C957" s="89"/>
      <c r="D957" s="89"/>
      <c r="E957" s="89"/>
      <c r="F957" s="89"/>
      <c r="G957" s="89"/>
      <c r="H957" s="89"/>
      <c r="I957" s="89"/>
    </row>
    <row r="958">
      <c r="B958" s="89"/>
      <c r="C958" s="89"/>
      <c r="D958" s="89"/>
      <c r="E958" s="89"/>
      <c r="F958" s="89"/>
      <c r="G958" s="89"/>
      <c r="H958" s="89"/>
      <c r="I958" s="89"/>
    </row>
    <row r="959">
      <c r="B959" s="89"/>
      <c r="C959" s="89"/>
      <c r="D959" s="89"/>
      <c r="E959" s="89"/>
      <c r="F959" s="89"/>
      <c r="G959" s="89"/>
      <c r="H959" s="89"/>
      <c r="I959" s="89"/>
    </row>
    <row r="960">
      <c r="B960" s="89"/>
      <c r="C960" s="89"/>
      <c r="D960" s="89"/>
      <c r="E960" s="89"/>
      <c r="F960" s="89"/>
      <c r="G960" s="89"/>
      <c r="H960" s="89"/>
      <c r="I960" s="89"/>
    </row>
    <row r="961">
      <c r="B961" s="89"/>
      <c r="C961" s="89"/>
      <c r="D961" s="89"/>
      <c r="E961" s="89"/>
      <c r="F961" s="89"/>
      <c r="G961" s="89"/>
      <c r="H961" s="89"/>
      <c r="I961" s="89"/>
    </row>
    <row r="962">
      <c r="B962" s="89"/>
      <c r="C962" s="89"/>
      <c r="D962" s="89"/>
      <c r="E962" s="89"/>
      <c r="F962" s="89"/>
      <c r="G962" s="89"/>
      <c r="H962" s="89"/>
      <c r="I962" s="89"/>
    </row>
    <row r="963">
      <c r="B963" s="89"/>
      <c r="C963" s="89"/>
      <c r="D963" s="89"/>
      <c r="E963" s="89"/>
      <c r="F963" s="89"/>
      <c r="G963" s="89"/>
      <c r="H963" s="89"/>
      <c r="I963" s="89"/>
    </row>
    <row r="964">
      <c r="B964" s="89"/>
      <c r="C964" s="89"/>
      <c r="D964" s="89"/>
      <c r="E964" s="89"/>
      <c r="F964" s="89"/>
      <c r="G964" s="89"/>
      <c r="H964" s="89"/>
      <c r="I964" s="89"/>
    </row>
    <row r="965">
      <c r="B965" s="89"/>
      <c r="C965" s="89"/>
      <c r="D965" s="89"/>
      <c r="E965" s="89"/>
      <c r="F965" s="89"/>
      <c r="G965" s="89"/>
      <c r="H965" s="89"/>
      <c r="I965" s="89"/>
    </row>
    <row r="966">
      <c r="B966" s="89"/>
      <c r="C966" s="89"/>
      <c r="D966" s="89"/>
      <c r="E966" s="89"/>
      <c r="F966" s="89"/>
      <c r="G966" s="89"/>
      <c r="H966" s="89"/>
      <c r="I966" s="89"/>
    </row>
    <row r="967">
      <c r="B967" s="89"/>
      <c r="C967" s="89"/>
      <c r="D967" s="89"/>
      <c r="E967" s="89"/>
      <c r="F967" s="89"/>
      <c r="G967" s="89"/>
      <c r="H967" s="89"/>
      <c r="I967" s="89"/>
    </row>
    <row r="968">
      <c r="B968" s="89"/>
      <c r="C968" s="89"/>
      <c r="D968" s="89"/>
      <c r="E968" s="89"/>
      <c r="F968" s="89"/>
      <c r="G968" s="89"/>
      <c r="H968" s="89"/>
      <c r="I968" s="89"/>
    </row>
    <row r="969">
      <c r="B969" s="89"/>
      <c r="C969" s="89"/>
      <c r="D969" s="89"/>
      <c r="E969" s="89"/>
      <c r="F969" s="89"/>
      <c r="G969" s="89"/>
      <c r="H969" s="89"/>
      <c r="I969" s="89"/>
    </row>
    <row r="970">
      <c r="B970" s="89"/>
      <c r="C970" s="89"/>
      <c r="D970" s="89"/>
      <c r="E970" s="89"/>
      <c r="F970" s="89"/>
      <c r="G970" s="89"/>
      <c r="H970" s="89"/>
      <c r="I970" s="89"/>
    </row>
    <row r="971">
      <c r="B971" s="89"/>
      <c r="C971" s="89"/>
      <c r="D971" s="89"/>
      <c r="E971" s="89"/>
      <c r="F971" s="89"/>
      <c r="G971" s="89"/>
      <c r="H971" s="89"/>
      <c r="I971" s="89"/>
    </row>
    <row r="972">
      <c r="B972" s="89"/>
      <c r="C972" s="89"/>
      <c r="D972" s="89"/>
      <c r="E972" s="89"/>
      <c r="F972" s="89"/>
      <c r="G972" s="89"/>
      <c r="H972" s="89"/>
      <c r="I972" s="89"/>
    </row>
    <row r="973">
      <c r="B973" s="89"/>
      <c r="C973" s="89"/>
      <c r="D973" s="89"/>
      <c r="E973" s="89"/>
      <c r="F973" s="89"/>
      <c r="G973" s="89"/>
      <c r="H973" s="89"/>
      <c r="I973" s="89"/>
    </row>
    <row r="974">
      <c r="B974" s="89"/>
      <c r="C974" s="89"/>
      <c r="D974" s="89"/>
      <c r="E974" s="89"/>
      <c r="F974" s="89"/>
      <c r="G974" s="89"/>
      <c r="H974" s="89"/>
      <c r="I974" s="89"/>
    </row>
    <row r="975">
      <c r="B975" s="89"/>
      <c r="C975" s="89"/>
      <c r="D975" s="89"/>
      <c r="E975" s="89"/>
      <c r="F975" s="89"/>
      <c r="G975" s="89"/>
      <c r="H975" s="89"/>
      <c r="I975" s="89"/>
    </row>
    <row r="976">
      <c r="B976" s="89"/>
      <c r="C976" s="89"/>
      <c r="D976" s="89"/>
      <c r="E976" s="89"/>
      <c r="F976" s="89"/>
      <c r="G976" s="89"/>
      <c r="H976" s="89"/>
      <c r="I976" s="89"/>
    </row>
    <row r="977">
      <c r="B977" s="89"/>
      <c r="C977" s="89"/>
      <c r="D977" s="89"/>
      <c r="E977" s="89"/>
      <c r="F977" s="89"/>
      <c r="G977" s="89"/>
      <c r="H977" s="89"/>
      <c r="I977" s="89"/>
    </row>
    <row r="978">
      <c r="B978" s="89"/>
      <c r="C978" s="89"/>
      <c r="D978" s="89"/>
      <c r="E978" s="89"/>
      <c r="F978" s="89"/>
      <c r="G978" s="89"/>
      <c r="H978" s="89"/>
      <c r="I978" s="89"/>
    </row>
    <row r="979">
      <c r="B979" s="89"/>
      <c r="C979" s="89"/>
      <c r="D979" s="89"/>
      <c r="E979" s="89"/>
      <c r="F979" s="89"/>
      <c r="G979" s="89"/>
      <c r="H979" s="89"/>
      <c r="I979" s="89"/>
    </row>
    <row r="980">
      <c r="B980" s="89"/>
      <c r="C980" s="89"/>
      <c r="D980" s="89"/>
      <c r="E980" s="89"/>
      <c r="F980" s="89"/>
      <c r="G980" s="89"/>
      <c r="H980" s="89"/>
      <c r="I980" s="89"/>
    </row>
    <row r="981">
      <c r="B981" s="89"/>
      <c r="C981" s="89"/>
      <c r="D981" s="89"/>
      <c r="E981" s="89"/>
      <c r="F981" s="89"/>
      <c r="G981" s="89"/>
      <c r="H981" s="89"/>
      <c r="I981" s="89"/>
    </row>
    <row r="982">
      <c r="B982" s="89"/>
      <c r="C982" s="89"/>
      <c r="D982" s="89"/>
      <c r="E982" s="89"/>
      <c r="F982" s="89"/>
      <c r="G982" s="89"/>
      <c r="H982" s="89"/>
      <c r="I982" s="89"/>
    </row>
    <row r="983">
      <c r="B983" s="89"/>
      <c r="C983" s="89"/>
      <c r="D983" s="89"/>
      <c r="E983" s="89"/>
      <c r="F983" s="89"/>
      <c r="G983" s="89"/>
      <c r="H983" s="89"/>
      <c r="I983" s="89"/>
    </row>
    <row r="984">
      <c r="B984" s="89"/>
      <c r="C984" s="89"/>
      <c r="D984" s="89"/>
      <c r="E984" s="89"/>
      <c r="F984" s="89"/>
      <c r="G984" s="89"/>
      <c r="H984" s="89"/>
      <c r="I984" s="89"/>
    </row>
    <row r="985">
      <c r="B985" s="89"/>
      <c r="C985" s="89"/>
      <c r="D985" s="89"/>
      <c r="E985" s="89"/>
      <c r="F985" s="89"/>
      <c r="G985" s="89"/>
      <c r="H985" s="89"/>
      <c r="I985" s="89"/>
    </row>
    <row r="986">
      <c r="B986" s="89"/>
      <c r="C986" s="89"/>
      <c r="D986" s="89"/>
      <c r="E986" s="89"/>
      <c r="F986" s="89"/>
      <c r="G986" s="89"/>
      <c r="H986" s="89"/>
      <c r="I986" s="89"/>
    </row>
    <row r="987">
      <c r="B987" s="89"/>
      <c r="C987" s="89"/>
      <c r="D987" s="89"/>
      <c r="E987" s="89"/>
      <c r="F987" s="89"/>
      <c r="G987" s="89"/>
      <c r="H987" s="89"/>
      <c r="I987" s="89"/>
    </row>
    <row r="988">
      <c r="B988" s="89"/>
      <c r="C988" s="89"/>
      <c r="D988" s="89"/>
      <c r="E988" s="89"/>
      <c r="F988" s="89"/>
      <c r="G988" s="89"/>
      <c r="H988" s="89"/>
      <c r="I988" s="89"/>
    </row>
    <row r="989">
      <c r="B989" s="89"/>
      <c r="C989" s="89"/>
      <c r="D989" s="89"/>
      <c r="E989" s="89"/>
      <c r="F989" s="89"/>
      <c r="G989" s="89"/>
      <c r="H989" s="89"/>
      <c r="I989" s="89"/>
    </row>
    <row r="990">
      <c r="B990" s="89"/>
      <c r="C990" s="89"/>
      <c r="D990" s="89"/>
      <c r="E990" s="89"/>
      <c r="F990" s="89"/>
      <c r="G990" s="89"/>
      <c r="H990" s="89"/>
      <c r="I990" s="89"/>
    </row>
    <row r="991">
      <c r="B991" s="89"/>
      <c r="C991" s="89"/>
      <c r="D991" s="89"/>
      <c r="E991" s="89"/>
      <c r="F991" s="89"/>
      <c r="G991" s="89"/>
      <c r="H991" s="89"/>
      <c r="I991" s="89"/>
    </row>
    <row r="992">
      <c r="B992" s="89"/>
      <c r="C992" s="89"/>
      <c r="D992" s="89"/>
      <c r="E992" s="89"/>
      <c r="F992" s="89"/>
      <c r="G992" s="89"/>
      <c r="H992" s="89"/>
      <c r="I992" s="89"/>
    </row>
    <row r="993">
      <c r="B993" s="89"/>
      <c r="C993" s="89"/>
      <c r="D993" s="89"/>
      <c r="E993" s="89"/>
      <c r="F993" s="89"/>
      <c r="G993" s="89"/>
      <c r="H993" s="89"/>
      <c r="I993" s="89"/>
    </row>
    <row r="994">
      <c r="B994" s="89"/>
      <c r="C994" s="89"/>
      <c r="D994" s="89"/>
      <c r="E994" s="89"/>
      <c r="F994" s="89"/>
      <c r="G994" s="89"/>
      <c r="H994" s="89"/>
      <c r="I994" s="89"/>
    </row>
    <row r="995">
      <c r="B995" s="89"/>
      <c r="C995" s="89"/>
      <c r="D995" s="89"/>
      <c r="E995" s="89"/>
      <c r="F995" s="89"/>
      <c r="G995" s="89"/>
      <c r="H995" s="89"/>
      <c r="I995" s="89"/>
    </row>
    <row r="996">
      <c r="B996" s="89"/>
      <c r="C996" s="89"/>
      <c r="D996" s="89"/>
      <c r="E996" s="89"/>
      <c r="F996" s="89"/>
      <c r="G996" s="89"/>
      <c r="H996" s="89"/>
      <c r="I996" s="89"/>
    </row>
    <row r="997">
      <c r="B997" s="89"/>
      <c r="C997" s="89"/>
      <c r="D997" s="89"/>
      <c r="E997" s="89"/>
      <c r="F997" s="89"/>
      <c r="G997" s="89"/>
      <c r="H997" s="89"/>
      <c r="I997" s="89"/>
    </row>
    <row r="998">
      <c r="B998" s="89"/>
      <c r="C998" s="89"/>
      <c r="D998" s="89"/>
      <c r="E998" s="89"/>
      <c r="F998" s="89"/>
      <c r="G998" s="89"/>
      <c r="H998" s="89"/>
      <c r="I998" s="89"/>
    </row>
    <row r="999">
      <c r="B999" s="89"/>
      <c r="C999" s="89"/>
      <c r="D999" s="89"/>
      <c r="E999" s="89"/>
      <c r="F999" s="89"/>
      <c r="G999" s="89"/>
      <c r="H999" s="89"/>
      <c r="I999" s="89"/>
    </row>
    <row r="1000">
      <c r="B1000" s="89"/>
      <c r="C1000" s="89"/>
      <c r="D1000" s="89"/>
      <c r="E1000" s="89"/>
      <c r="F1000" s="89"/>
      <c r="G1000" s="89"/>
      <c r="H1000" s="89"/>
      <c r="I1000" s="89"/>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0.25"/>
    <col customWidth="1" min="2" max="2" width="18.88"/>
  </cols>
  <sheetData>
    <row r="1">
      <c r="A1" s="89" t="e">
        <v>#REF!</v>
      </c>
    </row>
  </sheetData>
  <drawing r:id="rId1"/>
</worksheet>
</file>